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45710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45710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45710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45710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45710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45710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45710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45710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45710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45710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45710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45710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45710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45710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45710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45710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45710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45710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45710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45710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45710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45710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45710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45710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45710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45710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45710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45710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45710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45710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45710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45710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45710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45710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45710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45710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45710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45710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45710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45710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39032-2021</t>
        </is>
      </c>
      <c r="B42" s="1" t="n">
        <v>44412</v>
      </c>
      <c r="C42" s="1" t="n">
        <v>45710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9.300000000000001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Dvärgbägarlav
Skrovlig taggsvamp
Talltaggsvamp
Vaddporing
Dropptaggsvamp</t>
        </is>
      </c>
      <c r="S42">
        <f>HYPERLINK("https://klasma.github.io/Logging_2481/artfynd/A 39032-2021 artfynd.xlsx", "A 39032-2021")</f>
        <v/>
      </c>
      <c r="T42">
        <f>HYPERLINK("https://klasma.github.io/Logging_2481/kartor/A 39032-2021 karta.png", "A 39032-2021")</f>
        <v/>
      </c>
      <c r="V42">
        <f>HYPERLINK("https://klasma.github.io/Logging_2481/klagomål/A 39032-2021 FSC-klagomål.docx", "A 39032-2021")</f>
        <v/>
      </c>
      <c r="W42">
        <f>HYPERLINK("https://klasma.github.io/Logging_2481/klagomålsmail/A 39032-2021 FSC-klagomål mail.docx", "A 39032-2021")</f>
        <v/>
      </c>
      <c r="X42">
        <f>HYPERLINK("https://klasma.github.io/Logging_2481/tillsyn/A 39032-2021 tillsynsbegäran.docx", "A 39032-2021")</f>
        <v/>
      </c>
      <c r="Y42">
        <f>HYPERLINK("https://klasma.github.io/Logging_2481/tillsynsmail/A 39032-2021 tillsynsbegäran mail.docx", "A 39032-2021")</f>
        <v/>
      </c>
    </row>
    <row r="43" ht="15" customHeight="1">
      <c r="A43" t="inlineStr">
        <is>
          <t>A 59920-2021</t>
        </is>
      </c>
      <c r="B43" s="1" t="n">
        <v>44494</v>
      </c>
      <c r="C43" s="1" t="n">
        <v>45710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4.5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Ullticka
Bronshjon
Orre</t>
        </is>
      </c>
      <c r="S43">
        <f>HYPERLINK("https://klasma.github.io/Logging_2481/artfynd/A 59920-2021 artfynd.xlsx", "A 59920-2021")</f>
        <v/>
      </c>
      <c r="T43">
        <f>HYPERLINK("https://klasma.github.io/Logging_2481/kartor/A 59920-2021 karta.png", "A 59920-2021")</f>
        <v/>
      </c>
      <c r="V43">
        <f>HYPERLINK("https://klasma.github.io/Logging_2481/klagomål/A 59920-2021 FSC-klagomål.docx", "A 59920-2021")</f>
        <v/>
      </c>
      <c r="W43">
        <f>HYPERLINK("https://klasma.github.io/Logging_2481/klagomålsmail/A 59920-2021 FSC-klagomål mail.docx", "A 59920-2021")</f>
        <v/>
      </c>
      <c r="X43">
        <f>HYPERLINK("https://klasma.github.io/Logging_2481/tillsyn/A 59920-2021 tillsynsbegäran.docx", "A 59920-2021")</f>
        <v/>
      </c>
      <c r="Y43">
        <f>HYPERLINK("https://klasma.github.io/Logging_2481/tillsynsmail/A 59920-2021 tillsynsbegäran mail.docx", "A 59920-2021")</f>
        <v/>
      </c>
      <c r="Z43">
        <f>HYPERLINK("https://klasma.github.io/Logging_2481/fåglar/A 59920-2021 prioriterade fågelarter.docx", "A 59920-2021")</f>
        <v/>
      </c>
    </row>
    <row r="44" ht="15" customHeight="1">
      <c r="A44" t="inlineStr">
        <is>
          <t>A 7976-2022</t>
        </is>
      </c>
      <c r="B44" s="1" t="n">
        <v>44609</v>
      </c>
      <c r="C44" s="1" t="n">
        <v>45710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Lunglav
Mörk kolflarnlav
Skrovellav
Luddlav</t>
        </is>
      </c>
      <c r="S44">
        <f>HYPERLINK("https://klasma.github.io/Logging_2481/artfynd/A 7976-2022 artfynd.xlsx", "A 7976-2022")</f>
        <v/>
      </c>
      <c r="T44">
        <f>HYPERLINK("https://klasma.github.io/Logging_2481/kartor/A 7976-2022 karta.png", "A 7976-2022")</f>
        <v/>
      </c>
      <c r="V44">
        <f>HYPERLINK("https://klasma.github.io/Logging_2481/klagomål/A 7976-2022 FSC-klagomål.docx", "A 7976-2022")</f>
        <v/>
      </c>
      <c r="W44">
        <f>HYPERLINK("https://klasma.github.io/Logging_2481/klagomålsmail/A 7976-2022 FSC-klagomål mail.docx", "A 7976-2022")</f>
        <v/>
      </c>
      <c r="X44">
        <f>HYPERLINK("https://klasma.github.io/Logging_2481/tillsyn/A 7976-2022 tillsynsbegäran.docx", "A 7976-2022")</f>
        <v/>
      </c>
      <c r="Y44">
        <f>HYPERLINK("https://klasma.github.io/Logging_2481/tillsynsmail/A 7976-2022 tillsynsbegäran mail.docx", "A 7976-2022")</f>
        <v/>
      </c>
    </row>
    <row r="45" ht="15" customHeight="1">
      <c r="A45" t="inlineStr">
        <is>
          <t>A 10345-2023</t>
        </is>
      </c>
      <c r="B45" s="1" t="n">
        <v>44980</v>
      </c>
      <c r="C45" s="1" t="n">
        <v>45710</v>
      </c>
      <c r="D45" t="inlineStr">
        <is>
          <t>VÄSTERBOTTENS LÄN</t>
        </is>
      </c>
      <c r="E45" t="inlineStr">
        <is>
          <t>LYCKSELE</t>
        </is>
      </c>
      <c r="G45" t="n">
        <v>2.3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Blå taggsvamp
Gammelgransskål
Garnlav
Orange taggsvamp
Skarp dropptaggsvamp</t>
        </is>
      </c>
      <c r="S45">
        <f>HYPERLINK("https://klasma.github.io/Logging_2481/artfynd/A 10345-2023 artfynd.xlsx", "A 10345-2023")</f>
        <v/>
      </c>
      <c r="T45">
        <f>HYPERLINK("https://klasma.github.io/Logging_2481/kartor/A 10345-2023 karta.png", "A 10345-2023")</f>
        <v/>
      </c>
      <c r="V45">
        <f>HYPERLINK("https://klasma.github.io/Logging_2481/klagomål/A 10345-2023 FSC-klagomål.docx", "A 10345-2023")</f>
        <v/>
      </c>
      <c r="W45">
        <f>HYPERLINK("https://klasma.github.io/Logging_2481/klagomålsmail/A 10345-2023 FSC-klagomål mail.docx", "A 10345-2023")</f>
        <v/>
      </c>
      <c r="X45">
        <f>HYPERLINK("https://klasma.github.io/Logging_2481/tillsyn/A 10345-2023 tillsynsbegäran.docx", "A 10345-2023")</f>
        <v/>
      </c>
      <c r="Y45">
        <f>HYPERLINK("https://klasma.github.io/Logging_2481/tillsynsmail/A 10345-2023 tillsynsbegäran mail.docx", "A 10345-2023")</f>
        <v/>
      </c>
    </row>
    <row r="46" ht="15" customHeight="1">
      <c r="A46" t="inlineStr">
        <is>
          <t>A 10386-2023</t>
        </is>
      </c>
      <c r="B46" s="1" t="n">
        <v>44981</v>
      </c>
      <c r="C46" s="1" t="n">
        <v>45710</v>
      </c>
      <c r="D46" t="inlineStr">
        <is>
          <t>VÄSTERBOTTENS LÄN</t>
        </is>
      </c>
      <c r="E46" t="inlineStr">
        <is>
          <t>LYCKSELE</t>
        </is>
      </c>
      <c r="G46" t="n">
        <v>1.1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Rosenticka
Dropptaggsvamp
Norrlandslav
Tjäder</t>
        </is>
      </c>
      <c r="S46">
        <f>HYPERLINK("https://klasma.github.io/Logging_2481/artfynd/A 10386-2023 artfynd.xlsx", "A 10386-2023")</f>
        <v/>
      </c>
      <c r="T46">
        <f>HYPERLINK("https://klasma.github.io/Logging_2481/kartor/A 10386-2023 karta.png", "A 10386-2023")</f>
        <v/>
      </c>
      <c r="V46">
        <f>HYPERLINK("https://klasma.github.io/Logging_2481/klagomål/A 10386-2023 FSC-klagomål.docx", "A 10386-2023")</f>
        <v/>
      </c>
      <c r="W46">
        <f>HYPERLINK("https://klasma.github.io/Logging_2481/klagomålsmail/A 10386-2023 FSC-klagomål mail.docx", "A 10386-2023")</f>
        <v/>
      </c>
      <c r="X46">
        <f>HYPERLINK("https://klasma.github.io/Logging_2481/tillsyn/A 10386-2023 tillsynsbegäran.docx", "A 10386-2023")</f>
        <v/>
      </c>
      <c r="Y46">
        <f>HYPERLINK("https://klasma.github.io/Logging_2481/tillsynsmail/A 10386-2023 tillsynsbegäran mail.docx", "A 10386-2023")</f>
        <v/>
      </c>
      <c r="Z46">
        <f>HYPERLINK("https://klasma.github.io/Logging_2481/fåglar/A 10386-2023 prioriterade fågelarter.docx", "A 10386-2023")</f>
        <v/>
      </c>
    </row>
    <row r="47" ht="15" customHeight="1">
      <c r="A47" t="inlineStr">
        <is>
          <t>A 58205-2023</t>
        </is>
      </c>
      <c r="B47" s="1" t="n">
        <v>45250</v>
      </c>
      <c r="C47" s="1" t="n">
        <v>45710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Reliktbock
Tallticka
Varglav
Lavskrika</t>
        </is>
      </c>
      <c r="S47">
        <f>HYPERLINK("https://klasma.github.io/Logging_2481/artfynd/A 58205-2023 artfynd.xlsx", "A 58205-2023")</f>
        <v/>
      </c>
      <c r="T47">
        <f>HYPERLINK("https://klasma.github.io/Logging_2481/kartor/A 58205-2023 karta.png", "A 58205-2023")</f>
        <v/>
      </c>
      <c r="V47">
        <f>HYPERLINK("https://klasma.github.io/Logging_2481/klagomål/A 58205-2023 FSC-klagomål.docx", "A 58205-2023")</f>
        <v/>
      </c>
      <c r="W47">
        <f>HYPERLINK("https://klasma.github.io/Logging_2481/klagomålsmail/A 58205-2023 FSC-klagomål mail.docx", "A 58205-2023")</f>
        <v/>
      </c>
      <c r="X47">
        <f>HYPERLINK("https://klasma.github.io/Logging_2481/tillsyn/A 58205-2023 tillsynsbegäran.docx", "A 58205-2023")</f>
        <v/>
      </c>
      <c r="Y47">
        <f>HYPERLINK("https://klasma.github.io/Logging_2481/tillsynsmail/A 58205-2023 tillsynsbegäran mail.docx", "A 58205-2023")</f>
        <v/>
      </c>
      <c r="Z47">
        <f>HYPERLINK("https://klasma.github.io/Logging_2481/fåglar/A 58205-2023 prioriterade fågelarter.docx", "A 58205-2023")</f>
        <v/>
      </c>
    </row>
    <row r="48" ht="15" customHeight="1">
      <c r="A48" t="inlineStr">
        <is>
          <t>A 58366-2023</t>
        </is>
      </c>
      <c r="B48" s="1" t="n">
        <v>45250</v>
      </c>
      <c r="C48" s="1" t="n">
        <v>45710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Doftticka
Garnlav
Lunglav
Skrovellav
Stuplav</t>
        </is>
      </c>
      <c r="S48">
        <f>HYPERLINK("https://klasma.github.io/Logging_2481/artfynd/A 58366-2023 artfynd.xlsx", "A 58366-2023")</f>
        <v/>
      </c>
      <c r="T48">
        <f>HYPERLINK("https://klasma.github.io/Logging_2481/kartor/A 58366-2023 karta.png", "A 58366-2023")</f>
        <v/>
      </c>
      <c r="V48">
        <f>HYPERLINK("https://klasma.github.io/Logging_2481/klagomål/A 58366-2023 FSC-klagomål.docx", "A 58366-2023")</f>
        <v/>
      </c>
      <c r="W48">
        <f>HYPERLINK("https://klasma.github.io/Logging_2481/klagomålsmail/A 58366-2023 FSC-klagomål mail.docx", "A 58366-2023")</f>
        <v/>
      </c>
      <c r="X48">
        <f>HYPERLINK("https://klasma.github.io/Logging_2481/tillsyn/A 58366-2023 tillsynsbegäran.docx", "A 58366-2023")</f>
        <v/>
      </c>
      <c r="Y48">
        <f>HYPERLINK("https://klasma.github.io/Logging_2481/tillsynsmail/A 58366-2023 tillsynsbegäran mail.docx", "A 58366-2023")</f>
        <v/>
      </c>
    </row>
    <row r="49" ht="15" customHeight="1">
      <c r="A49" t="inlineStr">
        <is>
          <t>A 56000-2024</t>
        </is>
      </c>
      <c r="B49" s="1" t="n">
        <v>45623</v>
      </c>
      <c r="C49" s="1" t="n">
        <v>45710</v>
      </c>
      <c r="D49" t="inlineStr">
        <is>
          <t>VÄSTERBOTTENS LÄN</t>
        </is>
      </c>
      <c r="E49" t="inlineStr">
        <is>
          <t>LYCKSELE</t>
        </is>
      </c>
      <c r="G49" t="n">
        <v>1.4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56000-2024 artfynd.xlsx", "A 56000-2024")</f>
        <v/>
      </c>
      <c r="T49">
        <f>HYPERLINK("https://klasma.github.io/Logging_2481/kartor/A 56000-2024 karta.png", "A 56000-2024")</f>
        <v/>
      </c>
      <c r="V49">
        <f>HYPERLINK("https://klasma.github.io/Logging_2481/klagomål/A 56000-2024 FSC-klagomål.docx", "A 56000-2024")</f>
        <v/>
      </c>
      <c r="W49">
        <f>HYPERLINK("https://klasma.github.io/Logging_2481/klagomålsmail/A 56000-2024 FSC-klagomål mail.docx", "A 56000-2024")</f>
        <v/>
      </c>
      <c r="X49">
        <f>HYPERLINK("https://klasma.github.io/Logging_2481/tillsyn/A 56000-2024 tillsynsbegäran.docx", "A 56000-2024")</f>
        <v/>
      </c>
      <c r="Y49">
        <f>HYPERLINK("https://klasma.github.io/Logging_2481/tillsynsmail/A 56000-2024 tillsynsbegäran mail.docx", "A 56000-2024")</f>
        <v/>
      </c>
      <c r="Z49">
        <f>HYPERLINK("https://klasma.github.io/Logging_2481/fåglar/A 56000-2024 prioriterade fågelarter.docx", "A 56000-2024")</f>
        <v/>
      </c>
    </row>
    <row r="50" ht="15" customHeight="1">
      <c r="A50" t="inlineStr">
        <is>
          <t>A 56053-2024</t>
        </is>
      </c>
      <c r="B50" s="1" t="n">
        <v>45624</v>
      </c>
      <c r="C50" s="1" t="n">
        <v>45710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8.1</v>
      </c>
      <c r="H50" t="n">
        <v>0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Granticka
Rosenticka
Vedskivlav
Trådticka
Vedticka</t>
        </is>
      </c>
      <c r="S50">
        <f>HYPERLINK("https://klasma.github.io/Logging_2481/artfynd/A 56053-2024 artfynd.xlsx", "A 56053-2024")</f>
        <v/>
      </c>
      <c r="T50">
        <f>HYPERLINK("https://klasma.github.io/Logging_2481/kartor/A 56053-2024 karta.png", "A 56053-2024")</f>
        <v/>
      </c>
      <c r="V50">
        <f>HYPERLINK("https://klasma.github.io/Logging_2481/klagomål/A 56053-2024 FSC-klagomål.docx", "A 56053-2024")</f>
        <v/>
      </c>
      <c r="W50">
        <f>HYPERLINK("https://klasma.github.io/Logging_2481/klagomålsmail/A 56053-2024 FSC-klagomål mail.docx", "A 56053-2024")</f>
        <v/>
      </c>
      <c r="X50">
        <f>HYPERLINK("https://klasma.github.io/Logging_2481/tillsyn/A 56053-2024 tillsynsbegäran.docx", "A 56053-2024")</f>
        <v/>
      </c>
      <c r="Y50">
        <f>HYPERLINK("https://klasma.github.io/Logging_2481/tillsynsmail/A 56053-2024 tillsynsbegäran mail.docx", "A 56053-2024")</f>
        <v/>
      </c>
    </row>
    <row r="51" ht="15" customHeight="1">
      <c r="A51" t="inlineStr">
        <is>
          <t>A 36155-2019</t>
        </is>
      </c>
      <c r="B51" s="1" t="n">
        <v>43668</v>
      </c>
      <c r="C51" s="1" t="n">
        <v>45710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18.2</v>
      </c>
      <c r="H51" t="n">
        <v>2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Vedskivlav
Dropptaggsvamp
Plattlummer
Vanlig groda</t>
        </is>
      </c>
      <c r="S51">
        <f>HYPERLINK("https://klasma.github.io/Logging_2481/artfynd/A 36155-2019 artfynd.xlsx", "A 36155-2019")</f>
        <v/>
      </c>
      <c r="T51">
        <f>HYPERLINK("https://klasma.github.io/Logging_2481/kartor/A 36155-2019 karta.png", "A 36155-2019")</f>
        <v/>
      </c>
      <c r="U51">
        <f>HYPERLINK("https://klasma.github.io/Logging_2481/knärot/A 36155-2019 karta knärot.png", "A 36155-2019")</f>
        <v/>
      </c>
      <c r="V51">
        <f>HYPERLINK("https://klasma.github.io/Logging_2481/klagomål/A 36155-2019 FSC-klagomål.docx", "A 36155-2019")</f>
        <v/>
      </c>
      <c r="W51">
        <f>HYPERLINK("https://klasma.github.io/Logging_2481/klagomålsmail/A 36155-2019 FSC-klagomål mail.docx", "A 36155-2019")</f>
        <v/>
      </c>
      <c r="X51">
        <f>HYPERLINK("https://klasma.github.io/Logging_2481/tillsyn/A 36155-2019 tillsynsbegäran.docx", "A 36155-2019")</f>
        <v/>
      </c>
      <c r="Y51">
        <f>HYPERLINK("https://klasma.github.io/Logging_2481/tillsynsmail/A 36155-2019 tillsynsbegäran mail.docx", "A 36155-2019")</f>
        <v/>
      </c>
    </row>
    <row r="52" ht="15" customHeight="1">
      <c r="A52" t="inlineStr">
        <is>
          <t>A 55889-2020</t>
        </is>
      </c>
      <c r="B52" s="1" t="n">
        <v>44132</v>
      </c>
      <c r="C52" s="1" t="n">
        <v>45710</v>
      </c>
      <c r="D52" t="inlineStr">
        <is>
          <t>VÄSTERBOTTENS LÄN</t>
        </is>
      </c>
      <c r="E52" t="inlineStr">
        <is>
          <t>LYCKSELE</t>
        </is>
      </c>
      <c r="F52" t="inlineStr">
        <is>
          <t>Holmen skog AB</t>
        </is>
      </c>
      <c r="G52" t="n">
        <v>11.3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Granticka
Tretåig hackspett
Vitgrynig nållav</t>
        </is>
      </c>
      <c r="S52">
        <f>HYPERLINK("https://klasma.github.io/Logging_2481/artfynd/A 55889-2020 artfynd.xlsx", "A 55889-2020")</f>
        <v/>
      </c>
      <c r="T52">
        <f>HYPERLINK("https://klasma.github.io/Logging_2481/kartor/A 55889-2020 karta.png", "A 55889-2020")</f>
        <v/>
      </c>
      <c r="V52">
        <f>HYPERLINK("https://klasma.github.io/Logging_2481/klagomål/A 55889-2020 FSC-klagomål.docx", "A 55889-2020")</f>
        <v/>
      </c>
      <c r="W52">
        <f>HYPERLINK("https://klasma.github.io/Logging_2481/klagomålsmail/A 55889-2020 FSC-klagomål mail.docx", "A 55889-2020")</f>
        <v/>
      </c>
      <c r="X52">
        <f>HYPERLINK("https://klasma.github.io/Logging_2481/tillsyn/A 55889-2020 tillsynsbegäran.docx", "A 55889-2020")</f>
        <v/>
      </c>
      <c r="Y52">
        <f>HYPERLINK("https://klasma.github.io/Logging_2481/tillsynsmail/A 55889-2020 tillsynsbegäran mail.docx", "A 55889-2020")</f>
        <v/>
      </c>
      <c r="Z52">
        <f>HYPERLINK("https://klasma.github.io/Logging_2481/fåglar/A 55889-2020 prioriterade fågelarter.docx", "A 55889-2020")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45710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45710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45710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45710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45710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45710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45710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45710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45710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45710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45710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45710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45710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45710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45710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45710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45710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45710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45710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45710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45710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45710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45710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45710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45710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45710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45710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45710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45710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45710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45710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45710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45710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45710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45710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45710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45710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45710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45710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45710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45710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45710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45710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45710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45710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45710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45710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45710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45710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45710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45710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45710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45710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45710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45710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45710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45710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45710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45710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45710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45710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45710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45710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45710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45710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45710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45710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45710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45710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45710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45710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45710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45710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45710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45710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45710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45710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45710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45710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45710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45710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45710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45710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45710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45710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45710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45710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45710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45710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45710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45710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45710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45710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45710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45710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45710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45710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45710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45710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45710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45710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45710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45710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45710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45710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45710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45710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45710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45710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45710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45710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45710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45710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45710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45710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45710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45710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45710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45710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45710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45710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45710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45710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45710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45710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45710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45710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45710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45710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45710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45710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45710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45710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45710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45710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45710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45710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45710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45710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45710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45710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45710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45710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45710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45710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45710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45710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45710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45710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45710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45710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45710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45710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45710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45710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45710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45710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45710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45710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45710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45710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45710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45710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45710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45710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45710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45710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45710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45710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45710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45710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45710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45710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45710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45710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45710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45710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45710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45710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45710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45710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45710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45710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45710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45710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45710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45710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45710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45710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45710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45710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45710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45710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45710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45710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45710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45710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45710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45710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45710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45710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45710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45710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45710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45710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45710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45710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45710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45710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45710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45710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45710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45710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45710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45710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45710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45710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45710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45710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45710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45710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45710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45710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45710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45710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45710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45710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45710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45710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45710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45710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45710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45710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45710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45710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45710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45710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45710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45710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45710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45710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45710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45710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45710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45710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45710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45710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45710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45710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45710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45710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45710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45710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45710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45710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45710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45710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45710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45710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45710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45710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45710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45710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45710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45710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45710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45710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45710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45710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45710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45710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45710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45710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45710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45710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45710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45710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45710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45710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45710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45710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45710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45710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45710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45710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45710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45710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45710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45710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45710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45710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45710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45710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45710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45710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45710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45710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45710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45710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45710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45710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45710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45710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45710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45710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45710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45710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45710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45710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45710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45710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45710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45710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45710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45710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45710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45710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45710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45710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45710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45710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45710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45710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45710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45710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45710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45710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45710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45710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45710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45710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45710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45710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45710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45710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45710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45710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45710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45710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45710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45710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45710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45710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45710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45710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45710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45710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45710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45710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45710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45710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45710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45710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45710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45710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45710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45710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45710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45710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45710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45710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45710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45710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45710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45710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45710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45710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45710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45710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45710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45710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45710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45710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45710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45710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45710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45710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45710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45710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45710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45710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45710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45710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45710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45710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45710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45710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45710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45710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45710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45710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45710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45710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45710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45710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45710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45710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45710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45710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45710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45710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45710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45710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45710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45710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45710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45710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45710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45710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45710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45710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45710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45710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45710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45710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45710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45710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45710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45710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45710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45710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45710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45710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45710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45710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45710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45710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45710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45710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45710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45710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45710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45710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45710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45710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45710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45710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45710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45710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45710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45710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45710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45710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45710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45710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45710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45710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45710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45710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45710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45710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45710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45710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45710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45710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45710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45710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45710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45710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45710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45710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45710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45710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45710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45710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45710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45710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45710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45710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45710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45710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45710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45710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45710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45710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45710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45710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45710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45710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45710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45710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45710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45710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45710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45710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45710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45710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45710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45710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45710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45710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45710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45710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45710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45710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45710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45710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45710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45710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45710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45710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45710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45710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45710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45710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45710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45710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45710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45710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45710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45710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45710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45710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45710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45710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45710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45710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45710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45710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45710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45710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45710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45710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45710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45710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45710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45710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45710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45710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45710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45710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45710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45710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45710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45710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45710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45710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45710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45710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45710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45710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45710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45710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45710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45710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45710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45710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45710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45710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45710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45710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45710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45710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45710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45710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45710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45710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45710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45710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45710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45710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45710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45710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45710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45710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45710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45710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45710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45710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45710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45710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45710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45710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45710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45710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45710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45710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45710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45710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45710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45710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45710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45710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45710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45710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45710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45710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45710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45710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45710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45710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45710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45710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45710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45710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45710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45710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45710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45710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45710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45710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45710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45710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45710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45710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45710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45710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45710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45710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45710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45710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45710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45710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45710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45710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45710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45710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45710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45710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45710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45710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45710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45710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45710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45710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45710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45710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45710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45710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45710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45710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45710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45710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45710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45710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45710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45710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45710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45710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45710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45710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45710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45710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45710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45710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45710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45710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45710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45710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45710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45710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45710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45710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45710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45710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45710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45710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45710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45710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45710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45710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45710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45710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45710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45710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45710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45710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45710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45710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45710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45710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45710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45710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45710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45710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45710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45710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45710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45710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45710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45710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45710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45710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45710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45710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45710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45710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45710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45710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45710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45710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45710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45710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45710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45710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45710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45710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45710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45710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45710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45710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45710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45710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45710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45710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45710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45710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45710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45710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45710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45710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45710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45710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45710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45710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45710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45710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45710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45710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45710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45710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45710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45710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45710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45710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45710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45710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45710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45710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45710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45710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45710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45710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45710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45710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45710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45710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45710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45710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45710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45710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45710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45710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45710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45710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45710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45710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45710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45710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45710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45710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45710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45710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45710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45710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45710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45710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45710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45710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45710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45710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45710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45710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45710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45710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45710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45710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45710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45710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45710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45710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45710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45710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45710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45710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45710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45710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45710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45710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45710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45710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45710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45710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45710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45710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45710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45710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45710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45710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45710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45710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45710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45710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45710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45710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45710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45710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45710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45710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45710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45710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45710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45710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45710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45710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45710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45710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45710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45710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45710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45710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45710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45710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45710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45710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45710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45710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45710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45710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45710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45710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45710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45710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45710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45710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45710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45710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45710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45710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45710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45710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45710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45710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45710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45710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45710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45710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45710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45710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45710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45710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45710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45710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45710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45710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45710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45710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45710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45710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45710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45710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45710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45710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45710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45710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45710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45710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45710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45710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45710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45710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45710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45710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45710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45710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45710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45710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45710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45710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45710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45710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45710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45710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45710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45710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45710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45710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45710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45710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45710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45710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45710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45710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45710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45710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45710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45710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45710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45710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45710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45710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45710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45710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45710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45710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45710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45710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45710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45710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45710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45710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45710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45710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45710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45710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45710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45710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45710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45710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45710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45710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45710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45710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45710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45710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45710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45710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45710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45710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45710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45710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45710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45710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45710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45710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45710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45710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45710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45710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45710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45710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45710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45710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45710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45710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45710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45710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45710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45710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45710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45710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45710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45710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45710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45710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45710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45710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45710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45710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45710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45710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45710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45710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45710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45710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45710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45710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45710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45710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45710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45710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45710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45710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45710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45710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45710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45710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45710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45710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45710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45710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45710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45710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45710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45710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45710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45710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45710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45710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45710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45710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45710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45710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45710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45710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45710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45710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45710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45710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45710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45710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45710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45710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45710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45710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45710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45710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45710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45710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45710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45710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45710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45710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45710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45710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45710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45710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45710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45710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45710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45710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45710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45710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45710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45710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45710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45710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45710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45710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45710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45710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45710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45710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45710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45710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45710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45710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45710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45710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45710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45710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45710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45710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45710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45710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45710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45710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45710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45710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45710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45710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45710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45710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45710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45710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45710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45710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45710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45710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45710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45710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45710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45710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45710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45710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45710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45710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45710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45710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45710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45710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45710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45710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45710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45710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45710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45710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45710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45710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45710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45710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45710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45710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45710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45710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45710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45710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45710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45710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45710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45710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45710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45710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45710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45710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45710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45710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45710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45710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45710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45710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45710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45710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45710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45710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45710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45710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45710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45710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45710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45710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45710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45710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45710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45710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45710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45710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45710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45710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45710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45710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45710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45710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45710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45710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45710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45710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45710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45710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45710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45710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45710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45710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45710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45710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45710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45710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45710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45710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45710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45710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45710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45710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45710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45710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45710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45710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45710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45710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45710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45710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45710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45710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45710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45710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45710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45710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45710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45710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45710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45710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45710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45710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45710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45710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45710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45710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45710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45710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45710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45710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45710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45710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45710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45710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45710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45710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45710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45710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45710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45710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45710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45710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45710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45710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45710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45710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45710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45710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45710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45710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45710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45710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45710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45710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45710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45710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45710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45710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45710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45710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45710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45710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45710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45710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45710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45710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45710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45710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45710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45710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45710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45710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45710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45710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45710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45710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45710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45710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45710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45710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45710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45710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45710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45710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45710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45710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45710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45710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45710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45710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45710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45710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45710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45710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45710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45710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45710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45710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45710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45710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45710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45710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45710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45710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45710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45710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45710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45710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45710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45710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45710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45710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45710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45710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45710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45710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45710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45710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45710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45710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45710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45710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45710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45710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45710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45710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45710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45710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45710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45710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45710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45710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45710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45710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45710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45710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45710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45710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45710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45710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45710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45710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45710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45710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45710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45710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45710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45710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45710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45710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45710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45710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45710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45710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45710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45710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45710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45710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45710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45710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45710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45710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45710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45710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45710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45710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45710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45710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45710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45710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45710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45710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45710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45710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45710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45710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45710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45710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45710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45710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45710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45710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45710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45710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45710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45710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45710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45710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45710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45710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45710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45710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45710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45710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45710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45710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45710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45710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45710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45710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45710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45710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45710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45710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45710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45710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45710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45710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45710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45710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45710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45710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45710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45710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45710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45710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45710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45710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45710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45710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45710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45710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45710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45710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45710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45710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45710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45710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45710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45710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45710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45710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45710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45710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45710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45710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45710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45710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45710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45710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45710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45710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45710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45710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45710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45710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45710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45710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45710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45710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45710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45710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45710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45710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45710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45710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45710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45710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45710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45710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45710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45710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45710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45710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45710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45710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45710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45710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45710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45710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45710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45710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45710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45710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45710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45710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45710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45710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45710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45710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45710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45710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45710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45710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45710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45710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45710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45710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45710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45710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45710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45710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45710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45710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45710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45710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45710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45710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45710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45710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45710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45710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45710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45710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45710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45710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45710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45710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45710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45710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45710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45710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45710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45710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45710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45710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45710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45710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45710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45710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45710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45710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45710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45710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45710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45710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45710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45710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45710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45710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45710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45710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45710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45710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45710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45710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45710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45710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45710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45710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45710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45710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45710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45710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45710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45710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45710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45710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45710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45710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45710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45710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45710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45710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45710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45710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45710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45710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45710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45710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45710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45710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45710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45710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45710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45710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45710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45710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45710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45710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45710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45710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45710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45710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45710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45710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45710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45710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45710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45710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45710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45710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45710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45710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45710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45710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45710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45710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45710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45710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45710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45710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45710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45710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45710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45710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45710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45710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45710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45710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45710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45710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45710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45710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45710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45710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45710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45710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45710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45710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45710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45710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45710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45710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45710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45710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45710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45710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45710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45710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45710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45710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45710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45710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45710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45710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45710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45710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45710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45710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45710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45710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45710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45710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45710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45710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45710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45710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45710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45710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45710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45710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45710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45710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45710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45710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45710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45710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45710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45710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45710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45710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45710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45710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45710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45710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45710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45710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45710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45710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45710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45710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45710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45710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45710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45710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45710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45710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45710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45710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45710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45710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45710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45710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45710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45710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45710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45710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45710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45710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45710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45710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45710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45710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45710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45710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45710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45710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45710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45710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45710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45710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45710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45710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45710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45710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45710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45710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45710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45710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45710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45710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45710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45710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45710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45710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45710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45710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45710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45710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45710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45710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45710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45710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45710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45710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45710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45710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45710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45710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45710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45710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45710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45710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45710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45710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45710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45710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45710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45710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45710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45710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45710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45710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45710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45710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45710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45710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45710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45710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45710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45710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45710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45710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45710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45710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45710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45710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45710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45710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45710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45710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45710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45710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45710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45710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45710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45710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45710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45710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45710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45710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45710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45710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45710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45710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45710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45710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45710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45710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45710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45710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45710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45710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45710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45710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45710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45710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45710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45710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45710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45710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45710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45710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45710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45710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45710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45710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45710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45710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45710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45710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45710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45710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45710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45710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45710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45710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45710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45710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45710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45710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45710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45710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45710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45710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45710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45710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45710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45710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45710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45710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45710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45710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45710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45710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45710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45710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45710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45710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45710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45710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45710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45710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45710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45710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45710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45710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45710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45710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45710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45710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45710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45710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45710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45710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45710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45710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45710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45710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45710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45710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4670-2025</t>
        </is>
      </c>
      <c r="B1826" s="1" t="n">
        <v>45687</v>
      </c>
      <c r="C1826" s="1" t="n">
        <v>45710</v>
      </c>
      <c r="D1826" t="inlineStr">
        <is>
          <t>VÄSTERBOTTENS LÄN</t>
        </is>
      </c>
      <c r="E1826" t="inlineStr">
        <is>
          <t>LYCKSELE</t>
        </is>
      </c>
      <c r="G1826" t="n">
        <v>15.5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45710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45710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45710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45710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45710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45710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5932-2025</t>
        </is>
      </c>
      <c r="B1833" s="1" t="n">
        <v>45695</v>
      </c>
      <c r="C1833" s="1" t="n">
        <v>45710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45710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5856-2025</t>
        </is>
      </c>
      <c r="B1835" s="1" t="n">
        <v>45695</v>
      </c>
      <c r="C1835" s="1" t="n">
        <v>45710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45710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45710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6700-2025</t>
        </is>
      </c>
      <c r="B1838" s="1" t="n">
        <v>45700</v>
      </c>
      <c r="C1838" s="1" t="n">
        <v>45710</v>
      </c>
      <c r="D1838" t="inlineStr">
        <is>
          <t>VÄSTERBOTTENS LÄN</t>
        </is>
      </c>
      <c r="E1838" t="inlineStr">
        <is>
          <t>LYCKSELE</t>
        </is>
      </c>
      <c r="G1838" t="n">
        <v>18.1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45710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45710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45710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45710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45710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45710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45710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45710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8313-2025</t>
        </is>
      </c>
      <c r="B1847" s="1" t="n">
        <v>45708</v>
      </c>
      <c r="C1847" s="1" t="n">
        <v>45710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8278-2025</t>
        </is>
      </c>
      <c r="B1848" s="1" t="n">
        <v>45708</v>
      </c>
      <c r="C1848" s="1" t="n">
        <v>45710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8599-2025</t>
        </is>
      </c>
      <c r="B1849" s="1" t="n">
        <v>45709</v>
      </c>
      <c r="C1849" s="1" t="n">
        <v>45710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45710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>
      <c r="A1851" t="inlineStr">
        <is>
          <t>A 8600-2025</t>
        </is>
      </c>
      <c r="B1851" s="1" t="n">
        <v>45709</v>
      </c>
      <c r="C1851" s="1" t="n">
        <v>45710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2025-02-22T16:17:42Z</dcterms:created>
  <dcterms:modified xmlns:dcterms="http://purl.org/dc/terms/" xmlns:xsi="http://www.w3.org/2001/XMLSchema-instance" xsi:type="dcterms:W3CDTF">2025-02-22T16:17:43Z</dcterms:modified>
</cp:coreProperties>
</file>