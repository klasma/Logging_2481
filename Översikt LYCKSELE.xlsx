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45361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45361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45361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45361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45361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45361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45361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45361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45361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45361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45361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45361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45361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45361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45361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45361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45361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45361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45361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45361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45361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45361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45361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45361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45361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45361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45361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45361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45361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45361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45361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45361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45361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45361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45361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45361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45361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45361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45361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45361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45361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45361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45361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45361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45361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45361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45361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45361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45361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45361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45361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45361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45361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45361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45361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45361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45361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45361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45361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45361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45361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45361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45361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45361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45361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45361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45361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45361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45361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45361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45361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45361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45361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45361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72131-2021</t>
        </is>
      </c>
      <c r="B76" s="1" t="n">
        <v>44543</v>
      </c>
      <c r="C76" s="1" t="n">
        <v>45361</v>
      </c>
      <c r="D76" t="inlineStr">
        <is>
          <t>VÄSTERBOTTENS LÄN</t>
        </is>
      </c>
      <c r="E76" t="inlineStr">
        <is>
          <t>LYCKSELE</t>
        </is>
      </c>
      <c r="G76" t="n">
        <v>19.1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HYPERLINK("https://klasma.github.io/Logging_2481/artfynd/A 72131-2021 artfynd.xlsx", "A 72131-2021")</f>
        <v/>
      </c>
      <c r="T76">
        <f>HYPERLINK("https://klasma.github.io/Logging_2481/kartor/A 72131-2021 karta.png", "A 72131-2021")</f>
        <v/>
      </c>
      <c r="V76">
        <f>HYPERLINK("https://klasma.github.io/Logging_2481/klagomål/A 72131-2021 FSC-klagomål.docx", "A 72131-2021")</f>
        <v/>
      </c>
      <c r="W76">
        <f>HYPERLINK("https://klasma.github.io/Logging_2481/klagomålsmail/A 72131-2021 FSC-klagomål mail.docx", "A 72131-2021")</f>
        <v/>
      </c>
      <c r="X76">
        <f>HYPERLINK("https://klasma.github.io/Logging_2481/tillsyn/A 72131-2021 tillsynsbegäran.docx", "A 72131-2021")</f>
        <v/>
      </c>
      <c r="Y76">
        <f>HYPERLINK("https://klasma.github.io/Logging_2481/tillsynsmail/A 72131-2021 tillsynsbegäran mail.docx", "A 72131-2021")</f>
        <v/>
      </c>
      <c r="Z76">
        <f>HYPERLINK("https://klasma.github.io/Logging_2481/fåglar/A 72131-2021 prioriterade fågelarter.docx", "A 72131-2021")</f>
        <v/>
      </c>
    </row>
    <row r="77" ht="15" customHeight="1">
      <c r="A77" t="inlineStr">
        <is>
          <t>A 3929-2022</t>
        </is>
      </c>
      <c r="B77" s="1" t="n">
        <v>44587</v>
      </c>
      <c r="C77" s="1" t="n">
        <v>45361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HYPERLINK("https://klasma.github.io/Logging_2481/artfynd/A 3929-2022 artfynd.xlsx", "A 3929-2022")</f>
        <v/>
      </c>
      <c r="T77">
        <f>HYPERLINK("https://klasma.github.io/Logging_2481/kartor/A 3929-2022 karta.png", "A 3929-2022")</f>
        <v/>
      </c>
      <c r="V77">
        <f>HYPERLINK("https://klasma.github.io/Logging_2481/klagomål/A 3929-2022 FSC-klagomål.docx", "A 3929-2022")</f>
        <v/>
      </c>
      <c r="W77">
        <f>HYPERLINK("https://klasma.github.io/Logging_2481/klagomålsmail/A 3929-2022 FSC-klagomål mail.docx", "A 3929-2022")</f>
        <v/>
      </c>
      <c r="X77">
        <f>HYPERLINK("https://klasma.github.io/Logging_2481/tillsyn/A 3929-2022 tillsynsbegäran.docx", "A 3929-2022")</f>
        <v/>
      </c>
      <c r="Y77">
        <f>HYPERLINK("https://klasma.github.io/Logging_2481/tillsynsmail/A 3929-2022 tillsynsbegäran mail.docx", "A 3929-2022")</f>
        <v/>
      </c>
    </row>
    <row r="78" ht="15" customHeight="1">
      <c r="A78" t="inlineStr">
        <is>
          <t>A 9073-2022</t>
        </is>
      </c>
      <c r="B78" s="1" t="n">
        <v>44615</v>
      </c>
      <c r="C78" s="1" t="n">
        <v>45361</v>
      </c>
      <c r="D78" t="inlineStr">
        <is>
          <t>VÄSTERBOTTENS LÄN</t>
        </is>
      </c>
      <c r="E78" t="inlineStr">
        <is>
          <t>LYCKSELE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HYPERLINK("https://klasma.github.io/Logging_2481/artfynd/A 9073-2022 artfynd.xlsx", "A 9073-2022")</f>
        <v/>
      </c>
      <c r="T78">
        <f>HYPERLINK("https://klasma.github.io/Logging_2481/kartor/A 9073-2022 karta.png", "A 9073-2022")</f>
        <v/>
      </c>
      <c r="V78">
        <f>HYPERLINK("https://klasma.github.io/Logging_2481/klagomål/A 9073-2022 FSC-klagomål.docx", "A 9073-2022")</f>
        <v/>
      </c>
      <c r="W78">
        <f>HYPERLINK("https://klasma.github.io/Logging_2481/klagomålsmail/A 9073-2022 FSC-klagomål mail.docx", "A 9073-2022")</f>
        <v/>
      </c>
      <c r="X78">
        <f>HYPERLINK("https://klasma.github.io/Logging_2481/tillsyn/A 9073-2022 tillsynsbegäran.docx", "A 9073-2022")</f>
        <v/>
      </c>
      <c r="Y78">
        <f>HYPERLINK("https://klasma.github.io/Logging_2481/tillsynsmail/A 9073-2022 tillsynsbegäran mail.docx", "A 9073-2022")</f>
        <v/>
      </c>
    </row>
    <row r="79" ht="15" customHeight="1">
      <c r="A79" t="inlineStr">
        <is>
          <t>A 23308-2022</t>
        </is>
      </c>
      <c r="B79" s="1" t="n">
        <v>44720</v>
      </c>
      <c r="C79" s="1" t="n">
        <v>45361</v>
      </c>
      <c r="D79" t="inlineStr">
        <is>
          <t>VÄSTERBOTTENS LÄN</t>
        </is>
      </c>
      <c r="E79" t="inlineStr">
        <is>
          <t>LYCKSELE</t>
        </is>
      </c>
      <c r="G79" t="n">
        <v>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23308-2022 artfynd.xlsx", "A 23308-2022")</f>
        <v/>
      </c>
      <c r="T79">
        <f>HYPERLINK("https://klasma.github.io/Logging_2481/kartor/A 23308-2022 karta.png", "A 23308-2022")</f>
        <v/>
      </c>
      <c r="V79">
        <f>HYPERLINK("https://klasma.github.io/Logging_2481/klagomål/A 23308-2022 FSC-klagomål.docx", "A 23308-2022")</f>
        <v/>
      </c>
      <c r="W79">
        <f>HYPERLINK("https://klasma.github.io/Logging_2481/klagomålsmail/A 23308-2022 FSC-klagomål mail.docx", "A 23308-2022")</f>
        <v/>
      </c>
      <c r="X79">
        <f>HYPERLINK("https://klasma.github.io/Logging_2481/tillsyn/A 23308-2022 tillsynsbegäran.docx", "A 23308-2022")</f>
        <v/>
      </c>
      <c r="Y79">
        <f>HYPERLINK("https://klasma.github.io/Logging_2481/tillsynsmail/A 23308-2022 tillsynsbegäran mail.docx", "A 23308-2022")</f>
        <v/>
      </c>
    </row>
    <row r="80" ht="15" customHeight="1">
      <c r="A80" t="inlineStr">
        <is>
          <t>A 32638-2022</t>
        </is>
      </c>
      <c r="B80" s="1" t="n">
        <v>44783</v>
      </c>
      <c r="C80" s="1" t="n">
        <v>45361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32638-2022 artfynd.xlsx", "A 32638-2022")</f>
        <v/>
      </c>
      <c r="T80">
        <f>HYPERLINK("https://klasma.github.io/Logging_2481/kartor/A 32638-2022 karta.png", "A 32638-2022")</f>
        <v/>
      </c>
      <c r="V80">
        <f>HYPERLINK("https://klasma.github.io/Logging_2481/klagomål/A 32638-2022 FSC-klagomål.docx", "A 32638-2022")</f>
        <v/>
      </c>
      <c r="W80">
        <f>HYPERLINK("https://klasma.github.io/Logging_2481/klagomålsmail/A 32638-2022 FSC-klagomål mail.docx", "A 32638-2022")</f>
        <v/>
      </c>
      <c r="X80">
        <f>HYPERLINK("https://klasma.github.io/Logging_2481/tillsyn/A 32638-2022 tillsynsbegäran.docx", "A 32638-2022")</f>
        <v/>
      </c>
      <c r="Y80">
        <f>HYPERLINK("https://klasma.github.io/Logging_2481/tillsynsmail/A 32638-2022 tillsynsbegäran mail.docx", "A 32638-2022")</f>
        <v/>
      </c>
    </row>
    <row r="81" ht="15" customHeight="1">
      <c r="A81" t="inlineStr">
        <is>
          <t>A 34810-2022</t>
        </is>
      </c>
      <c r="B81" s="1" t="n">
        <v>44795</v>
      </c>
      <c r="C81" s="1" t="n">
        <v>45361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34810-2022 artfynd.xlsx", "A 34810-2022")</f>
        <v/>
      </c>
      <c r="T81">
        <f>HYPERLINK("https://klasma.github.io/Logging_2481/kartor/A 34810-2022 karta.png", "A 34810-2022")</f>
        <v/>
      </c>
      <c r="V81">
        <f>HYPERLINK("https://klasma.github.io/Logging_2481/klagomål/A 34810-2022 FSC-klagomål.docx", "A 34810-2022")</f>
        <v/>
      </c>
      <c r="W81">
        <f>HYPERLINK("https://klasma.github.io/Logging_2481/klagomålsmail/A 34810-2022 FSC-klagomål mail.docx", "A 34810-2022")</f>
        <v/>
      </c>
      <c r="X81">
        <f>HYPERLINK("https://klasma.github.io/Logging_2481/tillsyn/A 34810-2022 tillsynsbegäran.docx", "A 34810-2022")</f>
        <v/>
      </c>
      <c r="Y81">
        <f>HYPERLINK("https://klasma.github.io/Logging_2481/tillsynsmail/A 34810-2022 tillsynsbegäran mail.docx", "A 34810-2022")</f>
        <v/>
      </c>
    </row>
    <row r="82" ht="15" customHeight="1">
      <c r="A82" t="inlineStr">
        <is>
          <t>A 34809-2022</t>
        </is>
      </c>
      <c r="B82" s="1" t="n">
        <v>44795</v>
      </c>
      <c r="C82" s="1" t="n">
        <v>45361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HYPERLINK("https://klasma.github.io/Logging_2481/artfynd/A 34809-2022 artfynd.xlsx", "A 34809-2022")</f>
        <v/>
      </c>
      <c r="T82">
        <f>HYPERLINK("https://klasma.github.io/Logging_2481/kartor/A 34809-2022 karta.png", "A 34809-2022")</f>
        <v/>
      </c>
      <c r="V82">
        <f>HYPERLINK("https://klasma.github.io/Logging_2481/klagomål/A 34809-2022 FSC-klagomål.docx", "A 34809-2022")</f>
        <v/>
      </c>
      <c r="W82">
        <f>HYPERLINK("https://klasma.github.io/Logging_2481/klagomålsmail/A 34809-2022 FSC-klagomål mail.docx", "A 34809-2022")</f>
        <v/>
      </c>
      <c r="X82">
        <f>HYPERLINK("https://klasma.github.io/Logging_2481/tillsyn/A 34809-2022 tillsynsbegäran.docx", "A 34809-2022")</f>
        <v/>
      </c>
      <c r="Y82">
        <f>HYPERLINK("https://klasma.github.io/Logging_2481/tillsynsmail/A 34809-2022 tillsynsbegäran mail.docx", "A 34809-2022")</f>
        <v/>
      </c>
    </row>
    <row r="83" ht="15" customHeight="1">
      <c r="A83" t="inlineStr">
        <is>
          <t>A 40133-2022</t>
        </is>
      </c>
      <c r="B83" s="1" t="n">
        <v>44820</v>
      </c>
      <c r="C83" s="1" t="n">
        <v>45361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Gräddporing</t>
        </is>
      </c>
      <c r="S83">
        <f>HYPERLINK("https://klasma.github.io/Logging_2481/artfynd/A 40133-2022 artfynd.xlsx", "A 40133-2022")</f>
        <v/>
      </c>
      <c r="T83">
        <f>HYPERLINK("https://klasma.github.io/Logging_2481/kartor/A 40133-2022 karta.png", "A 40133-2022")</f>
        <v/>
      </c>
      <c r="V83">
        <f>HYPERLINK("https://klasma.github.io/Logging_2481/klagomål/A 40133-2022 FSC-klagomål.docx", "A 40133-2022")</f>
        <v/>
      </c>
      <c r="W83">
        <f>HYPERLINK("https://klasma.github.io/Logging_2481/klagomålsmail/A 40133-2022 FSC-klagomål mail.docx", "A 40133-2022")</f>
        <v/>
      </c>
      <c r="X83">
        <f>HYPERLINK("https://klasma.github.io/Logging_2481/tillsyn/A 40133-2022 tillsynsbegäran.docx", "A 40133-2022")</f>
        <v/>
      </c>
      <c r="Y83">
        <f>HYPERLINK("https://klasma.github.io/Logging_2481/tillsynsmail/A 40133-2022 tillsynsbegäran mail.docx", "A 40133-2022")</f>
        <v/>
      </c>
    </row>
    <row r="84" ht="15" customHeight="1">
      <c r="A84" t="inlineStr">
        <is>
          <t>A 43418-2022</t>
        </is>
      </c>
      <c r="B84" s="1" t="n">
        <v>44834</v>
      </c>
      <c r="C84" s="1" t="n">
        <v>45361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43418-2022 artfynd.xlsx", "A 43418-2022")</f>
        <v/>
      </c>
      <c r="T84">
        <f>HYPERLINK("https://klasma.github.io/Logging_2481/kartor/A 43418-2022 karta.png", "A 43418-2022")</f>
        <v/>
      </c>
      <c r="V84">
        <f>HYPERLINK("https://klasma.github.io/Logging_2481/klagomål/A 43418-2022 FSC-klagomål.docx", "A 43418-2022")</f>
        <v/>
      </c>
      <c r="W84">
        <f>HYPERLINK("https://klasma.github.io/Logging_2481/klagomålsmail/A 43418-2022 FSC-klagomål mail.docx", "A 43418-2022")</f>
        <v/>
      </c>
      <c r="X84">
        <f>HYPERLINK("https://klasma.github.io/Logging_2481/tillsyn/A 43418-2022 tillsynsbegäran.docx", "A 43418-2022")</f>
        <v/>
      </c>
      <c r="Y84">
        <f>HYPERLINK("https://klasma.github.io/Logging_2481/tillsynsmail/A 43418-2022 tillsynsbegäran mail.docx", "A 43418-2022")</f>
        <v/>
      </c>
    </row>
    <row r="85" ht="15" customHeight="1">
      <c r="A85" t="inlineStr">
        <is>
          <t>A 51554-2022</t>
        </is>
      </c>
      <c r="B85" s="1" t="n">
        <v>44869</v>
      </c>
      <c r="C85" s="1" t="n">
        <v>45361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HYPERLINK("https://klasma.github.io/Logging_2481/artfynd/A 51554-2022 artfynd.xlsx", "A 51554-2022")</f>
        <v/>
      </c>
      <c r="T85">
        <f>HYPERLINK("https://klasma.github.io/Logging_2481/kartor/A 51554-2022 karta.png", "A 51554-2022")</f>
        <v/>
      </c>
      <c r="V85">
        <f>HYPERLINK("https://klasma.github.io/Logging_2481/klagomål/A 51554-2022 FSC-klagomål.docx", "A 51554-2022")</f>
        <v/>
      </c>
      <c r="W85">
        <f>HYPERLINK("https://klasma.github.io/Logging_2481/klagomålsmail/A 51554-2022 FSC-klagomål mail.docx", "A 51554-2022")</f>
        <v/>
      </c>
      <c r="X85">
        <f>HYPERLINK("https://klasma.github.io/Logging_2481/tillsyn/A 51554-2022 tillsynsbegäran.docx", "A 51554-2022")</f>
        <v/>
      </c>
      <c r="Y85">
        <f>HYPERLINK("https://klasma.github.io/Logging_2481/tillsynsmail/A 51554-2022 tillsynsbegäran mail.docx", "A 51554-2022")</f>
        <v/>
      </c>
      <c r="Z85">
        <f>HYPERLINK("https://klasma.github.io/Logging_2481/fåglar/A 51554-2022 prioriterade fågelarter.docx", "A 51554-2022")</f>
        <v/>
      </c>
    </row>
    <row r="86" ht="15" customHeight="1">
      <c r="A86" t="inlineStr">
        <is>
          <t>A 57618-2022</t>
        </is>
      </c>
      <c r="B86" s="1" t="n">
        <v>44897</v>
      </c>
      <c r="C86" s="1" t="n">
        <v>45361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HYPERLINK("https://klasma.github.io/Logging_2481/artfynd/A 57618-2022 artfynd.xlsx", "A 57618-2022")</f>
        <v/>
      </c>
      <c r="T86">
        <f>HYPERLINK("https://klasma.github.io/Logging_2481/kartor/A 57618-2022 karta.png", "A 57618-2022")</f>
        <v/>
      </c>
      <c r="V86">
        <f>HYPERLINK("https://klasma.github.io/Logging_2481/klagomål/A 57618-2022 FSC-klagomål.docx", "A 57618-2022")</f>
        <v/>
      </c>
      <c r="W86">
        <f>HYPERLINK("https://klasma.github.io/Logging_2481/klagomålsmail/A 57618-2022 FSC-klagomål mail.docx", "A 57618-2022")</f>
        <v/>
      </c>
      <c r="X86">
        <f>HYPERLINK("https://klasma.github.io/Logging_2481/tillsyn/A 57618-2022 tillsynsbegäran.docx", "A 57618-2022")</f>
        <v/>
      </c>
      <c r="Y86">
        <f>HYPERLINK("https://klasma.github.io/Logging_2481/tillsynsmail/A 57618-2022 tillsynsbegäran mail.docx", "A 57618-2022")</f>
        <v/>
      </c>
    </row>
    <row r="87" ht="15" customHeight="1">
      <c r="A87" t="inlineStr">
        <is>
          <t>A 11552-2023</t>
        </is>
      </c>
      <c r="B87" s="1" t="n">
        <v>44993</v>
      </c>
      <c r="C87" s="1" t="n">
        <v>45361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HYPERLINK("https://klasma.github.io/Logging_2481/artfynd/A 11552-2023 artfynd.xlsx", "A 11552-2023")</f>
        <v/>
      </c>
      <c r="T87">
        <f>HYPERLINK("https://klasma.github.io/Logging_2481/kartor/A 11552-2023 karta.png", "A 11552-2023")</f>
        <v/>
      </c>
      <c r="V87">
        <f>HYPERLINK("https://klasma.github.io/Logging_2481/klagomål/A 11552-2023 FSC-klagomål.docx", "A 11552-2023")</f>
        <v/>
      </c>
      <c r="W87">
        <f>HYPERLINK("https://klasma.github.io/Logging_2481/klagomålsmail/A 11552-2023 FSC-klagomål mail.docx", "A 11552-2023")</f>
        <v/>
      </c>
      <c r="X87">
        <f>HYPERLINK("https://klasma.github.io/Logging_2481/tillsyn/A 11552-2023 tillsynsbegäran.docx", "A 11552-2023")</f>
        <v/>
      </c>
      <c r="Y87">
        <f>HYPERLINK("https://klasma.github.io/Logging_2481/tillsynsmail/A 11552-2023 tillsynsbegäran mail.docx", "A 11552-2023")</f>
        <v/>
      </c>
      <c r="Z87">
        <f>HYPERLINK("https://klasma.github.io/Logging_2481/fåglar/A 11552-2023 prioriterade fågelarter.docx", "A 11552-2023")</f>
        <v/>
      </c>
    </row>
    <row r="88" ht="15" customHeight="1">
      <c r="A88" t="inlineStr">
        <is>
          <t>A 20940-2023</t>
        </is>
      </c>
      <c r="B88" s="1" t="n">
        <v>45061</v>
      </c>
      <c r="C88" s="1" t="n">
        <v>45361</v>
      </c>
      <c r="D88" t="inlineStr">
        <is>
          <t>VÄSTERBOTTENS LÄN</t>
        </is>
      </c>
      <c r="E88" t="inlineStr">
        <is>
          <t>LYCKSELE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HYPERLINK("https://klasma.github.io/Logging_2481/artfynd/A 20940-2023 artfynd.xlsx", "A 20940-2023")</f>
        <v/>
      </c>
      <c r="T88">
        <f>HYPERLINK("https://klasma.github.io/Logging_2481/kartor/A 20940-2023 karta.png", "A 20940-2023")</f>
        <v/>
      </c>
      <c r="V88">
        <f>HYPERLINK("https://klasma.github.io/Logging_2481/klagomål/A 20940-2023 FSC-klagomål.docx", "A 20940-2023")</f>
        <v/>
      </c>
      <c r="W88">
        <f>HYPERLINK("https://klasma.github.io/Logging_2481/klagomålsmail/A 20940-2023 FSC-klagomål mail.docx", "A 20940-2023")</f>
        <v/>
      </c>
      <c r="X88">
        <f>HYPERLINK("https://klasma.github.io/Logging_2481/tillsyn/A 20940-2023 tillsynsbegäran.docx", "A 20940-2023")</f>
        <v/>
      </c>
      <c r="Y88">
        <f>HYPERLINK("https://klasma.github.io/Logging_2481/tillsynsmail/A 20940-2023 tillsynsbegäran mail.docx", "A 20940-2023")</f>
        <v/>
      </c>
    </row>
    <row r="89" ht="15" customHeight="1">
      <c r="A89" t="inlineStr">
        <is>
          <t>A 27447-2023</t>
        </is>
      </c>
      <c r="B89" s="1" t="n">
        <v>45097</v>
      </c>
      <c r="C89" s="1" t="n">
        <v>45361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Gräddticka</t>
        </is>
      </c>
      <c r="S89">
        <f>HYPERLINK("https://klasma.github.io/Logging_2481/artfynd/A 27447-2023 artfynd.xlsx", "A 27447-2023")</f>
        <v/>
      </c>
      <c r="T89">
        <f>HYPERLINK("https://klasma.github.io/Logging_2481/kartor/A 27447-2023 karta.png", "A 27447-2023")</f>
        <v/>
      </c>
      <c r="V89">
        <f>HYPERLINK("https://klasma.github.io/Logging_2481/klagomål/A 27447-2023 FSC-klagomål.docx", "A 27447-2023")</f>
        <v/>
      </c>
      <c r="W89">
        <f>HYPERLINK("https://klasma.github.io/Logging_2481/klagomålsmail/A 27447-2023 FSC-klagomål mail.docx", "A 27447-2023")</f>
        <v/>
      </c>
      <c r="X89">
        <f>HYPERLINK("https://klasma.github.io/Logging_2481/tillsyn/A 27447-2023 tillsynsbegäran.docx", "A 27447-2023")</f>
        <v/>
      </c>
      <c r="Y89">
        <f>HYPERLINK("https://klasma.github.io/Logging_2481/tillsynsmail/A 27447-2023 tillsynsbegäran mail.docx", "A 27447-2023")</f>
        <v/>
      </c>
    </row>
    <row r="90" ht="15" customHeight="1">
      <c r="A90" t="inlineStr">
        <is>
          <t>A 29561-2023</t>
        </is>
      </c>
      <c r="B90" s="1" t="n">
        <v>45106</v>
      </c>
      <c r="C90" s="1" t="n">
        <v>45361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29561-2023 artfynd.xlsx", "A 29561-2023")</f>
        <v/>
      </c>
      <c r="T90">
        <f>HYPERLINK("https://klasma.github.io/Logging_2481/kartor/A 29561-2023 karta.png", "A 29561-2023")</f>
        <v/>
      </c>
      <c r="V90">
        <f>HYPERLINK("https://klasma.github.io/Logging_2481/klagomål/A 29561-2023 FSC-klagomål.docx", "A 29561-2023")</f>
        <v/>
      </c>
      <c r="W90">
        <f>HYPERLINK("https://klasma.github.io/Logging_2481/klagomålsmail/A 29561-2023 FSC-klagomål mail.docx", "A 29561-2023")</f>
        <v/>
      </c>
      <c r="X90">
        <f>HYPERLINK("https://klasma.github.io/Logging_2481/tillsyn/A 29561-2023 tillsynsbegäran.docx", "A 29561-2023")</f>
        <v/>
      </c>
      <c r="Y90">
        <f>HYPERLINK("https://klasma.github.io/Logging_2481/tillsynsmail/A 29561-2023 tillsynsbegäran mail.docx", "A 29561-2023")</f>
        <v/>
      </c>
    </row>
    <row r="91" ht="15" customHeight="1">
      <c r="A91" t="inlineStr">
        <is>
          <t>A 32661-2023</t>
        </is>
      </c>
      <c r="B91" s="1" t="n">
        <v>45121</v>
      </c>
      <c r="C91" s="1" t="n">
        <v>45361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32661-2023 artfynd.xlsx", "A 32661-2023")</f>
        <v/>
      </c>
      <c r="T91">
        <f>HYPERLINK("https://klasma.github.io/Logging_2481/kartor/A 32661-2023 karta.png", "A 32661-2023")</f>
        <v/>
      </c>
      <c r="V91">
        <f>HYPERLINK("https://klasma.github.io/Logging_2481/klagomål/A 32661-2023 FSC-klagomål.docx", "A 32661-2023")</f>
        <v/>
      </c>
      <c r="W91">
        <f>HYPERLINK("https://klasma.github.io/Logging_2481/klagomålsmail/A 32661-2023 FSC-klagomål mail.docx", "A 32661-2023")</f>
        <v/>
      </c>
      <c r="X91">
        <f>HYPERLINK("https://klasma.github.io/Logging_2481/tillsyn/A 32661-2023 tillsynsbegäran.docx", "A 32661-2023")</f>
        <v/>
      </c>
      <c r="Y91">
        <f>HYPERLINK("https://klasma.github.io/Logging_2481/tillsynsmail/A 32661-2023 tillsynsbegäran mail.docx", "A 32661-2023")</f>
        <v/>
      </c>
    </row>
    <row r="92" ht="15" customHeight="1">
      <c r="A92" t="inlineStr">
        <is>
          <t>A 34781-2023</t>
        </is>
      </c>
      <c r="B92" s="1" t="n">
        <v>45141</v>
      </c>
      <c r="C92" s="1" t="n">
        <v>45361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34781-2023 artfynd.xlsx", "A 34781-2023")</f>
        <v/>
      </c>
      <c r="T92">
        <f>HYPERLINK("https://klasma.github.io/Logging_2481/kartor/A 34781-2023 karta.png", "A 34781-2023")</f>
        <v/>
      </c>
      <c r="V92">
        <f>HYPERLINK("https://klasma.github.io/Logging_2481/klagomål/A 34781-2023 FSC-klagomål.docx", "A 34781-2023")</f>
        <v/>
      </c>
      <c r="W92">
        <f>HYPERLINK("https://klasma.github.io/Logging_2481/klagomålsmail/A 34781-2023 FSC-klagomål mail.docx", "A 34781-2023")</f>
        <v/>
      </c>
      <c r="X92">
        <f>HYPERLINK("https://klasma.github.io/Logging_2481/tillsyn/A 34781-2023 tillsynsbegäran.docx", "A 34781-2023")</f>
        <v/>
      </c>
      <c r="Y92">
        <f>HYPERLINK("https://klasma.github.io/Logging_2481/tillsynsmail/A 34781-2023 tillsynsbegäran mail.docx", "A 34781-2023")</f>
        <v/>
      </c>
    </row>
    <row r="93" ht="15" customHeight="1">
      <c r="A93" t="inlineStr">
        <is>
          <t>A 34871-2023</t>
        </is>
      </c>
      <c r="B93" s="1" t="n">
        <v>45142</v>
      </c>
      <c r="C93" s="1" t="n">
        <v>45361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HYPERLINK("https://klasma.github.io/Logging_2481/artfynd/A 34871-2023 artfynd.xlsx", "A 34871-2023")</f>
        <v/>
      </c>
      <c r="T93">
        <f>HYPERLINK("https://klasma.github.io/Logging_2481/kartor/A 34871-2023 karta.png", "A 34871-2023")</f>
        <v/>
      </c>
      <c r="V93">
        <f>HYPERLINK("https://klasma.github.io/Logging_2481/klagomål/A 34871-2023 FSC-klagomål.docx", "A 34871-2023")</f>
        <v/>
      </c>
      <c r="W93">
        <f>HYPERLINK("https://klasma.github.io/Logging_2481/klagomålsmail/A 34871-2023 FSC-klagomål mail.docx", "A 34871-2023")</f>
        <v/>
      </c>
      <c r="X93">
        <f>HYPERLINK("https://klasma.github.io/Logging_2481/tillsyn/A 34871-2023 tillsynsbegäran.docx", "A 34871-2023")</f>
        <v/>
      </c>
      <c r="Y93">
        <f>HYPERLINK("https://klasma.github.io/Logging_2481/tillsynsmail/A 34871-2023 tillsynsbegäran mail.docx", "A 34871-2023")</f>
        <v/>
      </c>
    </row>
    <row r="94" ht="15" customHeight="1">
      <c r="A94" t="inlineStr">
        <is>
          <t>A 37612-2023</t>
        </is>
      </c>
      <c r="B94" s="1" t="n">
        <v>45159</v>
      </c>
      <c r="C94" s="1" t="n">
        <v>45361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37612-2023 artfynd.xlsx", "A 37612-2023")</f>
        <v/>
      </c>
      <c r="T94">
        <f>HYPERLINK("https://klasma.github.io/Logging_2481/kartor/A 37612-2023 karta.png", "A 37612-2023")</f>
        <v/>
      </c>
      <c r="V94">
        <f>HYPERLINK("https://klasma.github.io/Logging_2481/klagomål/A 37612-2023 FSC-klagomål.docx", "A 37612-2023")</f>
        <v/>
      </c>
      <c r="W94">
        <f>HYPERLINK("https://klasma.github.io/Logging_2481/klagomålsmail/A 37612-2023 FSC-klagomål mail.docx", "A 37612-2023")</f>
        <v/>
      </c>
      <c r="X94">
        <f>HYPERLINK("https://klasma.github.io/Logging_2481/tillsyn/A 37612-2023 tillsynsbegäran.docx", "A 37612-2023")</f>
        <v/>
      </c>
      <c r="Y94">
        <f>HYPERLINK("https://klasma.github.io/Logging_2481/tillsynsmail/A 37612-2023 tillsynsbegäran mail.docx", "A 37612-2023")</f>
        <v/>
      </c>
    </row>
    <row r="95" ht="15" customHeight="1">
      <c r="A95" t="inlineStr">
        <is>
          <t>A 38507-2023</t>
        </is>
      </c>
      <c r="B95" s="1" t="n">
        <v>45162</v>
      </c>
      <c r="C95" s="1" t="n">
        <v>45361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HYPERLINK("https://klasma.github.io/Logging_2481/artfynd/A 38507-2023 artfynd.xlsx", "A 38507-2023")</f>
        <v/>
      </c>
      <c r="T95">
        <f>HYPERLINK("https://klasma.github.io/Logging_2481/kartor/A 38507-2023 karta.png", "A 38507-2023")</f>
        <v/>
      </c>
      <c r="V95">
        <f>HYPERLINK("https://klasma.github.io/Logging_2481/klagomål/A 38507-2023 FSC-klagomål.docx", "A 38507-2023")</f>
        <v/>
      </c>
      <c r="W95">
        <f>HYPERLINK("https://klasma.github.io/Logging_2481/klagomålsmail/A 38507-2023 FSC-klagomål mail.docx", "A 38507-2023")</f>
        <v/>
      </c>
      <c r="X95">
        <f>HYPERLINK("https://klasma.github.io/Logging_2481/tillsyn/A 38507-2023 tillsynsbegäran.docx", "A 38507-2023")</f>
        <v/>
      </c>
      <c r="Y95">
        <f>HYPERLINK("https://klasma.github.io/Logging_2481/tillsynsmail/A 38507-2023 tillsynsbegäran mail.docx", "A 38507-2023")</f>
        <v/>
      </c>
    </row>
    <row r="96" ht="15" customHeight="1">
      <c r="A96" t="inlineStr">
        <is>
          <t>A 40526-2023</t>
        </is>
      </c>
      <c r="B96" s="1" t="n">
        <v>45170</v>
      </c>
      <c r="C96" s="1" t="n">
        <v>45361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40526-2023 artfynd.xlsx", "A 40526-2023")</f>
        <v/>
      </c>
      <c r="T96">
        <f>HYPERLINK("https://klasma.github.io/Logging_2481/kartor/A 40526-2023 karta.png", "A 40526-2023")</f>
        <v/>
      </c>
      <c r="V96">
        <f>HYPERLINK("https://klasma.github.io/Logging_2481/klagomål/A 40526-2023 FSC-klagomål.docx", "A 40526-2023")</f>
        <v/>
      </c>
      <c r="W96">
        <f>HYPERLINK("https://klasma.github.io/Logging_2481/klagomålsmail/A 40526-2023 FSC-klagomål mail.docx", "A 40526-2023")</f>
        <v/>
      </c>
      <c r="X96">
        <f>HYPERLINK("https://klasma.github.io/Logging_2481/tillsyn/A 40526-2023 tillsynsbegäran.docx", "A 40526-2023")</f>
        <v/>
      </c>
      <c r="Y96">
        <f>HYPERLINK("https://klasma.github.io/Logging_2481/tillsynsmail/A 40526-2023 tillsynsbegäran mail.docx", "A 40526-2023")</f>
        <v/>
      </c>
    </row>
    <row r="97" ht="15" customHeight="1">
      <c r="A97" t="inlineStr">
        <is>
          <t>A 41432-2023</t>
        </is>
      </c>
      <c r="B97" s="1" t="n">
        <v>45175</v>
      </c>
      <c r="C97" s="1" t="n">
        <v>45361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41432-2023 artfynd.xlsx", "A 41432-2023")</f>
        <v/>
      </c>
      <c r="T97">
        <f>HYPERLINK("https://klasma.github.io/Logging_2481/kartor/A 41432-2023 karta.png", "A 41432-2023")</f>
        <v/>
      </c>
      <c r="V97">
        <f>HYPERLINK("https://klasma.github.io/Logging_2481/klagomål/A 41432-2023 FSC-klagomål.docx", "A 41432-2023")</f>
        <v/>
      </c>
      <c r="W97">
        <f>HYPERLINK("https://klasma.github.io/Logging_2481/klagomålsmail/A 41432-2023 FSC-klagomål mail.docx", "A 41432-2023")</f>
        <v/>
      </c>
      <c r="X97">
        <f>HYPERLINK("https://klasma.github.io/Logging_2481/tillsyn/A 41432-2023 tillsynsbegäran.docx", "A 41432-2023")</f>
        <v/>
      </c>
      <c r="Y97">
        <f>HYPERLINK("https://klasma.github.io/Logging_2481/tillsynsmail/A 41432-2023 tillsynsbegäran mail.docx", "A 41432-2023")</f>
        <v/>
      </c>
    </row>
    <row r="98" ht="15" customHeight="1">
      <c r="A98" t="inlineStr">
        <is>
          <t>A 43619-2023</t>
        </is>
      </c>
      <c r="B98" s="1" t="n">
        <v>45184</v>
      </c>
      <c r="C98" s="1" t="n">
        <v>45361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43619-2023 artfynd.xlsx", "A 43619-2023")</f>
        <v/>
      </c>
      <c r="T98">
        <f>HYPERLINK("https://klasma.github.io/Logging_2481/kartor/A 43619-2023 karta.png", "A 43619-2023")</f>
        <v/>
      </c>
      <c r="V98">
        <f>HYPERLINK("https://klasma.github.io/Logging_2481/klagomål/A 43619-2023 FSC-klagomål.docx", "A 43619-2023")</f>
        <v/>
      </c>
      <c r="W98">
        <f>HYPERLINK("https://klasma.github.io/Logging_2481/klagomålsmail/A 43619-2023 FSC-klagomål mail.docx", "A 43619-2023")</f>
        <v/>
      </c>
      <c r="X98">
        <f>HYPERLINK("https://klasma.github.io/Logging_2481/tillsyn/A 43619-2023 tillsynsbegäran.docx", "A 43619-2023")</f>
        <v/>
      </c>
      <c r="Y98">
        <f>HYPERLINK("https://klasma.github.io/Logging_2481/tillsynsmail/A 43619-2023 tillsynsbegäran mail.docx", "A 43619-2023")</f>
        <v/>
      </c>
    </row>
    <row r="99" ht="15" customHeight="1">
      <c r="A99" t="inlineStr">
        <is>
          <t>A 43616-2023</t>
        </is>
      </c>
      <c r="B99" s="1" t="n">
        <v>45184</v>
      </c>
      <c r="C99" s="1" t="n">
        <v>45361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43616-2023 artfynd.xlsx", "A 43616-2023")</f>
        <v/>
      </c>
      <c r="T99">
        <f>HYPERLINK("https://klasma.github.io/Logging_2481/kartor/A 43616-2023 karta.png", "A 43616-2023")</f>
        <v/>
      </c>
      <c r="V99">
        <f>HYPERLINK("https://klasma.github.io/Logging_2481/klagomål/A 43616-2023 FSC-klagomål.docx", "A 43616-2023")</f>
        <v/>
      </c>
      <c r="W99">
        <f>HYPERLINK("https://klasma.github.io/Logging_2481/klagomålsmail/A 43616-2023 FSC-klagomål mail.docx", "A 43616-2023")</f>
        <v/>
      </c>
      <c r="X99">
        <f>HYPERLINK("https://klasma.github.io/Logging_2481/tillsyn/A 43616-2023 tillsynsbegäran.docx", "A 43616-2023")</f>
        <v/>
      </c>
      <c r="Y99">
        <f>HYPERLINK("https://klasma.github.io/Logging_2481/tillsynsmail/A 43616-2023 tillsynsbegäran mail.docx", "A 43616-2023")</f>
        <v/>
      </c>
    </row>
    <row r="100" ht="15" customHeight="1">
      <c r="A100" t="inlineStr">
        <is>
          <t>A 44194-2023</t>
        </is>
      </c>
      <c r="B100" s="1" t="n">
        <v>45188</v>
      </c>
      <c r="C100" s="1" t="n">
        <v>45361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44194-2023 artfynd.xlsx", "A 44194-2023")</f>
        <v/>
      </c>
      <c r="T100">
        <f>HYPERLINK("https://klasma.github.io/Logging_2481/kartor/A 44194-2023 karta.png", "A 44194-2023")</f>
        <v/>
      </c>
      <c r="V100">
        <f>HYPERLINK("https://klasma.github.io/Logging_2481/klagomål/A 44194-2023 FSC-klagomål.docx", "A 44194-2023")</f>
        <v/>
      </c>
      <c r="W100">
        <f>HYPERLINK("https://klasma.github.io/Logging_2481/klagomålsmail/A 44194-2023 FSC-klagomål mail.docx", "A 44194-2023")</f>
        <v/>
      </c>
      <c r="X100">
        <f>HYPERLINK("https://klasma.github.io/Logging_2481/tillsyn/A 44194-2023 tillsynsbegäran.docx", "A 44194-2023")</f>
        <v/>
      </c>
      <c r="Y100">
        <f>HYPERLINK("https://klasma.github.io/Logging_2481/tillsynsmail/A 44194-2023 tillsynsbegäran mail.docx", "A 44194-2023")</f>
        <v/>
      </c>
    </row>
    <row r="101" ht="15" customHeight="1">
      <c r="A101" t="inlineStr">
        <is>
          <t>A 46114-2023</t>
        </is>
      </c>
      <c r="B101" s="1" t="n">
        <v>45196</v>
      </c>
      <c r="C101" s="1" t="n">
        <v>45361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46114-2023 artfynd.xlsx", "A 46114-2023")</f>
        <v/>
      </c>
      <c r="T101">
        <f>HYPERLINK("https://klasma.github.io/Logging_2481/kartor/A 46114-2023 karta.png", "A 46114-2023")</f>
        <v/>
      </c>
      <c r="V101">
        <f>HYPERLINK("https://klasma.github.io/Logging_2481/klagomål/A 46114-2023 FSC-klagomål.docx", "A 46114-2023")</f>
        <v/>
      </c>
      <c r="W101">
        <f>HYPERLINK("https://klasma.github.io/Logging_2481/klagomålsmail/A 46114-2023 FSC-klagomål mail.docx", "A 46114-2023")</f>
        <v/>
      </c>
      <c r="X101">
        <f>HYPERLINK("https://klasma.github.io/Logging_2481/tillsyn/A 46114-2023 tillsynsbegäran.docx", "A 46114-2023")</f>
        <v/>
      </c>
      <c r="Y101">
        <f>HYPERLINK("https://klasma.github.io/Logging_2481/tillsynsmail/A 46114-2023 tillsynsbegäran mail.docx", "A 46114-2023")</f>
        <v/>
      </c>
    </row>
    <row r="102" ht="15" customHeight="1">
      <c r="A102" t="inlineStr">
        <is>
          <t>A 50813-2023</t>
        </is>
      </c>
      <c r="B102" s="1" t="n">
        <v>45217</v>
      </c>
      <c r="C102" s="1" t="n">
        <v>45361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50813-2023 artfynd.xlsx", "A 50813-2023")</f>
        <v/>
      </c>
      <c r="T102">
        <f>HYPERLINK("https://klasma.github.io/Logging_2481/kartor/A 50813-2023 karta.png", "A 50813-2023")</f>
        <v/>
      </c>
      <c r="V102">
        <f>HYPERLINK("https://klasma.github.io/Logging_2481/klagomål/A 50813-2023 FSC-klagomål.docx", "A 50813-2023")</f>
        <v/>
      </c>
      <c r="W102">
        <f>HYPERLINK("https://klasma.github.io/Logging_2481/klagomålsmail/A 50813-2023 FSC-klagomål mail.docx", "A 50813-2023")</f>
        <v/>
      </c>
      <c r="X102">
        <f>HYPERLINK("https://klasma.github.io/Logging_2481/tillsyn/A 50813-2023 tillsynsbegäran.docx", "A 50813-2023")</f>
        <v/>
      </c>
      <c r="Y102">
        <f>HYPERLINK("https://klasma.github.io/Logging_2481/tillsynsmail/A 50813-2023 tillsynsbegäran mail.docx", "A 50813-2023")</f>
        <v/>
      </c>
    </row>
    <row r="103" ht="15" customHeight="1">
      <c r="A103" t="inlineStr">
        <is>
          <t>A 50997-2023</t>
        </is>
      </c>
      <c r="B103" s="1" t="n">
        <v>45218</v>
      </c>
      <c r="C103" s="1" t="n">
        <v>45361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50997-2023 artfynd.xlsx", "A 50997-2023")</f>
        <v/>
      </c>
      <c r="T103">
        <f>HYPERLINK("https://klasma.github.io/Logging_2481/kartor/A 50997-2023 karta.png", "A 50997-2023")</f>
        <v/>
      </c>
      <c r="V103">
        <f>HYPERLINK("https://klasma.github.io/Logging_2481/klagomål/A 50997-2023 FSC-klagomål.docx", "A 50997-2023")</f>
        <v/>
      </c>
      <c r="W103">
        <f>HYPERLINK("https://klasma.github.io/Logging_2481/klagomålsmail/A 50997-2023 FSC-klagomål mail.docx", "A 50997-2023")</f>
        <v/>
      </c>
      <c r="X103">
        <f>HYPERLINK("https://klasma.github.io/Logging_2481/tillsyn/A 50997-2023 tillsynsbegäran.docx", "A 50997-2023")</f>
        <v/>
      </c>
      <c r="Y103">
        <f>HYPERLINK("https://klasma.github.io/Logging_2481/tillsynsmail/A 50997-2023 tillsynsbegäran mail.docx", "A 50997-2023")</f>
        <v/>
      </c>
    </row>
    <row r="104" ht="15" customHeight="1">
      <c r="A104" t="inlineStr">
        <is>
          <t>A 52929-2023</t>
        </is>
      </c>
      <c r="B104" s="1" t="n">
        <v>45226</v>
      </c>
      <c r="C104" s="1" t="n">
        <v>45361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52929-2023 artfynd.xlsx", "A 52929-2023")</f>
        <v/>
      </c>
      <c r="T104">
        <f>HYPERLINK("https://klasma.github.io/Logging_2481/kartor/A 52929-2023 karta.png", "A 52929-2023")</f>
        <v/>
      </c>
      <c r="V104">
        <f>HYPERLINK("https://klasma.github.io/Logging_2481/klagomål/A 52929-2023 FSC-klagomål.docx", "A 52929-2023")</f>
        <v/>
      </c>
      <c r="W104">
        <f>HYPERLINK("https://klasma.github.io/Logging_2481/klagomålsmail/A 52929-2023 FSC-klagomål mail.docx", "A 52929-2023")</f>
        <v/>
      </c>
      <c r="X104">
        <f>HYPERLINK("https://klasma.github.io/Logging_2481/tillsyn/A 52929-2023 tillsynsbegäran.docx", "A 52929-2023")</f>
        <v/>
      </c>
      <c r="Y104">
        <f>HYPERLINK("https://klasma.github.io/Logging_2481/tillsynsmail/A 52929-2023 tillsynsbegäran mail.docx", "A 52929-2023")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45361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45361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45361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45361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45361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45361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45361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1936-2024</t>
        </is>
      </c>
      <c r="B112" s="1" t="n">
        <v>45308</v>
      </c>
      <c r="C112" s="1" t="n">
        <v>45361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1936-2024 artfynd.xlsx", "A 1936-2024")</f>
        <v/>
      </c>
      <c r="T112">
        <f>HYPERLINK("https://klasma.github.io/Logging_2481/kartor/A 1936-2024 karta.png", "A 1936-2024")</f>
        <v/>
      </c>
      <c r="V112">
        <f>HYPERLINK("https://klasma.github.io/Logging_2481/klagomål/A 1936-2024 FSC-klagomål.docx", "A 1936-2024")</f>
        <v/>
      </c>
      <c r="W112">
        <f>HYPERLINK("https://klasma.github.io/Logging_2481/klagomålsmail/A 1936-2024 FSC-klagomål mail.docx", "A 1936-2024")</f>
        <v/>
      </c>
      <c r="X112">
        <f>HYPERLINK("https://klasma.github.io/Logging_2481/tillsyn/A 1936-2024 tillsynsbegäran.docx", "A 1936-2024")</f>
        <v/>
      </c>
      <c r="Y112">
        <f>HYPERLINK("https://klasma.github.io/Logging_2481/tillsynsmail/A 1936-2024 tillsynsbegäran mail.docx", "A 1936-2024")</f>
        <v/>
      </c>
    </row>
    <row r="113" ht="15" customHeight="1">
      <c r="A113" t="inlineStr">
        <is>
          <t>A 1973-2024</t>
        </is>
      </c>
      <c r="B113" s="1" t="n">
        <v>45308</v>
      </c>
      <c r="C113" s="1" t="n">
        <v>45361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1973-2024 artfynd.xlsx", "A 1973-2024")</f>
        <v/>
      </c>
      <c r="T113">
        <f>HYPERLINK("https://klasma.github.io/Logging_2481/kartor/A 1973-2024 karta.png", "A 1973-2024")</f>
        <v/>
      </c>
      <c r="V113">
        <f>HYPERLINK("https://klasma.github.io/Logging_2481/klagomål/A 1973-2024 FSC-klagomål.docx", "A 1973-2024")</f>
        <v/>
      </c>
      <c r="W113">
        <f>HYPERLINK("https://klasma.github.io/Logging_2481/klagomålsmail/A 1973-2024 FSC-klagomål mail.docx", "A 1973-2024")</f>
        <v/>
      </c>
      <c r="X113">
        <f>HYPERLINK("https://klasma.github.io/Logging_2481/tillsyn/A 1973-2024 tillsynsbegäran.docx", "A 1973-2024")</f>
        <v/>
      </c>
      <c r="Y113">
        <f>HYPERLINK("https://klasma.github.io/Logging_2481/tillsynsmail/A 1973-2024 tillsynsbegäran mail.docx", "A 1973-2024")</f>
        <v/>
      </c>
    </row>
    <row r="114" ht="15" customHeight="1">
      <c r="A114" t="inlineStr">
        <is>
          <t>A 36544-2018</t>
        </is>
      </c>
      <c r="B114" s="1" t="n">
        <v>43328</v>
      </c>
      <c r="C114" s="1" t="n">
        <v>45361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37706-2018</t>
        </is>
      </c>
      <c r="B115" s="1" t="n">
        <v>43334</v>
      </c>
      <c r="C115" s="1" t="n">
        <v>45361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38681-2018</t>
        </is>
      </c>
      <c r="B116" s="1" t="n">
        <v>43335</v>
      </c>
      <c r="C116" s="1" t="n">
        <v>45361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38120-2018</t>
        </is>
      </c>
      <c r="B117" s="1" t="n">
        <v>43336</v>
      </c>
      <c r="C117" s="1" t="n">
        <v>45361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39514-2018</t>
        </is>
      </c>
      <c r="B118" s="1" t="n">
        <v>43340</v>
      </c>
      <c r="C118" s="1" t="n">
        <v>45361</v>
      </c>
      <c r="D118" t="inlineStr">
        <is>
          <t>VÄSTERBOTTENS LÄN</t>
        </is>
      </c>
      <c r="E118" t="inlineStr">
        <is>
          <t>LYCKSELE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40629-2018</t>
        </is>
      </c>
      <c r="B119" s="1" t="n">
        <v>43343</v>
      </c>
      <c r="C119" s="1" t="n">
        <v>45361</v>
      </c>
      <c r="D119" t="inlineStr">
        <is>
          <t>VÄSTERBOTTENS LÄN</t>
        </is>
      </c>
      <c r="E119" t="inlineStr">
        <is>
          <t>LYCKSELE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42519-2018</t>
        </is>
      </c>
      <c r="B120" s="1" t="n">
        <v>43349</v>
      </c>
      <c r="C120" s="1" t="n">
        <v>45361</v>
      </c>
      <c r="D120" t="inlineStr">
        <is>
          <t>VÄSTERBOTTENS LÄN</t>
        </is>
      </c>
      <c r="E120" t="inlineStr">
        <is>
          <t>LYCKSELE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42366-2018</t>
        </is>
      </c>
      <c r="B121" s="1" t="n">
        <v>43349</v>
      </c>
      <c r="C121" s="1" t="n">
        <v>45361</v>
      </c>
      <c r="D121" t="inlineStr">
        <is>
          <t>VÄSTERBOTTENS LÄN</t>
        </is>
      </c>
      <c r="E121" t="inlineStr">
        <is>
          <t>LYCKSELE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43421-2018</t>
        </is>
      </c>
      <c r="B122" s="1" t="n">
        <v>43356</v>
      </c>
      <c r="C122" s="1" t="n">
        <v>45361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43397-2018</t>
        </is>
      </c>
      <c r="B123" s="1" t="n">
        <v>43356</v>
      </c>
      <c r="C123" s="1" t="n">
        <v>45361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44351-2018</t>
        </is>
      </c>
      <c r="B124" s="1" t="n">
        <v>43360</v>
      </c>
      <c r="C124" s="1" t="n">
        <v>45361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47104-2018</t>
        </is>
      </c>
      <c r="B125" s="1" t="n">
        <v>43364</v>
      </c>
      <c r="C125" s="1" t="n">
        <v>45361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50276-2018</t>
        </is>
      </c>
      <c r="B126" s="1" t="n">
        <v>43378</v>
      </c>
      <c r="C126" s="1" t="n">
        <v>45361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52361-2018</t>
        </is>
      </c>
      <c r="B127" s="1" t="n">
        <v>43382</v>
      </c>
      <c r="C127" s="1" t="n">
        <v>45361</v>
      </c>
      <c r="D127" t="inlineStr">
        <is>
          <t>VÄSTERBOTTENS LÄN</t>
        </is>
      </c>
      <c r="E127" t="inlineStr">
        <is>
          <t>LYCKSELE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55700-2018</t>
        </is>
      </c>
      <c r="B128" s="1" t="n">
        <v>43395</v>
      </c>
      <c r="C128" s="1" t="n">
        <v>45361</v>
      </c>
      <c r="D128" t="inlineStr">
        <is>
          <t>VÄSTERBOTTENS LÄN</t>
        </is>
      </c>
      <c r="E128" t="inlineStr">
        <is>
          <t>LYCKSELE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58386-2018</t>
        </is>
      </c>
      <c r="B129" s="1" t="n">
        <v>43398</v>
      </c>
      <c r="C129" s="1" t="n">
        <v>45361</v>
      </c>
      <c r="D129" t="inlineStr">
        <is>
          <t>VÄSTERBOTTENS LÄN</t>
        </is>
      </c>
      <c r="E129" t="inlineStr">
        <is>
          <t>LYCKSELE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59266-2018</t>
        </is>
      </c>
      <c r="B130" s="1" t="n">
        <v>43402</v>
      </c>
      <c r="C130" s="1" t="n">
        <v>45361</v>
      </c>
      <c r="D130" t="inlineStr">
        <is>
          <t>VÄSTERBOTTENS LÄN</t>
        </is>
      </c>
      <c r="E130" t="inlineStr">
        <is>
          <t>LYCKSELE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59267-2018</t>
        </is>
      </c>
      <c r="B131" s="1" t="n">
        <v>43402</v>
      </c>
      <c r="C131" s="1" t="n">
        <v>45361</v>
      </c>
      <c r="D131" t="inlineStr">
        <is>
          <t>VÄSTERBOTTENS LÄN</t>
        </is>
      </c>
      <c r="E131" t="inlineStr">
        <is>
          <t>LYCKSELE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56731-2018</t>
        </is>
      </c>
      <c r="B132" s="1" t="n">
        <v>43402</v>
      </c>
      <c r="C132" s="1" t="n">
        <v>45361</v>
      </c>
      <c r="D132" t="inlineStr">
        <is>
          <t>VÄSTERBOTTENS LÄN</t>
        </is>
      </c>
      <c r="E132" t="inlineStr">
        <is>
          <t>LYCKSELE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59193-2018</t>
        </is>
      </c>
      <c r="B133" s="1" t="n">
        <v>43403</v>
      </c>
      <c r="C133" s="1" t="n">
        <v>45361</v>
      </c>
      <c r="D133" t="inlineStr">
        <is>
          <t>VÄSTERBOTTENS LÄN</t>
        </is>
      </c>
      <c r="E133" t="inlineStr">
        <is>
          <t>LYCKSELE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58564-2018</t>
        </is>
      </c>
      <c r="B134" s="1" t="n">
        <v>43409</v>
      </c>
      <c r="C134" s="1" t="n">
        <v>45361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60840-2018</t>
        </is>
      </c>
      <c r="B135" s="1" t="n">
        <v>43410</v>
      </c>
      <c r="C135" s="1" t="n">
        <v>45361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61145-2018</t>
        </is>
      </c>
      <c r="B136" s="1" t="n">
        <v>43411</v>
      </c>
      <c r="C136" s="1" t="n">
        <v>45361</v>
      </c>
      <c r="D136" t="inlineStr">
        <is>
          <t>VÄSTERBOTTENS LÄN</t>
        </is>
      </c>
      <c r="E136" t="inlineStr">
        <is>
          <t>LYCKSELE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62711-2018</t>
        </is>
      </c>
      <c r="B137" s="1" t="n">
        <v>43413</v>
      </c>
      <c r="C137" s="1" t="n">
        <v>45361</v>
      </c>
      <c r="D137" t="inlineStr">
        <is>
          <t>VÄSTERBOTTENS LÄN</t>
        </is>
      </c>
      <c r="E137" t="inlineStr">
        <is>
          <t>LYCKSELE</t>
        </is>
      </c>
      <c r="G137" t="n">
        <v>19.3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65651-2018</t>
        </is>
      </c>
      <c r="B138" s="1" t="n">
        <v>43425</v>
      </c>
      <c r="C138" s="1" t="n">
        <v>45361</v>
      </c>
      <c r="D138" t="inlineStr">
        <is>
          <t>VÄSTERBOTTENS LÄN</t>
        </is>
      </c>
      <c r="E138" t="inlineStr">
        <is>
          <t>LYCKSELE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66322-2018</t>
        </is>
      </c>
      <c r="B139" s="1" t="n">
        <v>43427</v>
      </c>
      <c r="C139" s="1" t="n">
        <v>45361</v>
      </c>
      <c r="D139" t="inlineStr">
        <is>
          <t>VÄSTERBOTTENS LÄN</t>
        </is>
      </c>
      <c r="E139" t="inlineStr">
        <is>
          <t>LYCKSELE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66452-2018</t>
        </is>
      </c>
      <c r="B140" s="1" t="n">
        <v>43430</v>
      </c>
      <c r="C140" s="1" t="n">
        <v>45361</v>
      </c>
      <c r="D140" t="inlineStr">
        <is>
          <t>VÄSTERBOTTENS LÄN</t>
        </is>
      </c>
      <c r="E140" t="inlineStr">
        <is>
          <t>LYCKSELE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66417-2018</t>
        </is>
      </c>
      <c r="B141" s="1" t="n">
        <v>43430</v>
      </c>
      <c r="C141" s="1" t="n">
        <v>45361</v>
      </c>
      <c r="D141" t="inlineStr">
        <is>
          <t>VÄSTERBOTTENS LÄN</t>
        </is>
      </c>
      <c r="E141" t="inlineStr">
        <is>
          <t>LYCKSELE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66958-2018</t>
        </is>
      </c>
      <c r="B142" s="1" t="n">
        <v>43430</v>
      </c>
      <c r="C142" s="1" t="n">
        <v>45361</v>
      </c>
      <c r="D142" t="inlineStr">
        <is>
          <t>VÄSTERBOTTENS LÄN</t>
        </is>
      </c>
      <c r="E142" t="inlineStr">
        <is>
          <t>LYCKSELE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64759-2018</t>
        </is>
      </c>
      <c r="B143" s="1" t="n">
        <v>43431</v>
      </c>
      <c r="C143" s="1" t="n">
        <v>45361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65069-2018</t>
        </is>
      </c>
      <c r="B144" s="1" t="n">
        <v>43432</v>
      </c>
      <c r="C144" s="1" t="n">
        <v>45361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66447-2018</t>
        </is>
      </c>
      <c r="B145" s="1" t="n">
        <v>43437</v>
      </c>
      <c r="C145" s="1" t="n">
        <v>45361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68036-2018</t>
        </is>
      </c>
      <c r="B146" s="1" t="n">
        <v>43437</v>
      </c>
      <c r="C146" s="1" t="n">
        <v>45361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66610-2018</t>
        </is>
      </c>
      <c r="B147" s="1" t="n">
        <v>43437</v>
      </c>
      <c r="C147" s="1" t="n">
        <v>45361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66746-2018</t>
        </is>
      </c>
      <c r="B148" s="1" t="n">
        <v>43438</v>
      </c>
      <c r="C148" s="1" t="n">
        <v>45361</v>
      </c>
      <c r="D148" t="inlineStr">
        <is>
          <t>VÄSTERBOTTENS LÄN</t>
        </is>
      </c>
      <c r="E148" t="inlineStr">
        <is>
          <t>LYCKSELE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66905-2018</t>
        </is>
      </c>
      <c r="B149" s="1" t="n">
        <v>43438</v>
      </c>
      <c r="C149" s="1" t="n">
        <v>45361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67818-2018</t>
        </is>
      </c>
      <c r="B150" s="1" t="n">
        <v>43438</v>
      </c>
      <c r="C150" s="1" t="n">
        <v>45361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66843-2018</t>
        </is>
      </c>
      <c r="B151" s="1" t="n">
        <v>43438</v>
      </c>
      <c r="C151" s="1" t="n">
        <v>45361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68692-2018</t>
        </is>
      </c>
      <c r="B152" s="1" t="n">
        <v>43439</v>
      </c>
      <c r="C152" s="1" t="n">
        <v>45361</v>
      </c>
      <c r="D152" t="inlineStr">
        <is>
          <t>VÄSTERBOTTENS LÄN</t>
        </is>
      </c>
      <c r="E152" t="inlineStr">
        <is>
          <t>LYCKSELE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68702-2018</t>
        </is>
      </c>
      <c r="B153" s="1" t="n">
        <v>43439</v>
      </c>
      <c r="C153" s="1" t="n">
        <v>45361</v>
      </c>
      <c r="D153" t="inlineStr">
        <is>
          <t>VÄSTERBOTTENS LÄN</t>
        </is>
      </c>
      <c r="E153" t="inlineStr">
        <is>
          <t>LYCKSELE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68085-2018</t>
        </is>
      </c>
      <c r="B154" s="1" t="n">
        <v>43441</v>
      </c>
      <c r="C154" s="1" t="n">
        <v>45361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68965-2018</t>
        </is>
      </c>
      <c r="B155" s="1" t="n">
        <v>43441</v>
      </c>
      <c r="C155" s="1" t="n">
        <v>45361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69848-2018</t>
        </is>
      </c>
      <c r="B156" s="1" t="n">
        <v>43444</v>
      </c>
      <c r="C156" s="1" t="n">
        <v>45361</v>
      </c>
      <c r="D156" t="inlineStr">
        <is>
          <t>VÄSTERBOTTENS LÄN</t>
        </is>
      </c>
      <c r="E156" t="inlineStr">
        <is>
          <t>LYCKSELE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69902-2018</t>
        </is>
      </c>
      <c r="B157" s="1" t="n">
        <v>43444</v>
      </c>
      <c r="C157" s="1" t="n">
        <v>45361</v>
      </c>
      <c r="D157" t="inlineStr">
        <is>
          <t>VÄSTERBOTTENS LÄN</t>
        </is>
      </c>
      <c r="E157" t="inlineStr">
        <is>
          <t>LYCKSELE</t>
        </is>
      </c>
      <c r="G157" t="n">
        <v>21.1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70565-2018</t>
        </is>
      </c>
      <c r="B158" s="1" t="n">
        <v>43447</v>
      </c>
      <c r="C158" s="1" t="n">
        <v>45361</v>
      </c>
      <c r="D158" t="inlineStr">
        <is>
          <t>VÄSTERBOTTENS LÄN</t>
        </is>
      </c>
      <c r="E158" t="inlineStr">
        <is>
          <t>LYCKSELE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70491-2018</t>
        </is>
      </c>
      <c r="B159" s="1" t="n">
        <v>43447</v>
      </c>
      <c r="C159" s="1" t="n">
        <v>45361</v>
      </c>
      <c r="D159" t="inlineStr">
        <is>
          <t>VÄSTERBOTTENS LÄN</t>
        </is>
      </c>
      <c r="E159" t="inlineStr">
        <is>
          <t>LYCKSELE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70695-2018</t>
        </is>
      </c>
      <c r="B160" s="1" t="n">
        <v>43447</v>
      </c>
      <c r="C160" s="1" t="n">
        <v>45361</v>
      </c>
      <c r="D160" t="inlineStr">
        <is>
          <t>VÄSTERBOTTENS LÄN</t>
        </is>
      </c>
      <c r="E160" t="inlineStr">
        <is>
          <t>LYCKSELE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70484-2018</t>
        </is>
      </c>
      <c r="B161" s="1" t="n">
        <v>43447</v>
      </c>
      <c r="C161" s="1" t="n">
        <v>45361</v>
      </c>
      <c r="D161" t="inlineStr">
        <is>
          <t>VÄSTERBOTTENS LÄN</t>
        </is>
      </c>
      <c r="E161" t="inlineStr">
        <is>
          <t>LYCKSELE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360-2019</t>
        </is>
      </c>
      <c r="B162" s="1" t="n">
        <v>43454</v>
      </c>
      <c r="C162" s="1" t="n">
        <v>45361</v>
      </c>
      <c r="D162" t="inlineStr">
        <is>
          <t>VÄSTERBOTTENS LÄN</t>
        </is>
      </c>
      <c r="E162" t="inlineStr">
        <is>
          <t>LYCKSELE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361-2019</t>
        </is>
      </c>
      <c r="B163" s="1" t="n">
        <v>43454</v>
      </c>
      <c r="C163" s="1" t="n">
        <v>45361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924-2019</t>
        </is>
      </c>
      <c r="B164" s="1" t="n">
        <v>43461</v>
      </c>
      <c r="C164" s="1" t="n">
        <v>45361</v>
      </c>
      <c r="D164" t="inlineStr">
        <is>
          <t>VÄSTERBOTTENS LÄN</t>
        </is>
      </c>
      <c r="E164" t="inlineStr">
        <is>
          <t>LYCKSELE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379-2019</t>
        </is>
      </c>
      <c r="B165" s="1" t="n">
        <v>43468</v>
      </c>
      <c r="C165" s="1" t="n">
        <v>45361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696-2019</t>
        </is>
      </c>
      <c r="B166" s="1" t="n">
        <v>43469</v>
      </c>
      <c r="C166" s="1" t="n">
        <v>45361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900-2019</t>
        </is>
      </c>
      <c r="B167" s="1" t="n">
        <v>43472</v>
      </c>
      <c r="C167" s="1" t="n">
        <v>45361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1271-2019</t>
        </is>
      </c>
      <c r="B168" s="1" t="n">
        <v>43473</v>
      </c>
      <c r="C168" s="1" t="n">
        <v>45361</v>
      </c>
      <c r="D168" t="inlineStr">
        <is>
          <t>VÄSTERBOTTENS LÄN</t>
        </is>
      </c>
      <c r="E168" t="inlineStr">
        <is>
          <t>LYCKSELE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2009-2019</t>
        </is>
      </c>
      <c r="B169" s="1" t="n">
        <v>43475</v>
      </c>
      <c r="C169" s="1" t="n">
        <v>45361</v>
      </c>
      <c r="D169" t="inlineStr">
        <is>
          <t>VÄSTERBOTTENS LÄN</t>
        </is>
      </c>
      <c r="E169" t="inlineStr">
        <is>
          <t>LYCKSELE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3104-2019</t>
        </is>
      </c>
      <c r="B170" s="1" t="n">
        <v>43479</v>
      </c>
      <c r="C170" s="1" t="n">
        <v>45361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5220-2019</t>
        </is>
      </c>
      <c r="B171" s="1" t="n">
        <v>43480</v>
      </c>
      <c r="C171" s="1" t="n">
        <v>45361</v>
      </c>
      <c r="D171" t="inlineStr">
        <is>
          <t>VÄSTERBOTTENS LÄN</t>
        </is>
      </c>
      <c r="E171" t="inlineStr">
        <is>
          <t>LYCKSELE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5226-2019</t>
        </is>
      </c>
      <c r="B172" s="1" t="n">
        <v>43480</v>
      </c>
      <c r="C172" s="1" t="n">
        <v>45361</v>
      </c>
      <c r="D172" t="inlineStr">
        <is>
          <t>VÄSTERBOTTENS LÄN</t>
        </is>
      </c>
      <c r="E172" t="inlineStr">
        <is>
          <t>LYCKSELE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5323-2019</t>
        </is>
      </c>
      <c r="B173" s="1" t="n">
        <v>43481</v>
      </c>
      <c r="C173" s="1" t="n">
        <v>45361</v>
      </c>
      <c r="D173" t="inlineStr">
        <is>
          <t>VÄSTERBOTTENS LÄN</t>
        </is>
      </c>
      <c r="E173" t="inlineStr">
        <is>
          <t>LYCKSELE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4815-2019</t>
        </is>
      </c>
      <c r="B174" s="1" t="n">
        <v>43486</v>
      </c>
      <c r="C174" s="1" t="n">
        <v>45361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5324-2019</t>
        </is>
      </c>
      <c r="B175" s="1" t="n">
        <v>43488</v>
      </c>
      <c r="C175" s="1" t="n">
        <v>45361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5542-2019</t>
        </is>
      </c>
      <c r="B176" s="1" t="n">
        <v>43489</v>
      </c>
      <c r="C176" s="1" t="n">
        <v>45361</v>
      </c>
      <c r="D176" t="inlineStr">
        <is>
          <t>VÄSTERBOTTENS LÄN</t>
        </is>
      </c>
      <c r="E176" t="inlineStr">
        <is>
          <t>LYCKSELE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8159-2019</t>
        </is>
      </c>
      <c r="B177" s="1" t="n">
        <v>43495</v>
      </c>
      <c r="C177" s="1" t="n">
        <v>45361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8157-2019</t>
        </is>
      </c>
      <c r="B178" s="1" t="n">
        <v>43495</v>
      </c>
      <c r="C178" s="1" t="n">
        <v>45361</v>
      </c>
      <c r="D178" t="inlineStr">
        <is>
          <t>VÄSTERBOTTENS LÄN</t>
        </is>
      </c>
      <c r="E178" t="inlineStr">
        <is>
          <t>LYCKSELE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8163-2019</t>
        </is>
      </c>
      <c r="B179" s="1" t="n">
        <v>43495</v>
      </c>
      <c r="C179" s="1" t="n">
        <v>45361</v>
      </c>
      <c r="D179" t="inlineStr">
        <is>
          <t>VÄSTERBOTTENS LÄN</t>
        </is>
      </c>
      <c r="E179" t="inlineStr">
        <is>
          <t>LYCKSELE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8152-2019</t>
        </is>
      </c>
      <c r="B180" s="1" t="n">
        <v>43495</v>
      </c>
      <c r="C180" s="1" t="n">
        <v>45361</v>
      </c>
      <c r="D180" t="inlineStr">
        <is>
          <t>VÄSTERBOTTENS LÄN</t>
        </is>
      </c>
      <c r="E180" t="inlineStr">
        <is>
          <t>LYCKSELE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7572-2019</t>
        </is>
      </c>
      <c r="B181" s="1" t="n">
        <v>43497</v>
      </c>
      <c r="C181" s="1" t="n">
        <v>45361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7573-2019</t>
        </is>
      </c>
      <c r="B182" s="1" t="n">
        <v>43497</v>
      </c>
      <c r="C182" s="1" t="n">
        <v>45361</v>
      </c>
      <c r="D182" t="inlineStr">
        <is>
          <t>VÄSTERBOTTENS LÄN</t>
        </is>
      </c>
      <c r="E182" t="inlineStr">
        <is>
          <t>LYCKSELE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9191-2019</t>
        </is>
      </c>
      <c r="B183" s="1" t="n">
        <v>43505</v>
      </c>
      <c r="C183" s="1" t="n">
        <v>45361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9250-2019</t>
        </is>
      </c>
      <c r="B184" s="1" t="n">
        <v>43507</v>
      </c>
      <c r="C184" s="1" t="n">
        <v>45361</v>
      </c>
      <c r="D184" t="inlineStr">
        <is>
          <t>VÄSTERBOTTENS LÄN</t>
        </is>
      </c>
      <c r="E184" t="inlineStr">
        <is>
          <t>LYCKSELE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10612-2019</t>
        </is>
      </c>
      <c r="B185" s="1" t="n">
        <v>43511</v>
      </c>
      <c r="C185" s="1" t="n">
        <v>45361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10385-2019</t>
        </is>
      </c>
      <c r="B186" s="1" t="n">
        <v>43511</v>
      </c>
      <c r="C186" s="1" t="n">
        <v>45361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10983-2019</t>
        </is>
      </c>
      <c r="B187" s="1" t="n">
        <v>43515</v>
      </c>
      <c r="C187" s="1" t="n">
        <v>45361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11803-2019</t>
        </is>
      </c>
      <c r="B188" s="1" t="n">
        <v>43518</v>
      </c>
      <c r="C188" s="1" t="n">
        <v>45361</v>
      </c>
      <c r="D188" t="inlineStr">
        <is>
          <t>VÄSTERBOTTENS LÄN</t>
        </is>
      </c>
      <c r="E188" t="inlineStr">
        <is>
          <t>LYCKSELE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11781-2019</t>
        </is>
      </c>
      <c r="B189" s="1" t="n">
        <v>43518</v>
      </c>
      <c r="C189" s="1" t="n">
        <v>45361</v>
      </c>
      <c r="D189" t="inlineStr">
        <is>
          <t>VÄSTERBOTTENS LÄN</t>
        </is>
      </c>
      <c r="E189" t="inlineStr">
        <is>
          <t>LYCKSELE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11809-2019</t>
        </is>
      </c>
      <c r="B190" s="1" t="n">
        <v>43518</v>
      </c>
      <c r="C190" s="1" t="n">
        <v>45361</v>
      </c>
      <c r="D190" t="inlineStr">
        <is>
          <t>VÄSTERBOTTENS LÄN</t>
        </is>
      </c>
      <c r="E190" t="inlineStr">
        <is>
          <t>LYCKSELE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11810-2019</t>
        </is>
      </c>
      <c r="B191" s="1" t="n">
        <v>43518</v>
      </c>
      <c r="C191" s="1" t="n">
        <v>45361</v>
      </c>
      <c r="D191" t="inlineStr">
        <is>
          <t>VÄSTERBOTTENS LÄN</t>
        </is>
      </c>
      <c r="E191" t="inlineStr">
        <is>
          <t>LYCKSELE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12516-2019</t>
        </is>
      </c>
      <c r="B192" s="1" t="n">
        <v>43523</v>
      </c>
      <c r="C192" s="1" t="n">
        <v>45361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12627-2019</t>
        </is>
      </c>
      <c r="B193" s="1" t="n">
        <v>43524</v>
      </c>
      <c r="C193" s="1" t="n">
        <v>45361</v>
      </c>
      <c r="D193" t="inlineStr">
        <is>
          <t>VÄSTERBOTTENS LÄN</t>
        </is>
      </c>
      <c r="E193" t="inlineStr">
        <is>
          <t>LYCKSELE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14701-2019</t>
        </is>
      </c>
      <c r="B194" s="1" t="n">
        <v>43535</v>
      </c>
      <c r="C194" s="1" t="n">
        <v>45361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14939-2019</t>
        </is>
      </c>
      <c r="B195" s="1" t="n">
        <v>43538</v>
      </c>
      <c r="C195" s="1" t="n">
        <v>45361</v>
      </c>
      <c r="D195" t="inlineStr">
        <is>
          <t>VÄSTERBOTTENS LÄN</t>
        </is>
      </c>
      <c r="E195" t="inlineStr">
        <is>
          <t>LYCKSELE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15813-2019</t>
        </is>
      </c>
      <c r="B196" s="1" t="n">
        <v>43542</v>
      </c>
      <c r="C196" s="1" t="n">
        <v>45361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17266-2019</t>
        </is>
      </c>
      <c r="B197" s="1" t="n">
        <v>43551</v>
      </c>
      <c r="C197" s="1" t="n">
        <v>45361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17594-2019</t>
        </is>
      </c>
      <c r="B198" s="1" t="n">
        <v>43553</v>
      </c>
      <c r="C198" s="1" t="n">
        <v>45361</v>
      </c>
      <c r="D198" t="inlineStr">
        <is>
          <t>VÄSTERBOTTENS LÄN</t>
        </is>
      </c>
      <c r="E198" t="inlineStr">
        <is>
          <t>LYCKSELE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18771-2019</t>
        </is>
      </c>
      <c r="B199" s="1" t="n">
        <v>43560</v>
      </c>
      <c r="C199" s="1" t="n">
        <v>45361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18986-2019</t>
        </is>
      </c>
      <c r="B200" s="1" t="n">
        <v>43563</v>
      </c>
      <c r="C200" s="1" t="n">
        <v>45361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19604-2019</t>
        </is>
      </c>
      <c r="B201" s="1" t="n">
        <v>43566</v>
      </c>
      <c r="C201" s="1" t="n">
        <v>45361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20928-2019</t>
        </is>
      </c>
      <c r="B202" s="1" t="n">
        <v>43572</v>
      </c>
      <c r="C202" s="1" t="n">
        <v>45361</v>
      </c>
      <c r="D202" t="inlineStr">
        <is>
          <t>VÄSTERBOTTENS LÄN</t>
        </is>
      </c>
      <c r="E202" t="inlineStr">
        <is>
          <t>LYCKSELE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21331-2019</t>
        </is>
      </c>
      <c r="B203" s="1" t="n">
        <v>43579</v>
      </c>
      <c r="C203" s="1" t="n">
        <v>45361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21775-2019</t>
        </is>
      </c>
      <c r="B204" s="1" t="n">
        <v>43581</v>
      </c>
      <c r="C204" s="1" t="n">
        <v>45361</v>
      </c>
      <c r="D204" t="inlineStr">
        <is>
          <t>VÄSTERBOTTENS LÄN</t>
        </is>
      </c>
      <c r="E204" t="inlineStr">
        <is>
          <t>LYCKSELE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21766-2019</t>
        </is>
      </c>
      <c r="B205" s="1" t="n">
        <v>43581</v>
      </c>
      <c r="C205" s="1" t="n">
        <v>45361</v>
      </c>
      <c r="D205" t="inlineStr">
        <is>
          <t>VÄSTERBOTTENS LÄN</t>
        </is>
      </c>
      <c r="E205" t="inlineStr">
        <is>
          <t>LYCKSELE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21756-2019</t>
        </is>
      </c>
      <c r="B206" s="1" t="n">
        <v>43581</v>
      </c>
      <c r="C206" s="1" t="n">
        <v>45361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21754-2019</t>
        </is>
      </c>
      <c r="B207" s="1" t="n">
        <v>43581</v>
      </c>
      <c r="C207" s="1" t="n">
        <v>45361</v>
      </c>
      <c r="D207" t="inlineStr">
        <is>
          <t>VÄSTERBOTTENS LÄN</t>
        </is>
      </c>
      <c r="E207" t="inlineStr">
        <is>
          <t>LYCKSELE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22320-2019</t>
        </is>
      </c>
      <c r="B208" s="1" t="n">
        <v>43586</v>
      </c>
      <c r="C208" s="1" t="n">
        <v>45361</v>
      </c>
      <c r="D208" t="inlineStr">
        <is>
          <t>VÄSTERBOTTENS LÄN</t>
        </is>
      </c>
      <c r="E208" t="inlineStr">
        <is>
          <t>LYCKSELE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22318-2019</t>
        </is>
      </c>
      <c r="B209" s="1" t="n">
        <v>43586</v>
      </c>
      <c r="C209" s="1" t="n">
        <v>45361</v>
      </c>
      <c r="D209" t="inlineStr">
        <is>
          <t>VÄSTERBOTTENS LÄN</t>
        </is>
      </c>
      <c r="E209" t="inlineStr">
        <is>
          <t>LYCKSELE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23158-2019</t>
        </is>
      </c>
      <c r="B210" s="1" t="n">
        <v>43592</v>
      </c>
      <c r="C210" s="1" t="n">
        <v>45361</v>
      </c>
      <c r="D210" t="inlineStr">
        <is>
          <t>VÄSTERBOTTENS LÄN</t>
        </is>
      </c>
      <c r="E210" t="inlineStr">
        <is>
          <t>LYCKSELE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23103-2019</t>
        </is>
      </c>
      <c r="B211" s="1" t="n">
        <v>43592</v>
      </c>
      <c r="C211" s="1" t="n">
        <v>45361</v>
      </c>
      <c r="D211" t="inlineStr">
        <is>
          <t>VÄSTERBOTTENS LÄN</t>
        </is>
      </c>
      <c r="E211" t="inlineStr">
        <is>
          <t>LYCKSELE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23106-2019</t>
        </is>
      </c>
      <c r="B212" s="1" t="n">
        <v>43592</v>
      </c>
      <c r="C212" s="1" t="n">
        <v>45361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23282-2019</t>
        </is>
      </c>
      <c r="B213" s="1" t="n">
        <v>43593</v>
      </c>
      <c r="C213" s="1" t="n">
        <v>45361</v>
      </c>
      <c r="D213" t="inlineStr">
        <is>
          <t>VÄSTERBOTTENS LÄN</t>
        </is>
      </c>
      <c r="E213" t="inlineStr">
        <is>
          <t>LYCKSELE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23520-2019</t>
        </is>
      </c>
      <c r="B214" s="1" t="n">
        <v>43593</v>
      </c>
      <c r="C214" s="1" t="n">
        <v>45361</v>
      </c>
      <c r="D214" t="inlineStr">
        <is>
          <t>VÄSTERBOTTENS LÄN</t>
        </is>
      </c>
      <c r="E214" t="inlineStr">
        <is>
          <t>LYCKSELE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23536-2019</t>
        </is>
      </c>
      <c r="B215" s="1" t="n">
        <v>43594</v>
      </c>
      <c r="C215" s="1" t="n">
        <v>45361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23938-2019</t>
        </is>
      </c>
      <c r="B216" s="1" t="n">
        <v>43595</v>
      </c>
      <c r="C216" s="1" t="n">
        <v>45361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24332-2019</t>
        </is>
      </c>
      <c r="B217" s="1" t="n">
        <v>43598</v>
      </c>
      <c r="C217" s="1" t="n">
        <v>45361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24335-2019</t>
        </is>
      </c>
      <c r="B218" s="1" t="n">
        <v>43598</v>
      </c>
      <c r="C218" s="1" t="n">
        <v>45361</v>
      </c>
      <c r="D218" t="inlineStr">
        <is>
          <t>VÄSTERBOTTENS LÄN</t>
        </is>
      </c>
      <c r="E218" t="inlineStr">
        <is>
          <t>LYCKSELE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24581-2019</t>
        </is>
      </c>
      <c r="B219" s="1" t="n">
        <v>43600</v>
      </c>
      <c r="C219" s="1" t="n">
        <v>45361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29088-2019</t>
        </is>
      </c>
      <c r="B220" s="1" t="n">
        <v>43621</v>
      </c>
      <c r="C220" s="1" t="n">
        <v>45361</v>
      </c>
      <c r="D220" t="inlineStr">
        <is>
          <t>VÄSTERBOTTENS LÄN</t>
        </is>
      </c>
      <c r="E220" t="inlineStr">
        <is>
          <t>LYCKSELE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28569-2019</t>
        </is>
      </c>
      <c r="B221" s="1" t="n">
        <v>43626</v>
      </c>
      <c r="C221" s="1" t="n">
        <v>45361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29397-2019</t>
        </is>
      </c>
      <c r="B222" s="1" t="n">
        <v>43627</v>
      </c>
      <c r="C222" s="1" t="n">
        <v>45361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29394-2019</t>
        </is>
      </c>
      <c r="B223" s="1" t="n">
        <v>43627</v>
      </c>
      <c r="C223" s="1" t="n">
        <v>45361</v>
      </c>
      <c r="D223" t="inlineStr">
        <is>
          <t>VÄSTERBOTTENS LÄN</t>
        </is>
      </c>
      <c r="E223" t="inlineStr">
        <is>
          <t>LYCKSELE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30082-2019</t>
        </is>
      </c>
      <c r="B224" s="1" t="n">
        <v>43633</v>
      </c>
      <c r="C224" s="1" t="n">
        <v>45361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30420-2019</t>
        </is>
      </c>
      <c r="B225" s="1" t="n">
        <v>43633</v>
      </c>
      <c r="C225" s="1" t="n">
        <v>45361</v>
      </c>
      <c r="D225" t="inlineStr">
        <is>
          <t>VÄSTERBOTTENS LÄN</t>
        </is>
      </c>
      <c r="E225" t="inlineStr">
        <is>
          <t>LYCKSELE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30333-2019</t>
        </is>
      </c>
      <c r="B226" s="1" t="n">
        <v>43634</v>
      </c>
      <c r="C226" s="1" t="n">
        <v>45361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30335-2019</t>
        </is>
      </c>
      <c r="B227" s="1" t="n">
        <v>43634</v>
      </c>
      <c r="C227" s="1" t="n">
        <v>45361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31917-2019</t>
        </is>
      </c>
      <c r="B228" s="1" t="n">
        <v>43641</v>
      </c>
      <c r="C228" s="1" t="n">
        <v>45361</v>
      </c>
      <c r="D228" t="inlineStr">
        <is>
          <t>VÄSTERBOTTENS LÄN</t>
        </is>
      </c>
      <c r="E228" t="inlineStr">
        <is>
          <t>LYCKSELE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31883-2019</t>
        </is>
      </c>
      <c r="B229" s="1" t="n">
        <v>43642</v>
      </c>
      <c r="C229" s="1" t="n">
        <v>45361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32083-2019</t>
        </is>
      </c>
      <c r="B230" s="1" t="n">
        <v>43642</v>
      </c>
      <c r="C230" s="1" t="n">
        <v>45361</v>
      </c>
      <c r="D230" t="inlineStr">
        <is>
          <t>VÄSTERBOTTENS LÄN</t>
        </is>
      </c>
      <c r="E230" t="inlineStr">
        <is>
          <t>LYCKSELE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31876-2019</t>
        </is>
      </c>
      <c r="B231" s="1" t="n">
        <v>43642</v>
      </c>
      <c r="C231" s="1" t="n">
        <v>45361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32074-2019</t>
        </is>
      </c>
      <c r="B232" s="1" t="n">
        <v>43642</v>
      </c>
      <c r="C232" s="1" t="n">
        <v>45361</v>
      </c>
      <c r="D232" t="inlineStr">
        <is>
          <t>VÄSTERBOTTENS LÄN</t>
        </is>
      </c>
      <c r="E232" t="inlineStr">
        <is>
          <t>LYCKSELE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33203-2019</t>
        </is>
      </c>
      <c r="B233" s="1" t="n">
        <v>43649</v>
      </c>
      <c r="C233" s="1" t="n">
        <v>45361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34852-2019</t>
        </is>
      </c>
      <c r="B234" s="1" t="n">
        <v>43649</v>
      </c>
      <c r="C234" s="1" t="n">
        <v>45361</v>
      </c>
      <c r="D234" t="inlineStr">
        <is>
          <t>VÄSTERBOTTENS LÄN</t>
        </is>
      </c>
      <c r="E234" t="inlineStr">
        <is>
          <t>LYCKSELE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33414-2019</t>
        </is>
      </c>
      <c r="B235" s="1" t="n">
        <v>43650</v>
      </c>
      <c r="C235" s="1" t="n">
        <v>45361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33810-2019</t>
        </is>
      </c>
      <c r="B236" s="1" t="n">
        <v>43651</v>
      </c>
      <c r="C236" s="1" t="n">
        <v>45361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34249-2019</t>
        </is>
      </c>
      <c r="B237" s="1" t="n">
        <v>43655</v>
      </c>
      <c r="C237" s="1" t="n">
        <v>45361</v>
      </c>
      <c r="D237" t="inlineStr">
        <is>
          <t>VÄSTERBOTTENS LÄN</t>
        </is>
      </c>
      <c r="E237" t="inlineStr">
        <is>
          <t>LYCKSELE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36154-2019</t>
        </is>
      </c>
      <c r="B238" s="1" t="n">
        <v>43658</v>
      </c>
      <c r="C238" s="1" t="n">
        <v>45361</v>
      </c>
      <c r="D238" t="inlineStr">
        <is>
          <t>VÄSTERBOTTENS LÄN</t>
        </is>
      </c>
      <c r="E238" t="inlineStr">
        <is>
          <t>LYCKSELE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35091-2019</t>
        </is>
      </c>
      <c r="B239" s="1" t="n">
        <v>43661</v>
      </c>
      <c r="C239" s="1" t="n">
        <v>45361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35092-2019</t>
        </is>
      </c>
      <c r="B240" s="1" t="n">
        <v>43661</v>
      </c>
      <c r="C240" s="1" t="n">
        <v>45361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36155-2019</t>
        </is>
      </c>
      <c r="B241" s="1" t="n">
        <v>43668</v>
      </c>
      <c r="C241" s="1" t="n">
        <v>45361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37162-2019</t>
        </is>
      </c>
      <c r="B242" s="1" t="n">
        <v>43677</v>
      </c>
      <c r="C242" s="1" t="n">
        <v>45361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38551-2019</t>
        </is>
      </c>
      <c r="B243" s="1" t="n">
        <v>43685</v>
      </c>
      <c r="C243" s="1" t="n">
        <v>45361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38800-2019</t>
        </is>
      </c>
      <c r="B244" s="1" t="n">
        <v>43688</v>
      </c>
      <c r="C244" s="1" t="n">
        <v>45361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39373-2019</t>
        </is>
      </c>
      <c r="B245" s="1" t="n">
        <v>43690</v>
      </c>
      <c r="C245" s="1" t="n">
        <v>45361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39201-2019</t>
        </is>
      </c>
      <c r="B246" s="1" t="n">
        <v>43690</v>
      </c>
      <c r="C246" s="1" t="n">
        <v>45361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41150-2019</t>
        </is>
      </c>
      <c r="B247" s="1" t="n">
        <v>43691</v>
      </c>
      <c r="C247" s="1" t="n">
        <v>45361</v>
      </c>
      <c r="D247" t="inlineStr">
        <is>
          <t>VÄSTERBOTTENS LÄN</t>
        </is>
      </c>
      <c r="E247" t="inlineStr">
        <is>
          <t>LYCKSELE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40310-2019</t>
        </is>
      </c>
      <c r="B248" s="1" t="n">
        <v>43696</v>
      </c>
      <c r="C248" s="1" t="n">
        <v>45361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41375-2019</t>
        </is>
      </c>
      <c r="B249" s="1" t="n">
        <v>43696</v>
      </c>
      <c r="C249" s="1" t="n">
        <v>45361</v>
      </c>
      <c r="D249" t="inlineStr">
        <is>
          <t>VÄSTERBOTTENS LÄN</t>
        </is>
      </c>
      <c r="E249" t="inlineStr">
        <is>
          <t>LYCKSELE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42373-2019</t>
        </is>
      </c>
      <c r="B250" s="1" t="n">
        <v>43703</v>
      </c>
      <c r="C250" s="1" t="n">
        <v>45361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43465-2019</t>
        </is>
      </c>
      <c r="B251" s="1" t="n">
        <v>43703</v>
      </c>
      <c r="C251" s="1" t="n">
        <v>45361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43480-2019</t>
        </is>
      </c>
      <c r="B252" s="1" t="n">
        <v>43703</v>
      </c>
      <c r="C252" s="1" t="n">
        <v>45361</v>
      </c>
      <c r="D252" t="inlineStr">
        <is>
          <t>VÄSTERBOTTENS LÄN</t>
        </is>
      </c>
      <c r="E252" t="inlineStr">
        <is>
          <t>LYCKSELE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42368-2019</t>
        </is>
      </c>
      <c r="B253" s="1" t="n">
        <v>43703</v>
      </c>
      <c r="C253" s="1" t="n">
        <v>45361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42588-2019</t>
        </is>
      </c>
      <c r="B254" s="1" t="n">
        <v>43704</v>
      </c>
      <c r="C254" s="1" t="n">
        <v>45361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44031-2019</t>
        </is>
      </c>
      <c r="B255" s="1" t="n">
        <v>43704</v>
      </c>
      <c r="C255" s="1" t="n">
        <v>45361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44858-2019</t>
        </is>
      </c>
      <c r="B256" s="1" t="n">
        <v>43707</v>
      </c>
      <c r="C256" s="1" t="n">
        <v>45361</v>
      </c>
      <c r="D256" t="inlineStr">
        <is>
          <t>VÄSTERBOTTENS LÄN</t>
        </is>
      </c>
      <c r="E256" t="inlineStr">
        <is>
          <t>LYCKSELE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44024-2019</t>
        </is>
      </c>
      <c r="B257" s="1" t="n">
        <v>43710</v>
      </c>
      <c r="C257" s="1" t="n">
        <v>45361</v>
      </c>
      <c r="D257" t="inlineStr">
        <is>
          <t>VÄSTERBOTTENS LÄN</t>
        </is>
      </c>
      <c r="E257" t="inlineStr">
        <is>
          <t>LYCKSELE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44590-2019</t>
        </is>
      </c>
      <c r="B258" s="1" t="n">
        <v>43711</v>
      </c>
      <c r="C258" s="1" t="n">
        <v>45361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46252-2019</t>
        </is>
      </c>
      <c r="B259" s="1" t="n">
        <v>43712</v>
      </c>
      <c r="C259" s="1" t="n">
        <v>45361</v>
      </c>
      <c r="D259" t="inlineStr">
        <is>
          <t>VÄSTERBOTTENS LÄN</t>
        </is>
      </c>
      <c r="E259" t="inlineStr">
        <is>
          <t>LYCKSELE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45227-2019</t>
        </is>
      </c>
      <c r="B260" s="1" t="n">
        <v>43713</v>
      </c>
      <c r="C260" s="1" t="n">
        <v>45361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45264-2019</t>
        </is>
      </c>
      <c r="B261" s="1" t="n">
        <v>43713</v>
      </c>
      <c r="C261" s="1" t="n">
        <v>45361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45228-2019</t>
        </is>
      </c>
      <c r="B262" s="1" t="n">
        <v>43713</v>
      </c>
      <c r="C262" s="1" t="n">
        <v>45361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46271-2019</t>
        </is>
      </c>
      <c r="B263" s="1" t="n">
        <v>43713</v>
      </c>
      <c r="C263" s="1" t="n">
        <v>45361</v>
      </c>
      <c r="D263" t="inlineStr">
        <is>
          <t>VÄSTERBOTTENS LÄN</t>
        </is>
      </c>
      <c r="E263" t="inlineStr">
        <is>
          <t>LYCKSELE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46284-2019</t>
        </is>
      </c>
      <c r="B264" s="1" t="n">
        <v>43713</v>
      </c>
      <c r="C264" s="1" t="n">
        <v>45361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45758-2019</t>
        </is>
      </c>
      <c r="B265" s="1" t="n">
        <v>43717</v>
      </c>
      <c r="C265" s="1" t="n">
        <v>45361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47062-2019</t>
        </is>
      </c>
      <c r="B266" s="1" t="n">
        <v>43720</v>
      </c>
      <c r="C266" s="1" t="n">
        <v>45361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48784-2019</t>
        </is>
      </c>
      <c r="B267" s="1" t="n">
        <v>43727</v>
      </c>
      <c r="C267" s="1" t="n">
        <v>45361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49112-2019</t>
        </is>
      </c>
      <c r="B268" s="1" t="n">
        <v>43731</v>
      </c>
      <c r="C268" s="1" t="n">
        <v>45361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50603-2019</t>
        </is>
      </c>
      <c r="B269" s="1" t="n">
        <v>43735</v>
      </c>
      <c r="C269" s="1" t="n">
        <v>45361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51144-2019</t>
        </is>
      </c>
      <c r="B270" s="1" t="n">
        <v>43739</v>
      </c>
      <c r="C270" s="1" t="n">
        <v>45361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51152-2019</t>
        </is>
      </c>
      <c r="B271" s="1" t="n">
        <v>43739</v>
      </c>
      <c r="C271" s="1" t="n">
        <v>45361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51135-2019</t>
        </is>
      </c>
      <c r="B272" s="1" t="n">
        <v>43739</v>
      </c>
      <c r="C272" s="1" t="n">
        <v>45361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51155-2019</t>
        </is>
      </c>
      <c r="B273" s="1" t="n">
        <v>43739</v>
      </c>
      <c r="C273" s="1" t="n">
        <v>45361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52437-2019</t>
        </is>
      </c>
      <c r="B274" s="1" t="n">
        <v>43745</v>
      </c>
      <c r="C274" s="1" t="n">
        <v>45361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52630-2019</t>
        </is>
      </c>
      <c r="B275" s="1" t="n">
        <v>43746</v>
      </c>
      <c r="C275" s="1" t="n">
        <v>45361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52621-2019</t>
        </is>
      </c>
      <c r="B276" s="1" t="n">
        <v>43746</v>
      </c>
      <c r="C276" s="1" t="n">
        <v>45361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54435-2019</t>
        </is>
      </c>
      <c r="B277" s="1" t="n">
        <v>43747</v>
      </c>
      <c r="C277" s="1" t="n">
        <v>45361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55396-2019</t>
        </is>
      </c>
      <c r="B278" s="1" t="n">
        <v>43758</v>
      </c>
      <c r="C278" s="1" t="n">
        <v>45361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56685-2019</t>
        </is>
      </c>
      <c r="B279" s="1" t="n">
        <v>43759</v>
      </c>
      <c r="C279" s="1" t="n">
        <v>45361</v>
      </c>
      <c r="D279" t="inlineStr">
        <is>
          <t>VÄSTERBOTTENS LÄN</t>
        </is>
      </c>
      <c r="E279" t="inlineStr">
        <is>
          <t>LYCKSELE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56679-2019</t>
        </is>
      </c>
      <c r="B280" s="1" t="n">
        <v>43759</v>
      </c>
      <c r="C280" s="1" t="n">
        <v>45361</v>
      </c>
      <c r="D280" t="inlineStr">
        <is>
          <t>VÄSTERBOTTENS LÄN</t>
        </is>
      </c>
      <c r="E280" t="inlineStr">
        <is>
          <t>LYCKSELE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56191-2019</t>
        </is>
      </c>
      <c r="B281" s="1" t="n">
        <v>43761</v>
      </c>
      <c r="C281" s="1" t="n">
        <v>45361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57972-2019</t>
        </is>
      </c>
      <c r="B282" s="1" t="n">
        <v>43762</v>
      </c>
      <c r="C282" s="1" t="n">
        <v>45361</v>
      </c>
      <c r="D282" t="inlineStr">
        <is>
          <t>VÄSTERBOTTENS LÄN</t>
        </is>
      </c>
      <c r="E282" t="inlineStr">
        <is>
          <t>LYCKSELE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58655-2019</t>
        </is>
      </c>
      <c r="B283" s="1" t="n">
        <v>43767</v>
      </c>
      <c r="C283" s="1" t="n">
        <v>45361</v>
      </c>
      <c r="D283" t="inlineStr">
        <is>
          <t>VÄSTERBOTTENS LÄN</t>
        </is>
      </c>
      <c r="E283" t="inlineStr">
        <is>
          <t>LYCKSELE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58648-2019</t>
        </is>
      </c>
      <c r="B284" s="1" t="n">
        <v>43768</v>
      </c>
      <c r="C284" s="1" t="n">
        <v>45361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57838-2019</t>
        </is>
      </c>
      <c r="B285" s="1" t="n">
        <v>43768</v>
      </c>
      <c r="C285" s="1" t="n">
        <v>45361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59632-2019</t>
        </is>
      </c>
      <c r="B286" s="1" t="n">
        <v>43776</v>
      </c>
      <c r="C286" s="1" t="n">
        <v>45361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60438-2019</t>
        </is>
      </c>
      <c r="B287" s="1" t="n">
        <v>43780</v>
      </c>
      <c r="C287" s="1" t="n">
        <v>45361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60567-2019</t>
        </is>
      </c>
      <c r="B288" s="1" t="n">
        <v>43781</v>
      </c>
      <c r="C288" s="1" t="n">
        <v>45361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62147-2019</t>
        </is>
      </c>
      <c r="B289" s="1" t="n">
        <v>43787</v>
      </c>
      <c r="C289" s="1" t="n">
        <v>45361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63313-2019</t>
        </is>
      </c>
      <c r="B290" s="1" t="n">
        <v>43787</v>
      </c>
      <c r="C290" s="1" t="n">
        <v>45361</v>
      </c>
      <c r="D290" t="inlineStr">
        <is>
          <t>VÄSTERBOTTENS LÄN</t>
        </is>
      </c>
      <c r="E290" t="inlineStr">
        <is>
          <t>LYCKSELE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63305-2019</t>
        </is>
      </c>
      <c r="B291" s="1" t="n">
        <v>43787</v>
      </c>
      <c r="C291" s="1" t="n">
        <v>45361</v>
      </c>
      <c r="D291" t="inlineStr">
        <is>
          <t>VÄSTERBOTTENS LÄN</t>
        </is>
      </c>
      <c r="E291" t="inlineStr">
        <is>
          <t>LYCKSELE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62507-2019</t>
        </is>
      </c>
      <c r="B292" s="1" t="n">
        <v>43788</v>
      </c>
      <c r="C292" s="1" t="n">
        <v>45361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63506-2019</t>
        </is>
      </c>
      <c r="B293" s="1" t="n">
        <v>43788</v>
      </c>
      <c r="C293" s="1" t="n">
        <v>45361</v>
      </c>
      <c r="D293" t="inlineStr">
        <is>
          <t>VÄSTERBOTTENS LÄN</t>
        </is>
      </c>
      <c r="E293" t="inlineStr">
        <is>
          <t>LYCKSELE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63236-2019</t>
        </is>
      </c>
      <c r="B294" s="1" t="n">
        <v>43791</v>
      </c>
      <c r="C294" s="1" t="n">
        <v>45361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64371-2019</t>
        </is>
      </c>
      <c r="B295" s="1" t="n">
        <v>43797</v>
      </c>
      <c r="C295" s="1" t="n">
        <v>45361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64478-2019</t>
        </is>
      </c>
      <c r="B296" s="1" t="n">
        <v>43797</v>
      </c>
      <c r="C296" s="1" t="n">
        <v>45361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67650-2019</t>
        </is>
      </c>
      <c r="B297" s="1" t="n">
        <v>43809</v>
      </c>
      <c r="C297" s="1" t="n">
        <v>45361</v>
      </c>
      <c r="D297" t="inlineStr">
        <is>
          <t>VÄSTERBOTTENS LÄN</t>
        </is>
      </c>
      <c r="E297" t="inlineStr">
        <is>
          <t>LYCKSELE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67652-2019</t>
        </is>
      </c>
      <c r="B298" s="1" t="n">
        <v>43809</v>
      </c>
      <c r="C298" s="1" t="n">
        <v>45361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67636-2019</t>
        </is>
      </c>
      <c r="B299" s="1" t="n">
        <v>43809</v>
      </c>
      <c r="C299" s="1" t="n">
        <v>45361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69024-2019</t>
        </is>
      </c>
      <c r="B300" s="1" t="n">
        <v>43815</v>
      </c>
      <c r="C300" s="1" t="n">
        <v>45361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67949-2019</t>
        </is>
      </c>
      <c r="B301" s="1" t="n">
        <v>43816</v>
      </c>
      <c r="C301" s="1" t="n">
        <v>45361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67935-2019</t>
        </is>
      </c>
      <c r="B302" s="1" t="n">
        <v>43816</v>
      </c>
      <c r="C302" s="1" t="n">
        <v>45361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68185-2019</t>
        </is>
      </c>
      <c r="B303" s="1" t="n">
        <v>43817</v>
      </c>
      <c r="C303" s="1" t="n">
        <v>45361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68179-2019</t>
        </is>
      </c>
      <c r="B304" s="1" t="n">
        <v>43817</v>
      </c>
      <c r="C304" s="1" t="n">
        <v>45361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68172-2019</t>
        </is>
      </c>
      <c r="B305" s="1" t="n">
        <v>43817</v>
      </c>
      <c r="C305" s="1" t="n">
        <v>45361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68194-2019</t>
        </is>
      </c>
      <c r="B306" s="1" t="n">
        <v>43817</v>
      </c>
      <c r="C306" s="1" t="n">
        <v>45361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68614-2019</t>
        </is>
      </c>
      <c r="B307" s="1" t="n">
        <v>43818</v>
      </c>
      <c r="C307" s="1" t="n">
        <v>45361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1716-2020</t>
        </is>
      </c>
      <c r="B308" s="1" t="n">
        <v>43833</v>
      </c>
      <c r="C308" s="1" t="n">
        <v>45361</v>
      </c>
      <c r="D308" t="inlineStr">
        <is>
          <t>VÄSTERBOTTENS LÄN</t>
        </is>
      </c>
      <c r="E308" t="inlineStr">
        <is>
          <t>LYCKSELE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1691-2020</t>
        </is>
      </c>
      <c r="B309" s="1" t="n">
        <v>43833</v>
      </c>
      <c r="C309" s="1" t="n">
        <v>45361</v>
      </c>
      <c r="D309" t="inlineStr">
        <is>
          <t>VÄSTERBOTTENS LÄN</t>
        </is>
      </c>
      <c r="E309" t="inlineStr">
        <is>
          <t>LYCKSELE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954-2020</t>
        </is>
      </c>
      <c r="B310" s="1" t="n">
        <v>43839</v>
      </c>
      <c r="C310" s="1" t="n">
        <v>45361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1108-2020</t>
        </is>
      </c>
      <c r="B311" s="1" t="n">
        <v>43840</v>
      </c>
      <c r="C311" s="1" t="n">
        <v>45361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1142-2020</t>
        </is>
      </c>
      <c r="B312" s="1" t="n">
        <v>43840</v>
      </c>
      <c r="C312" s="1" t="n">
        <v>45361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1133-2020</t>
        </is>
      </c>
      <c r="B313" s="1" t="n">
        <v>43840</v>
      </c>
      <c r="C313" s="1" t="n">
        <v>45361</v>
      </c>
      <c r="D313" t="inlineStr">
        <is>
          <t>VÄSTERBOTTENS LÄN</t>
        </is>
      </c>
      <c r="E313" t="inlineStr">
        <is>
          <t>LYCKSELE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1270-2020</t>
        </is>
      </c>
      <c r="B314" s="1" t="n">
        <v>43841</v>
      </c>
      <c r="C314" s="1" t="n">
        <v>45361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3620-2020</t>
        </is>
      </c>
      <c r="B315" s="1" t="n">
        <v>43845</v>
      </c>
      <c r="C315" s="1" t="n">
        <v>45361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4041-2020</t>
        </is>
      </c>
      <c r="B316" s="1" t="n">
        <v>43857</v>
      </c>
      <c r="C316" s="1" t="n">
        <v>45361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5501-2020</t>
        </is>
      </c>
      <c r="B317" s="1" t="n">
        <v>43858</v>
      </c>
      <c r="C317" s="1" t="n">
        <v>45361</v>
      </c>
      <c r="D317" t="inlineStr">
        <is>
          <t>VÄSTERBOTTENS LÄN</t>
        </is>
      </c>
      <c r="E317" t="inlineStr">
        <is>
          <t>LYCKSELE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6097-2020</t>
        </is>
      </c>
      <c r="B318" s="1" t="n">
        <v>43864</v>
      </c>
      <c r="C318" s="1" t="n">
        <v>45361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7618-2020</t>
        </is>
      </c>
      <c r="B319" s="1" t="n">
        <v>43871</v>
      </c>
      <c r="C319" s="1" t="n">
        <v>45361</v>
      </c>
      <c r="D319" t="inlineStr">
        <is>
          <t>VÄSTERBOTTENS LÄN</t>
        </is>
      </c>
      <c r="E319" t="inlineStr">
        <is>
          <t>LYCKSELE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7632-2020</t>
        </is>
      </c>
      <c r="B320" s="1" t="n">
        <v>43871</v>
      </c>
      <c r="C320" s="1" t="n">
        <v>45361</v>
      </c>
      <c r="D320" t="inlineStr">
        <is>
          <t>VÄSTERBOTTENS LÄN</t>
        </is>
      </c>
      <c r="E320" t="inlineStr">
        <is>
          <t>LYCKSELE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9994-2020</t>
        </is>
      </c>
      <c r="B321" s="1" t="n">
        <v>43882</v>
      </c>
      <c r="C321" s="1" t="n">
        <v>45361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14940-2020</t>
        </is>
      </c>
      <c r="B322" s="1" t="n">
        <v>43910</v>
      </c>
      <c r="C322" s="1" t="n">
        <v>45361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17137-2020</t>
        </is>
      </c>
      <c r="B323" s="1" t="n">
        <v>43922</v>
      </c>
      <c r="C323" s="1" t="n">
        <v>45361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17126-2020</t>
        </is>
      </c>
      <c r="B324" s="1" t="n">
        <v>43922</v>
      </c>
      <c r="C324" s="1" t="n">
        <v>45361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18609-2020</t>
        </is>
      </c>
      <c r="B325" s="1" t="n">
        <v>43929</v>
      </c>
      <c r="C325" s="1" t="n">
        <v>45361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18898-2020</t>
        </is>
      </c>
      <c r="B326" s="1" t="n">
        <v>43930</v>
      </c>
      <c r="C326" s="1" t="n">
        <v>45361</v>
      </c>
      <c r="D326" t="inlineStr">
        <is>
          <t>VÄSTERBOTTENS LÄN</t>
        </is>
      </c>
      <c r="E326" t="inlineStr">
        <is>
          <t>LYCKSELE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20383-2020</t>
        </is>
      </c>
      <c r="B327" s="1" t="n">
        <v>43945</v>
      </c>
      <c r="C327" s="1" t="n">
        <v>45361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20445-2020</t>
        </is>
      </c>
      <c r="B328" s="1" t="n">
        <v>43945</v>
      </c>
      <c r="C328" s="1" t="n">
        <v>45361</v>
      </c>
      <c r="D328" t="inlineStr">
        <is>
          <t>VÄSTERBOTTENS LÄN</t>
        </is>
      </c>
      <c r="E328" t="inlineStr">
        <is>
          <t>LYCKSELE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20388-2020</t>
        </is>
      </c>
      <c r="B329" s="1" t="n">
        <v>43945</v>
      </c>
      <c r="C329" s="1" t="n">
        <v>45361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25258-2020</t>
        </is>
      </c>
      <c r="B330" s="1" t="n">
        <v>43980</v>
      </c>
      <c r="C330" s="1" t="n">
        <v>45361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25608-2020</t>
        </is>
      </c>
      <c r="B331" s="1" t="n">
        <v>43983</v>
      </c>
      <c r="C331" s="1" t="n">
        <v>45361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25916-2020</t>
        </is>
      </c>
      <c r="B332" s="1" t="n">
        <v>43984</v>
      </c>
      <c r="C332" s="1" t="n">
        <v>45361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26096-2020</t>
        </is>
      </c>
      <c r="B333" s="1" t="n">
        <v>43985</v>
      </c>
      <c r="C333" s="1" t="n">
        <v>45361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26082-2020</t>
        </is>
      </c>
      <c r="B334" s="1" t="n">
        <v>43985</v>
      </c>
      <c r="C334" s="1" t="n">
        <v>45361</v>
      </c>
      <c r="D334" t="inlineStr">
        <is>
          <t>VÄSTERBOTTENS LÄN</t>
        </is>
      </c>
      <c r="E334" t="inlineStr">
        <is>
          <t>LYCKSELE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27094-2020</t>
        </is>
      </c>
      <c r="B335" s="1" t="n">
        <v>43985</v>
      </c>
      <c r="C335" s="1" t="n">
        <v>45361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26457-2020</t>
        </is>
      </c>
      <c r="B336" s="1" t="n">
        <v>43987</v>
      </c>
      <c r="C336" s="1" t="n">
        <v>45361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26780-2020</t>
        </is>
      </c>
      <c r="B337" s="1" t="n">
        <v>43990</v>
      </c>
      <c r="C337" s="1" t="n">
        <v>45361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30386-2020</t>
        </is>
      </c>
      <c r="B338" s="1" t="n">
        <v>44007</v>
      </c>
      <c r="C338" s="1" t="n">
        <v>45361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30964-2020</t>
        </is>
      </c>
      <c r="B339" s="1" t="n">
        <v>44011</v>
      </c>
      <c r="C339" s="1" t="n">
        <v>45361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31743-2020</t>
        </is>
      </c>
      <c r="B340" s="1" t="n">
        <v>44014</v>
      </c>
      <c r="C340" s="1" t="n">
        <v>45361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32176-2020</t>
        </is>
      </c>
      <c r="B341" s="1" t="n">
        <v>44015</v>
      </c>
      <c r="C341" s="1" t="n">
        <v>45361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32188-2020</t>
        </is>
      </c>
      <c r="B342" s="1" t="n">
        <v>44015</v>
      </c>
      <c r="C342" s="1" t="n">
        <v>45361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33082-2020</t>
        </is>
      </c>
      <c r="B343" s="1" t="n">
        <v>44021</v>
      </c>
      <c r="C343" s="1" t="n">
        <v>45361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33109-2020</t>
        </is>
      </c>
      <c r="B344" s="1" t="n">
        <v>44021</v>
      </c>
      <c r="C344" s="1" t="n">
        <v>45361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33347-2020</t>
        </is>
      </c>
      <c r="B345" s="1" t="n">
        <v>44021</v>
      </c>
      <c r="C345" s="1" t="n">
        <v>45361</v>
      </c>
      <c r="D345" t="inlineStr">
        <is>
          <t>VÄSTERBOTTENS LÄN</t>
        </is>
      </c>
      <c r="E345" t="inlineStr">
        <is>
          <t>LYCKSELE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33487-2020</t>
        </is>
      </c>
      <c r="B346" s="1" t="n">
        <v>44024</v>
      </c>
      <c r="C346" s="1" t="n">
        <v>45361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33484-2020</t>
        </is>
      </c>
      <c r="B347" s="1" t="n">
        <v>44024</v>
      </c>
      <c r="C347" s="1" t="n">
        <v>45361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34151-2020</t>
        </is>
      </c>
      <c r="B348" s="1" t="n">
        <v>44027</v>
      </c>
      <c r="C348" s="1" t="n">
        <v>45361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33841-2020</t>
        </is>
      </c>
      <c r="B349" s="1" t="n">
        <v>44027</v>
      </c>
      <c r="C349" s="1" t="n">
        <v>45361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34060-2020</t>
        </is>
      </c>
      <c r="B350" s="1" t="n">
        <v>44028</v>
      </c>
      <c r="C350" s="1" t="n">
        <v>45361</v>
      </c>
      <c r="D350" t="inlineStr">
        <is>
          <t>VÄSTERBOTTENS LÄN</t>
        </is>
      </c>
      <c r="E350" t="inlineStr">
        <is>
          <t>LYCKSELE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34479-2020</t>
        </is>
      </c>
      <c r="B351" s="1" t="n">
        <v>44032</v>
      </c>
      <c r="C351" s="1" t="n">
        <v>45361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34770-2020</t>
        </is>
      </c>
      <c r="B352" s="1" t="n">
        <v>44035</v>
      </c>
      <c r="C352" s="1" t="n">
        <v>45361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34763-2020</t>
        </is>
      </c>
      <c r="B353" s="1" t="n">
        <v>44035</v>
      </c>
      <c r="C353" s="1" t="n">
        <v>45361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37227-2020</t>
        </is>
      </c>
      <c r="B354" s="1" t="n">
        <v>44054</v>
      </c>
      <c r="C354" s="1" t="n">
        <v>45361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37978-2020</t>
        </is>
      </c>
      <c r="B355" s="1" t="n">
        <v>44057</v>
      </c>
      <c r="C355" s="1" t="n">
        <v>45361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38067-2020</t>
        </is>
      </c>
      <c r="B356" s="1" t="n">
        <v>44057</v>
      </c>
      <c r="C356" s="1" t="n">
        <v>45361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38944-2020</t>
        </is>
      </c>
      <c r="B357" s="1" t="n">
        <v>44062</v>
      </c>
      <c r="C357" s="1" t="n">
        <v>45361</v>
      </c>
      <c r="D357" t="inlineStr">
        <is>
          <t>VÄSTERBOTTENS LÄN</t>
        </is>
      </c>
      <c r="E357" t="inlineStr">
        <is>
          <t>LYCKSELE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38980-2020</t>
        </is>
      </c>
      <c r="B358" s="1" t="n">
        <v>44062</v>
      </c>
      <c r="C358" s="1" t="n">
        <v>45361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40355-2020</t>
        </is>
      </c>
      <c r="B359" s="1" t="n">
        <v>44067</v>
      </c>
      <c r="C359" s="1" t="n">
        <v>45361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43063-2020</t>
        </is>
      </c>
      <c r="B360" s="1" t="n">
        <v>44078</v>
      </c>
      <c r="C360" s="1" t="n">
        <v>45361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44041-2020</t>
        </is>
      </c>
      <c r="B361" s="1" t="n">
        <v>44081</v>
      </c>
      <c r="C361" s="1" t="n">
        <v>45361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44198-2020</t>
        </is>
      </c>
      <c r="B362" s="1" t="n">
        <v>44083</v>
      </c>
      <c r="C362" s="1" t="n">
        <v>45361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44529-2020</t>
        </is>
      </c>
      <c r="B363" s="1" t="n">
        <v>44085</v>
      </c>
      <c r="C363" s="1" t="n">
        <v>45361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45974-2020</t>
        </is>
      </c>
      <c r="B364" s="1" t="n">
        <v>44091</v>
      </c>
      <c r="C364" s="1" t="n">
        <v>45361</v>
      </c>
      <c r="D364" t="inlineStr">
        <is>
          <t>VÄSTERBOTTENS LÄN</t>
        </is>
      </c>
      <c r="E364" t="inlineStr">
        <is>
          <t>LYCKSELE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46595-2020</t>
        </is>
      </c>
      <c r="B365" s="1" t="n">
        <v>44095</v>
      </c>
      <c r="C365" s="1" t="n">
        <v>45361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46632-2020</t>
        </is>
      </c>
      <c r="B366" s="1" t="n">
        <v>44095</v>
      </c>
      <c r="C366" s="1" t="n">
        <v>45361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46764-2020</t>
        </is>
      </c>
      <c r="B367" s="1" t="n">
        <v>44095</v>
      </c>
      <c r="C367" s="1" t="n">
        <v>45361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47487-2020</t>
        </is>
      </c>
      <c r="B368" s="1" t="n">
        <v>44098</v>
      </c>
      <c r="C368" s="1" t="n">
        <v>45361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48370-2020</t>
        </is>
      </c>
      <c r="B369" s="1" t="n">
        <v>44102</v>
      </c>
      <c r="C369" s="1" t="n">
        <v>45361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49378-2020</t>
        </is>
      </c>
      <c r="B370" s="1" t="n">
        <v>44105</v>
      </c>
      <c r="C370" s="1" t="n">
        <v>45361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49482-2020</t>
        </is>
      </c>
      <c r="B371" s="1" t="n">
        <v>44105</v>
      </c>
      <c r="C371" s="1" t="n">
        <v>45361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50218-2020</t>
        </is>
      </c>
      <c r="B372" s="1" t="n">
        <v>44109</v>
      </c>
      <c r="C372" s="1" t="n">
        <v>45361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50012-2020</t>
        </is>
      </c>
      <c r="B373" s="1" t="n">
        <v>44109</v>
      </c>
      <c r="C373" s="1" t="n">
        <v>45361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50217-2020</t>
        </is>
      </c>
      <c r="B374" s="1" t="n">
        <v>44109</v>
      </c>
      <c r="C374" s="1" t="n">
        <v>45361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53053-2020</t>
        </is>
      </c>
      <c r="B375" s="1" t="n">
        <v>44120</v>
      </c>
      <c r="C375" s="1" t="n">
        <v>45361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53083-2020</t>
        </is>
      </c>
      <c r="B376" s="1" t="n">
        <v>44120</v>
      </c>
      <c r="C376" s="1" t="n">
        <v>45361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53074-2020</t>
        </is>
      </c>
      <c r="B377" s="1" t="n">
        <v>44120</v>
      </c>
      <c r="C377" s="1" t="n">
        <v>45361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53146-2020</t>
        </is>
      </c>
      <c r="B378" s="1" t="n">
        <v>44120</v>
      </c>
      <c r="C378" s="1" t="n">
        <v>45361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53180-2020</t>
        </is>
      </c>
      <c r="B379" s="1" t="n">
        <v>44120</v>
      </c>
      <c r="C379" s="1" t="n">
        <v>45361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53469-2020</t>
        </is>
      </c>
      <c r="B380" s="1" t="n">
        <v>44123</v>
      </c>
      <c r="C380" s="1" t="n">
        <v>45361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53446-2020</t>
        </is>
      </c>
      <c r="B381" s="1" t="n">
        <v>44123</v>
      </c>
      <c r="C381" s="1" t="n">
        <v>45361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54805-2020</t>
        </is>
      </c>
      <c r="B382" s="1" t="n">
        <v>44127</v>
      </c>
      <c r="C382" s="1" t="n">
        <v>45361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55782-2020</t>
        </is>
      </c>
      <c r="B383" s="1" t="n">
        <v>44132</v>
      </c>
      <c r="C383" s="1" t="n">
        <v>45361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57085-2020</t>
        </is>
      </c>
      <c r="B384" s="1" t="n">
        <v>44138</v>
      </c>
      <c r="C384" s="1" t="n">
        <v>45361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59029-2020</t>
        </is>
      </c>
      <c r="B385" s="1" t="n">
        <v>44147</v>
      </c>
      <c r="C385" s="1" t="n">
        <v>45361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59264-2020</t>
        </is>
      </c>
      <c r="B386" s="1" t="n">
        <v>44147</v>
      </c>
      <c r="C386" s="1" t="n">
        <v>45361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59261-2020</t>
        </is>
      </c>
      <c r="B387" s="1" t="n">
        <v>44147</v>
      </c>
      <c r="C387" s="1" t="n">
        <v>45361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59546-2020</t>
        </is>
      </c>
      <c r="B388" s="1" t="n">
        <v>44148</v>
      </c>
      <c r="C388" s="1" t="n">
        <v>45361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61634-2020</t>
        </is>
      </c>
      <c r="B389" s="1" t="n">
        <v>44158</v>
      </c>
      <c r="C389" s="1" t="n">
        <v>45361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61630-2020</t>
        </is>
      </c>
      <c r="B390" s="1" t="n">
        <v>44158</v>
      </c>
      <c r="C390" s="1" t="n">
        <v>45361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63037-2020</t>
        </is>
      </c>
      <c r="B391" s="1" t="n">
        <v>44162</v>
      </c>
      <c r="C391" s="1" t="n">
        <v>45361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63871-2020</t>
        </is>
      </c>
      <c r="B392" s="1" t="n">
        <v>44166</v>
      </c>
      <c r="C392" s="1" t="n">
        <v>45361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63878-2020</t>
        </is>
      </c>
      <c r="B393" s="1" t="n">
        <v>44166</v>
      </c>
      <c r="C393" s="1" t="n">
        <v>45361</v>
      </c>
      <c r="D393" t="inlineStr">
        <is>
          <t>VÄSTERBOTTENS LÄN</t>
        </is>
      </c>
      <c r="E393" t="inlineStr">
        <is>
          <t>LYCKSELE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68253-2020</t>
        </is>
      </c>
      <c r="B394" s="1" t="n">
        <v>44182</v>
      </c>
      <c r="C394" s="1" t="n">
        <v>45361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68405-2020</t>
        </is>
      </c>
      <c r="B395" s="1" t="n">
        <v>44182</v>
      </c>
      <c r="C395" s="1" t="n">
        <v>45361</v>
      </c>
      <c r="D395" t="inlineStr">
        <is>
          <t>VÄSTERBOTTENS LÄN</t>
        </is>
      </c>
      <c r="E395" t="inlineStr">
        <is>
          <t>LYCKSELE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68409-2020</t>
        </is>
      </c>
      <c r="B396" s="1" t="n">
        <v>44182</v>
      </c>
      <c r="C396" s="1" t="n">
        <v>45361</v>
      </c>
      <c r="D396" t="inlineStr">
        <is>
          <t>VÄSTERBOTTENS LÄN</t>
        </is>
      </c>
      <c r="E396" t="inlineStr">
        <is>
          <t>LYCKSELE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68510-2020</t>
        </is>
      </c>
      <c r="B397" s="1" t="n">
        <v>44183</v>
      </c>
      <c r="C397" s="1" t="n">
        <v>45361</v>
      </c>
      <c r="D397" t="inlineStr">
        <is>
          <t>VÄSTERBOTTENS LÄN</t>
        </is>
      </c>
      <c r="E397" t="inlineStr">
        <is>
          <t>LYCKSELE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441-2021</t>
        </is>
      </c>
      <c r="B398" s="1" t="n">
        <v>44201</v>
      </c>
      <c r="C398" s="1" t="n">
        <v>45361</v>
      </c>
      <c r="D398" t="inlineStr">
        <is>
          <t>VÄSTERBOTTENS LÄN</t>
        </is>
      </c>
      <c r="E398" t="inlineStr">
        <is>
          <t>LYCKSELE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5316-2021</t>
        </is>
      </c>
      <c r="B399" s="1" t="n">
        <v>44229</v>
      </c>
      <c r="C399" s="1" t="n">
        <v>45361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13911-2021</t>
        </is>
      </c>
      <c r="B400" s="1" t="n">
        <v>44277</v>
      </c>
      <c r="C400" s="1" t="n">
        <v>45361</v>
      </c>
      <c r="D400" t="inlineStr">
        <is>
          <t>VÄSTERBOTTENS LÄN</t>
        </is>
      </c>
      <c r="E400" t="inlineStr">
        <is>
          <t>LYCKSELE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13955-2021</t>
        </is>
      </c>
      <c r="B401" s="1" t="n">
        <v>44277</v>
      </c>
      <c r="C401" s="1" t="n">
        <v>45361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13924-2021</t>
        </is>
      </c>
      <c r="B402" s="1" t="n">
        <v>44277</v>
      </c>
      <c r="C402" s="1" t="n">
        <v>45361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13903-2021</t>
        </is>
      </c>
      <c r="B403" s="1" t="n">
        <v>44277</v>
      </c>
      <c r="C403" s="1" t="n">
        <v>45361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15112-2021</t>
        </is>
      </c>
      <c r="B404" s="1" t="n">
        <v>44282</v>
      </c>
      <c r="C404" s="1" t="n">
        <v>45361</v>
      </c>
      <c r="D404" t="inlineStr">
        <is>
          <t>VÄSTERBOTTENS LÄN</t>
        </is>
      </c>
      <c r="E404" t="inlineStr">
        <is>
          <t>LYCKSELE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15113-2021</t>
        </is>
      </c>
      <c r="B405" s="1" t="n">
        <v>44282</v>
      </c>
      <c r="C405" s="1" t="n">
        <v>45361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45361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26105-2021</t>
        </is>
      </c>
      <c r="B407" s="1" t="n">
        <v>44345</v>
      </c>
      <c r="C407" s="1" t="n">
        <v>45361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26635-2021</t>
        </is>
      </c>
      <c r="B408" s="1" t="n">
        <v>44348</v>
      </c>
      <c r="C408" s="1" t="n">
        <v>45361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26673-2021</t>
        </is>
      </c>
      <c r="B409" s="1" t="n">
        <v>44349</v>
      </c>
      <c r="C409" s="1" t="n">
        <v>45361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27945-2021</t>
        </is>
      </c>
      <c r="B410" s="1" t="n">
        <v>44354</v>
      </c>
      <c r="C410" s="1" t="n">
        <v>45361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28263-2021</t>
        </is>
      </c>
      <c r="B411" s="1" t="n">
        <v>44355</v>
      </c>
      <c r="C411" s="1" t="n">
        <v>45361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28620-2021</t>
        </is>
      </c>
      <c r="B412" s="1" t="n">
        <v>44357</v>
      </c>
      <c r="C412" s="1" t="n">
        <v>45361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29150-2021</t>
        </is>
      </c>
      <c r="B413" s="1" t="n">
        <v>44358</v>
      </c>
      <c r="C413" s="1" t="n">
        <v>45361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29278-2021</t>
        </is>
      </c>
      <c r="B414" s="1" t="n">
        <v>44361</v>
      </c>
      <c r="C414" s="1" t="n">
        <v>45361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30919-2021</t>
        </is>
      </c>
      <c r="B415" s="1" t="n">
        <v>44365</v>
      </c>
      <c r="C415" s="1" t="n">
        <v>45361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31466-2021</t>
        </is>
      </c>
      <c r="B416" s="1" t="n">
        <v>44369</v>
      </c>
      <c r="C416" s="1" t="n">
        <v>45361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33161-2021</t>
        </is>
      </c>
      <c r="B417" s="1" t="n">
        <v>44376</v>
      </c>
      <c r="C417" s="1" t="n">
        <v>45361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33222-2021</t>
        </is>
      </c>
      <c r="B418" s="1" t="n">
        <v>44376</v>
      </c>
      <c r="C418" s="1" t="n">
        <v>45361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33165-2021</t>
        </is>
      </c>
      <c r="B419" s="1" t="n">
        <v>44376</v>
      </c>
      <c r="C419" s="1" t="n">
        <v>45361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35021-2021</t>
        </is>
      </c>
      <c r="B420" s="1" t="n">
        <v>44383</v>
      </c>
      <c r="C420" s="1" t="n">
        <v>45361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35282-2021</t>
        </is>
      </c>
      <c r="B421" s="1" t="n">
        <v>44384</v>
      </c>
      <c r="C421" s="1" t="n">
        <v>45361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35700-2021</t>
        </is>
      </c>
      <c r="B422" s="1" t="n">
        <v>44386</v>
      </c>
      <c r="C422" s="1" t="n">
        <v>45361</v>
      </c>
      <c r="D422" t="inlineStr">
        <is>
          <t>VÄSTERBOTTENS LÄN</t>
        </is>
      </c>
      <c r="E422" t="inlineStr">
        <is>
          <t>LYCKSELE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36046-2021</t>
        </is>
      </c>
      <c r="B423" s="1" t="n">
        <v>44386</v>
      </c>
      <c r="C423" s="1" t="n">
        <v>45361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35939-2021</t>
        </is>
      </c>
      <c r="B424" s="1" t="n">
        <v>44388</v>
      </c>
      <c r="C424" s="1" t="n">
        <v>45361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35938-2021</t>
        </is>
      </c>
      <c r="B425" s="1" t="n">
        <v>44388</v>
      </c>
      <c r="C425" s="1" t="n">
        <v>45361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35937-2021</t>
        </is>
      </c>
      <c r="B426" s="1" t="n">
        <v>44388</v>
      </c>
      <c r="C426" s="1" t="n">
        <v>45361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35943-2021</t>
        </is>
      </c>
      <c r="B427" s="1" t="n">
        <v>44388</v>
      </c>
      <c r="C427" s="1" t="n">
        <v>45361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36855-2021</t>
        </is>
      </c>
      <c r="B428" s="1" t="n">
        <v>44393</v>
      </c>
      <c r="C428" s="1" t="n">
        <v>45361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37727-2021</t>
        </is>
      </c>
      <c r="B429" s="1" t="n">
        <v>44400</v>
      </c>
      <c r="C429" s="1" t="n">
        <v>45361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37733-2021</t>
        </is>
      </c>
      <c r="B430" s="1" t="n">
        <v>44400</v>
      </c>
      <c r="C430" s="1" t="n">
        <v>45361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37731-2021</t>
        </is>
      </c>
      <c r="B431" s="1" t="n">
        <v>44400</v>
      </c>
      <c r="C431" s="1" t="n">
        <v>45361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37979-2021</t>
        </is>
      </c>
      <c r="B432" s="1" t="n">
        <v>44403</v>
      </c>
      <c r="C432" s="1" t="n">
        <v>45361</v>
      </c>
      <c r="D432" t="inlineStr">
        <is>
          <t>VÄSTERBOTTENS LÄN</t>
        </is>
      </c>
      <c r="E432" t="inlineStr">
        <is>
          <t>LYCKSELE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37984-2021</t>
        </is>
      </c>
      <c r="B433" s="1" t="n">
        <v>44403</v>
      </c>
      <c r="C433" s="1" t="n">
        <v>45361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37986-2021</t>
        </is>
      </c>
      <c r="B434" s="1" t="n">
        <v>44403</v>
      </c>
      <c r="C434" s="1" t="n">
        <v>45361</v>
      </c>
      <c r="D434" t="inlineStr">
        <is>
          <t>VÄSTERBOTTENS LÄN</t>
        </is>
      </c>
      <c r="E434" t="inlineStr">
        <is>
          <t>LYCKSELE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37987-2021</t>
        </is>
      </c>
      <c r="B435" s="1" t="n">
        <v>44403</v>
      </c>
      <c r="C435" s="1" t="n">
        <v>45361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38712-2021</t>
        </is>
      </c>
      <c r="B436" s="1" t="n">
        <v>44405</v>
      </c>
      <c r="C436" s="1" t="n">
        <v>45361</v>
      </c>
      <c r="D436" t="inlineStr">
        <is>
          <t>VÄSTERBOTTENS LÄN</t>
        </is>
      </c>
      <c r="E436" t="inlineStr">
        <is>
          <t>LYCKSELE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38544-2021</t>
        </is>
      </c>
      <c r="B437" s="1" t="n">
        <v>44407</v>
      </c>
      <c r="C437" s="1" t="n">
        <v>45361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45361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41497-2021</t>
        </is>
      </c>
      <c r="B439" s="1" t="n">
        <v>44424</v>
      </c>
      <c r="C439" s="1" t="n">
        <v>45361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42144-2021</t>
        </is>
      </c>
      <c r="B440" s="1" t="n">
        <v>44426</v>
      </c>
      <c r="C440" s="1" t="n">
        <v>45361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42818-2021</t>
        </is>
      </c>
      <c r="B441" s="1" t="n">
        <v>44429</v>
      </c>
      <c r="C441" s="1" t="n">
        <v>45361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42967-2021</t>
        </is>
      </c>
      <c r="B442" s="1" t="n">
        <v>44431</v>
      </c>
      <c r="C442" s="1" t="n">
        <v>45361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43579-2021</t>
        </is>
      </c>
      <c r="B443" s="1" t="n">
        <v>44433</v>
      </c>
      <c r="C443" s="1" t="n">
        <v>45361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44632-2021</t>
        </is>
      </c>
      <c r="B444" s="1" t="n">
        <v>44437</v>
      </c>
      <c r="C444" s="1" t="n">
        <v>45361</v>
      </c>
      <c r="D444" t="inlineStr">
        <is>
          <t>VÄSTERBOTTENS LÄN</t>
        </is>
      </c>
      <c r="E444" t="inlineStr">
        <is>
          <t>LYCKSELE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45270-2021</t>
        </is>
      </c>
      <c r="B445" s="1" t="n">
        <v>44439</v>
      </c>
      <c r="C445" s="1" t="n">
        <v>45361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45266-2021</t>
        </is>
      </c>
      <c r="B446" s="1" t="n">
        <v>44439</v>
      </c>
      <c r="C446" s="1" t="n">
        <v>45361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45361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45953-2021</t>
        </is>
      </c>
      <c r="B448" s="1" t="n">
        <v>44441</v>
      </c>
      <c r="C448" s="1" t="n">
        <v>45361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45946-2021</t>
        </is>
      </c>
      <c r="B449" s="1" t="n">
        <v>44441</v>
      </c>
      <c r="C449" s="1" t="n">
        <v>45361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47018-2021</t>
        </is>
      </c>
      <c r="B450" s="1" t="n">
        <v>44446</v>
      </c>
      <c r="C450" s="1" t="n">
        <v>45361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47067-2021</t>
        </is>
      </c>
      <c r="B451" s="1" t="n">
        <v>44446</v>
      </c>
      <c r="C451" s="1" t="n">
        <v>45361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47497-2021</t>
        </is>
      </c>
      <c r="B452" s="1" t="n">
        <v>44447</v>
      </c>
      <c r="C452" s="1" t="n">
        <v>45361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47717-2021</t>
        </is>
      </c>
      <c r="B453" s="1" t="n">
        <v>44448</v>
      </c>
      <c r="C453" s="1" t="n">
        <v>45361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47704-2021</t>
        </is>
      </c>
      <c r="B454" s="1" t="n">
        <v>44448</v>
      </c>
      <c r="C454" s="1" t="n">
        <v>45361</v>
      </c>
      <c r="D454" t="inlineStr">
        <is>
          <t>VÄSTERBOTTENS LÄN</t>
        </is>
      </c>
      <c r="E454" t="inlineStr">
        <is>
          <t>LYCKSELE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47711-2021</t>
        </is>
      </c>
      <c r="B455" s="1" t="n">
        <v>44448</v>
      </c>
      <c r="C455" s="1" t="n">
        <v>45361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47708-2021</t>
        </is>
      </c>
      <c r="B456" s="1" t="n">
        <v>44448</v>
      </c>
      <c r="C456" s="1" t="n">
        <v>45361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47697-2021</t>
        </is>
      </c>
      <c r="B457" s="1" t="n">
        <v>44448</v>
      </c>
      <c r="C457" s="1" t="n">
        <v>45361</v>
      </c>
      <c r="D457" t="inlineStr">
        <is>
          <t>VÄSTERBOTTENS LÄN</t>
        </is>
      </c>
      <c r="E457" t="inlineStr">
        <is>
          <t>LYCKSELE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48086-2021</t>
        </is>
      </c>
      <c r="B458" s="1" t="n">
        <v>44449</v>
      </c>
      <c r="C458" s="1" t="n">
        <v>45361</v>
      </c>
      <c r="D458" t="inlineStr">
        <is>
          <t>VÄSTERBOTTENS LÄN</t>
        </is>
      </c>
      <c r="E458" t="inlineStr">
        <is>
          <t>LYCKSELE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48987-2021</t>
        </is>
      </c>
      <c r="B459" s="1" t="n">
        <v>44453</v>
      </c>
      <c r="C459" s="1" t="n">
        <v>45361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48997-2021</t>
        </is>
      </c>
      <c r="B460" s="1" t="n">
        <v>44453</v>
      </c>
      <c r="C460" s="1" t="n">
        <v>45361</v>
      </c>
      <c r="D460" t="inlineStr">
        <is>
          <t>VÄSTERBOTTENS LÄN</t>
        </is>
      </c>
      <c r="E460" t="inlineStr">
        <is>
          <t>LYCKSELE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49816-2021</t>
        </is>
      </c>
      <c r="B461" s="1" t="n">
        <v>44454</v>
      </c>
      <c r="C461" s="1" t="n">
        <v>45361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50048-2021</t>
        </is>
      </c>
      <c r="B462" s="1" t="n">
        <v>44456</v>
      </c>
      <c r="C462" s="1" t="n">
        <v>45361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50044-2021</t>
        </is>
      </c>
      <c r="B463" s="1" t="n">
        <v>44456</v>
      </c>
      <c r="C463" s="1" t="n">
        <v>45361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50279-2021</t>
        </is>
      </c>
      <c r="B464" s="1" t="n">
        <v>44459</v>
      </c>
      <c r="C464" s="1" t="n">
        <v>45361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50340-2021</t>
        </is>
      </c>
      <c r="B465" s="1" t="n">
        <v>44459</v>
      </c>
      <c r="C465" s="1" t="n">
        <v>45361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51580-2021</t>
        </is>
      </c>
      <c r="B466" s="1" t="n">
        <v>44462</v>
      </c>
      <c r="C466" s="1" t="n">
        <v>45361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51931-2021</t>
        </is>
      </c>
      <c r="B467" s="1" t="n">
        <v>44463</v>
      </c>
      <c r="C467" s="1" t="n">
        <v>45361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51932-2021</t>
        </is>
      </c>
      <c r="B468" s="1" t="n">
        <v>44462</v>
      </c>
      <c r="C468" s="1" t="n">
        <v>45361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52210-2021</t>
        </is>
      </c>
      <c r="B469" s="1" t="n">
        <v>44463</v>
      </c>
      <c r="C469" s="1" t="n">
        <v>45361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52699-2021</t>
        </is>
      </c>
      <c r="B470" s="1" t="n">
        <v>44466</v>
      </c>
      <c r="C470" s="1" t="n">
        <v>45361</v>
      </c>
      <c r="D470" t="inlineStr">
        <is>
          <t>VÄSTERBOTTENS LÄN</t>
        </is>
      </c>
      <c r="E470" t="inlineStr">
        <is>
          <t>LYCKSELE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53323-2021</t>
        </is>
      </c>
      <c r="B471" s="1" t="n">
        <v>44468</v>
      </c>
      <c r="C471" s="1" t="n">
        <v>45361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53320-2021</t>
        </is>
      </c>
      <c r="B472" s="1" t="n">
        <v>44468</v>
      </c>
      <c r="C472" s="1" t="n">
        <v>45361</v>
      </c>
      <c r="D472" t="inlineStr">
        <is>
          <t>VÄSTERBOTTENS LÄN</t>
        </is>
      </c>
      <c r="E472" t="inlineStr">
        <is>
          <t>LYCKSELE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53614-2021</t>
        </is>
      </c>
      <c r="B473" s="1" t="n">
        <v>44469</v>
      </c>
      <c r="C473" s="1" t="n">
        <v>45361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53974-2021</t>
        </is>
      </c>
      <c r="B474" s="1" t="n">
        <v>44469</v>
      </c>
      <c r="C474" s="1" t="n">
        <v>45361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53979-2021</t>
        </is>
      </c>
      <c r="B475" s="1" t="n">
        <v>44469</v>
      </c>
      <c r="C475" s="1" t="n">
        <v>45361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54249-2021</t>
        </is>
      </c>
      <c r="B476" s="1" t="n">
        <v>44470</v>
      </c>
      <c r="C476" s="1" t="n">
        <v>45361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54245-2021</t>
        </is>
      </c>
      <c r="B477" s="1" t="n">
        <v>44470</v>
      </c>
      <c r="C477" s="1" t="n">
        <v>45361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54790-2021</t>
        </is>
      </c>
      <c r="B478" s="1" t="n">
        <v>44473</v>
      </c>
      <c r="C478" s="1" t="n">
        <v>45361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54735-2021</t>
        </is>
      </c>
      <c r="B479" s="1" t="n">
        <v>44473</v>
      </c>
      <c r="C479" s="1" t="n">
        <v>45361</v>
      </c>
      <c r="D479" t="inlineStr">
        <is>
          <t>VÄSTERBOTTENS LÄN</t>
        </is>
      </c>
      <c r="E479" t="inlineStr">
        <is>
          <t>LYCKSELE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54771-2021</t>
        </is>
      </c>
      <c r="B480" s="1" t="n">
        <v>44474</v>
      </c>
      <c r="C480" s="1" t="n">
        <v>45361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54794-2021</t>
        </is>
      </c>
      <c r="B481" s="1" t="n">
        <v>44474</v>
      </c>
      <c r="C481" s="1" t="n">
        <v>45361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55565-2021</t>
        </is>
      </c>
      <c r="B482" s="1" t="n">
        <v>44475</v>
      </c>
      <c r="C482" s="1" t="n">
        <v>45361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55658-2021</t>
        </is>
      </c>
      <c r="B483" s="1" t="n">
        <v>44476</v>
      </c>
      <c r="C483" s="1" t="n">
        <v>45361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56206-2021</t>
        </is>
      </c>
      <c r="B484" s="1" t="n">
        <v>44477</v>
      </c>
      <c r="C484" s="1" t="n">
        <v>45361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56401-2021</t>
        </is>
      </c>
      <c r="B485" s="1" t="n">
        <v>44477</v>
      </c>
      <c r="C485" s="1" t="n">
        <v>45361</v>
      </c>
      <c r="D485" t="inlineStr">
        <is>
          <t>VÄSTERBOTTENS LÄN</t>
        </is>
      </c>
      <c r="E485" t="inlineStr">
        <is>
          <t>LYCKSELE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56898-2021</t>
        </is>
      </c>
      <c r="B486" s="1" t="n">
        <v>44481</v>
      </c>
      <c r="C486" s="1" t="n">
        <v>45361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57666-2021</t>
        </is>
      </c>
      <c r="B487" s="1" t="n">
        <v>44484</v>
      </c>
      <c r="C487" s="1" t="n">
        <v>45361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57848-2021</t>
        </is>
      </c>
      <c r="B488" s="1" t="n">
        <v>44484</v>
      </c>
      <c r="C488" s="1" t="n">
        <v>45361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57818-2021</t>
        </is>
      </c>
      <c r="B489" s="1" t="n">
        <v>44484</v>
      </c>
      <c r="C489" s="1" t="n">
        <v>45361</v>
      </c>
      <c r="D489" t="inlineStr">
        <is>
          <t>VÄSTERBOTTENS LÄN</t>
        </is>
      </c>
      <c r="E489" t="inlineStr">
        <is>
          <t>LYCKSELE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57898-2021</t>
        </is>
      </c>
      <c r="B490" s="1" t="n">
        <v>44486</v>
      </c>
      <c r="C490" s="1" t="n">
        <v>45361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58911-2021</t>
        </is>
      </c>
      <c r="B491" s="1" t="n">
        <v>44489</v>
      </c>
      <c r="C491" s="1" t="n">
        <v>45361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59074-2021</t>
        </is>
      </c>
      <c r="B492" s="1" t="n">
        <v>44489</v>
      </c>
      <c r="C492" s="1" t="n">
        <v>45361</v>
      </c>
      <c r="D492" t="inlineStr">
        <is>
          <t>VÄSTERBOTTENS LÄN</t>
        </is>
      </c>
      <c r="E492" t="inlineStr">
        <is>
          <t>LYCKSELE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58946-2021</t>
        </is>
      </c>
      <c r="B493" s="1" t="n">
        <v>44490</v>
      </c>
      <c r="C493" s="1" t="n">
        <v>45361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59445-2021</t>
        </is>
      </c>
      <c r="B494" s="1" t="n">
        <v>44490</v>
      </c>
      <c r="C494" s="1" t="n">
        <v>45361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59516-2021</t>
        </is>
      </c>
      <c r="B495" s="1" t="n">
        <v>44491</v>
      </c>
      <c r="C495" s="1" t="n">
        <v>45361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59555-2021</t>
        </is>
      </c>
      <c r="B496" s="1" t="n">
        <v>44491</v>
      </c>
      <c r="C496" s="1" t="n">
        <v>45361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59920-2021</t>
        </is>
      </c>
      <c r="B497" s="1" t="n">
        <v>44494</v>
      </c>
      <c r="C497" s="1" t="n">
        <v>45361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60116-2021</t>
        </is>
      </c>
      <c r="B498" s="1" t="n">
        <v>44495</v>
      </c>
      <c r="C498" s="1" t="n">
        <v>45361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60044-2021</t>
        </is>
      </c>
      <c r="B499" s="1" t="n">
        <v>44495</v>
      </c>
      <c r="C499" s="1" t="n">
        <v>45361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60203-2021</t>
        </is>
      </c>
      <c r="B500" s="1" t="n">
        <v>44495</v>
      </c>
      <c r="C500" s="1" t="n">
        <v>45361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60425-2021</t>
        </is>
      </c>
      <c r="B501" s="1" t="n">
        <v>44496</v>
      </c>
      <c r="C501" s="1" t="n">
        <v>45361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60437-2021</t>
        </is>
      </c>
      <c r="B502" s="1" t="n">
        <v>44496</v>
      </c>
      <c r="C502" s="1" t="n">
        <v>45361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60586-2021</t>
        </is>
      </c>
      <c r="B503" s="1" t="n">
        <v>44496</v>
      </c>
      <c r="C503" s="1" t="n">
        <v>45361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60440-2021</t>
        </is>
      </c>
      <c r="B504" s="1" t="n">
        <v>44496</v>
      </c>
      <c r="C504" s="1" t="n">
        <v>45361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61169-2021</t>
        </is>
      </c>
      <c r="B505" s="1" t="n">
        <v>44498</v>
      </c>
      <c r="C505" s="1" t="n">
        <v>45361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61432-2021</t>
        </is>
      </c>
      <c r="B506" s="1" t="n">
        <v>44500</v>
      </c>
      <c r="C506" s="1" t="n">
        <v>45361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61554-2021</t>
        </is>
      </c>
      <c r="B507" s="1" t="n">
        <v>44501</v>
      </c>
      <c r="C507" s="1" t="n">
        <v>45361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61511-2021</t>
        </is>
      </c>
      <c r="B508" s="1" t="n">
        <v>44501</v>
      </c>
      <c r="C508" s="1" t="n">
        <v>45361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61651-2021</t>
        </is>
      </c>
      <c r="B509" s="1" t="n">
        <v>44501</v>
      </c>
      <c r="C509" s="1" t="n">
        <v>45361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61573-2021</t>
        </is>
      </c>
      <c r="B510" s="1" t="n">
        <v>44501</v>
      </c>
      <c r="C510" s="1" t="n">
        <v>45361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61588-2021</t>
        </is>
      </c>
      <c r="B511" s="1" t="n">
        <v>44501</v>
      </c>
      <c r="C511" s="1" t="n">
        <v>45361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61506-2021</t>
        </is>
      </c>
      <c r="B512" s="1" t="n">
        <v>44501</v>
      </c>
      <c r="C512" s="1" t="n">
        <v>45361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61940-2021</t>
        </is>
      </c>
      <c r="B513" s="1" t="n">
        <v>44502</v>
      </c>
      <c r="C513" s="1" t="n">
        <v>45361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61900-2021</t>
        </is>
      </c>
      <c r="B514" s="1" t="n">
        <v>44502</v>
      </c>
      <c r="C514" s="1" t="n">
        <v>45361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61907-2021</t>
        </is>
      </c>
      <c r="B515" s="1" t="n">
        <v>44502</v>
      </c>
      <c r="C515" s="1" t="n">
        <v>45361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63172-2021</t>
        </is>
      </c>
      <c r="B516" s="1" t="n">
        <v>44506</v>
      </c>
      <c r="C516" s="1" t="n">
        <v>45361</v>
      </c>
      <c r="D516" t="inlineStr">
        <is>
          <t>VÄSTERBOTTENS LÄN</t>
        </is>
      </c>
      <c r="E516" t="inlineStr">
        <is>
          <t>LYCKSELE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63827-2021</t>
        </is>
      </c>
      <c r="B517" s="1" t="n">
        <v>44509</v>
      </c>
      <c r="C517" s="1" t="n">
        <v>45361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63977-2021</t>
        </is>
      </c>
      <c r="B518" s="1" t="n">
        <v>44509</v>
      </c>
      <c r="C518" s="1" t="n">
        <v>45361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63976-2021</t>
        </is>
      </c>
      <c r="B519" s="1" t="n">
        <v>44509</v>
      </c>
      <c r="C519" s="1" t="n">
        <v>45361</v>
      </c>
      <c r="D519" t="inlineStr">
        <is>
          <t>VÄSTERBOTTENS LÄN</t>
        </is>
      </c>
      <c r="E519" t="inlineStr">
        <is>
          <t>LYCKSELE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65019-2021</t>
        </is>
      </c>
      <c r="B520" s="1" t="n">
        <v>44512</v>
      </c>
      <c r="C520" s="1" t="n">
        <v>45361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64893-2021</t>
        </is>
      </c>
      <c r="B521" s="1" t="n">
        <v>44512</v>
      </c>
      <c r="C521" s="1" t="n">
        <v>45361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65231-2021</t>
        </is>
      </c>
      <c r="B522" s="1" t="n">
        <v>44513</v>
      </c>
      <c r="C522" s="1" t="n">
        <v>45361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65487-2021</t>
        </is>
      </c>
      <c r="B523" s="1" t="n">
        <v>44515</v>
      </c>
      <c r="C523" s="1" t="n">
        <v>45361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66249-2021</t>
        </is>
      </c>
      <c r="B524" s="1" t="n">
        <v>44518</v>
      </c>
      <c r="C524" s="1" t="n">
        <v>45361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66460-2021</t>
        </is>
      </c>
      <c r="B525" s="1" t="n">
        <v>44518</v>
      </c>
      <c r="C525" s="1" t="n">
        <v>45361</v>
      </c>
      <c r="D525" t="inlineStr">
        <is>
          <t>VÄSTERBOTTENS LÄN</t>
        </is>
      </c>
      <c r="E525" t="inlineStr">
        <is>
          <t>LYCKSELE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66459-2021</t>
        </is>
      </c>
      <c r="B526" s="1" t="n">
        <v>44518</v>
      </c>
      <c r="C526" s="1" t="n">
        <v>45361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66712-2021</t>
        </is>
      </c>
      <c r="B527" s="1" t="n">
        <v>44519</v>
      </c>
      <c r="C527" s="1" t="n">
        <v>45361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67092-2021</t>
        </is>
      </c>
      <c r="B528" s="1" t="n">
        <v>44522</v>
      </c>
      <c r="C528" s="1" t="n">
        <v>45361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68110-2021</t>
        </is>
      </c>
      <c r="B529" s="1" t="n">
        <v>44526</v>
      </c>
      <c r="C529" s="1" t="n">
        <v>45361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68169-2021</t>
        </is>
      </c>
      <c r="B530" s="1" t="n">
        <v>44526</v>
      </c>
      <c r="C530" s="1" t="n">
        <v>45361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68665-2021</t>
        </is>
      </c>
      <c r="B531" s="1" t="n">
        <v>44529</v>
      </c>
      <c r="C531" s="1" t="n">
        <v>45361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68790-2021</t>
        </is>
      </c>
      <c r="B532" s="1" t="n">
        <v>44529</v>
      </c>
      <c r="C532" s="1" t="n">
        <v>45361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69488-2021</t>
        </is>
      </c>
      <c r="B533" s="1" t="n">
        <v>44531</v>
      </c>
      <c r="C533" s="1" t="n">
        <v>45361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69674-2021</t>
        </is>
      </c>
      <c r="B534" s="1" t="n">
        <v>44531</v>
      </c>
      <c r="C534" s="1" t="n">
        <v>45361</v>
      </c>
      <c r="D534" t="inlineStr">
        <is>
          <t>VÄSTERBOTTENS LÄN</t>
        </is>
      </c>
      <c r="E534" t="inlineStr">
        <is>
          <t>LYCKSELE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69226-2021</t>
        </is>
      </c>
      <c r="B535" s="1" t="n">
        <v>44531</v>
      </c>
      <c r="C535" s="1" t="n">
        <v>45361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69481-2021</t>
        </is>
      </c>
      <c r="B536" s="1" t="n">
        <v>44531</v>
      </c>
      <c r="C536" s="1" t="n">
        <v>45361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69462-2021</t>
        </is>
      </c>
      <c r="B537" s="1" t="n">
        <v>44531</v>
      </c>
      <c r="C537" s="1" t="n">
        <v>45361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69705-2021</t>
        </is>
      </c>
      <c r="B538" s="1" t="n">
        <v>44531</v>
      </c>
      <c r="C538" s="1" t="n">
        <v>45361</v>
      </c>
      <c r="D538" t="inlineStr">
        <is>
          <t>VÄSTERBOTTENS LÄN</t>
        </is>
      </c>
      <c r="E538" t="inlineStr">
        <is>
          <t>LYCKSELE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69627-2021</t>
        </is>
      </c>
      <c r="B539" s="1" t="n">
        <v>44532</v>
      </c>
      <c r="C539" s="1" t="n">
        <v>45361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69837-2021</t>
        </is>
      </c>
      <c r="B540" s="1" t="n">
        <v>44532</v>
      </c>
      <c r="C540" s="1" t="n">
        <v>45361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70193-2021</t>
        </is>
      </c>
      <c r="B541" s="1" t="n">
        <v>44534</v>
      </c>
      <c r="C541" s="1" t="n">
        <v>45361</v>
      </c>
      <c r="D541" t="inlineStr">
        <is>
          <t>VÄSTERBOTTENS LÄN</t>
        </is>
      </c>
      <c r="E541" t="inlineStr">
        <is>
          <t>LYCKSELE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</v>
      </c>
      <c r="C542" s="1" t="n">
        <v>45361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70196-2021</t>
        </is>
      </c>
      <c r="B543" s="1" t="n">
        <v>44534</v>
      </c>
      <c r="C543" s="1" t="n">
        <v>45361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70195-2021</t>
        </is>
      </c>
      <c r="B544" s="1" t="n">
        <v>44534</v>
      </c>
      <c r="C544" s="1" t="n">
        <v>45361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70194-2021</t>
        </is>
      </c>
      <c r="B545" s="1" t="n">
        <v>44534</v>
      </c>
      <c r="C545" s="1" t="n">
        <v>45361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70210-2021</t>
        </is>
      </c>
      <c r="B546" s="1" t="n">
        <v>44535</v>
      </c>
      <c r="C546" s="1" t="n">
        <v>45361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70211-2021</t>
        </is>
      </c>
      <c r="B547" s="1" t="n">
        <v>44535</v>
      </c>
      <c r="C547" s="1" t="n">
        <v>45361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70208-2021</t>
        </is>
      </c>
      <c r="B548" s="1" t="n">
        <v>44535</v>
      </c>
      <c r="C548" s="1" t="n">
        <v>45361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70212-2021</t>
        </is>
      </c>
      <c r="B549" s="1" t="n">
        <v>44535</v>
      </c>
      <c r="C549" s="1" t="n">
        <v>45361</v>
      </c>
      <c r="D549" t="inlineStr">
        <is>
          <t>VÄSTERBOTTENS LÄN</t>
        </is>
      </c>
      <c r="E549" t="inlineStr">
        <is>
          <t>LYCKSELE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70209-2021</t>
        </is>
      </c>
      <c r="B550" s="1" t="n">
        <v>44535</v>
      </c>
      <c r="C550" s="1" t="n">
        <v>45361</v>
      </c>
      <c r="D550" t="inlineStr">
        <is>
          <t>VÄSTERBOTTENS LÄN</t>
        </is>
      </c>
      <c r="E550" t="inlineStr">
        <is>
          <t>LYCKSELE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70213-2021</t>
        </is>
      </c>
      <c r="B551" s="1" t="n">
        <v>44535</v>
      </c>
      <c r="C551" s="1" t="n">
        <v>45361</v>
      </c>
      <c r="D551" t="inlineStr">
        <is>
          <t>VÄSTERBOTTENS LÄN</t>
        </is>
      </c>
      <c r="E551" t="inlineStr">
        <is>
          <t>LYCKSELE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70817-2021</t>
        </is>
      </c>
      <c r="B552" s="1" t="n">
        <v>44537</v>
      </c>
      <c r="C552" s="1" t="n">
        <v>45361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71228-2021</t>
        </is>
      </c>
      <c r="B553" s="1" t="n">
        <v>44538</v>
      </c>
      <c r="C553" s="1" t="n">
        <v>45361</v>
      </c>
      <c r="D553" t="inlineStr">
        <is>
          <t>VÄSTERBOTTENS LÄN</t>
        </is>
      </c>
      <c r="E553" t="inlineStr">
        <is>
          <t>LYCKSELE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71412-2021</t>
        </is>
      </c>
      <c r="B554" s="1" t="n">
        <v>44540</v>
      </c>
      <c r="C554" s="1" t="n">
        <v>45361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71407-2021</t>
        </is>
      </c>
      <c r="B555" s="1" t="n">
        <v>44540</v>
      </c>
      <c r="C555" s="1" t="n">
        <v>45361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45361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45361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45361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45361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45361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45361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45361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45361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45361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45361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45361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45361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45361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45361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45361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45361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45361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45361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45361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45361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45361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45361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45361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45361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45361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45361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45361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45361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45361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45361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45361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45361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45361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45361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45361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45361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45361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45361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45361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45361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45361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45361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45361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45361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45361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45361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45361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45361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45361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45361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45361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45361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45361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45361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45361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45361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45361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45361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45361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45361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45361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45361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45361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45361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45361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45361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45361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45361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45361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45361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45361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45361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45361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45361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45361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45361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45361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45361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45361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45361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45361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45361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45361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45361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45361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45361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45361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45361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45361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45361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45361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45361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45361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45361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45361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45361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45361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45361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45361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45361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45361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45361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45361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45361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45361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45361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45361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45361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45361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45361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45361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45361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45361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45361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45361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45361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45361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45361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45361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45361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45361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45361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45361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45361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45361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45361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45361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45361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45361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45361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45361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45361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45361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45361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45361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45361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45361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45361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45361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45361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45361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45361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45361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45361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45361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45361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45361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45361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45361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45361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45361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45361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45361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45361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45361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45361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45361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45361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45361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45361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45361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45361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45361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45361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45361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45361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45361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45361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45361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45361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45361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45361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45361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45361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45361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45361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45361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45361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45361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45361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45361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45361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45361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45361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45361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45361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45361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45361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45361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45361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45361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45361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45361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45361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45361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45361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45361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45361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45361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45361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45361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45361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45361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45361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45361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45361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45361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45361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45361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45361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45361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45361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45361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45361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45361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45361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45361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45361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45361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45361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45361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45361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45361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45361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45361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45361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45361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45361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45361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45361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45361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45361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45361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45361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45361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45361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45361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45361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45361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45361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45361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45361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45361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45361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45361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45361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45361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45361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45361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45361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45361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45361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45361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45361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45361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45361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45361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45361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45361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45361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45361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45361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45361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45361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45361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45361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45361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45361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45361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45361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45361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45361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45361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45361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45361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45361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45361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45361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45361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45361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45361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45361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45361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45361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45361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45361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45361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45361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45361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45361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45361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45361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45361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45361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45361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45361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45361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45361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45361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45361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45361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45361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45361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45361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45361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45361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45361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45361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45361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45361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45361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45361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45361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45361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45361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45361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45361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45361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45361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45361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45361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45361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45361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45361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45361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45361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45361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45361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45361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45361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45361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45361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45361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45361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45361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45361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45361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45361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45361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45361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45361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45361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45361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45361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45361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45361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45361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45361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45361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45361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45361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45361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45361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45361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45361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45361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45361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45361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45361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45361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45361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45361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45361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45361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45361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45361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45361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45361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45361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45361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45361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45361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45361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45361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45361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45361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45361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45361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45361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45361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45361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45361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45361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45361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45361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45361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45361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45361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45361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45361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45361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45361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45361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45361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45361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45361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45361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45361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45361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45361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45361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45361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45361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45361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45361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45361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45361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45361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45361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45361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45361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45361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45361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45361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45361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45361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45361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45361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45361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45361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45361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45361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45361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45361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45361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45361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45361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45361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45361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45361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45361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45361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45361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45361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45361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45361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45361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45361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45361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45361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45361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45361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45361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45361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45361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45361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45361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45361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45361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45361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45361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45361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45361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45361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45361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45361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45361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45361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45361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45361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45361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45361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45361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45361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45361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45361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45361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45361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45361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45361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45361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45361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45361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45361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45361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45361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45361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45361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45361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45361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45361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45361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45361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45361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45361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45361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45361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45361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45361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45361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45361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45361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45361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45361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45361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45361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45361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45361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45361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45361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45361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45361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45361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45361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45361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45361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45361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45361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45361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45361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45361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45361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45361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45361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45361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45361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45361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45361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45361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45361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45361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45361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45361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45361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45361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45361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45361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45361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45361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45361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45361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45361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45361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45361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45361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45361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45361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45361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45361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45361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45361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45361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45361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45361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45361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45361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45361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45361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45361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45361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45361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45361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45361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45361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45361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45361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45361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45361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45361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45361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45361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45361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45361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45361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45361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45361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45361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45361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45361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45361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45361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45361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45361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45361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45361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45361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45361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45361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45361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45361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45361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45361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45361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45361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45361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45361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45361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45361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45361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45361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45361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45361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45361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45361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45361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45361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45361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45361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45361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45361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45361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45361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45361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45361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45361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45361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45361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45361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45361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45361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45361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45361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45361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45361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45361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45361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45361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45361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45361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45361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45361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45361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45361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45361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45361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45361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45361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45361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45361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45361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45361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45361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45361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45361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45361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45361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45361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45361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45361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45361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45361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45361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45361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45361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45361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45361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45361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45361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45361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45361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45361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45361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45361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45361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45361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45361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45361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45361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45361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45361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45361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45361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45361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45361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45361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45361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45361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45361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45361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45361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45361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45361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45361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45361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45361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45361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45361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45361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45361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45361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45361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45361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45361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45361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45361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45361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45361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45361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45361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45361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45361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45361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45361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45361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45361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45361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45361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45361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45361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45361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45361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45361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45361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45361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45361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45361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45361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45361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45361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45361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45361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45361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45361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45347</v>
      </c>
      <c r="C1269" s="1" t="n">
        <v>45361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45361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45361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45361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45361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8727-2024</t>
        </is>
      </c>
      <c r="B1274" s="1" t="n">
        <v>45356</v>
      </c>
      <c r="C1274" s="1" t="n">
        <v>45361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8964-2024</t>
        </is>
      </c>
      <c r="B1275" s="1" t="n">
        <v>45357</v>
      </c>
      <c r="C1275" s="1" t="n">
        <v>45361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9289-2024</t>
        </is>
      </c>
      <c r="B1276" s="1" t="n">
        <v>45358</v>
      </c>
      <c r="C1276" s="1" t="n">
        <v>45361</v>
      </c>
      <c r="D1276" t="inlineStr">
        <is>
          <t>VÄSTERBOTTENS LÄN</t>
        </is>
      </c>
      <c r="E1276" t="inlineStr">
        <is>
          <t>LYCKSELE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2024-03-10T17:30:51Z</dcterms:created>
  <dcterms:modified xmlns:dcterms="http://purl.org/dc/terms/" xmlns:xsi="http://www.w3.org/2001/XMLSchema-instance" xsi:type="dcterms:W3CDTF">2024-03-10T17:30:52Z</dcterms:modified>
</cp:coreProperties>
</file>