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46235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46235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46235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46235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46235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0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37406-2025 artfynd.xlsx", "A 37406-2025")</f>
        <v/>
      </c>
      <c r="X9">
        <f>HYPERLINK("https://klasma.github.io/Logging_2481/kartor/A 37406-2025 karta.png", "A 37406-2025")</f>
        <v/>
      </c>
      <c r="Y9">
        <f>HYPERLINK("https://klasma.github.io/Logging_2481/kartor_geotiff/A 37406-2025 georefererad karta.tif", "A 37406-2025")</f>
        <v/>
      </c>
      <c r="Z9">
        <f>HYPERLINK("https://klasma.github.io/Logging_2481/knärot/A 37406-2025 karta knärot.png", "A 37406-2025")</f>
        <v/>
      </c>
      <c r="AA9">
        <f>HYPERLINK("https://klasma.github.io/Logging_2481/klagomål/A 37406-2025 FSC-klagomål.docx", "A 37406-2025")</f>
        <v/>
      </c>
      <c r="AB9">
        <f>HYPERLINK("https://klasma.github.io/Logging_2481/klagomålsmail/A 37406-2025 FSC-klagomål mail.docx", "A 37406-2025")</f>
        <v/>
      </c>
      <c r="AC9">
        <f>HYPERLINK("https://klasma.github.io/Logging_2481/tillsyn/A 37406-2025 tillsynsbegäran.docx", "A 37406-2025")</f>
        <v/>
      </c>
      <c r="AD9">
        <f>HYPERLINK("https://klasma.github.io/Logging_2481/tillsynsmail/A 37406-2025 tillsynsbegäran mail.docx", "A 37406-2025")</f>
        <v/>
      </c>
      <c r="AE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46235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46235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46235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46235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46235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46235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46235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46235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46235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46235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46235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46235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46235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46235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46235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46235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46235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46235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46235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46235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46235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46235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46235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46235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56000-2024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45623</v>
      </c>
      <c r="E38" s="1" t="n">
        <v>46235</v>
      </c>
      <c r="F38" t="inlineStr">
        <is>
          <t>VÄSTERBOTTENS LÄN</t>
        </is>
      </c>
      <c r="G38" t="inlineStr">
        <is>
          <t>LYCKSELE</t>
        </is>
      </c>
      <c r="I38" t="n">
        <v>1.4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Dropptaggsvamp
Rosenticka
Norrlandslav
Tjäder</t>
        </is>
      </c>
      <c r="W38">
        <f>HYPERLINK("https://klasma.github.io/Logging_2481/artfynd/A 56000-2024 artfynd.xlsx", "A 56000-2024")</f>
        <v/>
      </c>
      <c r="X38">
        <f>HYPERLINK("https://klasma.github.io/Logging_2481/kartor/A 56000-2024 karta.png", "A 56000-2024")</f>
        <v/>
      </c>
      <c r="Y38">
        <f>HYPERLINK("https://klasma.github.io/Logging_2481/kartor_geotiff/A 56000-2024 georefererad karta.tif", "A 56000-2024")</f>
        <v/>
      </c>
      <c r="AA38">
        <f>HYPERLINK("https://klasma.github.io/Logging_2481/klagomål/A 56000-2024 FSC-klagomål.docx", "A 56000-2024")</f>
        <v/>
      </c>
      <c r="AB38">
        <f>HYPERLINK("https://klasma.github.io/Logging_2481/klagomålsmail/A 56000-2024 FSC-klagomål mail.docx", "A 56000-2024")</f>
        <v/>
      </c>
      <c r="AC38">
        <f>HYPERLINK("https://klasma.github.io/Logging_2481/tillsyn/A 56000-2024 tillsynsbegäran.docx", "A 56000-2024")</f>
        <v/>
      </c>
      <c r="AD38">
        <f>HYPERLINK("https://klasma.github.io/Logging_2481/tillsynsmail/A 56000-2024 tillsynsbegäran mail.docx", "A 56000-2024")</f>
        <v/>
      </c>
      <c r="AE38">
        <f>HYPERLINK("https://klasma.github.io/Logging_2481/fåglar/A 56000-2024 prioriterade fågelarter.docx", "A 56000-2024")</f>
        <v/>
      </c>
    </row>
    <row r="39" ht="15" customHeight="1">
      <c r="A39" t="inlineStr">
        <is>
          <t>A 31698-2023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46235</v>
      </c>
      <c r="F39" t="inlineStr">
        <is>
          <t>VÄSTERBOTTENS LÄN</t>
        </is>
      </c>
      <c r="G39" t="inlineStr">
        <is>
          <t>LYCKSELE</t>
        </is>
      </c>
      <c r="H39" t="inlineStr">
        <is>
          <t>Holmen skog AB</t>
        </is>
      </c>
      <c r="I39" t="n">
        <v>6.1</v>
      </c>
      <c r="J39" t="n">
        <v>5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Lavskrika
Rödvingetrast
Talltita
Bergfink
Orre</t>
        </is>
      </c>
      <c r="W39">
        <f>HYPERLINK("https://klasma.github.io/Logging_2481/artfynd/A 31698-2023 artfynd.xlsx", "A 31698-2023")</f>
        <v/>
      </c>
      <c r="X39">
        <f>HYPERLINK("https://klasma.github.io/Logging_2481/kartor/A 31698-2023 karta.png", "A 31698-2023")</f>
        <v/>
      </c>
      <c r="Y39">
        <f>HYPERLINK("https://klasma.github.io/Logging_2481/kartor_geotiff/A 31698-2023 georefererad karta.tif", "A 31698-2023")</f>
        <v/>
      </c>
      <c r="AA39">
        <f>HYPERLINK("https://klasma.github.io/Logging_2481/klagomål/A 31698-2023 FSC-klagomål.docx", "A 31698-2023")</f>
        <v/>
      </c>
      <c r="AB39">
        <f>HYPERLINK("https://klasma.github.io/Logging_2481/klagomålsmail/A 31698-2023 FSC-klagomål mail.docx", "A 31698-2023")</f>
        <v/>
      </c>
      <c r="AC39">
        <f>HYPERLINK("https://klasma.github.io/Logging_2481/tillsyn/A 31698-2023 tillsynsbegäran.docx", "A 31698-2023")</f>
        <v/>
      </c>
      <c r="AD39">
        <f>HYPERLINK("https://klasma.github.io/Logging_2481/tillsynsmail/A 31698-2023 tillsynsbegäran mail.docx", "A 31698-2023")</f>
        <v/>
      </c>
      <c r="AE39">
        <f>HYPERLINK("https://klasma.github.io/Logging_2481/fåglar/A 31698-2023 prioriterade fågelarter.docx", "A 31698-2023")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46235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46235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46235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46235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46235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46235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46235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46235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46235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46235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46235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46235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46235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46235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46235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46235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46235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46235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46235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21905-2026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46235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Lunglav</t>
        </is>
      </c>
      <c r="W60">
        <f>HYPERLINK("https://klasma.github.io/Logging_2481/artfynd/A 21905-2026 artfynd.xlsx", "A 21905-2026")</f>
        <v/>
      </c>
      <c r="X60">
        <f>HYPERLINK("https://klasma.github.io/Logging_2481/kartor/A 21905-2026 karta.png", "A 21905-2026")</f>
        <v/>
      </c>
      <c r="Y60">
        <f>HYPERLINK("https://klasma.github.io/Logging_2481/kartor_geotiff/A 21905-2026 georefererad karta.tif", "A 21905-2026")</f>
        <v/>
      </c>
      <c r="AA60">
        <f>HYPERLINK("https://klasma.github.io/Logging_2481/klagomål/A 21905-2026 FSC-klagomål.docx", "A 21905-2026")</f>
        <v/>
      </c>
      <c r="AB60">
        <f>HYPERLINK("https://klasma.github.io/Logging_2481/klagomålsmail/A 21905-2026 FSC-klagomål mail.docx", "A 21905-2026")</f>
        <v/>
      </c>
      <c r="AC60">
        <f>HYPERLINK("https://klasma.github.io/Logging_2481/tillsyn/A 21905-2026 tillsynsbegäran.docx", "A 21905-2026")</f>
        <v/>
      </c>
      <c r="AD60">
        <f>HYPERLINK("https://klasma.github.io/Logging_2481/tillsynsmail/A 21905-2026 tillsynsbegäran mail.docx", "A 21905-2026")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46235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46235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46235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46235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46235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46235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46235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46235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46235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46235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46235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46235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46235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46235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41776-2024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45561</v>
      </c>
      <c r="E75" s="1" t="n">
        <v>46235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Kolflarnlav
Koralltaggsvamp</t>
        </is>
      </c>
      <c r="W75">
        <f>HYPERLINK("https://klasma.github.io/Logging_2481/artfynd/A 41776-2024 artfynd.xlsx", "A 41776-2024")</f>
        <v/>
      </c>
      <c r="X75">
        <f>HYPERLINK("https://klasma.github.io/Logging_2481/kartor/A 41776-2024 karta.png", "A 41776-2024")</f>
        <v/>
      </c>
      <c r="Y75">
        <f>HYPERLINK("https://klasma.github.io/Logging_2481/kartor_geotiff/A 41776-2024 georefererad karta.tif", "A 41776-2024")</f>
        <v/>
      </c>
      <c r="AA75">
        <f>HYPERLINK("https://klasma.github.io/Logging_2481/klagomål/A 41776-2024 FSC-klagomål.docx", "A 41776-2024")</f>
        <v/>
      </c>
      <c r="AB75">
        <f>HYPERLINK("https://klasma.github.io/Logging_2481/klagomålsmail/A 41776-2024 FSC-klagomål mail.docx", "A 41776-2024")</f>
        <v/>
      </c>
      <c r="AC75">
        <f>HYPERLINK("https://klasma.github.io/Logging_2481/tillsyn/A 41776-2024 tillsynsbegäran.docx", "A 41776-2024")</f>
        <v/>
      </c>
      <c r="AD75">
        <f>HYPERLINK("https://klasma.github.io/Logging_2481/tillsynsmail/A 41776-2024 tillsynsbegäran mail.docx", "A 41776-2024")</f>
        <v/>
      </c>
    </row>
    <row r="76" ht="15" customHeight="1">
      <c r="A76" t="inlineStr">
        <is>
          <t>A 20111-2025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46235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 taggsvamp
Orange taggsvamp</t>
        </is>
      </c>
      <c r="W76">
        <f>HYPERLINK("https://klasma.github.io/Logging_2481/artfynd/A 20111-2025 artfynd.xlsx", "A 20111-2025")</f>
        <v/>
      </c>
      <c r="X76">
        <f>HYPERLINK("https://klasma.github.io/Logging_2481/kartor/A 20111-2025 karta.png", "A 20111-2025")</f>
        <v/>
      </c>
      <c r="Y76">
        <f>HYPERLINK("https://klasma.github.io/Logging_2481/kartor_geotiff/A 20111-2025 georefererad karta.tif", "A 20111-2025")</f>
        <v/>
      </c>
      <c r="AA76">
        <f>HYPERLINK("https://klasma.github.io/Logging_2481/klagomål/A 20111-2025 FSC-klagomål.docx", "A 20111-2025")</f>
        <v/>
      </c>
      <c r="AB76">
        <f>HYPERLINK("https://klasma.github.io/Logging_2481/klagomålsmail/A 20111-2025 FSC-klagomål mail.docx", "A 20111-2025")</f>
        <v/>
      </c>
      <c r="AC76">
        <f>HYPERLINK("https://klasma.github.io/Logging_2481/tillsyn/A 20111-2025 tillsynsbegäran.docx", "A 20111-2025")</f>
        <v/>
      </c>
      <c r="AD76">
        <f>HYPERLINK("https://klasma.github.io/Logging_2481/tillsynsmail/A 20111-2025 tillsynsbegäran mail.docx", "A 20111-2025")</f>
        <v/>
      </c>
    </row>
    <row r="77" ht="15" customHeight="1">
      <c r="A77" t="inlineStr">
        <is>
          <t>A 28515-2023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46235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10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4</v>
      </c>
      <c r="V77" s="2" t="inlineStr">
        <is>
          <t>Lunglav
Tallticka</t>
        </is>
      </c>
      <c r="W77">
        <f>HYPERLINK("https://klasma.github.io/Logging_2481/artfynd/A 28515-2023 artfynd.xlsx", "A 28515-2023")</f>
        <v/>
      </c>
      <c r="X77">
        <f>HYPERLINK("https://klasma.github.io/Logging_2481/kartor/A 28515-2023 karta.png", "A 28515-2023")</f>
        <v/>
      </c>
      <c r="Y77">
        <f>HYPERLINK("https://klasma.github.io/Logging_2481/kartor_geotiff/A 28515-2023 georefererad karta.tif", "A 28515-2023")</f>
        <v/>
      </c>
      <c r="AA77">
        <f>HYPERLINK("https://klasma.github.io/Logging_2481/klagomål/A 28515-2023 FSC-klagomål.docx", "A 28515-2023")</f>
        <v/>
      </c>
      <c r="AB77">
        <f>HYPERLINK("https://klasma.github.io/Logging_2481/klagomålsmail/A 28515-2023 FSC-klagomål mail.docx", "A 28515-2023")</f>
        <v/>
      </c>
      <c r="AC77">
        <f>HYPERLINK("https://klasma.github.io/Logging_2481/tillsyn/A 28515-2023 tillsynsbegäran.docx", "A 28515-2023")</f>
        <v/>
      </c>
      <c r="AD77">
        <f>HYPERLINK("https://klasma.github.io/Logging_2481/tillsynsmail/A 28515-2023 tillsynsbegäran mail.docx", "A 28515-2023")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46235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2893-2023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46235</v>
      </c>
      <c r="F80" t="inlineStr">
        <is>
          <t>VÄSTERBOTTENS LÄN</t>
        </is>
      </c>
      <c r="G80" t="inlineStr">
        <is>
          <t>LYCKSELE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7</v>
      </c>
      <c r="U80" t="n">
        <v>7</v>
      </c>
      <c r="V80" s="2" t="inlineStr">
        <is>
          <t>Garnlav
Dropptaggsvamp</t>
        </is>
      </c>
      <c r="W80">
        <f>HYPERLINK("https://klasma.github.io/Logging_2481/artfynd/A 2893-2023 artfynd.xlsx", "A 2893-2023")</f>
        <v/>
      </c>
      <c r="X80">
        <f>HYPERLINK("https://klasma.github.io/Logging_2481/kartor/A 2893-2023 karta.png", "A 2893-2023")</f>
        <v/>
      </c>
      <c r="Y80">
        <f>HYPERLINK("https://klasma.github.io/Logging_2481/kartor_geotiff/A 2893-2023 georefererad karta.tif", "A 2893-2023")</f>
        <v/>
      </c>
      <c r="AA80">
        <f>HYPERLINK("https://klasma.github.io/Logging_2481/klagomål/A 2893-2023 FSC-klagomål.docx", "A 2893-2023")</f>
        <v/>
      </c>
      <c r="AB80">
        <f>HYPERLINK("https://klasma.github.io/Logging_2481/klagomålsmail/A 2893-2023 FSC-klagomål mail.docx", "A 2893-2023")</f>
        <v/>
      </c>
      <c r="AC80">
        <f>HYPERLINK("https://klasma.github.io/Logging_2481/tillsyn/A 2893-2023 tillsynsbegäran.docx", "A 2893-2023")</f>
        <v/>
      </c>
      <c r="AD80">
        <f>HYPERLINK("https://klasma.github.io/Logging_2481/tillsynsmail/A 2893-2023 tillsynsbegäran mail.docx", "A 2893-2023")</f>
        <v/>
      </c>
    </row>
    <row r="81" ht="15" customHeight="1">
      <c r="A81" t="inlineStr">
        <is>
          <t>A 44351-2025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46235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Tretåig hackspett</t>
        </is>
      </c>
      <c r="W81">
        <f>HYPERLINK("https://klasma.github.io/Logging_2481/artfynd/A 44351-2025 artfynd.xlsx", "A 44351-2025")</f>
        <v/>
      </c>
      <c r="X81">
        <f>HYPERLINK("https://klasma.github.io/Logging_2481/kartor/A 44351-2025 karta.png", "A 44351-2025")</f>
        <v/>
      </c>
      <c r="Y81">
        <f>HYPERLINK("https://klasma.github.io/Logging_2481/kartor_geotiff/A 44351-2025 georefererad karta.tif", "A 44351-2025")</f>
        <v/>
      </c>
      <c r="AA81">
        <f>HYPERLINK("https://klasma.github.io/Logging_2481/klagomål/A 44351-2025 FSC-klagomål.docx", "A 44351-2025")</f>
        <v/>
      </c>
      <c r="AB81">
        <f>HYPERLINK("https://klasma.github.io/Logging_2481/klagomålsmail/A 44351-2025 FSC-klagomål mail.docx", "A 44351-2025")</f>
        <v/>
      </c>
      <c r="AC81">
        <f>HYPERLINK("https://klasma.github.io/Logging_2481/tillsyn/A 44351-2025 tillsynsbegäran.docx", "A 44351-2025")</f>
        <v/>
      </c>
      <c r="AD81">
        <f>HYPERLINK("https://klasma.github.io/Logging_2481/tillsynsmail/A 44351-2025 tillsynsbegäran mail.docx", "A 44351-2025")</f>
        <v/>
      </c>
      <c r="AE81">
        <f>HYPERLINK("https://klasma.github.io/Logging_2481/fåglar/A 44351-2025 prioriterade fågelarter.docx", "A 44351-2025")</f>
        <v/>
      </c>
    </row>
    <row r="82" ht="15" customHeight="1">
      <c r="A82" t="inlineStr">
        <is>
          <t>A 38475-2023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46235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 taggsvamp
Mörk kolflarnlav</t>
        </is>
      </c>
      <c r="W82">
        <f>HYPERLINK("https://klasma.github.io/Logging_2481/artfynd/A 38475-2023 artfynd.xlsx", "A 38475-2023")</f>
        <v/>
      </c>
      <c r="X82">
        <f>HYPERLINK("https://klasma.github.io/Logging_2481/kartor/A 38475-2023 karta.png", "A 38475-2023")</f>
        <v/>
      </c>
      <c r="Y82">
        <f>HYPERLINK("https://klasma.github.io/Logging_2481/kartor_geotiff/A 38475-2023 georefererad karta.tif", "A 38475-2023")</f>
        <v/>
      </c>
      <c r="AA82">
        <f>HYPERLINK("https://klasma.github.io/Logging_2481/klagomål/A 38475-2023 FSC-klagomål.docx", "A 38475-2023")</f>
        <v/>
      </c>
      <c r="AB82">
        <f>HYPERLINK("https://klasma.github.io/Logging_2481/klagomålsmail/A 38475-2023 FSC-klagomål mail.docx", "A 38475-2023")</f>
        <v/>
      </c>
      <c r="AC82">
        <f>HYPERLINK("https://klasma.github.io/Logging_2481/tillsyn/A 38475-2023 tillsynsbegäran.docx", "A 38475-2023")</f>
        <v/>
      </c>
      <c r="AD82">
        <f>HYPERLINK("https://klasma.github.io/Logging_2481/tillsynsmail/A 38475-2023 tillsynsbegäran mail.docx", "A 38475-2023")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46235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Stuplav</t>
        </is>
      </c>
      <c r="W83">
        <f>HYPERLINK("https://klasma.github.io/Logging_2481/artfynd/A 45359-2025 artfynd.xlsx", "A 45359-2025")</f>
        <v/>
      </c>
      <c r="X83">
        <f>HYPERLINK("https://klasma.github.io/Logging_2481/kartor/A 45359-2025 karta.png", "A 45359-2025")</f>
        <v/>
      </c>
      <c r="Y83">
        <f>HYPERLINK("https://klasma.github.io/Logging_2481/kartor_geotiff/A 45359-2025 georefererad karta.tif", "A 45359-2025")</f>
        <v/>
      </c>
      <c r="AA83">
        <f>HYPERLINK("https://klasma.github.io/Logging_2481/klagomål/A 45359-2025 FSC-klagomål.docx", "A 45359-2025")</f>
        <v/>
      </c>
      <c r="AB83">
        <f>HYPERLINK("https://klasma.github.io/Logging_2481/klagomålsmail/A 45359-2025 FSC-klagomål mail.docx", "A 45359-2025")</f>
        <v/>
      </c>
      <c r="AC83">
        <f>HYPERLINK("https://klasma.github.io/Logging_2481/tillsyn/A 45359-2025 tillsynsbegäran.docx", "A 45359-2025")</f>
        <v/>
      </c>
      <c r="AD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46235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46235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15197-2023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45016</v>
      </c>
      <c r="E86" s="1" t="n">
        <v>46235</v>
      </c>
      <c r="F86" t="inlineStr">
        <is>
          <t>VÄSTERBOTTENS LÄN</t>
        </is>
      </c>
      <c r="G86" t="inlineStr">
        <is>
          <t>LYCKSELE</t>
        </is>
      </c>
      <c r="I86" t="n">
        <v>11.2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Dropptaggsvamp
Vaddporing</t>
        </is>
      </c>
      <c r="W86">
        <f>HYPERLINK("https://klasma.github.io/Logging_2481/artfynd/A 15197-2023 artfynd.xlsx", "A 15197-2023")</f>
        <v/>
      </c>
      <c r="X86">
        <f>HYPERLINK("https://klasma.github.io/Logging_2481/kartor/A 15197-2023 karta.png", "A 15197-2023")</f>
        <v/>
      </c>
      <c r="Y86">
        <f>HYPERLINK("https://klasma.github.io/Logging_2481/kartor_geotiff/A 15197-2023 georefererad karta.tif", "A 15197-2023")</f>
        <v/>
      </c>
      <c r="AA86">
        <f>HYPERLINK("https://klasma.github.io/Logging_2481/klagomål/A 15197-2023 FSC-klagomål.docx", "A 15197-2023")</f>
        <v/>
      </c>
      <c r="AB86">
        <f>HYPERLINK("https://klasma.github.io/Logging_2481/klagomålsmail/A 15197-2023 FSC-klagomål mail.docx", "A 15197-2023")</f>
        <v/>
      </c>
      <c r="AC86">
        <f>HYPERLINK("https://klasma.github.io/Logging_2481/tillsyn/A 15197-2023 tillsynsbegäran.docx", "A 15197-2023")</f>
        <v/>
      </c>
      <c r="AD86">
        <f>HYPERLINK("https://klasma.github.io/Logging_2481/tillsynsmail/A 15197-2023 tillsynsbegäran mail.docx", "A 15197-2023")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46235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46235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Lavskrika</t>
        </is>
      </c>
      <c r="W90">
        <f>HYPERLINK("https://klasma.github.io/Logging_2481/artfynd/A 52234-2024 artfynd.xlsx", "A 52234-2024")</f>
        <v/>
      </c>
      <c r="X90">
        <f>HYPERLINK("https://klasma.github.io/Logging_2481/kartor/A 52234-2024 karta.png", "A 52234-2024")</f>
        <v/>
      </c>
      <c r="Y90">
        <f>HYPERLINK("https://klasma.github.io/Logging_2481/kartor_geotiff/A 52234-2024 georefererad karta.tif", "A 52234-2024")</f>
        <v/>
      </c>
      <c r="AA90">
        <f>HYPERLINK("https://klasma.github.io/Logging_2481/klagomål/A 52234-2024 FSC-klagomål.docx", "A 52234-2024")</f>
        <v/>
      </c>
      <c r="AB90">
        <f>HYPERLINK("https://klasma.github.io/Logging_2481/klagomålsmail/A 52234-2024 FSC-klagomål mail.docx", "A 52234-2024")</f>
        <v/>
      </c>
      <c r="AC90">
        <f>HYPERLINK("https://klasma.github.io/Logging_2481/tillsyn/A 52234-2024 tillsynsbegäran.docx", "A 52234-2024")</f>
        <v/>
      </c>
      <c r="AD90">
        <f>HYPERLINK("https://klasma.github.io/Logging_2481/tillsynsmail/A 52234-2024 tillsynsbegäran mail.docx", "A 52234-2024")</f>
        <v/>
      </c>
      <c r="AE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46235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22688-2026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46156</v>
      </c>
      <c r="E92" s="1" t="n">
        <v>46235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18.3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Kolflarnlav</t>
        </is>
      </c>
      <c r="W92">
        <f>HYPERLINK("https://klasma.github.io/Logging_2481/artfynd/A 22688-2026 artfynd.xlsx", "A 22688-2026")</f>
        <v/>
      </c>
      <c r="X92">
        <f>HYPERLINK("https://klasma.github.io/Logging_2481/kartor/A 22688-2026 karta.png", "A 22688-2026")</f>
        <v/>
      </c>
      <c r="Y92">
        <f>HYPERLINK("https://klasma.github.io/Logging_2481/kartor_geotiff/A 22688-2026 georefererad karta.tif", "A 22688-2026")</f>
        <v/>
      </c>
      <c r="AA92">
        <f>HYPERLINK("https://klasma.github.io/Logging_2481/klagomål/A 22688-2026 FSC-klagomål.docx", "A 22688-2026")</f>
        <v/>
      </c>
      <c r="AB92">
        <f>HYPERLINK("https://klasma.github.io/Logging_2481/klagomålsmail/A 22688-2026 FSC-klagomål mail.docx", "A 22688-2026")</f>
        <v/>
      </c>
      <c r="AC92">
        <f>HYPERLINK("https://klasma.github.io/Logging_2481/tillsyn/A 22688-2026 tillsynsbegäran.docx", "A 22688-2026")</f>
        <v/>
      </c>
      <c r="AD92">
        <f>HYPERLINK("https://klasma.github.io/Logging_2481/tillsynsmail/A 22688-2026 tillsynsbegäran mail.docx", "A 22688-2026")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46235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23096-2026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46235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12.7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23096-2026 artfynd.xlsx", "A 23096-2026")</f>
        <v/>
      </c>
      <c r="X94">
        <f>HYPERLINK("https://klasma.github.io/Logging_2481/kartor/A 23096-2026 karta.png", "A 23096-2026")</f>
        <v/>
      </c>
      <c r="Y94">
        <f>HYPERLINK("https://klasma.github.io/Logging_2481/kartor_geotiff/A 23096-2026 georefererad karta.tif", "A 23096-2026")</f>
        <v/>
      </c>
      <c r="AA94">
        <f>HYPERLINK("https://klasma.github.io/Logging_2481/klagomål/A 23096-2026 FSC-klagomål.docx", "A 23096-2026")</f>
        <v/>
      </c>
      <c r="AB94">
        <f>HYPERLINK("https://klasma.github.io/Logging_2481/klagomålsmail/A 23096-2026 FSC-klagomål mail.docx", "A 23096-2026")</f>
        <v/>
      </c>
      <c r="AC94">
        <f>HYPERLINK("https://klasma.github.io/Logging_2481/tillsyn/A 23096-2026 tillsynsbegäran.docx", "A 23096-2026")</f>
        <v/>
      </c>
      <c r="AD94">
        <f>HYPERLINK("https://klasma.github.io/Logging_2481/tillsynsmail/A 23096-2026 tillsynsbegäran mail.docx", "A 23096-2026")</f>
        <v/>
      </c>
    </row>
    <row r="95" ht="15" customHeight="1">
      <c r="A95" t="inlineStr">
        <is>
          <t>A 23098-2026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46235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23098-2026 artfynd.xlsx", "A 23098-2026")</f>
        <v/>
      </c>
      <c r="X95">
        <f>HYPERLINK("https://klasma.github.io/Logging_2481/kartor/A 23098-2026 karta.png", "A 23098-2026")</f>
        <v/>
      </c>
      <c r="Y95">
        <f>HYPERLINK("https://klasma.github.io/Logging_2481/kartor_geotiff/A 23098-2026 georefererad karta.tif", "A 23098-2026")</f>
        <v/>
      </c>
      <c r="AA95">
        <f>HYPERLINK("https://klasma.github.io/Logging_2481/klagomål/A 23098-2026 FSC-klagomål.docx", "A 23098-2026")</f>
        <v/>
      </c>
      <c r="AB95">
        <f>HYPERLINK("https://klasma.github.io/Logging_2481/klagomålsmail/A 23098-2026 FSC-klagomål mail.docx", "A 23098-2026")</f>
        <v/>
      </c>
      <c r="AC95">
        <f>HYPERLINK("https://klasma.github.io/Logging_2481/tillsyn/A 23098-2026 tillsynsbegäran.docx", "A 23098-2026")</f>
        <v/>
      </c>
      <c r="AD95">
        <f>HYPERLINK("https://klasma.github.io/Logging_2481/tillsynsmail/A 23098-2026 tillsynsbegäran mail.docx", "A 23098-2026")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46235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25722-2026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46235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14.6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25722-2026 artfynd.xlsx", "A 25722-2026")</f>
        <v/>
      </c>
      <c r="X97">
        <f>HYPERLINK("https://klasma.github.io/Logging_2481/kartor/A 25722-2026 karta.png", "A 25722-2026")</f>
        <v/>
      </c>
      <c r="Y97">
        <f>HYPERLINK("https://klasma.github.io/Logging_2481/kartor_geotiff/A 25722-2026 georefererad karta.tif", "A 25722-2026")</f>
        <v/>
      </c>
      <c r="AA97">
        <f>HYPERLINK("https://klasma.github.io/Logging_2481/klagomål/A 25722-2026 FSC-klagomål.docx", "A 25722-2026")</f>
        <v/>
      </c>
      <c r="AB97">
        <f>HYPERLINK("https://klasma.github.io/Logging_2481/klagomålsmail/A 25722-2026 FSC-klagomål mail.docx", "A 25722-2026")</f>
        <v/>
      </c>
      <c r="AC97">
        <f>HYPERLINK("https://klasma.github.io/Logging_2481/tillsyn/A 25722-2026 tillsynsbegäran.docx", "A 25722-2026")</f>
        <v/>
      </c>
      <c r="AD97">
        <f>HYPERLINK("https://klasma.github.io/Logging_2481/tillsynsmail/A 25722-2026 tillsynsbegäran mail.docx", "A 25722-2026")</f>
        <v/>
      </c>
    </row>
    <row r="98" ht="15" customHeight="1">
      <c r="A98" t="inlineStr">
        <is>
          <t>A 25713-2026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46235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Mörk kolflarnlav</t>
        </is>
      </c>
      <c r="W98">
        <f>HYPERLINK("https://klasma.github.io/Logging_2481/artfynd/A 25713-2026 artfynd.xlsx", "A 25713-2026")</f>
        <v/>
      </c>
      <c r="X98">
        <f>HYPERLINK("https://klasma.github.io/Logging_2481/kartor/A 25713-2026 karta.png", "A 25713-2026")</f>
        <v/>
      </c>
      <c r="Y98">
        <f>HYPERLINK("https://klasma.github.io/Logging_2481/kartor_geotiff/A 25713-2026 georefererad karta.tif", "A 25713-2026")</f>
        <v/>
      </c>
      <c r="AA98">
        <f>HYPERLINK("https://klasma.github.io/Logging_2481/klagomål/A 25713-2026 FSC-klagomål.docx", "A 25713-2026")</f>
        <v/>
      </c>
      <c r="AB98">
        <f>HYPERLINK("https://klasma.github.io/Logging_2481/klagomålsmail/A 25713-2026 FSC-klagomål mail.docx", "A 25713-2026")</f>
        <v/>
      </c>
      <c r="AC98">
        <f>HYPERLINK("https://klasma.github.io/Logging_2481/tillsyn/A 25713-2026 tillsynsbegäran.docx", "A 25713-2026")</f>
        <v/>
      </c>
      <c r="AD98">
        <f>HYPERLINK("https://klasma.github.io/Logging_2481/tillsynsmail/A 25713-2026 tillsynsbegäran mail.docx", "A 25713-2026")</f>
        <v/>
      </c>
    </row>
    <row r="99" ht="15" customHeight="1">
      <c r="A99" t="inlineStr">
        <is>
          <t>A 26116-2026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46235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Vedticka</t>
        </is>
      </c>
      <c r="W99">
        <f>HYPERLINK("https://klasma.github.io/Logging_2481/artfynd/A 26116-2026 artfynd.xlsx", "A 26116-2026")</f>
        <v/>
      </c>
      <c r="X99">
        <f>HYPERLINK("https://klasma.github.io/Logging_2481/kartor/A 26116-2026 karta.png", "A 26116-2026")</f>
        <v/>
      </c>
      <c r="Y99">
        <f>HYPERLINK("https://klasma.github.io/Logging_2481/kartor_geotiff/A 26116-2026 georefererad karta.tif", "A 26116-2026")</f>
        <v/>
      </c>
      <c r="AA99">
        <f>HYPERLINK("https://klasma.github.io/Logging_2481/klagomål/A 26116-2026 FSC-klagomål.docx", "A 26116-2026")</f>
        <v/>
      </c>
      <c r="AB99">
        <f>HYPERLINK("https://klasma.github.io/Logging_2481/klagomålsmail/A 26116-2026 FSC-klagomål mail.docx", "A 26116-2026")</f>
        <v/>
      </c>
      <c r="AC99">
        <f>HYPERLINK("https://klasma.github.io/Logging_2481/tillsyn/A 26116-2026 tillsynsbegäran.docx", "A 26116-2026")</f>
        <v/>
      </c>
      <c r="AD99">
        <f>HYPERLINK("https://klasma.github.io/Logging_2481/tillsynsmail/A 26116-2026 tillsynsbegäran mail.docx", "A 26116-2026")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46235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46235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Korallrot
Fläcknycklar</t>
        </is>
      </c>
      <c r="W101">
        <f>HYPERLINK("https://klasma.github.io/Logging_2481/artfynd/A 26927-2026 artfynd.xlsx", "A 26927-2026")</f>
        <v/>
      </c>
      <c r="X101">
        <f>HYPERLINK("https://klasma.github.io/Logging_2481/kartor/A 26927-2026 karta.png", "A 26927-2026")</f>
        <v/>
      </c>
      <c r="Y101">
        <f>HYPERLINK("https://klasma.github.io/Logging_2481/kartor_geotiff/A 26927-2026 georefererad karta.tif", "A 26927-2026")</f>
        <v/>
      </c>
      <c r="AA101">
        <f>HYPERLINK("https://klasma.github.io/Logging_2481/klagomål/A 26927-2026 FSC-klagomål.docx", "A 26927-2026")</f>
        <v/>
      </c>
      <c r="AB101">
        <f>HYPERLINK("https://klasma.github.io/Logging_2481/klagomålsmail/A 26927-2026 FSC-klagomål mail.docx", "A 26927-2026")</f>
        <v/>
      </c>
      <c r="AC101">
        <f>HYPERLINK("https://klasma.github.io/Logging_2481/tillsyn/A 26927-2026 tillsynsbegäran.docx", "A 26927-2026")</f>
        <v/>
      </c>
      <c r="AD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46235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46235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58657-2023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46235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14.4</v>
      </c>
      <c r="J105" t="n">
        <v>1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Talltita
Bollvitmossa</t>
        </is>
      </c>
      <c r="W105">
        <f>HYPERLINK("https://klasma.github.io/Logging_2481/artfynd/A 58657-2023 artfynd.xlsx", "A 58657-2023")</f>
        <v/>
      </c>
      <c r="X105">
        <f>HYPERLINK("https://klasma.github.io/Logging_2481/kartor/A 58657-2023 karta.png", "A 58657-2023")</f>
        <v/>
      </c>
      <c r="Y105">
        <f>HYPERLINK("https://klasma.github.io/Logging_2481/kartor_geotiff/A 58657-2023 georefererad karta.tif", "A 58657-2023")</f>
        <v/>
      </c>
      <c r="AA105">
        <f>HYPERLINK("https://klasma.github.io/Logging_2481/klagomål/A 58657-2023 FSC-klagomål.docx", "A 58657-2023")</f>
        <v/>
      </c>
      <c r="AB105">
        <f>HYPERLINK("https://klasma.github.io/Logging_2481/klagomålsmail/A 58657-2023 FSC-klagomål mail.docx", "A 58657-2023")</f>
        <v/>
      </c>
      <c r="AC105">
        <f>HYPERLINK("https://klasma.github.io/Logging_2481/tillsyn/A 58657-2023 tillsynsbegäran.docx", "A 58657-2023")</f>
        <v/>
      </c>
      <c r="AD105">
        <f>HYPERLINK("https://klasma.github.io/Logging_2481/tillsynsmail/A 58657-2023 tillsynsbegäran mail.docx", "A 58657-2023")</f>
        <v/>
      </c>
      <c r="AE105">
        <f>HYPERLINK("https://klasma.github.io/Logging_2481/fåglar/A 58657-2023 prioriterade fågelarter.docx", "A 58657-2023")</f>
        <v/>
      </c>
    </row>
    <row r="106" ht="15" customHeight="1">
      <c r="A106" t="inlineStr">
        <is>
          <t>A 26271-2025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46235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Gammelgransskål
Lunglav</t>
        </is>
      </c>
      <c r="W106">
        <f>HYPERLINK("https://klasma.github.io/Logging_2481/artfynd/A 26271-2025 artfynd.xlsx", "A 26271-2025")</f>
        <v/>
      </c>
      <c r="X106">
        <f>HYPERLINK("https://klasma.github.io/Logging_2481/kartor/A 26271-2025 karta.png", "A 26271-2025")</f>
        <v/>
      </c>
      <c r="Y106">
        <f>HYPERLINK("https://klasma.github.io/Logging_2481/kartor_geotiff/A 26271-2025 georefererad karta.tif", "A 26271-2025")</f>
        <v/>
      </c>
      <c r="AA106">
        <f>HYPERLINK("https://klasma.github.io/Logging_2481/klagomål/A 26271-2025 FSC-klagomål.docx", "A 26271-2025")</f>
        <v/>
      </c>
      <c r="AB106">
        <f>HYPERLINK("https://klasma.github.io/Logging_2481/klagomålsmail/A 26271-2025 FSC-klagomål mail.docx", "A 26271-2025")</f>
        <v/>
      </c>
      <c r="AC106">
        <f>HYPERLINK("https://klasma.github.io/Logging_2481/tillsyn/A 26271-2025 tillsynsbegäran.docx", "A 26271-2025")</f>
        <v/>
      </c>
      <c r="AD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46235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2</v>
      </c>
      <c r="V107" s="2" t="inlineStr">
        <is>
          <t>Mörk kolflarnlav
Tretåig hackspett</t>
        </is>
      </c>
      <c r="W107">
        <f>HYPERLINK("https://klasma.github.io/Logging_2481/artfynd/A 30691-2025 artfynd.xlsx", "A 30691-2025")</f>
        <v/>
      </c>
      <c r="X107">
        <f>HYPERLINK("https://klasma.github.io/Logging_2481/kartor/A 30691-2025 karta.png", "A 30691-2025")</f>
        <v/>
      </c>
      <c r="Y107">
        <f>HYPERLINK("https://klasma.github.io/Logging_2481/kartor_geotiff/A 30691-2025 georefererad karta.tif", "A 30691-2025")</f>
        <v/>
      </c>
      <c r="AA107">
        <f>HYPERLINK("https://klasma.github.io/Logging_2481/klagomål/A 30691-2025 FSC-klagomål.docx", "A 30691-2025")</f>
        <v/>
      </c>
      <c r="AB107">
        <f>HYPERLINK("https://klasma.github.io/Logging_2481/klagomålsmail/A 30691-2025 FSC-klagomål mail.docx", "A 30691-2025")</f>
        <v/>
      </c>
      <c r="AC107">
        <f>HYPERLINK("https://klasma.github.io/Logging_2481/tillsyn/A 30691-2025 tillsynsbegäran.docx", "A 30691-2025")</f>
        <v/>
      </c>
      <c r="AD107">
        <f>HYPERLINK("https://klasma.github.io/Logging_2481/tillsynsmail/A 30691-2025 tillsynsbegäran mail.docx", "A 30691-2025")</f>
        <v/>
      </c>
      <c r="AE107">
        <f>HYPERLINK("https://klasma.github.io/Logging_2481/fåglar/A 30691-2025 prioriterade fågelarter.docx", "A 30691-2025")</f>
        <v/>
      </c>
    </row>
    <row r="108" ht="15" customHeight="1">
      <c r="A108" t="inlineStr">
        <is>
          <t>A 37458-2025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46235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5.1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Garnlav
Lavskrika</t>
        </is>
      </c>
      <c r="W108">
        <f>HYPERLINK("https://klasma.github.io/Logging_2481/artfynd/A 37458-2025 artfynd.xlsx", "A 37458-2025")</f>
        <v/>
      </c>
      <c r="X108">
        <f>HYPERLINK("https://klasma.github.io/Logging_2481/kartor/A 37458-2025 karta.png", "A 37458-2025")</f>
        <v/>
      </c>
      <c r="Y108">
        <f>HYPERLINK("https://klasma.github.io/Logging_2481/kartor_geotiff/A 37458-2025 georefererad karta.tif", "A 37458-2025")</f>
        <v/>
      </c>
      <c r="AA108">
        <f>HYPERLINK("https://klasma.github.io/Logging_2481/klagomål/A 37458-2025 FSC-klagomål.docx", "A 37458-2025")</f>
        <v/>
      </c>
      <c r="AB108">
        <f>HYPERLINK("https://klasma.github.io/Logging_2481/klagomålsmail/A 37458-2025 FSC-klagomål mail.docx", "A 37458-2025")</f>
        <v/>
      </c>
      <c r="AC108">
        <f>HYPERLINK("https://klasma.github.io/Logging_2481/tillsyn/A 37458-2025 tillsynsbegäran.docx", "A 37458-2025")</f>
        <v/>
      </c>
      <c r="AD108">
        <f>HYPERLINK("https://klasma.github.io/Logging_2481/tillsynsmail/A 37458-2025 tillsynsbegäran mail.docx", "A 37458-2025")</f>
        <v/>
      </c>
      <c r="AE108">
        <f>HYPERLINK("https://klasma.github.io/Logging_2481/fåglar/A 37458-2025 prioriterade fågelarter.docx", "A 37458-2025")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46235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46235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27553-2024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46235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27553-2024 artfynd.xlsx", "A 27553-2024")</f>
        <v/>
      </c>
      <c r="X115">
        <f>HYPERLINK("https://klasma.github.io/Logging_2481/kartor/A 27553-2024 karta.png", "A 27553-2024")</f>
        <v/>
      </c>
      <c r="Y115">
        <f>HYPERLINK("https://klasma.github.io/Logging_2481/kartor_geotiff/A 27553-2024 georefererad karta.tif", "A 27553-2024")</f>
        <v/>
      </c>
      <c r="AA115">
        <f>HYPERLINK("https://klasma.github.io/Logging_2481/klagomål/A 27553-2024 FSC-klagomål.docx", "A 27553-2024")</f>
        <v/>
      </c>
      <c r="AB115">
        <f>HYPERLINK("https://klasma.github.io/Logging_2481/klagomålsmail/A 27553-2024 FSC-klagomål mail.docx", "A 27553-2024")</f>
        <v/>
      </c>
      <c r="AC115">
        <f>HYPERLINK("https://klasma.github.io/Logging_2481/tillsyn/A 27553-2024 tillsynsbegäran.docx", "A 27553-2024")</f>
        <v/>
      </c>
      <c r="AD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46235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Ullticka</t>
        </is>
      </c>
      <c r="W116">
        <f>HYPERLINK("https://klasma.github.io/Logging_2481/artfynd/A 9341-2022 artfynd.xlsx", "A 9341-2022")</f>
        <v/>
      </c>
      <c r="X116">
        <f>HYPERLINK("https://klasma.github.io/Logging_2481/kartor/A 9341-2022 karta.png", "A 9341-2022")</f>
        <v/>
      </c>
      <c r="Y116">
        <f>HYPERLINK("https://klasma.github.io/Logging_2481/kartor_geotiff/A 9341-2022 georefererad karta.tif", "A 9341-2022")</f>
        <v/>
      </c>
      <c r="AA116">
        <f>HYPERLINK("https://klasma.github.io/Logging_2481/klagomål/A 9341-2022 FSC-klagomål.docx", "A 9341-2022")</f>
        <v/>
      </c>
      <c r="AB116">
        <f>HYPERLINK("https://klasma.github.io/Logging_2481/klagomålsmail/A 9341-2022 FSC-klagomål mail.docx", "A 9341-2022")</f>
        <v/>
      </c>
      <c r="AC116">
        <f>HYPERLINK("https://klasma.github.io/Logging_2481/tillsyn/A 9341-2022 tillsynsbegäran.docx", "A 9341-2022")</f>
        <v/>
      </c>
      <c r="AD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46235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Gammelgransskål</t>
        </is>
      </c>
      <c r="W117">
        <f>HYPERLINK("https://klasma.github.io/Logging_2481/artfynd/A 34809-2022 artfynd.xlsx", "A 34809-2022")</f>
        <v/>
      </c>
      <c r="X117">
        <f>HYPERLINK("https://klasma.github.io/Logging_2481/kartor/A 34809-2022 karta.png", "A 34809-2022")</f>
        <v/>
      </c>
      <c r="Y117">
        <f>HYPERLINK("https://klasma.github.io/Logging_2481/kartor_geotiff/A 34809-2022 georefererad karta.tif", "A 34809-2022")</f>
        <v/>
      </c>
      <c r="AA117">
        <f>HYPERLINK("https://klasma.github.io/Logging_2481/klagomål/A 34809-2022 FSC-klagomål.docx", "A 34809-2022")</f>
        <v/>
      </c>
      <c r="AB117">
        <f>HYPERLINK("https://klasma.github.io/Logging_2481/klagomålsmail/A 34809-2022 FSC-klagomål mail.docx", "A 34809-2022")</f>
        <v/>
      </c>
      <c r="AC117">
        <f>HYPERLINK("https://klasma.github.io/Logging_2481/tillsyn/A 34809-2022 tillsynsbegäran.docx", "A 34809-2022")</f>
        <v/>
      </c>
      <c r="AD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46235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37823-2025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45881</v>
      </c>
      <c r="E119" s="1" t="n">
        <v>46235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Plattlummer</t>
        </is>
      </c>
      <c r="W119">
        <f>HYPERLINK("https://klasma.github.io/Logging_2481/artfynd/A 37823-2025 artfynd.xlsx", "A 37823-2025")</f>
        <v/>
      </c>
      <c r="X119">
        <f>HYPERLINK("https://klasma.github.io/Logging_2481/kartor/A 37823-2025 karta.png", "A 37823-2025")</f>
        <v/>
      </c>
      <c r="Y119">
        <f>HYPERLINK("https://klasma.github.io/Logging_2481/kartor_geotiff/A 37823-2025 georefererad karta.tif", "A 37823-2025")</f>
        <v/>
      </c>
      <c r="AA119">
        <f>HYPERLINK("https://klasma.github.io/Logging_2481/klagomål/A 37823-2025 FSC-klagomål.docx", "A 37823-2025")</f>
        <v/>
      </c>
      <c r="AB119">
        <f>HYPERLINK("https://klasma.github.io/Logging_2481/klagomålsmail/A 37823-2025 FSC-klagomål mail.docx", "A 37823-2025")</f>
        <v/>
      </c>
      <c r="AC119">
        <f>HYPERLINK("https://klasma.github.io/Logging_2481/tillsyn/A 37823-2025 tillsynsbegäran.docx", "A 37823-2025")</f>
        <v/>
      </c>
      <c r="AD119">
        <f>HYPERLINK("https://klasma.github.io/Logging_2481/tillsynsmail/A 37823-2025 tillsynsbegäran mail.docx", "A 37823-2025")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kolflarnlav</t>
        </is>
      </c>
      <c r="W120">
        <f>HYPERLINK("https://klasma.github.io/Logging_2481/artfynd/A 39231-2025 artfynd.xlsx", "A 39231-2025")</f>
        <v/>
      </c>
      <c r="X120">
        <f>HYPERLINK("https://klasma.github.io/Logging_2481/kartor/A 39231-2025 karta.png", "A 39231-2025")</f>
        <v/>
      </c>
      <c r="Y120">
        <f>HYPERLINK("https://klasma.github.io/Logging_2481/kartor_geotiff/A 39231-2025 georefererad karta.tif", "A 39231-2025")</f>
        <v/>
      </c>
      <c r="AA120">
        <f>HYPERLINK("https://klasma.github.io/Logging_2481/klagomål/A 39231-2025 FSC-klagomål.docx", "A 39231-2025")</f>
        <v/>
      </c>
      <c r="AB120">
        <f>HYPERLINK("https://klasma.github.io/Logging_2481/klagomålsmail/A 39231-2025 FSC-klagomål mail.docx", "A 39231-2025")</f>
        <v/>
      </c>
      <c r="AC120">
        <f>HYPERLINK("https://klasma.github.io/Logging_2481/tillsyn/A 39231-2025 tillsynsbegäran.docx", "A 39231-2025")</f>
        <v/>
      </c>
      <c r="AD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46235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HYPERLINK("https://klasma.github.io/Logging_2481/artfynd/A 39280-2025 artfynd.xlsx", "A 39280-2025")</f>
        <v/>
      </c>
      <c r="X121">
        <f>HYPERLINK("https://klasma.github.io/Logging_2481/kartor/A 39280-2025 karta.png", "A 39280-2025")</f>
        <v/>
      </c>
      <c r="Y121">
        <f>HYPERLINK("https://klasma.github.io/Logging_2481/kartor_geotiff/A 39280-2025 georefererad karta.tif", "A 39280-2025")</f>
        <v/>
      </c>
      <c r="AA121">
        <f>HYPERLINK("https://klasma.github.io/Logging_2481/klagomål/A 39280-2025 FSC-klagomål.docx", "A 39280-2025")</f>
        <v/>
      </c>
      <c r="AB121">
        <f>HYPERLINK("https://klasma.github.io/Logging_2481/klagomålsmail/A 39280-2025 FSC-klagomål mail.docx", "A 39280-2025")</f>
        <v/>
      </c>
      <c r="AC121">
        <f>HYPERLINK("https://klasma.github.io/Logging_2481/tillsyn/A 39280-2025 tillsynsbegäran.docx", "A 39280-2025")</f>
        <v/>
      </c>
      <c r="AD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61910-2024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46235</v>
      </c>
      <c r="F122" t="inlineStr">
        <is>
          <t>VÄSTERBOTTENS LÄN</t>
        </is>
      </c>
      <c r="G122" t="inlineStr">
        <is>
          <t>LYCKSELE</t>
        </is>
      </c>
      <c r="I122" t="n">
        <v>5.8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7</v>
      </c>
      <c r="U122" t="n">
        <v>3</v>
      </c>
      <c r="V122" s="2" t="inlineStr">
        <is>
          <t>Norna</t>
        </is>
      </c>
      <c r="W122">
        <f>HYPERLINK("https://klasma.github.io/Logging_2481/artfynd/A 61910-2024 artfynd.xlsx", "A 61910-2024")</f>
        <v/>
      </c>
      <c r="X122">
        <f>HYPERLINK("https://klasma.github.io/Logging_2481/kartor/A 61910-2024 karta.png", "A 61910-2024")</f>
        <v/>
      </c>
      <c r="Y122">
        <f>HYPERLINK("https://klasma.github.io/Logging_2481/kartor_geotiff/A 61910-2024 georefererad karta.tif", "A 61910-2024")</f>
        <v/>
      </c>
      <c r="AA122">
        <f>HYPERLINK("https://klasma.github.io/Logging_2481/klagomål/A 61910-2024 FSC-klagomål.docx", "A 61910-2024")</f>
        <v/>
      </c>
      <c r="AB122">
        <f>HYPERLINK("https://klasma.github.io/Logging_2481/klagomålsmail/A 61910-2024 FSC-klagomål mail.docx", "A 61910-2024")</f>
        <v/>
      </c>
      <c r="AC122">
        <f>HYPERLINK("https://klasma.github.io/Logging_2481/tillsyn/A 61910-2024 tillsynsbegäran.docx", "A 61910-2024")</f>
        <v/>
      </c>
      <c r="AD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20404-2026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46235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20404-2026 artfynd.xlsx", "A 20404-2026")</f>
        <v/>
      </c>
      <c r="X123">
        <f>HYPERLINK("https://klasma.github.io/Logging_2481/kartor/A 20404-2026 karta.png", "A 20404-2026")</f>
        <v/>
      </c>
      <c r="Y123">
        <f>HYPERLINK("https://klasma.github.io/Logging_2481/kartor_geotiff/A 20404-2026 georefererad karta.tif", "A 20404-2026")</f>
        <v/>
      </c>
      <c r="AA123">
        <f>HYPERLINK("https://klasma.github.io/Logging_2481/klagomål/A 20404-2026 FSC-klagomål.docx", "A 20404-2026")</f>
        <v/>
      </c>
      <c r="AB123">
        <f>HYPERLINK("https://klasma.github.io/Logging_2481/klagomålsmail/A 20404-2026 FSC-klagomål mail.docx", "A 20404-2026")</f>
        <v/>
      </c>
      <c r="AC123">
        <f>HYPERLINK("https://klasma.github.io/Logging_2481/tillsyn/A 20404-2026 tillsynsbegäran.docx", "A 20404-2026")</f>
        <v/>
      </c>
      <c r="AD123">
        <f>HYPERLINK("https://klasma.github.io/Logging_2481/tillsynsmail/A 20404-2026 tillsynsbegäran mail.docx", "A 20404-2026")</f>
        <v/>
      </c>
    </row>
    <row r="124" ht="15" customHeight="1">
      <c r="A124" t="inlineStr">
        <is>
          <t>A 37669-2024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46235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Dropptaggsvamp</t>
        </is>
      </c>
      <c r="W124">
        <f>HYPERLINK("https://klasma.github.io/Logging_2481/artfynd/A 37669-2024 artfynd.xlsx", "A 37669-2024")</f>
        <v/>
      </c>
      <c r="X124">
        <f>HYPERLINK("https://klasma.github.io/Logging_2481/kartor/A 37669-2024 karta.png", "A 37669-2024")</f>
        <v/>
      </c>
      <c r="Y124">
        <f>HYPERLINK("https://klasma.github.io/Logging_2481/kartor_geotiff/A 37669-2024 georefererad karta.tif", "A 37669-2024")</f>
        <v/>
      </c>
      <c r="AA124">
        <f>HYPERLINK("https://klasma.github.io/Logging_2481/klagomål/A 37669-2024 FSC-klagomål.docx", "A 37669-2024")</f>
        <v/>
      </c>
      <c r="AB124">
        <f>HYPERLINK("https://klasma.github.io/Logging_2481/klagomålsmail/A 37669-2024 FSC-klagomål mail.docx", "A 37669-2024")</f>
        <v/>
      </c>
      <c r="AC124">
        <f>HYPERLINK("https://klasma.github.io/Logging_2481/tillsyn/A 37669-2024 tillsynsbegäran.docx", "A 37669-2024")</f>
        <v/>
      </c>
      <c r="AD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46235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44360-2025 artfynd.xlsx", "A 44360-2025")</f>
        <v/>
      </c>
      <c r="X125">
        <f>HYPERLINK("https://klasma.github.io/Logging_2481/kartor/A 44360-2025 karta.png", "A 44360-2025")</f>
        <v/>
      </c>
      <c r="Y125">
        <f>HYPERLINK("https://klasma.github.io/Logging_2481/kartor_geotiff/A 44360-2025 georefererad karta.tif", "A 44360-2025")</f>
        <v/>
      </c>
      <c r="AA125">
        <f>HYPERLINK("https://klasma.github.io/Logging_2481/klagomål/A 44360-2025 FSC-klagomål.docx", "A 44360-2025")</f>
        <v/>
      </c>
      <c r="AB125">
        <f>HYPERLINK("https://klasma.github.io/Logging_2481/klagomålsmail/A 44360-2025 FSC-klagomål mail.docx", "A 44360-2025")</f>
        <v/>
      </c>
      <c r="AC125">
        <f>HYPERLINK("https://klasma.github.io/Logging_2481/tillsyn/A 44360-2025 tillsynsbegäran.docx", "A 44360-2025")</f>
        <v/>
      </c>
      <c r="AD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44331-2025 artfynd.xlsx", "A 44331-2025")</f>
        <v/>
      </c>
      <c r="X126">
        <f>HYPERLINK("https://klasma.github.io/Logging_2481/kartor/A 44331-2025 karta.png", "A 44331-2025")</f>
        <v/>
      </c>
      <c r="Y126">
        <f>HYPERLINK("https://klasma.github.io/Logging_2481/kartor_geotiff/A 44331-2025 georefererad karta.tif", "A 44331-2025")</f>
        <v/>
      </c>
      <c r="AA126">
        <f>HYPERLINK("https://klasma.github.io/Logging_2481/klagomål/A 44331-2025 FSC-klagomål.docx", "A 44331-2025")</f>
        <v/>
      </c>
      <c r="AB126">
        <f>HYPERLINK("https://klasma.github.io/Logging_2481/klagomålsmail/A 44331-2025 FSC-klagomål mail.docx", "A 44331-2025")</f>
        <v/>
      </c>
      <c r="AC126">
        <f>HYPERLINK("https://klasma.github.io/Logging_2481/tillsyn/A 44331-2025 tillsynsbegäran.docx", "A 44331-2025")</f>
        <v/>
      </c>
      <c r="AD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45127-2025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46235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21.6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Kolflarnlav</t>
        </is>
      </c>
      <c r="W127">
        <f>HYPERLINK("https://klasma.github.io/Logging_2481/artfynd/A 45127-2025 artfynd.xlsx", "A 45127-2025")</f>
        <v/>
      </c>
      <c r="X127">
        <f>HYPERLINK("https://klasma.github.io/Logging_2481/kartor/A 45127-2025 karta.png", "A 45127-2025")</f>
        <v/>
      </c>
      <c r="Y127">
        <f>HYPERLINK("https://klasma.github.io/Logging_2481/kartor_geotiff/A 45127-2025 georefererad karta.tif", "A 45127-2025")</f>
        <v/>
      </c>
      <c r="AA127">
        <f>HYPERLINK("https://klasma.github.io/Logging_2481/klagomål/A 45127-2025 FSC-klagomål.docx", "A 45127-2025")</f>
        <v/>
      </c>
      <c r="AB127">
        <f>HYPERLINK("https://klasma.github.io/Logging_2481/klagomålsmail/A 45127-2025 FSC-klagomål mail.docx", "A 45127-2025")</f>
        <v/>
      </c>
      <c r="AC127">
        <f>HYPERLINK("https://klasma.github.io/Logging_2481/tillsyn/A 45127-2025 tillsynsbegäran.docx", "A 45127-2025")</f>
        <v/>
      </c>
      <c r="AD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55938-2023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46235</v>
      </c>
      <c r="F128" t="inlineStr">
        <is>
          <t>VÄSTERBOTTENS LÄN</t>
        </is>
      </c>
      <c r="G128" t="inlineStr">
        <is>
          <t>LYCKSELE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HYPERLINK("https://klasma.github.io/Logging_2481/artfynd/A 55938-2023 artfynd.xlsx", "A 55938-2023")</f>
        <v/>
      </c>
      <c r="X128">
        <f>HYPERLINK("https://klasma.github.io/Logging_2481/kartor/A 55938-2023 karta.png", "A 55938-2023")</f>
        <v/>
      </c>
      <c r="Y128">
        <f>HYPERLINK("https://klasma.github.io/Logging_2481/kartor_geotiff/A 55938-2023 georefererad karta.tif", "A 55938-2023")</f>
        <v/>
      </c>
      <c r="AA128">
        <f>HYPERLINK("https://klasma.github.io/Logging_2481/klagomål/A 55938-2023 FSC-klagomål.docx", "A 55938-2023")</f>
        <v/>
      </c>
      <c r="AB128">
        <f>HYPERLINK("https://klasma.github.io/Logging_2481/klagomålsmail/A 55938-2023 FSC-klagomål mail.docx", "A 55938-2023")</f>
        <v/>
      </c>
      <c r="AC128">
        <f>HYPERLINK("https://klasma.github.io/Logging_2481/tillsyn/A 55938-2023 tillsynsbegäran.docx", "A 55938-2023")</f>
        <v/>
      </c>
      <c r="AD128">
        <f>HYPERLINK("https://klasma.github.io/Logging_2481/tillsynsmail/A 55938-2023 tillsynsbegäran mail.docx", "A 55938-2023")</f>
        <v/>
      </c>
      <c r="AE128">
        <f>HYPERLINK("https://klasma.github.io/Logging_2481/fåglar/A 55938-2023 prioriterade fågelarter.docx", "A 55938-2023")</f>
        <v/>
      </c>
    </row>
    <row r="129" ht="15" customHeight="1">
      <c r="A129" t="inlineStr">
        <is>
          <t>A 9924-2024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9924-2024 artfynd.xlsx", "A 9924-2024")</f>
        <v/>
      </c>
      <c r="X129">
        <f>HYPERLINK("https://klasma.github.io/Logging_2481/kartor/A 9924-2024 karta.png", "A 9924-2024")</f>
        <v/>
      </c>
      <c r="Y129">
        <f>HYPERLINK("https://klasma.github.io/Logging_2481/kartor_geotiff/A 9924-2024 georefererad karta.tif", "A 9924-2024")</f>
        <v/>
      </c>
      <c r="AA129">
        <f>HYPERLINK("https://klasma.github.io/Logging_2481/klagomål/A 9924-2024 FSC-klagomål.docx", "A 9924-2024")</f>
        <v/>
      </c>
      <c r="AB129">
        <f>HYPERLINK("https://klasma.github.io/Logging_2481/klagomålsmail/A 9924-2024 FSC-klagomål mail.docx", "A 9924-2024")</f>
        <v/>
      </c>
      <c r="AC129">
        <f>HYPERLINK("https://klasma.github.io/Logging_2481/tillsyn/A 9924-2024 tillsynsbegäran.docx", "A 9924-2024")</f>
        <v/>
      </c>
      <c r="AD129">
        <f>HYPERLINK("https://klasma.github.io/Logging_2481/tillsynsmail/A 9924-2024 tillsynsbegäran mail.docx", "A 9924-2024")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46235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50018-2024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45599</v>
      </c>
      <c r="E131" s="1" t="n">
        <v>46235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50018-2024 artfynd.xlsx", "A 50018-2024")</f>
        <v/>
      </c>
      <c r="X131">
        <f>HYPERLINK("https://klasma.github.io/Logging_2481/kartor/A 50018-2024 karta.png", "A 50018-2024")</f>
        <v/>
      </c>
      <c r="Y131">
        <f>HYPERLINK("https://klasma.github.io/Logging_2481/kartor_geotiff/A 50018-2024 georefererad karta.tif", "A 50018-2024")</f>
        <v/>
      </c>
      <c r="AA131">
        <f>HYPERLINK("https://klasma.github.io/Logging_2481/klagomål/A 50018-2024 FSC-klagomål.docx", "A 50018-2024")</f>
        <v/>
      </c>
      <c r="AB131">
        <f>HYPERLINK("https://klasma.github.io/Logging_2481/klagomålsmail/A 50018-2024 FSC-klagomål mail.docx", "A 50018-2024")</f>
        <v/>
      </c>
      <c r="AC131">
        <f>HYPERLINK("https://klasma.github.io/Logging_2481/tillsyn/A 50018-2024 tillsynsbegäran.docx", "A 50018-2024")</f>
        <v/>
      </c>
      <c r="AD131">
        <f>HYPERLINK("https://klasma.github.io/Logging_2481/tillsynsmail/A 50018-2024 tillsynsbegäran mail.docx", "A 50018-2024")</f>
        <v/>
      </c>
    </row>
    <row r="132" ht="15" customHeight="1">
      <c r="A132" t="inlineStr">
        <is>
          <t>A 22120-2026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46235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22120-2026 artfynd.xlsx", "A 22120-2026")</f>
        <v/>
      </c>
      <c r="X132">
        <f>HYPERLINK("https://klasma.github.io/Logging_2481/kartor/A 22120-2026 karta.png", "A 22120-2026")</f>
        <v/>
      </c>
      <c r="Y132">
        <f>HYPERLINK("https://klasma.github.io/Logging_2481/kartor_geotiff/A 22120-2026 georefererad karta.tif", "A 22120-2026")</f>
        <v/>
      </c>
      <c r="AA132">
        <f>HYPERLINK("https://klasma.github.io/Logging_2481/klagomål/A 22120-2026 FSC-klagomål.docx", "A 22120-2026")</f>
        <v/>
      </c>
      <c r="AB132">
        <f>HYPERLINK("https://klasma.github.io/Logging_2481/klagomålsmail/A 22120-2026 FSC-klagomål mail.docx", "A 22120-2026")</f>
        <v/>
      </c>
      <c r="AC132">
        <f>HYPERLINK("https://klasma.github.io/Logging_2481/tillsyn/A 22120-2026 tillsynsbegäran.docx", "A 22120-2026")</f>
        <v/>
      </c>
      <c r="AD132">
        <f>HYPERLINK("https://klasma.github.io/Logging_2481/tillsynsmail/A 22120-2026 tillsynsbegäran mail.docx", "A 22120-2026")</f>
        <v/>
      </c>
    </row>
    <row r="133" ht="15" customHeight="1">
      <c r="A133" t="inlineStr">
        <is>
          <t>A 50463-2025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46235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Dropptaggsvamp</t>
        </is>
      </c>
      <c r="W133">
        <f>HYPERLINK("https://klasma.github.io/Logging_2481/artfynd/A 50463-2025 artfynd.xlsx", "A 50463-2025")</f>
        <v/>
      </c>
      <c r="X133">
        <f>HYPERLINK("https://klasma.github.io/Logging_2481/kartor/A 50463-2025 karta.png", "A 50463-2025")</f>
        <v/>
      </c>
      <c r="Y133">
        <f>HYPERLINK("https://klasma.github.io/Logging_2481/kartor_geotiff/A 50463-2025 georefererad karta.tif", "A 50463-2025")</f>
        <v/>
      </c>
      <c r="AA133">
        <f>HYPERLINK("https://klasma.github.io/Logging_2481/klagomål/A 50463-2025 FSC-klagomål.docx", "A 50463-2025")</f>
        <v/>
      </c>
      <c r="AB133">
        <f>HYPERLINK("https://klasma.github.io/Logging_2481/klagomålsmail/A 50463-2025 FSC-klagomål mail.docx", "A 50463-2025")</f>
        <v/>
      </c>
      <c r="AC133">
        <f>HYPERLINK("https://klasma.github.io/Logging_2481/tillsyn/A 50463-2025 tillsynsbegäran.docx", "A 50463-2025")</f>
        <v/>
      </c>
      <c r="AD133">
        <f>HYPERLINK("https://klasma.github.io/Logging_2481/tillsynsmail/A 50463-2025 tillsynsbegäran mail.docx", "A 50463-2025")</f>
        <v/>
      </c>
    </row>
    <row r="134" ht="15" customHeight="1">
      <c r="A134" t="inlineStr">
        <is>
          <t>A 24824-2024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Kungsörn</t>
        </is>
      </c>
      <c r="W134">
        <f>HYPERLINK("https://klasma.github.io/Logging_2481/artfynd/A 24824-2024 artfynd.xlsx", "A 24824-2024")</f>
        <v/>
      </c>
      <c r="X134">
        <f>HYPERLINK("https://klasma.github.io/Logging_2481/kartor/A 24824-2024 karta.png", "A 24824-2024")</f>
        <v/>
      </c>
      <c r="Y134">
        <f>HYPERLINK("https://klasma.github.io/Logging_2481/kartor_geotiff/A 24824-2024 georefererad karta.tif", "A 24824-2024")</f>
        <v/>
      </c>
      <c r="AA134">
        <f>HYPERLINK("https://klasma.github.io/Logging_2481/klagomål/A 24824-2024 FSC-klagomål.docx", "A 24824-2024")</f>
        <v/>
      </c>
      <c r="AB134">
        <f>HYPERLINK("https://klasma.github.io/Logging_2481/klagomålsmail/A 24824-2024 FSC-klagomål mail.docx", "A 24824-2024")</f>
        <v/>
      </c>
      <c r="AC134">
        <f>HYPERLINK("https://klasma.github.io/Logging_2481/tillsyn/A 24824-2024 tillsynsbegäran.docx", "A 24824-2024")</f>
        <v/>
      </c>
      <c r="AD134">
        <f>HYPERLINK("https://klasma.github.io/Logging_2481/tillsynsmail/A 24824-2024 tillsynsbegäran mail.docx", "A 24824-2024")</f>
        <v/>
      </c>
      <c r="AE134">
        <f>HYPERLINK("https://klasma.github.io/Logging_2481/fåglar/A 24824-2024 prioriterade fågelarter.docx", "A 24824-2024")</f>
        <v/>
      </c>
    </row>
    <row r="135" ht="15" customHeight="1">
      <c r="A135" t="inlineStr">
        <is>
          <t>A 20929-2025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46235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HYPERLINK("https://klasma.github.io/Logging_2481/artfynd/A 20929-2025 artfynd.xlsx", "A 20929-2025")</f>
        <v/>
      </c>
      <c r="X135">
        <f>HYPERLINK("https://klasma.github.io/Logging_2481/kartor/A 20929-2025 karta.png", "A 20929-2025")</f>
        <v/>
      </c>
      <c r="Y135">
        <f>HYPERLINK("https://klasma.github.io/Logging_2481/kartor_geotiff/A 20929-2025 georefererad karta.tif", "A 20929-2025")</f>
        <v/>
      </c>
      <c r="AA135">
        <f>HYPERLINK("https://klasma.github.io/Logging_2481/klagomål/A 20929-2025 FSC-klagomål.docx", "A 20929-2025")</f>
        <v/>
      </c>
      <c r="AB135">
        <f>HYPERLINK("https://klasma.github.io/Logging_2481/klagomålsmail/A 20929-2025 FSC-klagomål mail.docx", "A 20929-2025")</f>
        <v/>
      </c>
      <c r="AC135">
        <f>HYPERLINK("https://klasma.github.io/Logging_2481/tillsyn/A 20929-2025 tillsynsbegäran.docx", "A 20929-2025")</f>
        <v/>
      </c>
      <c r="AD135">
        <f>HYPERLINK("https://klasma.github.io/Logging_2481/tillsynsmail/A 20929-2025 tillsynsbegäran mail.docx", "A 20929-2025")</f>
        <v/>
      </c>
    </row>
    <row r="136" ht="15" customHeight="1">
      <c r="A136" t="inlineStr">
        <is>
          <t>A 53108-2025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46235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Bårdlav</t>
        </is>
      </c>
      <c r="W136">
        <f>HYPERLINK("https://klasma.github.io/Logging_2481/artfynd/A 53108-2025 artfynd.xlsx", "A 53108-2025")</f>
        <v/>
      </c>
      <c r="X136">
        <f>HYPERLINK("https://klasma.github.io/Logging_2481/kartor/A 53108-2025 karta.png", "A 53108-2025")</f>
        <v/>
      </c>
      <c r="Y136">
        <f>HYPERLINK("https://klasma.github.io/Logging_2481/kartor_geotiff/A 53108-2025 georefererad karta.tif", "A 53108-2025")</f>
        <v/>
      </c>
      <c r="AA136">
        <f>HYPERLINK("https://klasma.github.io/Logging_2481/klagomål/A 53108-2025 FSC-klagomål.docx", "A 53108-2025")</f>
        <v/>
      </c>
      <c r="AB136">
        <f>HYPERLINK("https://klasma.github.io/Logging_2481/klagomålsmail/A 53108-2025 FSC-klagomål mail.docx", "A 53108-2025")</f>
        <v/>
      </c>
      <c r="AC136">
        <f>HYPERLINK("https://klasma.github.io/Logging_2481/tillsyn/A 53108-2025 tillsynsbegäran.docx", "A 53108-2025")</f>
        <v/>
      </c>
      <c r="AD136">
        <f>HYPERLINK("https://klasma.github.io/Logging_2481/tillsynsmail/A 53108-2025 tillsynsbegäran mail.docx", "A 53108-2025")</f>
        <v/>
      </c>
    </row>
    <row r="137" ht="15" customHeight="1">
      <c r="A137" t="inlineStr">
        <is>
          <t>A 53110-2025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46235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16.2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53110-2025 artfynd.xlsx", "A 53110-2025")</f>
        <v/>
      </c>
      <c r="X137">
        <f>HYPERLINK("https://klasma.github.io/Logging_2481/kartor/A 53110-2025 karta.png", "A 53110-2025")</f>
        <v/>
      </c>
      <c r="Y137">
        <f>HYPERLINK("https://klasma.github.io/Logging_2481/kartor_geotiff/A 53110-2025 georefererad karta.tif", "A 53110-2025")</f>
        <v/>
      </c>
      <c r="AA137">
        <f>HYPERLINK("https://klasma.github.io/Logging_2481/klagomål/A 53110-2025 FSC-klagomål.docx", "A 53110-2025")</f>
        <v/>
      </c>
      <c r="AB137">
        <f>HYPERLINK("https://klasma.github.io/Logging_2481/klagomålsmail/A 53110-2025 FSC-klagomål mail.docx", "A 53110-2025")</f>
        <v/>
      </c>
      <c r="AC137">
        <f>HYPERLINK("https://klasma.github.io/Logging_2481/tillsyn/A 53110-2025 tillsynsbegäran.docx", "A 53110-2025")</f>
        <v/>
      </c>
      <c r="AD137">
        <f>HYPERLINK("https://klasma.github.io/Logging_2481/tillsynsmail/A 53110-2025 tillsynsbegäran mail.docx", "A 53110-2025")</f>
        <v/>
      </c>
    </row>
    <row r="138" ht="15" customHeight="1">
      <c r="A138" t="inlineStr">
        <is>
          <t>A 28806-2026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46235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Holmen skog AB</t>
        </is>
      </c>
      <c r="I138" t="n">
        <v>3.3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HYPERLINK("https://klasma.github.io/Logging_2481/artfynd/A 28806-2026 artfynd.xlsx", "A 28806-2026")</f>
        <v/>
      </c>
      <c r="X138">
        <f>HYPERLINK("https://klasma.github.io/Logging_2481/kartor/A 28806-2026 karta.png", "A 28806-2026")</f>
        <v/>
      </c>
      <c r="Y138">
        <f>HYPERLINK("https://klasma.github.io/Logging_2481/kartor_geotiff/A 28806-2026 georefererad karta.tif", "A 28806-2026")</f>
        <v/>
      </c>
      <c r="AA138">
        <f>HYPERLINK("https://klasma.github.io/Logging_2481/klagomål/A 28806-2026 FSC-klagomål.docx", "A 28806-2026")</f>
        <v/>
      </c>
      <c r="AB138">
        <f>HYPERLINK("https://klasma.github.io/Logging_2481/klagomålsmail/A 28806-2026 FSC-klagomål mail.docx", "A 28806-2026")</f>
        <v/>
      </c>
      <c r="AC138">
        <f>HYPERLINK("https://klasma.github.io/Logging_2481/tillsyn/A 28806-2026 tillsynsbegäran.docx", "A 28806-2026")</f>
        <v/>
      </c>
      <c r="AD138">
        <f>HYPERLINK("https://klasma.github.io/Logging_2481/tillsynsmail/A 28806-2026 tillsynsbegäran mail.docx", "A 28806-2026")</f>
        <v/>
      </c>
    </row>
    <row r="139" ht="15" customHeight="1">
      <c r="A139" t="inlineStr">
        <is>
          <t>A 28459-2026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46235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SCA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Fläcknycklar</t>
        </is>
      </c>
      <c r="W139">
        <f>HYPERLINK("https://klasma.github.io/Logging_2481/artfynd/A 28459-2026 artfynd.xlsx", "A 28459-2026")</f>
        <v/>
      </c>
      <c r="X139">
        <f>HYPERLINK("https://klasma.github.io/Logging_2481/kartor/A 28459-2026 karta.png", "A 28459-2026")</f>
        <v/>
      </c>
      <c r="Y139">
        <f>HYPERLINK("https://klasma.github.io/Logging_2481/kartor_geotiff/A 28459-2026 georefererad karta.tif", "A 28459-2026")</f>
        <v/>
      </c>
      <c r="AA139">
        <f>HYPERLINK("https://klasma.github.io/Logging_2481/klagomål/A 28459-2026 FSC-klagomål.docx", "A 28459-2026")</f>
        <v/>
      </c>
      <c r="AB139">
        <f>HYPERLINK("https://klasma.github.io/Logging_2481/klagomålsmail/A 28459-2026 FSC-klagomål mail.docx", "A 28459-2026")</f>
        <v/>
      </c>
      <c r="AC139">
        <f>HYPERLINK("https://klasma.github.io/Logging_2481/tillsyn/A 28459-2026 tillsynsbegäran.docx", "A 28459-2026")</f>
        <v/>
      </c>
      <c r="AD139">
        <f>HYPERLINK("https://klasma.github.io/Logging_2481/tillsynsmail/A 28459-2026 tillsynsbegäran mail.docx", "A 28459-2026")</f>
        <v/>
      </c>
    </row>
    <row r="140" ht="15" customHeight="1">
      <c r="A140" t="inlineStr">
        <is>
          <t>A 54277-2025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46235</v>
      </c>
      <c r="F140" t="inlineStr">
        <is>
          <t>VÄSTERBOTTENS LÄN</t>
        </is>
      </c>
      <c r="G140" t="inlineStr">
        <is>
          <t>LYCKSELE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Garnlav</t>
        </is>
      </c>
      <c r="W140">
        <f>HYPERLINK("https://klasma.github.io/Logging_2481/artfynd/A 54277-2025 artfynd.xlsx", "A 54277-2025")</f>
        <v/>
      </c>
      <c r="X140">
        <f>HYPERLINK("https://klasma.github.io/Logging_2481/kartor/A 54277-2025 karta.png", "A 54277-2025")</f>
        <v/>
      </c>
      <c r="Y140">
        <f>HYPERLINK("https://klasma.github.io/Logging_2481/kartor_geotiff/A 54277-2025 georefererad karta.tif", "A 54277-2025")</f>
        <v/>
      </c>
      <c r="AA140">
        <f>HYPERLINK("https://klasma.github.io/Logging_2481/klagomål/A 54277-2025 FSC-klagomål.docx", "A 54277-2025")</f>
        <v/>
      </c>
      <c r="AB140">
        <f>HYPERLINK("https://klasma.github.io/Logging_2481/klagomålsmail/A 54277-2025 FSC-klagomål mail.docx", "A 54277-2025")</f>
        <v/>
      </c>
      <c r="AC140">
        <f>HYPERLINK("https://klasma.github.io/Logging_2481/tillsyn/A 54277-2025 tillsynsbegäran.docx", "A 54277-2025")</f>
        <v/>
      </c>
      <c r="AD140">
        <f>HYPERLINK("https://klasma.github.io/Logging_2481/tillsynsmail/A 54277-2025 tillsynsbegäran mail.docx", "A 54277-2025")</f>
        <v/>
      </c>
    </row>
    <row r="141" ht="15" customHeight="1">
      <c r="A141" t="inlineStr">
        <is>
          <t>A 22680-2026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46156</v>
      </c>
      <c r="E141" s="1" t="n">
        <v>46235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22.2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22680-2026 artfynd.xlsx", "A 22680-2026")</f>
        <v/>
      </c>
      <c r="X141">
        <f>HYPERLINK("https://klasma.github.io/Logging_2481/kartor/A 22680-2026 karta.png", "A 22680-2026")</f>
        <v/>
      </c>
      <c r="Y141">
        <f>HYPERLINK("https://klasma.github.io/Logging_2481/kartor_geotiff/A 22680-2026 georefererad karta.tif", "A 22680-2026")</f>
        <v/>
      </c>
      <c r="AA141">
        <f>HYPERLINK("https://klasma.github.io/Logging_2481/klagomål/A 22680-2026 FSC-klagomål.docx", "A 22680-2026")</f>
        <v/>
      </c>
      <c r="AB141">
        <f>HYPERLINK("https://klasma.github.io/Logging_2481/klagomålsmail/A 22680-2026 FSC-klagomål mail.docx", "A 22680-2026")</f>
        <v/>
      </c>
      <c r="AC141">
        <f>HYPERLINK("https://klasma.github.io/Logging_2481/tillsyn/A 22680-2026 tillsynsbegäran.docx", "A 22680-2026")</f>
        <v/>
      </c>
      <c r="AD141">
        <f>HYPERLINK("https://klasma.github.io/Logging_2481/tillsynsmail/A 22680-2026 tillsynsbegäran mail.docx", "A 22680-2026")</f>
        <v/>
      </c>
    </row>
    <row r="142" ht="15" customHeight="1">
      <c r="A142" t="inlineStr">
        <is>
          <t>A 28716-2026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46235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11.2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28716-2026 artfynd.xlsx", "A 28716-2026")</f>
        <v/>
      </c>
      <c r="X142">
        <f>HYPERLINK("https://klasma.github.io/Logging_2481/kartor/A 28716-2026 karta.png", "A 28716-2026")</f>
        <v/>
      </c>
      <c r="Y142">
        <f>HYPERLINK("https://klasma.github.io/Logging_2481/kartor_geotiff/A 28716-2026 georefererad karta.tif", "A 28716-2026")</f>
        <v/>
      </c>
      <c r="AA142">
        <f>HYPERLINK("https://klasma.github.io/Logging_2481/klagomål/A 28716-2026 FSC-klagomål.docx", "A 28716-2026")</f>
        <v/>
      </c>
      <c r="AB142">
        <f>HYPERLINK("https://klasma.github.io/Logging_2481/klagomålsmail/A 28716-2026 FSC-klagomål mail.docx", "A 28716-2026")</f>
        <v/>
      </c>
      <c r="AC142">
        <f>HYPERLINK("https://klasma.github.io/Logging_2481/tillsyn/A 28716-2026 tillsynsbegäran.docx", "A 28716-2026")</f>
        <v/>
      </c>
      <c r="AD142">
        <f>HYPERLINK("https://klasma.github.io/Logging_2481/tillsynsmail/A 28716-2026 tillsynsbegäran mail.docx", "A 28716-2026")</f>
        <v/>
      </c>
    </row>
    <row r="143" ht="15" customHeight="1">
      <c r="A143" t="inlineStr">
        <is>
          <t>A 57243-2025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46235</v>
      </c>
      <c r="F143" t="inlineStr">
        <is>
          <t>VÄSTERBOTTENS LÄN</t>
        </is>
      </c>
      <c r="G143" t="inlineStr">
        <is>
          <t>LYCKSELE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57243-2025 artfynd.xlsx", "A 57243-2025")</f>
        <v/>
      </c>
      <c r="X143">
        <f>HYPERLINK("https://klasma.github.io/Logging_2481/kartor/A 57243-2025 karta.png", "A 57243-2025")</f>
        <v/>
      </c>
      <c r="Y143">
        <f>HYPERLINK("https://klasma.github.io/Logging_2481/kartor_geotiff/A 57243-2025 georefererad karta.tif", "A 57243-2025")</f>
        <v/>
      </c>
      <c r="AA143">
        <f>HYPERLINK("https://klasma.github.io/Logging_2481/klagomål/A 57243-2025 FSC-klagomål.docx", "A 57243-2025")</f>
        <v/>
      </c>
      <c r="AB143">
        <f>HYPERLINK("https://klasma.github.io/Logging_2481/klagomålsmail/A 57243-2025 FSC-klagomål mail.docx", "A 57243-2025")</f>
        <v/>
      </c>
      <c r="AC143">
        <f>HYPERLINK("https://klasma.github.io/Logging_2481/tillsyn/A 57243-2025 tillsynsbegäran.docx", "A 57243-2025")</f>
        <v/>
      </c>
      <c r="AD143">
        <f>HYPERLINK("https://klasma.github.io/Logging_2481/tillsynsmail/A 57243-2025 tillsynsbegäran mail.docx", "A 57243-2025")</f>
        <v/>
      </c>
    </row>
    <row r="144" ht="15" customHeight="1">
      <c r="A144" t="inlineStr">
        <is>
          <t>A 23396-2026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46162</v>
      </c>
      <c r="E144" s="1" t="n">
        <v>46235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SCA</t>
        </is>
      </c>
      <c r="I144" t="n">
        <v>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Källpraktmossa</t>
        </is>
      </c>
      <c r="W144">
        <f>HYPERLINK("https://klasma.github.io/Logging_2481/artfynd/A 23396-2026 artfynd.xlsx", "A 23396-2026")</f>
        <v/>
      </c>
      <c r="X144">
        <f>HYPERLINK("https://klasma.github.io/Logging_2481/kartor/A 23396-2026 karta.png", "A 23396-2026")</f>
        <v/>
      </c>
      <c r="Y144">
        <f>HYPERLINK("https://klasma.github.io/Logging_2481/kartor_geotiff/A 23396-2026 georefererad karta.tif", "A 23396-2026")</f>
        <v/>
      </c>
      <c r="AA144">
        <f>HYPERLINK("https://klasma.github.io/Logging_2481/klagomål/A 23396-2026 FSC-klagomål.docx", "A 23396-2026")</f>
        <v/>
      </c>
      <c r="AB144">
        <f>HYPERLINK("https://klasma.github.io/Logging_2481/klagomålsmail/A 23396-2026 FSC-klagomål mail.docx", "A 23396-2026")</f>
        <v/>
      </c>
      <c r="AC144">
        <f>HYPERLINK("https://klasma.github.io/Logging_2481/tillsyn/A 23396-2026 tillsynsbegäran.docx", "A 23396-2026")</f>
        <v/>
      </c>
      <c r="AD144">
        <f>HYPERLINK("https://klasma.github.io/Logging_2481/tillsynsmail/A 23396-2026 tillsynsbegäran mail.docx", "A 23396-2026")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46235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46235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41793-2024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46235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41793-2024 artfynd.xlsx", "A 41793-2024")</f>
        <v/>
      </c>
      <c r="X147">
        <f>HYPERLINK("https://klasma.github.io/Logging_2481/kartor/A 41793-2024 karta.png", "A 41793-2024")</f>
        <v/>
      </c>
      <c r="Y147">
        <f>HYPERLINK("https://klasma.github.io/Logging_2481/kartor_geotiff/A 41793-2024 georefererad karta.tif", "A 41793-2024")</f>
        <v/>
      </c>
      <c r="AA147">
        <f>HYPERLINK("https://klasma.github.io/Logging_2481/klagomål/A 41793-2024 FSC-klagomål.docx", "A 41793-2024")</f>
        <v/>
      </c>
      <c r="AB147">
        <f>HYPERLINK("https://klasma.github.io/Logging_2481/klagomålsmail/A 41793-2024 FSC-klagomål mail.docx", "A 41793-2024")</f>
        <v/>
      </c>
      <c r="AC147">
        <f>HYPERLINK("https://klasma.github.io/Logging_2481/tillsyn/A 41793-2024 tillsynsbegäran.docx", "A 41793-2024")</f>
        <v/>
      </c>
      <c r="AD147">
        <f>HYPERLINK("https://klasma.github.io/Logging_2481/tillsynsmail/A 41793-2024 tillsynsbegäran mail.docx", "A 41793-2024")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46235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59883-2025 artfynd.xlsx", "A 59883-2025")</f>
        <v/>
      </c>
      <c r="X148">
        <f>HYPERLINK("https://klasma.github.io/Logging_2481/kartor/A 59883-2025 karta.png", "A 59883-2025")</f>
        <v/>
      </c>
      <c r="Y148">
        <f>HYPERLINK("https://klasma.github.io/Logging_2481/kartor_geotiff/A 59883-2025 georefererad karta.tif", "A 59883-2025")</f>
        <v/>
      </c>
      <c r="AA148">
        <f>HYPERLINK("https://klasma.github.io/Logging_2481/klagomål/A 59883-2025 FSC-klagomål.docx", "A 59883-2025")</f>
        <v/>
      </c>
      <c r="AB148">
        <f>HYPERLINK("https://klasma.github.io/Logging_2481/klagomålsmail/A 59883-2025 FSC-klagomål mail.docx", "A 59883-2025")</f>
        <v/>
      </c>
      <c r="AC148">
        <f>HYPERLINK("https://klasma.github.io/Logging_2481/tillsyn/A 59883-2025 tillsynsbegäran.docx", "A 59883-2025")</f>
        <v/>
      </c>
      <c r="AD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29828-2026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46235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29828-2026 artfynd.xlsx", "A 29828-2026")</f>
        <v/>
      </c>
      <c r="X149">
        <f>HYPERLINK("https://klasma.github.io/Logging_2481/kartor/A 29828-2026 karta.png", "A 29828-2026")</f>
        <v/>
      </c>
      <c r="Y149">
        <f>HYPERLINK("https://klasma.github.io/Logging_2481/kartor_geotiff/A 29828-2026 georefererad karta.tif", "A 29828-2026")</f>
        <v/>
      </c>
      <c r="AA149">
        <f>HYPERLINK("https://klasma.github.io/Logging_2481/klagomål/A 29828-2026 FSC-klagomål.docx", "A 29828-2026")</f>
        <v/>
      </c>
      <c r="AB149">
        <f>HYPERLINK("https://klasma.github.io/Logging_2481/klagomålsmail/A 29828-2026 FSC-klagomål mail.docx", "A 29828-2026")</f>
        <v/>
      </c>
      <c r="AC149">
        <f>HYPERLINK("https://klasma.github.io/Logging_2481/tillsyn/A 29828-2026 tillsynsbegäran.docx", "A 29828-2026")</f>
        <v/>
      </c>
      <c r="AD149">
        <f>HYPERLINK("https://klasma.github.io/Logging_2481/tillsynsmail/A 29828-2026 tillsynsbegäran mail.docx", "A 29828-2026")</f>
        <v/>
      </c>
    </row>
    <row r="150" ht="15" customHeight="1">
      <c r="A150" t="inlineStr">
        <is>
          <t>A 62317-2025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46235</v>
      </c>
      <c r="F150" t="inlineStr">
        <is>
          <t>VÄSTERBOTTENS LÄN</t>
        </is>
      </c>
      <c r="G150" t="inlineStr">
        <is>
          <t>LYCKSELE</t>
        </is>
      </c>
      <c r="I150" t="n">
        <v>0.9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HYPERLINK("https://klasma.github.io/Logging_2481/artfynd/A 62317-2025 artfynd.xlsx", "A 62317-2025")</f>
        <v/>
      </c>
      <c r="X150">
        <f>HYPERLINK("https://klasma.github.io/Logging_2481/kartor/A 62317-2025 karta.png", "A 62317-2025")</f>
        <v/>
      </c>
      <c r="Y150">
        <f>HYPERLINK("https://klasma.github.io/Logging_2481/kartor_geotiff/A 62317-2025 georefererad karta.tif", "A 62317-2025")</f>
        <v/>
      </c>
      <c r="AA150">
        <f>HYPERLINK("https://klasma.github.io/Logging_2481/klagomål/A 62317-2025 FSC-klagomål.docx", "A 62317-2025")</f>
        <v/>
      </c>
      <c r="AB150">
        <f>HYPERLINK("https://klasma.github.io/Logging_2481/klagomålsmail/A 62317-2025 FSC-klagomål mail.docx", "A 62317-2025")</f>
        <v/>
      </c>
      <c r="AC150">
        <f>HYPERLINK("https://klasma.github.io/Logging_2481/tillsyn/A 62317-2025 tillsynsbegäran.docx", "A 62317-2025")</f>
        <v/>
      </c>
      <c r="AD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28408-2023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45101</v>
      </c>
      <c r="E151" s="1" t="n">
        <v>46235</v>
      </c>
      <c r="F151" t="inlineStr">
        <is>
          <t>VÄSTERBOTTENS LÄN</t>
        </is>
      </c>
      <c r="G151" t="inlineStr">
        <is>
          <t>LYCKSELE</t>
        </is>
      </c>
      <c r="I151" t="n">
        <v>5.7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Blå taggsvamp</t>
        </is>
      </c>
      <c r="W151">
        <f>HYPERLINK("https://klasma.github.io/Logging_2481/artfynd/A 28408-2023 artfynd.xlsx", "A 28408-2023")</f>
        <v/>
      </c>
      <c r="X151">
        <f>HYPERLINK("https://klasma.github.io/Logging_2481/kartor/A 28408-2023 karta.png", "A 28408-2023")</f>
        <v/>
      </c>
      <c r="Y151">
        <f>HYPERLINK("https://klasma.github.io/Logging_2481/kartor_geotiff/A 28408-2023 georefererad karta.tif", "A 28408-2023")</f>
        <v/>
      </c>
      <c r="AA151">
        <f>HYPERLINK("https://klasma.github.io/Logging_2481/klagomål/A 28408-2023 FSC-klagomål.docx", "A 28408-2023")</f>
        <v/>
      </c>
      <c r="AB151">
        <f>HYPERLINK("https://klasma.github.io/Logging_2481/klagomålsmail/A 28408-2023 FSC-klagomål mail.docx", "A 28408-2023")</f>
        <v/>
      </c>
      <c r="AC151">
        <f>HYPERLINK("https://klasma.github.io/Logging_2481/tillsyn/A 28408-2023 tillsynsbegäran.docx", "A 28408-2023")</f>
        <v/>
      </c>
      <c r="AD151">
        <f>HYPERLINK("https://klasma.github.io/Logging_2481/tillsynsmail/A 28408-2023 tillsynsbegäran mail.docx", "A 28408-2023")</f>
        <v/>
      </c>
    </row>
    <row r="152" ht="15" customHeight="1">
      <c r="A152" t="inlineStr">
        <is>
          <t>A 30994-2026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46213</v>
      </c>
      <c r="E152" s="1" t="n">
        <v>46235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Violettgrå tagellav</t>
        </is>
      </c>
      <c r="W152">
        <f>HYPERLINK("https://klasma.github.io/Logging_2481/artfynd/A 30994-2026 artfynd.xlsx", "A 30994-2026")</f>
        <v/>
      </c>
      <c r="X152">
        <f>HYPERLINK("https://klasma.github.io/Logging_2481/kartor/A 30994-2026 karta.png", "A 30994-2026")</f>
        <v/>
      </c>
      <c r="Y152">
        <f>HYPERLINK("https://klasma.github.io/Logging_2481/kartor_geotiff/A 30994-2026 georefererad karta.tif", "A 30994-2026")</f>
        <v/>
      </c>
      <c r="AA152">
        <f>HYPERLINK("https://klasma.github.io/Logging_2481/klagomål/A 30994-2026 FSC-klagomål.docx", "A 30994-2026")</f>
        <v/>
      </c>
      <c r="AB152">
        <f>HYPERLINK("https://klasma.github.io/Logging_2481/klagomålsmail/A 30994-2026 FSC-klagomål mail.docx", "A 30994-2026")</f>
        <v/>
      </c>
      <c r="AC152">
        <f>HYPERLINK("https://klasma.github.io/Logging_2481/tillsyn/A 30994-2026 tillsynsbegäran.docx", "A 30994-2026")</f>
        <v/>
      </c>
      <c r="AD152">
        <f>HYPERLINK("https://klasma.github.io/Logging_2481/tillsynsmail/A 30994-2026 tillsynsbegäran mail.docx", "A 30994-2026")</f>
        <v/>
      </c>
    </row>
    <row r="153" ht="15" customHeight="1">
      <c r="A153" t="inlineStr">
        <is>
          <t>A 31290-2026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46218</v>
      </c>
      <c r="E153" s="1" t="n">
        <v>46235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31290-2026 artfynd.xlsx", "A 31290-2026")</f>
        <v/>
      </c>
      <c r="X153">
        <f>HYPERLINK("https://klasma.github.io/Logging_2481/kartor/A 31290-2026 karta.png", "A 31290-2026")</f>
        <v/>
      </c>
      <c r="Y153">
        <f>HYPERLINK("https://klasma.github.io/Logging_2481/kartor_geotiff/A 31290-2026 georefererad karta.tif", "A 31290-2026")</f>
        <v/>
      </c>
      <c r="AA153">
        <f>HYPERLINK("https://klasma.github.io/Logging_2481/klagomål/A 31290-2026 FSC-klagomål.docx", "A 31290-2026")</f>
        <v/>
      </c>
      <c r="AB153">
        <f>HYPERLINK("https://klasma.github.io/Logging_2481/klagomålsmail/A 31290-2026 FSC-klagomål mail.docx", "A 31290-2026")</f>
        <v/>
      </c>
      <c r="AC153">
        <f>HYPERLINK("https://klasma.github.io/Logging_2481/tillsyn/A 31290-2026 tillsynsbegäran.docx", "A 31290-2026")</f>
        <v/>
      </c>
      <c r="AD153">
        <f>HYPERLINK("https://klasma.github.io/Logging_2481/tillsynsmail/A 31290-2026 tillsynsbegäran mail.docx", "A 31290-2026")</f>
        <v/>
      </c>
    </row>
    <row r="154" ht="15" customHeight="1">
      <c r="A154" t="inlineStr">
        <is>
          <t>A 1339-2026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46235</v>
      </c>
      <c r="F154" t="inlineStr">
        <is>
          <t>VÄSTERBOTTENS LÄN</t>
        </is>
      </c>
      <c r="G154" t="inlineStr">
        <is>
          <t>LYCKSELE</t>
        </is>
      </c>
      <c r="I154" t="n">
        <v>4.9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7</v>
      </c>
      <c r="U154" t="n">
        <v>3</v>
      </c>
      <c r="V154" s="2" t="inlineStr">
        <is>
          <t>Norna</t>
        </is>
      </c>
      <c r="W154">
        <f>HYPERLINK("https://klasma.github.io/Logging_2481/artfynd/A 1339-2026 artfynd.xlsx", "A 1339-2026")</f>
        <v/>
      </c>
      <c r="X154">
        <f>HYPERLINK("https://klasma.github.io/Logging_2481/kartor/A 1339-2026 karta.png", "A 1339-2026")</f>
        <v/>
      </c>
      <c r="Y154">
        <f>HYPERLINK("https://klasma.github.io/Logging_2481/kartor_geotiff/A 1339-2026 georefererad karta.tif", "A 1339-2026")</f>
        <v/>
      </c>
      <c r="AA154">
        <f>HYPERLINK("https://klasma.github.io/Logging_2481/klagomål/A 1339-2026 FSC-klagomål.docx", "A 1339-2026")</f>
        <v/>
      </c>
      <c r="AB154">
        <f>HYPERLINK("https://klasma.github.io/Logging_2481/klagomålsmail/A 1339-2026 FSC-klagomål mail.docx", "A 1339-2026")</f>
        <v/>
      </c>
      <c r="AC154">
        <f>HYPERLINK("https://klasma.github.io/Logging_2481/tillsyn/A 1339-2026 tillsynsbegäran.docx", "A 1339-2026")</f>
        <v/>
      </c>
      <c r="AD154">
        <f>HYPERLINK("https://klasma.github.io/Logging_2481/tillsynsmail/A 1339-2026 tillsynsbegäran mail.docx", "A 1339-2026")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46235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25591-2026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46235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Gränsticka</t>
        </is>
      </c>
      <c r="W156">
        <f>HYPERLINK("https://klasma.github.io/Logging_2481/artfynd/A 25591-2026 artfynd.xlsx", "A 25591-2026")</f>
        <v/>
      </c>
      <c r="X156">
        <f>HYPERLINK("https://klasma.github.io/Logging_2481/kartor/A 25591-2026 karta.png", "A 25591-2026")</f>
        <v/>
      </c>
      <c r="Y156">
        <f>HYPERLINK("https://klasma.github.io/Logging_2481/kartor_geotiff/A 25591-2026 georefererad karta.tif", "A 25591-2026")</f>
        <v/>
      </c>
      <c r="AA156">
        <f>HYPERLINK("https://klasma.github.io/Logging_2481/klagomål/A 25591-2026 FSC-klagomål.docx", "A 25591-2026")</f>
        <v/>
      </c>
      <c r="AB156">
        <f>HYPERLINK("https://klasma.github.io/Logging_2481/klagomålsmail/A 25591-2026 FSC-klagomål mail.docx", "A 25591-2026")</f>
        <v/>
      </c>
      <c r="AC156">
        <f>HYPERLINK("https://klasma.github.io/Logging_2481/tillsyn/A 25591-2026 tillsynsbegäran.docx", "A 25591-2026")</f>
        <v/>
      </c>
      <c r="AD156">
        <f>HYPERLINK("https://klasma.github.io/Logging_2481/tillsynsmail/A 25591-2026 tillsynsbegäran mail.docx", "A 25591-2026")</f>
        <v/>
      </c>
    </row>
    <row r="157" ht="15" customHeight="1">
      <c r="A157" t="inlineStr">
        <is>
          <t>A 72131-2021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46235</v>
      </c>
      <c r="F157" t="inlineStr">
        <is>
          <t>VÄSTERBOTTENS LÄN</t>
        </is>
      </c>
      <c r="G157" t="inlineStr">
        <is>
          <t>LYCKSELE</t>
        </is>
      </c>
      <c r="I157" t="n">
        <v>19.1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Tretåig hackspett</t>
        </is>
      </c>
      <c r="W157">
        <f>HYPERLINK("https://klasma.github.io/Logging_2481/artfynd/A 72131-2021 artfynd.xlsx", "A 72131-2021")</f>
        <v/>
      </c>
      <c r="X157">
        <f>HYPERLINK("https://klasma.github.io/Logging_2481/kartor/A 72131-2021 karta.png", "A 72131-2021")</f>
        <v/>
      </c>
      <c r="Y157">
        <f>HYPERLINK("https://klasma.github.io/Logging_2481/kartor_geotiff/A 72131-2021 georefererad karta.tif", "A 72131-2021")</f>
        <v/>
      </c>
      <c r="AA157">
        <f>HYPERLINK("https://klasma.github.io/Logging_2481/klagomål/A 72131-2021 FSC-klagomål.docx", "A 72131-2021")</f>
        <v/>
      </c>
      <c r="AB157">
        <f>HYPERLINK("https://klasma.github.io/Logging_2481/klagomålsmail/A 72131-2021 FSC-klagomål mail.docx", "A 72131-2021")</f>
        <v/>
      </c>
      <c r="AC157">
        <f>HYPERLINK("https://klasma.github.io/Logging_2481/tillsyn/A 72131-2021 tillsynsbegäran.docx", "A 72131-2021")</f>
        <v/>
      </c>
      <c r="AD157">
        <f>HYPERLINK("https://klasma.github.io/Logging_2481/tillsynsmail/A 72131-2021 tillsynsbegäran mail.docx", "A 72131-2021")</f>
        <v/>
      </c>
      <c r="AE157">
        <f>HYPERLINK("https://klasma.github.io/Logging_2481/fåglar/A 72131-2021 prioriterade fågelarter.docx", "A 72131-2021")</f>
        <v/>
      </c>
    </row>
    <row r="158" ht="15" customHeight="1">
      <c r="A158" t="inlineStr">
        <is>
          <t>A 25701-2026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46235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Skrovellav</t>
        </is>
      </c>
      <c r="W158">
        <f>HYPERLINK("https://klasma.github.io/Logging_2481/artfynd/A 25701-2026 artfynd.xlsx", "A 25701-2026")</f>
        <v/>
      </c>
      <c r="X158">
        <f>HYPERLINK("https://klasma.github.io/Logging_2481/kartor/A 25701-2026 karta.png", "A 25701-2026")</f>
        <v/>
      </c>
      <c r="Y158">
        <f>HYPERLINK("https://klasma.github.io/Logging_2481/kartor_geotiff/A 25701-2026 georefererad karta.tif", "A 25701-2026")</f>
        <v/>
      </c>
      <c r="AA158">
        <f>HYPERLINK("https://klasma.github.io/Logging_2481/klagomål/A 25701-2026 FSC-klagomål.docx", "A 25701-2026")</f>
        <v/>
      </c>
      <c r="AB158">
        <f>HYPERLINK("https://klasma.github.io/Logging_2481/klagomålsmail/A 25701-2026 FSC-klagomål mail.docx", "A 25701-2026")</f>
        <v/>
      </c>
      <c r="AC158">
        <f>HYPERLINK("https://klasma.github.io/Logging_2481/tillsyn/A 25701-2026 tillsynsbegäran.docx", "A 25701-2026")</f>
        <v/>
      </c>
      <c r="AD158">
        <f>HYPERLINK("https://klasma.github.io/Logging_2481/tillsynsmail/A 25701-2026 tillsynsbegäran mail.docx", "A 25701-2026")</f>
        <v/>
      </c>
    </row>
    <row r="159" ht="15" customHeight="1">
      <c r="A159" t="inlineStr">
        <is>
          <t>A 25720-2026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46235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Orange taggsvamp</t>
        </is>
      </c>
      <c r="W159">
        <f>HYPERLINK("https://klasma.github.io/Logging_2481/artfynd/A 25720-2026 artfynd.xlsx", "A 25720-2026")</f>
        <v/>
      </c>
      <c r="X159">
        <f>HYPERLINK("https://klasma.github.io/Logging_2481/kartor/A 25720-2026 karta.png", "A 25720-2026")</f>
        <v/>
      </c>
      <c r="Y159">
        <f>HYPERLINK("https://klasma.github.io/Logging_2481/kartor_geotiff/A 25720-2026 georefererad karta.tif", "A 25720-2026")</f>
        <v/>
      </c>
      <c r="AA159">
        <f>HYPERLINK("https://klasma.github.io/Logging_2481/klagomål/A 25720-2026 FSC-klagomål.docx", "A 25720-2026")</f>
        <v/>
      </c>
      <c r="AB159">
        <f>HYPERLINK("https://klasma.github.io/Logging_2481/klagomålsmail/A 25720-2026 FSC-klagomål mail.docx", "A 25720-2026")</f>
        <v/>
      </c>
      <c r="AC159">
        <f>HYPERLINK("https://klasma.github.io/Logging_2481/tillsyn/A 25720-2026 tillsynsbegäran.docx", "A 25720-2026")</f>
        <v/>
      </c>
      <c r="AD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25706-2026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46235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25706-2026 artfynd.xlsx", "A 25706-2026")</f>
        <v/>
      </c>
      <c r="X160">
        <f>HYPERLINK("https://klasma.github.io/Logging_2481/kartor/A 25706-2026 karta.png", "A 25706-2026")</f>
        <v/>
      </c>
      <c r="Y160">
        <f>HYPERLINK("https://klasma.github.io/Logging_2481/kartor_geotiff/A 25706-2026 georefererad karta.tif", "A 25706-2026")</f>
        <v/>
      </c>
      <c r="AA160">
        <f>HYPERLINK("https://klasma.github.io/Logging_2481/klagomål/A 25706-2026 FSC-klagomål.docx", "A 25706-2026")</f>
        <v/>
      </c>
      <c r="AB160">
        <f>HYPERLINK("https://klasma.github.io/Logging_2481/klagomålsmail/A 25706-2026 FSC-klagomål mail.docx", "A 25706-2026")</f>
        <v/>
      </c>
      <c r="AC160">
        <f>HYPERLINK("https://klasma.github.io/Logging_2481/tillsyn/A 25706-2026 tillsynsbegäran.docx", "A 25706-2026")</f>
        <v/>
      </c>
      <c r="AD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28838-2024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46235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28838-2024 artfynd.xlsx", "A 28838-2024")</f>
        <v/>
      </c>
      <c r="X161">
        <f>HYPERLINK("https://klasma.github.io/Logging_2481/kartor/A 28838-2024 karta.png", "A 28838-2024")</f>
        <v/>
      </c>
      <c r="Y161">
        <f>HYPERLINK("https://klasma.github.io/Logging_2481/kartor_geotiff/A 28838-2024 georefererad karta.tif", "A 28838-2024")</f>
        <v/>
      </c>
      <c r="AA161">
        <f>HYPERLINK("https://klasma.github.io/Logging_2481/klagomål/A 28838-2024 FSC-klagomål.docx", "A 28838-2024")</f>
        <v/>
      </c>
      <c r="AB161">
        <f>HYPERLINK("https://klasma.github.io/Logging_2481/klagomålsmail/A 28838-2024 FSC-klagomål mail.docx", "A 28838-2024")</f>
        <v/>
      </c>
      <c r="AC161">
        <f>HYPERLINK("https://klasma.github.io/Logging_2481/tillsyn/A 28838-2024 tillsynsbegäran.docx", "A 28838-2024")</f>
        <v/>
      </c>
      <c r="AD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46235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46235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9722-2026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46235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HYPERLINK("https://klasma.github.io/Logging_2481/artfynd/A 9722-2026 artfynd.xlsx", "A 9722-2026")</f>
        <v/>
      </c>
      <c r="X164">
        <f>HYPERLINK("https://klasma.github.io/Logging_2481/kartor/A 9722-2026 karta.png", "A 9722-2026")</f>
        <v/>
      </c>
      <c r="Y164">
        <f>HYPERLINK("https://klasma.github.io/Logging_2481/kartor_geotiff/A 9722-2026 georefererad karta.tif", "A 9722-2026")</f>
        <v/>
      </c>
      <c r="AA164">
        <f>HYPERLINK("https://klasma.github.io/Logging_2481/klagomål/A 9722-2026 FSC-klagomål.docx", "A 9722-2026")</f>
        <v/>
      </c>
      <c r="AB164">
        <f>HYPERLINK("https://klasma.github.io/Logging_2481/klagomålsmail/A 9722-2026 FSC-klagomål mail.docx", "A 9722-2026")</f>
        <v/>
      </c>
      <c r="AC164">
        <f>HYPERLINK("https://klasma.github.io/Logging_2481/tillsyn/A 9722-2026 tillsynsbegäran.docx", "A 9722-2026")</f>
        <v/>
      </c>
      <c r="AD164">
        <f>HYPERLINK("https://klasma.github.io/Logging_2481/tillsynsmail/A 9722-2026 tillsynsbegäran mail.docx", "A 9722-2026")</f>
        <v/>
      </c>
    </row>
    <row r="165" ht="15" customHeight="1">
      <c r="A165" t="inlineStr">
        <is>
          <t>A 27830-2026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46235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27830-2026 artfynd.xlsx", "A 27830-2026")</f>
        <v/>
      </c>
      <c r="X165">
        <f>HYPERLINK("https://klasma.github.io/Logging_2481/kartor/A 27830-2026 karta.png", "A 27830-2026")</f>
        <v/>
      </c>
      <c r="Y165">
        <f>HYPERLINK("https://klasma.github.io/Logging_2481/kartor_geotiff/A 27830-2026 georefererad karta.tif", "A 27830-2026")</f>
        <v/>
      </c>
      <c r="AA165">
        <f>HYPERLINK("https://klasma.github.io/Logging_2481/klagomål/A 27830-2026 FSC-klagomål.docx", "A 27830-2026")</f>
        <v/>
      </c>
      <c r="AB165">
        <f>HYPERLINK("https://klasma.github.io/Logging_2481/klagomålsmail/A 27830-2026 FSC-klagomål mail.docx", "A 27830-2026")</f>
        <v/>
      </c>
      <c r="AC165">
        <f>HYPERLINK("https://klasma.github.io/Logging_2481/tillsyn/A 27830-2026 tillsynsbegäran.docx", "A 27830-2026")</f>
        <v/>
      </c>
      <c r="AD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49394-2024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46235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49394-2024 artfynd.xlsx", "A 49394-2024")</f>
        <v/>
      </c>
      <c r="X166">
        <f>HYPERLINK("https://klasma.github.io/Logging_2481/kartor/A 49394-2024 karta.png", "A 49394-2024")</f>
        <v/>
      </c>
      <c r="Y166">
        <f>HYPERLINK("https://klasma.github.io/Logging_2481/kartor_geotiff/A 49394-2024 georefererad karta.tif", "A 49394-2024")</f>
        <v/>
      </c>
      <c r="AA166">
        <f>HYPERLINK("https://klasma.github.io/Logging_2481/klagomål/A 49394-2024 FSC-klagomål.docx", "A 49394-2024")</f>
        <v/>
      </c>
      <c r="AB166">
        <f>HYPERLINK("https://klasma.github.io/Logging_2481/klagomålsmail/A 49394-2024 FSC-klagomål mail.docx", "A 49394-2024")</f>
        <v/>
      </c>
      <c r="AC166">
        <f>HYPERLINK("https://klasma.github.io/Logging_2481/tillsyn/A 49394-2024 tillsynsbegäran.docx", "A 49394-2024")</f>
        <v/>
      </c>
      <c r="AD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46235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33726-2022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46235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12.7</v>
      </c>
      <c r="J168" t="n">
        <v>1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Pärluggla</t>
        </is>
      </c>
      <c r="W168">
        <f>HYPERLINK("https://klasma.github.io/Logging_2481/artfynd/A 33726-2022 artfynd.xlsx", "A 33726-2022")</f>
        <v/>
      </c>
      <c r="X168">
        <f>HYPERLINK("https://klasma.github.io/Logging_2481/kartor/A 33726-2022 karta.png", "A 33726-2022")</f>
        <v/>
      </c>
      <c r="Y168">
        <f>HYPERLINK("https://klasma.github.io/Logging_2481/kartor_geotiff/A 33726-2022 georefererad karta.tif", "A 33726-2022")</f>
        <v/>
      </c>
      <c r="AA168">
        <f>HYPERLINK("https://klasma.github.io/Logging_2481/klagomål/A 33726-2022 FSC-klagomål.docx", "A 33726-2022")</f>
        <v/>
      </c>
      <c r="AB168">
        <f>HYPERLINK("https://klasma.github.io/Logging_2481/klagomålsmail/A 33726-2022 FSC-klagomål mail.docx", "A 33726-2022")</f>
        <v/>
      </c>
      <c r="AC168">
        <f>HYPERLINK("https://klasma.github.io/Logging_2481/tillsyn/A 33726-2022 tillsynsbegäran.docx", "A 33726-2022")</f>
        <v/>
      </c>
      <c r="AD168">
        <f>HYPERLINK("https://klasma.github.io/Logging_2481/tillsynsmail/A 33726-2022 tillsynsbegäran mail.docx", "A 33726-2022")</f>
        <v/>
      </c>
      <c r="AE168">
        <f>HYPERLINK("https://klasma.github.io/Logging_2481/fåglar/A 33726-2022 prioriterade fågelarter.docx", "A 33726-2022")</f>
        <v/>
      </c>
    </row>
    <row r="169" ht="15" customHeight="1">
      <c r="A169" t="inlineStr">
        <is>
          <t>A 53869-2023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46235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53869-2023 artfynd.xlsx", "A 53869-2023")</f>
        <v/>
      </c>
      <c r="X169">
        <f>HYPERLINK("https://klasma.github.io/Logging_2481/kartor/A 53869-2023 karta.png", "A 53869-2023")</f>
        <v/>
      </c>
      <c r="Y169">
        <f>HYPERLINK("https://klasma.github.io/Logging_2481/kartor_geotiff/A 53869-2023 georefererad karta.tif", "A 53869-2023")</f>
        <v/>
      </c>
      <c r="AA169">
        <f>HYPERLINK("https://klasma.github.io/Logging_2481/klagomål/A 53869-2023 FSC-klagomål.docx", "A 53869-2023")</f>
        <v/>
      </c>
      <c r="AB169">
        <f>HYPERLINK("https://klasma.github.io/Logging_2481/klagomålsmail/A 53869-2023 FSC-klagomål mail.docx", "A 53869-2023")</f>
        <v/>
      </c>
      <c r="AC169">
        <f>HYPERLINK("https://klasma.github.io/Logging_2481/tillsyn/A 53869-2023 tillsynsbegäran.docx", "A 53869-2023")</f>
        <v/>
      </c>
      <c r="AD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219-2025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46235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HYPERLINK("https://klasma.github.io/Logging_2481/artfynd/A 219-2025 artfynd.xlsx", "A 219-2025")</f>
        <v/>
      </c>
      <c r="X170">
        <f>HYPERLINK("https://klasma.github.io/Logging_2481/kartor/A 219-2025 karta.png", "A 219-2025")</f>
        <v/>
      </c>
      <c r="Y170">
        <f>HYPERLINK("https://klasma.github.io/Logging_2481/kartor_geotiff/A 219-2025 georefererad karta.tif", "A 219-2025")</f>
        <v/>
      </c>
      <c r="AA170">
        <f>HYPERLINK("https://klasma.github.io/Logging_2481/klagomål/A 219-2025 FSC-klagomål.docx", "A 219-2025")</f>
        <v/>
      </c>
      <c r="AB170">
        <f>HYPERLINK("https://klasma.github.io/Logging_2481/klagomålsmail/A 219-2025 FSC-klagomål mail.docx", "A 219-2025")</f>
        <v/>
      </c>
      <c r="AC170">
        <f>HYPERLINK("https://klasma.github.io/Logging_2481/tillsyn/A 219-2025 tillsynsbegäran.docx", "A 219-2025")</f>
        <v/>
      </c>
      <c r="AD170">
        <f>HYPERLINK("https://klasma.github.io/Logging_2481/tillsynsmail/A 219-2025 tillsynsbegäran mail.docx", "A 219-2025")</f>
        <v/>
      </c>
    </row>
    <row r="171" ht="15" customHeight="1">
      <c r="A171" t="inlineStr">
        <is>
          <t>A 59283-2024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46235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HYPERLINK("https://klasma.github.io/Logging_2481/artfynd/A 59283-2024 artfynd.xlsx", "A 59283-2024")</f>
        <v/>
      </c>
      <c r="X171">
        <f>HYPERLINK("https://klasma.github.io/Logging_2481/kartor/A 59283-2024 karta.png", "A 59283-2024")</f>
        <v/>
      </c>
      <c r="Y171">
        <f>HYPERLINK("https://klasma.github.io/Logging_2481/kartor_geotiff/A 59283-2024 georefererad karta.tif", "A 59283-2024")</f>
        <v/>
      </c>
      <c r="AA171">
        <f>HYPERLINK("https://klasma.github.io/Logging_2481/klagomål/A 59283-2024 FSC-klagomål.docx", "A 59283-2024")</f>
        <v/>
      </c>
      <c r="AB171">
        <f>HYPERLINK("https://klasma.github.io/Logging_2481/klagomålsmail/A 59283-2024 FSC-klagomål mail.docx", "A 59283-2024")</f>
        <v/>
      </c>
      <c r="AC171">
        <f>HYPERLINK("https://klasma.github.io/Logging_2481/tillsyn/A 59283-2024 tillsynsbegäran.docx", "A 59283-2024")</f>
        <v/>
      </c>
      <c r="AD171">
        <f>HYPERLINK("https://klasma.github.io/Logging_2481/tillsynsmail/A 59283-2024 tillsynsbegäran mail.docx", "A 59283-2024")</f>
        <v/>
      </c>
    </row>
    <row r="172" ht="15" customHeight="1">
      <c r="A172" t="inlineStr">
        <is>
          <t>A 496-2024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46235</v>
      </c>
      <c r="F172" t="inlineStr">
        <is>
          <t>VÄSTERBOTTENS LÄN</t>
        </is>
      </c>
      <c r="G172" t="inlineStr">
        <is>
          <t>LYCKSELE</t>
        </is>
      </c>
      <c r="I172" t="n">
        <v>5.2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7</v>
      </c>
      <c r="U172" t="n">
        <v>7</v>
      </c>
      <c r="V172" s="2" t="inlineStr">
        <is>
          <t>Tretåig hackspett</t>
        </is>
      </c>
      <c r="W172">
        <f>HYPERLINK("https://klasma.github.io/Logging_2481/artfynd/A 496-2024 artfynd.xlsx", "A 496-2024")</f>
        <v/>
      </c>
      <c r="X172">
        <f>HYPERLINK("https://klasma.github.io/Logging_2481/kartor/A 496-2024 karta.png", "A 496-2024")</f>
        <v/>
      </c>
      <c r="Y172">
        <f>HYPERLINK("https://klasma.github.io/Logging_2481/kartor_geotiff/A 496-2024 georefererad karta.tif", "A 496-2024")</f>
        <v/>
      </c>
      <c r="AA172">
        <f>HYPERLINK("https://klasma.github.io/Logging_2481/klagomål/A 496-2024 FSC-klagomål.docx", "A 496-2024")</f>
        <v/>
      </c>
      <c r="AB172">
        <f>HYPERLINK("https://klasma.github.io/Logging_2481/klagomålsmail/A 496-2024 FSC-klagomål mail.docx", "A 496-2024")</f>
        <v/>
      </c>
      <c r="AC172">
        <f>HYPERLINK("https://klasma.github.io/Logging_2481/tillsyn/A 496-2024 tillsynsbegäran.docx", "A 496-2024")</f>
        <v/>
      </c>
      <c r="AD172">
        <f>HYPERLINK("https://klasma.github.io/Logging_2481/tillsynsmail/A 496-2024 tillsynsbegäran mail.docx", "A 496-2024")</f>
        <v/>
      </c>
      <c r="AE172">
        <f>HYPERLINK("https://klasma.github.io/Logging_2481/fåglar/A 496-2024 prioriterade fågelarter.docx", "A 496-2024")</f>
        <v/>
      </c>
    </row>
    <row r="173" ht="15" customHeight="1">
      <c r="A173" t="inlineStr">
        <is>
          <t>A 38507-2023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46235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38507-2023 artfynd.xlsx", "A 38507-2023")</f>
        <v/>
      </c>
      <c r="X173">
        <f>HYPERLINK("https://klasma.github.io/Logging_2481/kartor/A 38507-2023 karta.png", "A 38507-2023")</f>
        <v/>
      </c>
      <c r="Y173">
        <f>HYPERLINK("https://klasma.github.io/Logging_2481/kartor_geotiff/A 38507-2023 georefererad karta.tif", "A 38507-2023")</f>
        <v/>
      </c>
      <c r="AA173">
        <f>HYPERLINK("https://klasma.github.io/Logging_2481/klagomål/A 38507-2023 FSC-klagomål.docx", "A 38507-2023")</f>
        <v/>
      </c>
      <c r="AB173">
        <f>HYPERLINK("https://klasma.github.io/Logging_2481/klagomålsmail/A 38507-2023 FSC-klagomål mail.docx", "A 38507-2023")</f>
        <v/>
      </c>
      <c r="AC173">
        <f>HYPERLINK("https://klasma.github.io/Logging_2481/tillsyn/A 38507-2023 tillsynsbegäran.docx", "A 38507-2023")</f>
        <v/>
      </c>
      <c r="AD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22373-2025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45786</v>
      </c>
      <c r="E174" s="1" t="n">
        <v>46235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22373-2025 artfynd.xlsx", "A 22373-2025")</f>
        <v/>
      </c>
      <c r="X174">
        <f>HYPERLINK("https://klasma.github.io/Logging_2481/kartor/A 22373-2025 karta.png", "A 22373-2025")</f>
        <v/>
      </c>
      <c r="Y174">
        <f>HYPERLINK("https://klasma.github.io/Logging_2481/kartor_geotiff/A 22373-2025 georefererad karta.tif", "A 22373-2025")</f>
        <v/>
      </c>
      <c r="AA174">
        <f>HYPERLINK("https://klasma.github.io/Logging_2481/klagomål/A 22373-2025 FSC-klagomål.docx", "A 22373-2025")</f>
        <v/>
      </c>
      <c r="AB174">
        <f>HYPERLINK("https://klasma.github.io/Logging_2481/klagomålsmail/A 22373-2025 FSC-klagomål mail.docx", "A 22373-2025")</f>
        <v/>
      </c>
      <c r="AC174">
        <f>HYPERLINK("https://klasma.github.io/Logging_2481/tillsyn/A 22373-2025 tillsynsbegäran.docx", "A 22373-2025")</f>
        <v/>
      </c>
      <c r="AD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50826-2024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46235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3.1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Dropptaggsvamp</t>
        </is>
      </c>
      <c r="W175">
        <f>HYPERLINK("https://klasma.github.io/Logging_2481/artfynd/A 50826-2024 artfynd.xlsx", "A 50826-2024")</f>
        <v/>
      </c>
      <c r="X175">
        <f>HYPERLINK("https://klasma.github.io/Logging_2481/kartor/A 50826-2024 karta.png", "A 50826-2024")</f>
        <v/>
      </c>
      <c r="Y175">
        <f>HYPERLINK("https://klasma.github.io/Logging_2481/kartor_geotiff/A 50826-2024 georefererad karta.tif", "A 50826-2024")</f>
        <v/>
      </c>
      <c r="AA175">
        <f>HYPERLINK("https://klasma.github.io/Logging_2481/klagomål/A 50826-2024 FSC-klagomål.docx", "A 50826-2024")</f>
        <v/>
      </c>
      <c r="AB175">
        <f>HYPERLINK("https://klasma.github.io/Logging_2481/klagomålsmail/A 50826-2024 FSC-klagomål mail.docx", "A 50826-2024")</f>
        <v/>
      </c>
      <c r="AC175">
        <f>HYPERLINK("https://klasma.github.io/Logging_2481/tillsyn/A 50826-2024 tillsynsbegäran.docx", "A 50826-2024")</f>
        <v/>
      </c>
      <c r="AD175">
        <f>HYPERLINK("https://klasma.github.io/Logging_2481/tillsynsmail/A 50826-2024 tillsynsbegäran mail.docx", "A 50826-2024")</f>
        <v/>
      </c>
    </row>
    <row r="176" ht="15" customHeight="1">
      <c r="A176" t="inlineStr">
        <is>
          <t>A 53226-2022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46235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10.5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Ängsmetallvinge</t>
        </is>
      </c>
      <c r="W176">
        <f>HYPERLINK("https://klasma.github.io/Logging_2481/artfynd/A 53226-2022 artfynd.xlsx", "A 53226-2022")</f>
        <v/>
      </c>
      <c r="X176">
        <f>HYPERLINK("https://klasma.github.io/Logging_2481/kartor/A 53226-2022 karta.png", "A 53226-2022")</f>
        <v/>
      </c>
      <c r="Y176">
        <f>HYPERLINK("https://klasma.github.io/Logging_2481/kartor_geotiff/A 53226-2022 georefererad karta.tif", "A 53226-2022")</f>
        <v/>
      </c>
      <c r="AA176">
        <f>HYPERLINK("https://klasma.github.io/Logging_2481/klagomål/A 53226-2022 FSC-klagomål.docx", "A 53226-2022")</f>
        <v/>
      </c>
      <c r="AB176">
        <f>HYPERLINK("https://klasma.github.io/Logging_2481/klagomålsmail/A 53226-2022 FSC-klagomål mail.docx", "A 53226-2022")</f>
        <v/>
      </c>
      <c r="AC176">
        <f>HYPERLINK("https://klasma.github.io/Logging_2481/tillsyn/A 53226-2022 tillsynsbegäran.docx", "A 53226-2022")</f>
        <v/>
      </c>
      <c r="AD176">
        <f>HYPERLINK("https://klasma.github.io/Logging_2481/tillsynsmail/A 53226-2022 tillsynsbegäran mail.docx", "A 53226-2022")</f>
        <v/>
      </c>
    </row>
    <row r="177" ht="15" customHeight="1">
      <c r="A177" t="inlineStr">
        <is>
          <t>A 7768-2023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46235</v>
      </c>
      <c r="F177" t="inlineStr">
        <is>
          <t>VÄSTERBOTTENS LÄN</t>
        </is>
      </c>
      <c r="G177" t="inlineStr">
        <is>
          <t>LYCKSELE</t>
        </is>
      </c>
      <c r="I177" t="n">
        <v>2.3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HYPERLINK("https://klasma.github.io/Logging_2481/artfynd/A 7768-2023 artfynd.xlsx", "A 7768-2023")</f>
        <v/>
      </c>
      <c r="X177">
        <f>HYPERLINK("https://klasma.github.io/Logging_2481/kartor/A 7768-2023 karta.png", "A 7768-2023")</f>
        <v/>
      </c>
      <c r="Y177">
        <f>HYPERLINK("https://klasma.github.io/Logging_2481/kartor_geotiff/A 7768-2023 georefererad karta.tif", "A 7768-2023")</f>
        <v/>
      </c>
      <c r="Z177">
        <f>HYPERLINK("https://klasma.github.io/Logging_2481/knärot/A 7768-2023 karta knärot.png", "A 7768-2023")</f>
        <v/>
      </c>
      <c r="AA177">
        <f>HYPERLINK("https://klasma.github.io/Logging_2481/klagomål/A 7768-2023 FSC-klagomål.docx", "A 7768-2023")</f>
        <v/>
      </c>
      <c r="AB177">
        <f>HYPERLINK("https://klasma.github.io/Logging_2481/klagomålsmail/A 7768-2023 FSC-klagomål mail.docx", "A 7768-2023")</f>
        <v/>
      </c>
      <c r="AC177">
        <f>HYPERLINK("https://klasma.github.io/Logging_2481/tillsyn/A 7768-2023 tillsynsbegäran.docx", "A 7768-2023")</f>
        <v/>
      </c>
      <c r="AD177">
        <f>HYPERLINK("https://klasma.github.io/Logging_2481/tillsynsmail/A 7768-2023 tillsynsbegäran mail.docx", "A 7768-2023")</f>
        <v/>
      </c>
    </row>
    <row r="178" ht="15" customHeight="1">
      <c r="A178" t="inlineStr">
        <is>
          <t>A 30515-2025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46235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8.1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HYPERLINK("https://klasma.github.io/Logging_2481/artfynd/A 30515-2025 artfynd.xlsx", "A 30515-2025")</f>
        <v/>
      </c>
      <c r="X178">
        <f>HYPERLINK("https://klasma.github.io/Logging_2481/kartor/A 30515-2025 karta.png", "A 30515-2025")</f>
        <v/>
      </c>
      <c r="Y178">
        <f>HYPERLINK("https://klasma.github.io/Logging_2481/kartor_geotiff/A 30515-2025 georefererad karta.tif", "A 30515-2025")</f>
        <v/>
      </c>
      <c r="AA178">
        <f>HYPERLINK("https://klasma.github.io/Logging_2481/klagomål/A 30515-2025 FSC-klagomål.docx", "A 30515-2025")</f>
        <v/>
      </c>
      <c r="AB178">
        <f>HYPERLINK("https://klasma.github.io/Logging_2481/klagomålsmail/A 30515-2025 FSC-klagomål mail.docx", "A 30515-2025")</f>
        <v/>
      </c>
      <c r="AC178">
        <f>HYPERLINK("https://klasma.github.io/Logging_2481/tillsyn/A 30515-2025 tillsynsbegäran.docx", "A 30515-2025")</f>
        <v/>
      </c>
      <c r="AD178">
        <f>HYPERLINK("https://klasma.github.io/Logging_2481/tillsynsmail/A 30515-2025 tillsynsbegäran mail.docx", "A 30515-2025")</f>
        <v/>
      </c>
    </row>
    <row r="179" ht="15" customHeight="1">
      <c r="A179" t="inlineStr">
        <is>
          <t>A 33346-2025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46235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Doftskinn</t>
        </is>
      </c>
      <c r="W179">
        <f>HYPERLINK("https://klasma.github.io/Logging_2481/artfynd/A 33346-2025 artfynd.xlsx", "A 33346-2025")</f>
        <v/>
      </c>
      <c r="X179">
        <f>HYPERLINK("https://klasma.github.io/Logging_2481/kartor/A 33346-2025 karta.png", "A 33346-2025")</f>
        <v/>
      </c>
      <c r="Y179">
        <f>HYPERLINK("https://klasma.github.io/Logging_2481/kartor_geotiff/A 33346-2025 georefererad karta.tif", "A 33346-2025")</f>
        <v/>
      </c>
      <c r="AA179">
        <f>HYPERLINK("https://klasma.github.io/Logging_2481/klagomål/A 33346-2025 FSC-klagomål.docx", "A 33346-2025")</f>
        <v/>
      </c>
      <c r="AB179">
        <f>HYPERLINK("https://klasma.github.io/Logging_2481/klagomålsmail/A 33346-2025 FSC-klagomål mail.docx", "A 33346-2025")</f>
        <v/>
      </c>
      <c r="AC179">
        <f>HYPERLINK("https://klasma.github.io/Logging_2481/tillsyn/A 33346-2025 tillsynsbegäran.docx", "A 33346-2025")</f>
        <v/>
      </c>
      <c r="AD179">
        <f>HYPERLINK("https://klasma.github.io/Logging_2481/tillsynsmail/A 33346-2025 tillsynsbegäran mail.docx", "A 33346-2025")</f>
        <v/>
      </c>
    </row>
    <row r="180" ht="15" customHeight="1">
      <c r="A180" t="inlineStr">
        <is>
          <t>A 34032-2025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46235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34032-2025 artfynd.xlsx", "A 34032-2025")</f>
        <v/>
      </c>
      <c r="X180">
        <f>HYPERLINK("https://klasma.github.io/Logging_2481/kartor/A 34032-2025 karta.png", "A 34032-2025")</f>
        <v/>
      </c>
      <c r="Y180">
        <f>HYPERLINK("https://klasma.github.io/Logging_2481/kartor_geotiff/A 34032-2025 georefererad karta.tif", "A 34032-2025")</f>
        <v/>
      </c>
      <c r="AA180">
        <f>HYPERLINK("https://klasma.github.io/Logging_2481/klagomål/A 34032-2025 FSC-klagomål.docx", "A 34032-2025")</f>
        <v/>
      </c>
      <c r="AB180">
        <f>HYPERLINK("https://klasma.github.io/Logging_2481/klagomålsmail/A 34032-2025 FSC-klagomål mail.docx", "A 34032-2025")</f>
        <v/>
      </c>
      <c r="AC180">
        <f>HYPERLINK("https://klasma.github.io/Logging_2481/tillsyn/A 34032-2025 tillsynsbegäran.docx", "A 34032-2025")</f>
        <v/>
      </c>
      <c r="AD180">
        <f>HYPERLINK("https://klasma.github.io/Logging_2481/tillsynsmail/A 34032-2025 tillsynsbegäran mail.docx", "A 34032-2025")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46235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46235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7398-2025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46235</v>
      </c>
      <c r="F183" t="inlineStr">
        <is>
          <t>VÄSTERBOTTENS LÄN</t>
        </is>
      </c>
      <c r="G183" t="inlineStr">
        <is>
          <t>LYCKSELE</t>
        </is>
      </c>
      <c r="I183" t="n">
        <v>2.4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Gråspett</t>
        </is>
      </c>
      <c r="W183">
        <f>HYPERLINK("https://klasma.github.io/Logging_2481/artfynd/A 7398-2025 artfynd.xlsx", "A 7398-2025")</f>
        <v/>
      </c>
      <c r="X183">
        <f>HYPERLINK("https://klasma.github.io/Logging_2481/kartor/A 7398-2025 karta.png", "A 7398-2025")</f>
        <v/>
      </c>
      <c r="Y183">
        <f>HYPERLINK("https://klasma.github.io/Logging_2481/kartor_geotiff/A 7398-2025 georefererad karta.tif", "A 7398-2025")</f>
        <v/>
      </c>
      <c r="AA183">
        <f>HYPERLINK("https://klasma.github.io/Logging_2481/klagomål/A 7398-2025 FSC-klagomål.docx", "A 7398-2025")</f>
        <v/>
      </c>
      <c r="AB183">
        <f>HYPERLINK("https://klasma.github.io/Logging_2481/klagomålsmail/A 7398-2025 FSC-klagomål mail.docx", "A 7398-2025")</f>
        <v/>
      </c>
      <c r="AC183">
        <f>HYPERLINK("https://klasma.github.io/Logging_2481/tillsyn/A 7398-2025 tillsynsbegäran.docx", "A 7398-2025")</f>
        <v/>
      </c>
      <c r="AD183">
        <f>HYPERLINK("https://klasma.github.io/Logging_2481/tillsynsmail/A 7398-2025 tillsynsbegäran mail.docx", "A 7398-2025")</f>
        <v/>
      </c>
      <c r="AE183">
        <f>HYPERLINK("https://klasma.github.io/Logging_2481/fåglar/A 7398-2025 prioriterade fågelarter.docx", "A 7398-2025")</f>
        <v/>
      </c>
    </row>
    <row r="184" ht="15" customHeight="1">
      <c r="A184" t="inlineStr">
        <is>
          <t>A 35239-2025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45853</v>
      </c>
      <c r="E184" s="1" t="n">
        <v>46235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Gammelgransskål</t>
        </is>
      </c>
      <c r="W184">
        <f>HYPERLINK("https://klasma.github.io/Logging_2481/artfynd/A 35239-2025 artfynd.xlsx", "A 35239-2025")</f>
        <v/>
      </c>
      <c r="X184">
        <f>HYPERLINK("https://klasma.github.io/Logging_2481/kartor/A 35239-2025 karta.png", "A 35239-2025")</f>
        <v/>
      </c>
      <c r="Y184">
        <f>HYPERLINK("https://klasma.github.io/Logging_2481/kartor_geotiff/A 35239-2025 georefererad karta.tif", "A 35239-2025")</f>
        <v/>
      </c>
      <c r="AA184">
        <f>HYPERLINK("https://klasma.github.io/Logging_2481/klagomål/A 35239-2025 FSC-klagomål.docx", "A 35239-2025")</f>
        <v/>
      </c>
      <c r="AB184">
        <f>HYPERLINK("https://klasma.github.io/Logging_2481/klagomålsmail/A 35239-2025 FSC-klagomål mail.docx", "A 35239-2025")</f>
        <v/>
      </c>
      <c r="AC184">
        <f>HYPERLINK("https://klasma.github.io/Logging_2481/tillsyn/A 35239-2025 tillsynsbegäran.docx", "A 35239-2025")</f>
        <v/>
      </c>
      <c r="AD184">
        <f>HYPERLINK("https://klasma.github.io/Logging_2481/tillsynsmail/A 35239-2025 tillsynsbegäran mail.docx", "A 35239-2025")</f>
        <v/>
      </c>
    </row>
    <row r="185" ht="15" customHeight="1">
      <c r="A185" t="inlineStr">
        <is>
          <t>A 35981-2025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45863</v>
      </c>
      <c r="E185" s="1" t="n">
        <v>46235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35981-2025 artfynd.xlsx", "A 35981-2025")</f>
        <v/>
      </c>
      <c r="X185">
        <f>HYPERLINK("https://klasma.github.io/Logging_2481/kartor/A 35981-2025 karta.png", "A 35981-2025")</f>
        <v/>
      </c>
      <c r="Y185">
        <f>HYPERLINK("https://klasma.github.io/Logging_2481/kartor_geotiff/A 35981-2025 georefererad karta.tif", "A 35981-2025")</f>
        <v/>
      </c>
      <c r="AA185">
        <f>HYPERLINK("https://klasma.github.io/Logging_2481/klagomål/A 35981-2025 FSC-klagomål.docx", "A 35981-2025")</f>
        <v/>
      </c>
      <c r="AB185">
        <f>HYPERLINK("https://klasma.github.io/Logging_2481/klagomålsmail/A 35981-2025 FSC-klagomål mail.docx", "A 35981-2025")</f>
        <v/>
      </c>
      <c r="AC185">
        <f>HYPERLINK("https://klasma.github.io/Logging_2481/tillsyn/A 35981-2025 tillsynsbegäran.docx", "A 35981-2025")</f>
        <v/>
      </c>
      <c r="AD185">
        <f>HYPERLINK("https://klasma.github.io/Logging_2481/tillsynsmail/A 35981-2025 tillsynsbegäran mail.docx", "A 35981-2025")</f>
        <v/>
      </c>
    </row>
    <row r="186" ht="15" customHeight="1">
      <c r="A186" t="inlineStr">
        <is>
          <t>A 36687-2025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46235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36687-2025 artfynd.xlsx", "A 36687-2025")</f>
        <v/>
      </c>
      <c r="X186">
        <f>HYPERLINK("https://klasma.github.io/Logging_2481/kartor/A 36687-2025 karta.png", "A 36687-2025")</f>
        <v/>
      </c>
      <c r="Y186">
        <f>HYPERLINK("https://klasma.github.io/Logging_2481/kartor_geotiff/A 36687-2025 georefererad karta.tif", "A 36687-2025")</f>
        <v/>
      </c>
      <c r="AA186">
        <f>HYPERLINK("https://klasma.github.io/Logging_2481/klagomål/A 36687-2025 FSC-klagomål.docx", "A 36687-2025")</f>
        <v/>
      </c>
      <c r="AB186">
        <f>HYPERLINK("https://klasma.github.io/Logging_2481/klagomålsmail/A 36687-2025 FSC-klagomål mail.docx", "A 36687-2025")</f>
        <v/>
      </c>
      <c r="AC186">
        <f>HYPERLINK("https://klasma.github.io/Logging_2481/tillsyn/A 36687-2025 tillsynsbegäran.docx", "A 36687-2025")</f>
        <v/>
      </c>
      <c r="AD186">
        <f>HYPERLINK("https://klasma.github.io/Logging_2481/tillsynsmail/A 36687-2025 tillsynsbegäran mail.docx", "A 36687-2025")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46235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46235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46235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46235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46235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46235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46235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46235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46235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46235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46235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46235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46235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44501</v>
      </c>
      <c r="E206" s="1" t="n">
        <v>46235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46235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46235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44761</v>
      </c>
      <c r="E209" s="1" t="n">
        <v>46235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46235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45270-2021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44439</v>
      </c>
      <c r="E211" s="1" t="n">
        <v>46235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22075-2022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44711</v>
      </c>
      <c r="E212" s="1" t="n">
        <v>46235</v>
      </c>
      <c r="F212" t="inlineStr">
        <is>
          <t>VÄSTERBOTTENS LÄN</t>
        </is>
      </c>
      <c r="G212" t="inlineStr">
        <is>
          <t>LYCKSELE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46235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46235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61573-2021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46235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46235</v>
      </c>
      <c r="F218" t="inlineStr">
        <is>
          <t>VÄSTERBOTTENS LÄN</t>
        </is>
      </c>
      <c r="G218" t="inlineStr">
        <is>
          <t>LYCKSELE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46235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54794-2021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46235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46235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44481</v>
      </c>
      <c r="E222" s="1" t="n">
        <v>46235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44731</v>
      </c>
      <c r="E224" s="1" t="n">
        <v>46235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37423-2022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46235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42818-2021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44429</v>
      </c>
      <c r="E226" s="1" t="n">
        <v>46235</v>
      </c>
      <c r="F226" t="inlineStr">
        <is>
          <t>VÄSTERBOTTENS LÄN</t>
        </is>
      </c>
      <c r="G226" t="inlineStr">
        <is>
          <t>LYCKSELE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44433</v>
      </c>
      <c r="E227" s="1" t="n">
        <v>46235</v>
      </c>
      <c r="F227" t="inlineStr">
        <is>
          <t>VÄSTERBOTTENS LÄN</t>
        </is>
      </c>
      <c r="G227" t="inlineStr">
        <is>
          <t>LYCKSELE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46235</v>
      </c>
      <c r="F228" t="inlineStr">
        <is>
          <t>VÄSTERBOTTENS LÄN</t>
        </is>
      </c>
      <c r="G228" t="inlineStr">
        <is>
          <t>LYCKSELE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63827-2021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44509</v>
      </c>
      <c r="E229" s="1" t="n">
        <v>46235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44673</v>
      </c>
      <c r="E230" s="1" t="n">
        <v>46235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46235</v>
      </c>
      <c r="F231" t="inlineStr">
        <is>
          <t>VÄSTERBOTTENS LÄN</t>
        </is>
      </c>
      <c r="G231" t="inlineStr">
        <is>
          <t>LYCKSELE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72332-2021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44545</v>
      </c>
      <c r="E232" s="1" t="n">
        <v>46235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46235</v>
      </c>
      <c r="F233" t="inlineStr">
        <is>
          <t>VÄSTERBOTTENS LÄN</t>
        </is>
      </c>
      <c r="G233" t="inlineStr">
        <is>
          <t>LYCKSELE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45964-2022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44846</v>
      </c>
      <c r="E234" s="1" t="n">
        <v>46235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69627-2021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44532</v>
      </c>
      <c r="E235" s="1" t="n">
        <v>46235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46235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44749</v>
      </c>
      <c r="E237" s="1" t="n">
        <v>46235</v>
      </c>
      <c r="F237" t="inlineStr">
        <is>
          <t>VÄSTERBOTTENS LÄN</t>
        </is>
      </c>
      <c r="G237" t="inlineStr">
        <is>
          <t>LYCKSELE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44484</v>
      </c>
      <c r="E238" s="1" t="n">
        <v>46235</v>
      </c>
      <c r="F238" t="inlineStr">
        <is>
          <t>VÄSTERBOTTENS LÄN</t>
        </is>
      </c>
      <c r="G238" t="inlineStr">
        <is>
          <t>LYCKSELE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46235</v>
      </c>
      <c r="F239" t="inlineStr">
        <is>
          <t>VÄSTERBOTTENS LÄN</t>
        </is>
      </c>
      <c r="G239" t="inlineStr">
        <is>
          <t>LYCKSELE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61554-2021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44501</v>
      </c>
      <c r="E240" s="1" t="n">
        <v>46235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44437</v>
      </c>
      <c r="E241" s="1" t="n">
        <v>46235</v>
      </c>
      <c r="F241" t="inlineStr">
        <is>
          <t>VÄSTERBOTTENS LÄN</t>
        </is>
      </c>
      <c r="G241" t="inlineStr">
        <is>
          <t>LYCKSELE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70817-2021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44537</v>
      </c>
      <c r="E242" s="1" t="n">
        <v>46235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44424</v>
      </c>
      <c r="E243" s="1" t="n">
        <v>46235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46235</v>
      </c>
      <c r="F244" t="inlineStr">
        <is>
          <t>VÄSTERBOTTENS LÄN</t>
        </is>
      </c>
      <c r="G244" t="inlineStr">
        <is>
          <t>LYCKSELE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46235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45515</v>
      </c>
      <c r="E246" s="1" t="n">
        <v>46235</v>
      </c>
      <c r="F246" t="inlineStr">
        <is>
          <t>VÄSTERBOTTENS LÄN</t>
        </is>
      </c>
      <c r="G246" t="inlineStr">
        <is>
          <t>LYCKSELE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69226-2021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44531</v>
      </c>
      <c r="E247" s="1" t="n">
        <v>46235</v>
      </c>
      <c r="F247" t="inlineStr">
        <is>
          <t>VÄSTERBOTTENS LÄN</t>
        </is>
      </c>
      <c r="G247" t="inlineStr">
        <is>
          <t>LYCKSELE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46235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45586</v>
      </c>
      <c r="E249" s="1" t="n">
        <v>46235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46235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46235</v>
      </c>
      <c r="F251" t="inlineStr">
        <is>
          <t>VÄSTERBOTTENS LÄN</t>
        </is>
      </c>
      <c r="G251" t="inlineStr">
        <is>
          <t>LYCKSELE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46235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46235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45503</v>
      </c>
      <c r="E254" s="1" t="n">
        <v>46235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46235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46235</v>
      </c>
      <c r="F256" t="inlineStr">
        <is>
          <t>VÄSTERBOTTENS LÄN</t>
        </is>
      </c>
      <c r="G256" t="inlineStr">
        <is>
          <t>LYCKSELE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46235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60122-2022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46235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44874</v>
      </c>
      <c r="E259" s="1" t="n">
        <v>46235</v>
      </c>
      <c r="F259" t="inlineStr">
        <is>
          <t>VÄSTERBOTTENS LÄN</t>
        </is>
      </c>
      <c r="G259" t="inlineStr">
        <is>
          <t>LYCKSELE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46235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45140</v>
      </c>
      <c r="E261" s="1" t="n">
        <v>46235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46235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46235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56343-2022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44890</v>
      </c>
      <c r="E264" s="1" t="n">
        <v>46235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46235</v>
      </c>
      <c r="F265" t="inlineStr">
        <is>
          <t>VÄSTERBOTTENS LÄN</t>
        </is>
      </c>
      <c r="G265" t="inlineStr">
        <is>
          <t>LYCKSELE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46235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44446</v>
      </c>
      <c r="E267" s="1" t="n">
        <v>46235</v>
      </c>
      <c r="F267" t="inlineStr">
        <is>
          <t>VÄSTERBOTTENS LÄN</t>
        </is>
      </c>
      <c r="G267" t="inlineStr">
        <is>
          <t>LYCKSELE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45428</v>
      </c>
      <c r="E268" s="1" t="n">
        <v>46235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45266-2021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44439</v>
      </c>
      <c r="E269" s="1" t="n">
        <v>46235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70195-2021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44534</v>
      </c>
      <c r="E270" s="1" t="n">
        <v>46235</v>
      </c>
      <c r="F270" t="inlineStr">
        <is>
          <t>VÄSTERBOTTENS LÄN</t>
        </is>
      </c>
      <c r="G270" t="inlineStr">
        <is>
          <t>LYCKSELE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44798</v>
      </c>
      <c r="E271" s="1" t="n">
        <v>46235</v>
      </c>
      <c r="F271" t="inlineStr">
        <is>
          <t>VÄSTERBOTTENS LÄN</t>
        </is>
      </c>
      <c r="G271" t="inlineStr">
        <is>
          <t>LYCKSELE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46235</v>
      </c>
      <c r="F272" t="inlineStr">
        <is>
          <t>VÄSTERBOTTENS LÄN</t>
        </is>
      </c>
      <c r="G272" t="inlineStr">
        <is>
          <t>LYCKSELE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46235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46235</v>
      </c>
      <c r="F274" t="inlineStr">
        <is>
          <t>VÄSTERBOTTENS LÄN</t>
        </is>
      </c>
      <c r="G274" t="inlineStr">
        <is>
          <t>LYCKSELE</t>
        </is>
      </c>
      <c r="I274" t="n">
        <v>17.8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46235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66460-2021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46235</v>
      </c>
      <c r="F276" t="inlineStr">
        <is>
          <t>VÄSTERBOTTENS LÄN</t>
        </is>
      </c>
      <c r="G276" t="inlineStr">
        <is>
          <t>LYCKSELE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46235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46235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46235</v>
      </c>
      <c r="F279" t="inlineStr">
        <is>
          <t>VÄSTERBOTTENS LÄN</t>
        </is>
      </c>
      <c r="G279" t="inlineStr">
        <is>
          <t>LYCKSELE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46235</v>
      </c>
      <c r="F280" t="inlineStr">
        <is>
          <t>VÄSTERBOTTENS LÄN</t>
        </is>
      </c>
      <c r="G280" t="inlineStr">
        <is>
          <t>LYCKSELE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45479</v>
      </c>
      <c r="E281" s="1" t="n">
        <v>46235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44580</v>
      </c>
      <c r="E282" s="1" t="n">
        <v>46235</v>
      </c>
      <c r="F282" t="inlineStr">
        <is>
          <t>VÄSTERBOTTENS LÄN</t>
        </is>
      </c>
      <c r="G282" t="inlineStr">
        <is>
          <t>LYCKSELE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46235</v>
      </c>
      <c r="F283" t="inlineStr">
        <is>
          <t>VÄSTERBOTTENS LÄN</t>
        </is>
      </c>
      <c r="G283" t="inlineStr">
        <is>
          <t>LYCKSELE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2758-2023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44943</v>
      </c>
      <c r="E284" s="1" t="n">
        <v>46235</v>
      </c>
      <c r="F284" t="inlineStr">
        <is>
          <t>VÄSTERBOTTENS LÄN</t>
        </is>
      </c>
      <c r="G284" t="inlineStr">
        <is>
          <t>LYCKSELE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46235</v>
      </c>
      <c r="F285" t="inlineStr">
        <is>
          <t>VÄSTERBOTTENS LÄN</t>
        </is>
      </c>
      <c r="G285" t="inlineStr">
        <is>
          <t>LYCKSELE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45498</v>
      </c>
      <c r="E286" s="1" t="n">
        <v>46235</v>
      </c>
      <c r="F286" t="inlineStr">
        <is>
          <t>VÄSTERBOTTENS LÄN</t>
        </is>
      </c>
      <c r="G286" t="inlineStr">
        <is>
          <t>LYCKSELE</t>
        </is>
      </c>
      <c r="I286" t="n">
        <v>14.4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45742</v>
      </c>
      <c r="E287" s="1" t="n">
        <v>46235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50.1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46235</v>
      </c>
      <c r="F288" t="inlineStr">
        <is>
          <t>VÄSTERBOTTENS LÄN</t>
        </is>
      </c>
      <c r="G288" t="inlineStr">
        <is>
          <t>LYCKSELE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46235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64893-2021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44512</v>
      </c>
      <c r="E290" s="1" t="n">
        <v>46235</v>
      </c>
      <c r="F290" t="inlineStr">
        <is>
          <t>VÄSTERBOTTENS LÄN</t>
        </is>
      </c>
      <c r="G290" t="inlineStr">
        <is>
          <t>LYCKSELE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46235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45307</v>
      </c>
      <c r="E292" s="1" t="n">
        <v>46235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46235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46235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46235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73113-2021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44550</v>
      </c>
      <c r="E296" s="1" t="n">
        <v>46235</v>
      </c>
      <c r="F296" t="inlineStr">
        <is>
          <t>VÄSTERBOTTENS LÄN</t>
        </is>
      </c>
      <c r="G296" t="inlineStr">
        <is>
          <t>LYCKSELE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57108-2024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45629</v>
      </c>
      <c r="E297" s="1" t="n">
        <v>46235</v>
      </c>
      <c r="F297" t="inlineStr">
        <is>
          <t>VÄSTERBOTTENS LÄN</t>
        </is>
      </c>
      <c r="G297" t="inlineStr">
        <is>
          <t>LYCKSELE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44637</v>
      </c>
      <c r="E298" s="1" t="n">
        <v>46235</v>
      </c>
      <c r="F298" t="inlineStr">
        <is>
          <t>VÄSTERBOTTENS LÄN</t>
        </is>
      </c>
      <c r="G298" t="inlineStr">
        <is>
          <t>LYCKSELE</t>
        </is>
      </c>
      <c r="I298" t="n">
        <v>30.8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45135</v>
      </c>
      <c r="E299" s="1" t="n">
        <v>46235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60685-2022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44911</v>
      </c>
      <c r="E300" s="1" t="n">
        <v>46235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46235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46235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45015</v>
      </c>
      <c r="E303" s="1" t="n">
        <v>46235</v>
      </c>
      <c r="F303" t="inlineStr">
        <is>
          <t>VÄSTERBOTTENS LÄN</t>
        </is>
      </c>
      <c r="G303" t="inlineStr">
        <is>
          <t>LYCKSELE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57818-2021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44484</v>
      </c>
      <c r="E304" s="1" t="n">
        <v>46235</v>
      </c>
      <c r="F304" t="inlineStr">
        <is>
          <t>VÄSTERBOTTENS LÄN</t>
        </is>
      </c>
      <c r="G304" t="inlineStr">
        <is>
          <t>LYCKSELE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38114-2024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45545</v>
      </c>
      <c r="E305" s="1" t="n">
        <v>46235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46235</v>
      </c>
      <c r="F306" t="inlineStr">
        <is>
          <t>VÄSTERBOTTENS LÄN</t>
        </is>
      </c>
      <c r="G306" t="inlineStr">
        <is>
          <t>LYCKSELE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46235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11626-2024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45373</v>
      </c>
      <c r="E308" s="1" t="n">
        <v>46235</v>
      </c>
      <c r="F308" t="inlineStr">
        <is>
          <t>VÄSTERBOTTENS LÄN</t>
        </is>
      </c>
      <c r="G308" t="inlineStr">
        <is>
          <t>LYCKSELE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46235</v>
      </c>
      <c r="F309" t="inlineStr">
        <is>
          <t>VÄSTERBOTTENS LÄN</t>
        </is>
      </c>
      <c r="G309" t="inlineStr">
        <is>
          <t>LYCKSELE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46235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46235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46235</v>
      </c>
      <c r="F312" t="inlineStr">
        <is>
          <t>VÄSTERBOTTENS LÄN</t>
        </is>
      </c>
      <c r="G312" t="inlineStr">
        <is>
          <t>LYCKSELE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46235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46235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46235</v>
      </c>
      <c r="F315" t="inlineStr">
        <is>
          <t>VÄSTERBOTTENS LÄN</t>
        </is>
      </c>
      <c r="G315" t="inlineStr">
        <is>
          <t>LYCKSELE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61281-2022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44909</v>
      </c>
      <c r="E316" s="1" t="n">
        <v>46235</v>
      </c>
      <c r="F316" t="inlineStr">
        <is>
          <t>VÄSTERBOTTENS LÄN</t>
        </is>
      </c>
      <c r="G316" t="inlineStr">
        <is>
          <t>LYCKSELE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46235</v>
      </c>
      <c r="F317" t="inlineStr">
        <is>
          <t>VÄSTERBOTTENS LÄN</t>
        </is>
      </c>
      <c r="G317" t="inlineStr">
        <is>
          <t>LYCKSELE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46235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46235</v>
      </c>
      <c r="F319" t="inlineStr">
        <is>
          <t>VÄSTERBOTTENS LÄN</t>
        </is>
      </c>
      <c r="G319" t="inlineStr">
        <is>
          <t>LYCKSELE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46235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46235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46235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45552</v>
      </c>
      <c r="E323" s="1" t="n">
        <v>46235</v>
      </c>
      <c r="F323" t="inlineStr">
        <is>
          <t>VÄSTERBOTTENS LÄN</t>
        </is>
      </c>
      <c r="G323" t="inlineStr">
        <is>
          <t>LYCKSELE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46235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46235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46235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46235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46235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46235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45713</v>
      </c>
      <c r="E330" s="1" t="n">
        <v>46235</v>
      </c>
      <c r="F330" t="inlineStr">
        <is>
          <t>VÄSTERBOTTENS LÄN</t>
        </is>
      </c>
      <c r="G330" t="inlineStr">
        <is>
          <t>LYCKSELE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46235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46235</v>
      </c>
      <c r="F332" t="inlineStr">
        <is>
          <t>VÄSTERBOTTENS LÄN</t>
        </is>
      </c>
      <c r="G332" t="inlineStr">
        <is>
          <t>LYCKSELE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46235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46235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44468</v>
      </c>
      <c r="E335" s="1" t="n">
        <v>46235</v>
      </c>
      <c r="F335" t="inlineStr">
        <is>
          <t>VÄSTERBOTTENS LÄN</t>
        </is>
      </c>
      <c r="G335" t="inlineStr">
        <is>
          <t>LYCKSELE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46235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46235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39562-2025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45890</v>
      </c>
      <c r="E338" s="1" t="n">
        <v>46235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46235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46235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13.5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46235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46235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46235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58920-2022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46235</v>
      </c>
      <c r="F344" t="inlineStr">
        <is>
          <t>VÄSTERBOTTENS LÄN</t>
        </is>
      </c>
      <c r="G344" t="inlineStr">
        <is>
          <t>LYCKSELE</t>
        </is>
      </c>
      <c r="I344" t="n">
        <v>20.5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45889</v>
      </c>
      <c r="E345" s="1" t="n">
        <v>46235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46235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46235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46235</v>
      </c>
      <c r="F348" t="inlineStr">
        <is>
          <t>VÄSTERBOTTENS LÄN</t>
        </is>
      </c>
      <c r="G348" t="inlineStr">
        <is>
          <t>LYCKSELE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58975-2022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46235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46235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45516</v>
      </c>
      <c r="E351" s="1" t="n">
        <v>46235</v>
      </c>
      <c r="F351" t="inlineStr">
        <is>
          <t>VÄSTERBOTTENS LÄN</t>
        </is>
      </c>
      <c r="G351" t="inlineStr">
        <is>
          <t>LYCKSELE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45534</v>
      </c>
      <c r="E352" s="1" t="n">
        <v>46235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46235</v>
      </c>
      <c r="F353" t="inlineStr">
        <is>
          <t>VÄSTERBOTTENS LÄN</t>
        </is>
      </c>
      <c r="G353" t="inlineStr">
        <is>
          <t>LYCKSELE</t>
        </is>
      </c>
      <c r="I353" t="n">
        <v>12.3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46235</v>
      </c>
      <c r="F354" t="inlineStr">
        <is>
          <t>VÄSTERBOTTENS LÄN</t>
        </is>
      </c>
      <c r="G354" t="inlineStr">
        <is>
          <t>LYCKSELE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46235</v>
      </c>
      <c r="F355" t="inlineStr">
        <is>
          <t>VÄSTERBOTTENS LÄN</t>
        </is>
      </c>
      <c r="G355" t="inlineStr">
        <is>
          <t>LYCKSELE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46235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46235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46235</v>
      </c>
      <c r="F358" t="inlineStr">
        <is>
          <t>VÄSTERBOTTENS LÄN</t>
        </is>
      </c>
      <c r="G358" t="inlineStr">
        <is>
          <t>LYCKSELE</t>
        </is>
      </c>
      <c r="I358" t="n">
        <v>17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46235</v>
      </c>
      <c r="F359" t="inlineStr">
        <is>
          <t>VÄSTERBOTTENS LÄN</t>
        </is>
      </c>
      <c r="G359" t="inlineStr">
        <is>
          <t>LYCKSELE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46235</v>
      </c>
      <c r="F360" t="inlineStr">
        <is>
          <t>VÄSTERBOTTENS LÄN</t>
        </is>
      </c>
      <c r="G360" t="inlineStr">
        <is>
          <t>LYCKSELE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45901</v>
      </c>
      <c r="E361" s="1" t="n">
        <v>46235</v>
      </c>
      <c r="F361" t="inlineStr">
        <is>
          <t>VÄSTERBOTTENS LÄN</t>
        </is>
      </c>
      <c r="G361" t="inlineStr">
        <is>
          <t>LYCKSELE</t>
        </is>
      </c>
      <c r="I361" t="n">
        <v>16.6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46235</v>
      </c>
      <c r="F362" t="inlineStr">
        <is>
          <t>VÄSTERBOTTENS LÄN</t>
        </is>
      </c>
      <c r="G362" t="inlineStr">
        <is>
          <t>LYCKSELE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46235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46235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46235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46235</v>
      </c>
      <c r="F366" t="inlineStr">
        <is>
          <t>VÄSTERBOTTENS LÄN</t>
        </is>
      </c>
      <c r="G366" t="inlineStr">
        <is>
          <t>LYCKSELE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45903</v>
      </c>
      <c r="E367" s="1" t="n">
        <v>46235</v>
      </c>
      <c r="F367" t="inlineStr">
        <is>
          <t>VÄSTERBOTTENS LÄN</t>
        </is>
      </c>
      <c r="G367" t="inlineStr">
        <is>
          <t>LYCKSELE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46235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46235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46235</v>
      </c>
      <c r="F370" t="inlineStr">
        <is>
          <t>VÄSTERBOTTENS LÄN</t>
        </is>
      </c>
      <c r="G370" t="inlineStr">
        <is>
          <t>LYCKSELE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45526</v>
      </c>
      <c r="E371" s="1" t="n">
        <v>46235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45313</v>
      </c>
      <c r="E372" s="1" t="n">
        <v>46235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Naturvårdsverket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46235</v>
      </c>
      <c r="F373" t="inlineStr">
        <is>
          <t>VÄSTERBOTTENS LÄN</t>
        </is>
      </c>
      <c r="G373" t="inlineStr">
        <is>
          <t>LYCKSELE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46235</v>
      </c>
      <c r="F374" t="inlineStr">
        <is>
          <t>VÄSTERBOTTENS LÄN</t>
        </is>
      </c>
      <c r="G374" t="inlineStr">
        <is>
          <t>LYCKSELE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46235</v>
      </c>
      <c r="F375" t="inlineStr">
        <is>
          <t>VÄSTERBOTTENS LÄN</t>
        </is>
      </c>
      <c r="G375" t="inlineStr">
        <is>
          <t>LYCKSELE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46235</v>
      </c>
      <c r="F376" t="inlineStr">
        <is>
          <t>VÄSTERBOTTENS LÄN</t>
        </is>
      </c>
      <c r="G376" t="inlineStr">
        <is>
          <t>LYCKSELE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23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45909</v>
      </c>
      <c r="E378" s="1" t="n">
        <v>46235</v>
      </c>
      <c r="F378" t="inlineStr">
        <is>
          <t>VÄSTERBOTTENS LÄN</t>
        </is>
      </c>
      <c r="G378" t="inlineStr">
        <is>
          <t>LYCKSELE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45576</v>
      </c>
      <c r="E379" s="1" t="n">
        <v>46235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Naturvårdsverket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71407-2021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44540</v>
      </c>
      <c r="E380" s="1" t="n">
        <v>46235</v>
      </c>
      <c r="F380" t="inlineStr">
        <is>
          <t>VÄSTERBOTTENS LÄN</t>
        </is>
      </c>
      <c r="G380" t="inlineStr">
        <is>
          <t>LYCKSELE</t>
        </is>
      </c>
      <c r="I380" t="n">
        <v>9.4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46235</v>
      </c>
      <c r="F381" t="inlineStr">
        <is>
          <t>VÄSTERBOTTENS LÄN</t>
        </is>
      </c>
      <c r="G381" t="inlineStr">
        <is>
          <t>LYCKSELE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45560</v>
      </c>
      <c r="E382" s="1" t="n">
        <v>46235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44572</v>
      </c>
      <c r="E383" s="1" t="n">
        <v>46235</v>
      </c>
      <c r="F383" t="inlineStr">
        <is>
          <t>VÄSTERBOTTENS LÄN</t>
        </is>
      </c>
      <c r="G383" t="inlineStr">
        <is>
          <t>LYCKSELE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45406-2024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45576</v>
      </c>
      <c r="E384" s="1" t="n">
        <v>46235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Naturvårdsverket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46235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45569</v>
      </c>
      <c r="E386" s="1" t="n">
        <v>46235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46235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46235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45821</v>
      </c>
      <c r="E389" s="1" t="n">
        <v>46235</v>
      </c>
      <c r="F389" t="inlineStr">
        <is>
          <t>VÄSTERBOTTENS LÄN</t>
        </is>
      </c>
      <c r="G389" t="inlineStr">
        <is>
          <t>LYCKSELE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46235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46235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46235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45378</v>
      </c>
      <c r="E393" s="1" t="n">
        <v>46235</v>
      </c>
      <c r="F393" t="inlineStr">
        <is>
          <t>VÄSTERBOTTENS LÄN</t>
        </is>
      </c>
      <c r="G393" t="inlineStr">
        <is>
          <t>LYCKSELE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46235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46235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45142</v>
      </c>
      <c r="E396" s="1" t="n">
        <v>46235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46235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46235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46235</v>
      </c>
      <c r="F399" t="inlineStr">
        <is>
          <t>VÄSTERBOTTENS LÄN</t>
        </is>
      </c>
      <c r="G399" t="inlineStr">
        <is>
          <t>LYCKSELE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46235</v>
      </c>
      <c r="F400" t="inlineStr">
        <is>
          <t>VÄSTERBOTTENS LÄN</t>
        </is>
      </c>
      <c r="G400" t="inlineStr">
        <is>
          <t>LYCKSELE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46235</v>
      </c>
      <c r="F401" t="inlineStr">
        <is>
          <t>VÄSTERBOTTENS LÄN</t>
        </is>
      </c>
      <c r="G401" t="inlineStr">
        <is>
          <t>LYCKSELE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46235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46235</v>
      </c>
      <c r="F403" t="inlineStr">
        <is>
          <t>VÄSTERBOTTENS LÄN</t>
        </is>
      </c>
      <c r="G403" t="inlineStr">
        <is>
          <t>LYCKSELE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46235</v>
      </c>
      <c r="F404" t="inlineStr">
        <is>
          <t>VÄSTERBOTTENS LÄN</t>
        </is>
      </c>
      <c r="G404" t="inlineStr">
        <is>
          <t>LYCKSELE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46235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46235</v>
      </c>
      <c r="F406" t="inlineStr">
        <is>
          <t>VÄSTERBOTTENS LÄN</t>
        </is>
      </c>
      <c r="G406" t="inlineStr">
        <is>
          <t>LYCKSELE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46235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46235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44547-2025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45917</v>
      </c>
      <c r="E409" s="1" t="n">
        <v>46235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45205</v>
      </c>
      <c r="E410" s="1" t="n">
        <v>46235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46235</v>
      </c>
      <c r="F411" t="inlineStr">
        <is>
          <t>VÄSTERBOTTENS LÄN</t>
        </is>
      </c>
      <c r="G411" t="inlineStr">
        <is>
          <t>LYCKSELE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46235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44952</v>
      </c>
      <c r="E413" s="1" t="n">
        <v>46235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46235</v>
      </c>
      <c r="F414" t="inlineStr">
        <is>
          <t>VÄSTERBOTTENS LÄN</t>
        </is>
      </c>
      <c r="G414" t="inlineStr">
        <is>
          <t>LYCKSELE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46235</v>
      </c>
      <c r="F415" t="inlineStr">
        <is>
          <t>VÄSTERBOTTENS LÄN</t>
        </is>
      </c>
      <c r="G415" t="inlineStr">
        <is>
          <t>LYCKSELE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46235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57618-2022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46235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44564</v>
      </c>
      <c r="E418" s="1" t="n">
        <v>46235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46235</v>
      </c>
      <c r="F419" t="inlineStr">
        <is>
          <t>VÄSTERBOTTENS LÄN</t>
        </is>
      </c>
      <c r="G419" t="inlineStr">
        <is>
          <t>LYCKSELE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46235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46235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46235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46235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45048</v>
      </c>
      <c r="E425" s="1" t="n">
        <v>46235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46235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44735</v>
      </c>
      <c r="E427" s="1" t="n">
        <v>46235</v>
      </c>
      <c r="F427" t="inlineStr">
        <is>
          <t>VÄSTERBOTTENS LÄN</t>
        </is>
      </c>
      <c r="G427" t="inlineStr">
        <is>
          <t>LYCKSELE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64663-2023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45281</v>
      </c>
      <c r="E428" s="1" t="n">
        <v>46235</v>
      </c>
      <c r="F428" t="inlineStr">
        <is>
          <t>VÄSTERBOTTENS LÄN</t>
        </is>
      </c>
      <c r="G428" t="inlineStr">
        <is>
          <t>LYCKSELE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45895</v>
      </c>
      <c r="E429" s="1" t="n">
        <v>46235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46235</v>
      </c>
      <c r="F430" t="inlineStr">
        <is>
          <t>VÄSTERBOTTENS LÄN</t>
        </is>
      </c>
      <c r="G430" t="inlineStr">
        <is>
          <t>LYCKSELE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46235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46235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46235</v>
      </c>
      <c r="F433" t="inlineStr">
        <is>
          <t>VÄSTERBOTTENS LÄN</t>
        </is>
      </c>
      <c r="G433" t="inlineStr">
        <is>
          <t>LYCKSELE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46235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46235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45694</v>
      </c>
      <c r="E436" s="1" t="n">
        <v>46235</v>
      </c>
      <c r="F436" t="inlineStr">
        <is>
          <t>VÄSTERBOTTENS LÄN</t>
        </is>
      </c>
      <c r="G436" t="inlineStr">
        <is>
          <t>LYCKSELE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46235</v>
      </c>
      <c r="F437" t="inlineStr">
        <is>
          <t>VÄSTERBOTTENS LÄN</t>
        </is>
      </c>
      <c r="G437" t="inlineStr">
        <is>
          <t>LYCKSELE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59516-2021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44491</v>
      </c>
      <c r="E438" s="1" t="n">
        <v>46235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46235</v>
      </c>
      <c r="F439" t="inlineStr">
        <is>
          <t>VÄSTERBOTTENS LÄN</t>
        </is>
      </c>
      <c r="G439" t="inlineStr">
        <is>
          <t>LYCKSELE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46235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46235</v>
      </c>
      <c r="F441" t="inlineStr">
        <is>
          <t>VÄSTERBOTTENS LÄN</t>
        </is>
      </c>
      <c r="G441" t="inlineStr">
        <is>
          <t>LYCKSELE</t>
        </is>
      </c>
      <c r="I441" t="n">
        <v>17.8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3632-2024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45320</v>
      </c>
      <c r="E442" s="1" t="n">
        <v>46235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44933</v>
      </c>
      <c r="E443" s="1" t="n">
        <v>46235</v>
      </c>
      <c r="F443" t="inlineStr">
        <is>
          <t>VÄSTERBOTTENS LÄN</t>
        </is>
      </c>
      <c r="G443" t="inlineStr">
        <is>
          <t>LYCKSELE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45890</v>
      </c>
      <c r="E444" s="1" t="n">
        <v>46235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46235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45933</v>
      </c>
      <c r="E446" s="1" t="n">
        <v>46235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46235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45611</v>
      </c>
      <c r="E448" s="1" t="n">
        <v>46235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46235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45933</v>
      </c>
      <c r="E450" s="1" t="n">
        <v>46235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44942</v>
      </c>
      <c r="E451" s="1" t="n">
        <v>46235</v>
      </c>
      <c r="F451" t="inlineStr">
        <is>
          <t>VÄSTERBOTTENS LÄN</t>
        </is>
      </c>
      <c r="G451" t="inlineStr">
        <is>
          <t>LYCKSELE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44994</v>
      </c>
      <c r="E452" s="1" t="n">
        <v>46235</v>
      </c>
      <c r="F452" t="inlineStr">
        <is>
          <t>VÄSTERBOTTENS LÄN</t>
        </is>
      </c>
      <c r="G452" t="inlineStr">
        <is>
          <t>LYCKSELE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46235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46235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45793</v>
      </c>
      <c r="E455" s="1" t="n">
        <v>46235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29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46235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49196-2025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46235</v>
      </c>
      <c r="F457" t="inlineStr">
        <is>
          <t>VÄSTERBOTTENS LÄN</t>
        </is>
      </c>
      <c r="G457" t="inlineStr">
        <is>
          <t>LYCKSELE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46235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46235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46146</v>
      </c>
      <c r="E460" s="1" t="n">
        <v>46235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49366-2025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45938</v>
      </c>
      <c r="E461" s="1" t="n">
        <v>46235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46235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46235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46235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46235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46235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29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46235</v>
      </c>
      <c r="F467" t="inlineStr">
        <is>
          <t>VÄSTERBOTTENS LÄN</t>
        </is>
      </c>
      <c r="G467" t="inlineStr">
        <is>
          <t>LYCKSELE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46235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29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46235</v>
      </c>
      <c r="F469" t="inlineStr">
        <is>
          <t>VÄSTERBOTTENS LÄN</t>
        </is>
      </c>
      <c r="G469" t="inlineStr">
        <is>
          <t>LYCKSELE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46235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46235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46235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46235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46235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46235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45238</v>
      </c>
      <c r="E476" s="1" t="n">
        <v>46235</v>
      </c>
      <c r="F476" t="inlineStr">
        <is>
          <t>VÄSTERBOTTENS LÄN</t>
        </is>
      </c>
      <c r="G476" t="inlineStr">
        <is>
          <t>LYCKSELE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46235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46235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45457</v>
      </c>
      <c r="E479" s="1" t="n">
        <v>46235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46235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45041</v>
      </c>
      <c r="E481" s="1" t="n">
        <v>46235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46235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45825</v>
      </c>
      <c r="E483" s="1" t="n">
        <v>46235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52.4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46235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46235</v>
      </c>
      <c r="F485" t="inlineStr">
        <is>
          <t>VÄSTERBOTTENS LÄN</t>
        </is>
      </c>
      <c r="G485" t="inlineStr">
        <is>
          <t>LYCKSELE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45941</v>
      </c>
      <c r="E486" s="1" t="n">
        <v>46235</v>
      </c>
      <c r="F486" t="inlineStr">
        <is>
          <t>VÄSTERBOTTENS LÄN</t>
        </is>
      </c>
      <c r="G486" t="inlineStr">
        <is>
          <t>LYCKSELE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46235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46235</v>
      </c>
      <c r="F488" t="inlineStr">
        <is>
          <t>VÄSTERBOTTENS LÄN</t>
        </is>
      </c>
      <c r="G488" t="inlineStr">
        <is>
          <t>LYCKSELE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45156</v>
      </c>
      <c r="E489" s="1" t="n">
        <v>46235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46235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45942</v>
      </c>
      <c r="E491" s="1" t="n">
        <v>46235</v>
      </c>
      <c r="F491" t="inlineStr">
        <is>
          <t>VÄSTERBOTTENS LÄN</t>
        </is>
      </c>
      <c r="G491" t="inlineStr">
        <is>
          <t>LYCKSELE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50021-2025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45943</v>
      </c>
      <c r="E492" s="1" t="n">
        <v>46235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46235</v>
      </c>
      <c r="F493" t="inlineStr">
        <is>
          <t>VÄSTERBOTTENS LÄN</t>
        </is>
      </c>
      <c r="G493" t="inlineStr">
        <is>
          <t>LYCKSELE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62715-2022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44925</v>
      </c>
      <c r="E494" s="1" t="n">
        <v>46235</v>
      </c>
      <c r="F494" t="inlineStr">
        <is>
          <t>VÄSTERBOTTENS LÄN</t>
        </is>
      </c>
      <c r="G494" t="inlineStr">
        <is>
          <t>LYCKSELE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59559-2022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44900</v>
      </c>
      <c r="E495" s="1" t="n">
        <v>46235</v>
      </c>
      <c r="F495" t="inlineStr">
        <is>
          <t>VÄSTERBOTTENS LÄN</t>
        </is>
      </c>
      <c r="G495" t="inlineStr">
        <is>
          <t>LYCKSELE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45457</v>
      </c>
      <c r="E496" s="1" t="n">
        <v>46235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45488</v>
      </c>
      <c r="E497" s="1" t="n">
        <v>46235</v>
      </c>
      <c r="F497" t="inlineStr">
        <is>
          <t>VÄSTERBOTTENS LÄN</t>
        </is>
      </c>
      <c r="G497" t="inlineStr">
        <is>
          <t>LYCKSELE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45590</v>
      </c>
      <c r="E498" s="1" t="n">
        <v>46235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46235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46235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46235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46235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45142</v>
      </c>
      <c r="E503" s="1" t="n">
        <v>46235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45608</v>
      </c>
      <c r="E504" s="1" t="n">
        <v>46235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46235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51859-2025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46235</v>
      </c>
      <c r="F506" t="inlineStr">
        <is>
          <t>VÄSTERBOTTENS LÄN</t>
        </is>
      </c>
      <c r="G506" t="inlineStr">
        <is>
          <t>LYCKSELE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46235</v>
      </c>
      <c r="F507" t="inlineStr">
        <is>
          <t>VÄSTERBOTTENS LÄN</t>
        </is>
      </c>
      <c r="G507" t="inlineStr">
        <is>
          <t>LYCKSELE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37599-2024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45541</v>
      </c>
      <c r="E508" s="1" t="n">
        <v>46235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46235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19.8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52144-2024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45608</v>
      </c>
      <c r="E510" s="1" t="n">
        <v>46235</v>
      </c>
      <c r="F510" t="inlineStr">
        <is>
          <t>VÄSTERBOTTENS LÄN</t>
        </is>
      </c>
      <c r="G510" t="inlineStr">
        <is>
          <t>LYCKSELE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46235</v>
      </c>
      <c r="F511" t="inlineStr">
        <is>
          <t>VÄSTERBOTTENS LÄN</t>
        </is>
      </c>
      <c r="G511" t="inlineStr">
        <is>
          <t>LYCKSELE</t>
        </is>
      </c>
      <c r="I511" t="n">
        <v>9.9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46235</v>
      </c>
      <c r="F512" t="inlineStr">
        <is>
          <t>VÄSTERBOTTENS LÄN</t>
        </is>
      </c>
      <c r="G512" t="inlineStr">
        <is>
          <t>LYCKSELE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9090-2025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45713</v>
      </c>
      <c r="E513" s="1" t="n">
        <v>46235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46235</v>
      </c>
      <c r="F514" t="inlineStr">
        <is>
          <t>VÄSTERBOTTENS LÄN</t>
        </is>
      </c>
      <c r="G514" t="inlineStr">
        <is>
          <t>LYCKSELE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25902-2022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44733</v>
      </c>
      <c r="E515" s="1" t="n">
        <v>46235</v>
      </c>
      <c r="F515" t="inlineStr">
        <is>
          <t>VÄSTERBOTTENS LÄN</t>
        </is>
      </c>
      <c r="G515" t="inlineStr">
        <is>
          <t>LYCKSELE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46235</v>
      </c>
      <c r="F516" t="inlineStr">
        <is>
          <t>VÄSTERBOTTENS LÄN</t>
        </is>
      </c>
      <c r="G516" t="inlineStr">
        <is>
          <t>LYCKSELE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45681</v>
      </c>
      <c r="E517" s="1" t="n">
        <v>46235</v>
      </c>
      <c r="F517" t="inlineStr">
        <is>
          <t>VÄSTERBOTTENS LÄN</t>
        </is>
      </c>
      <c r="G517" t="inlineStr">
        <is>
          <t>LYCKSELE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12430-2025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46235</v>
      </c>
      <c r="F518" t="inlineStr">
        <is>
          <t>VÄSTERBOTTENS LÄN</t>
        </is>
      </c>
      <c r="G518" t="inlineStr">
        <is>
          <t>LYCKSELE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46235</v>
      </c>
      <c r="F519" t="inlineStr">
        <is>
          <t>VÄSTERBOTTENS LÄN</t>
        </is>
      </c>
      <c r="G519" t="inlineStr">
        <is>
          <t>LYCKSELE</t>
        </is>
      </c>
      <c r="I519" t="n">
        <v>18.8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46235</v>
      </c>
      <c r="F520" t="inlineStr">
        <is>
          <t>VÄSTERBOTTENS LÄN</t>
        </is>
      </c>
      <c r="G520" t="inlineStr">
        <is>
          <t>LYCKSELE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46235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46235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45957</v>
      </c>
      <c r="E523" s="1" t="n">
        <v>46235</v>
      </c>
      <c r="F523" t="inlineStr">
        <is>
          <t>VÄSTERBOTTENS LÄN</t>
        </is>
      </c>
      <c r="G523" t="inlineStr">
        <is>
          <t>LYCKSELE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45154</v>
      </c>
      <c r="E524" s="1" t="n">
        <v>46235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57263-2024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46235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26351-2022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44735</v>
      </c>
      <c r="E526" s="1" t="n">
        <v>46235</v>
      </c>
      <c r="F526" t="inlineStr">
        <is>
          <t>VÄSTERBOTTENS LÄN</t>
        </is>
      </c>
      <c r="G526" t="inlineStr">
        <is>
          <t>LYCKSELE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46235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46235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46235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46235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46235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46235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45198</v>
      </c>
      <c r="E533" s="1" t="n">
        <v>46235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45145</v>
      </c>
      <c r="E534" s="1" t="n">
        <v>46235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46235</v>
      </c>
      <c r="F535" t="inlineStr">
        <is>
          <t>VÄSTERBOTTENS LÄN</t>
        </is>
      </c>
      <c r="G535" t="inlineStr">
        <is>
          <t>LYCKSELE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46235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46235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46235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46235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45967</v>
      </c>
      <c r="E540" s="1" t="n">
        <v>46235</v>
      </c>
      <c r="F540" t="inlineStr">
        <is>
          <t>VÄSTERBOTTENS LÄN</t>
        </is>
      </c>
      <c r="G540" t="inlineStr">
        <is>
          <t>LYCKSELE</t>
        </is>
      </c>
      <c r="I540" t="n">
        <v>24.9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46235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46235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46235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55216-2025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46235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45967</v>
      </c>
      <c r="E545" s="1" t="n">
        <v>46235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46235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46235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45972</v>
      </c>
      <c r="E548" s="1" t="n">
        <v>46235</v>
      </c>
      <c r="F548" t="inlineStr">
        <is>
          <t>VÄSTERBOTTENS LÄN</t>
        </is>
      </c>
      <c r="G548" t="inlineStr">
        <is>
          <t>LYCKSELE</t>
        </is>
      </c>
      <c r="I548" t="n">
        <v>14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55545-2025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46235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46235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46235</v>
      </c>
      <c r="F551" t="inlineStr">
        <is>
          <t>VÄSTERBOTTENS LÄN</t>
        </is>
      </c>
      <c r="G551" t="inlineStr">
        <is>
          <t>LYCKSELE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45490</v>
      </c>
      <c r="E552" s="1" t="n">
        <v>46235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15037-2025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45743</v>
      </c>
      <c r="E553" s="1" t="n">
        <v>46235</v>
      </c>
      <c r="F553" t="inlineStr">
        <is>
          <t>VÄSTERBOTTENS LÄN</t>
        </is>
      </c>
      <c r="G553" t="inlineStr">
        <is>
          <t>LYCKSELE</t>
        </is>
      </c>
      <c r="I553" t="n">
        <v>12.1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68665-2021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44529</v>
      </c>
      <c r="E554" s="1" t="n">
        <v>46235</v>
      </c>
      <c r="F554" t="inlineStr">
        <is>
          <t>VÄSTERBOTTENS LÄN</t>
        </is>
      </c>
      <c r="G554" t="inlineStr">
        <is>
          <t>LYCKSELE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46235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40262-2022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44820</v>
      </c>
      <c r="E556" s="1" t="n">
        <v>46235</v>
      </c>
      <c r="F556" t="inlineStr">
        <is>
          <t>VÄSTERBOTTENS LÄN</t>
        </is>
      </c>
      <c r="G556" t="inlineStr">
        <is>
          <t>LYCKSELE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56172-2025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46235</v>
      </c>
      <c r="F557" t="inlineStr">
        <is>
          <t>VÄSTERBOTTENS LÄN</t>
        </is>
      </c>
      <c r="G557" t="inlineStr">
        <is>
          <t>LYCKSELE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59653-2022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44907</v>
      </c>
      <c r="E558" s="1" t="n">
        <v>46235</v>
      </c>
      <c r="F558" t="inlineStr">
        <is>
          <t>VÄSTERBOTTENS LÄN</t>
        </is>
      </c>
      <c r="G558" t="inlineStr">
        <is>
          <t>LYCKSELE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46235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46235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38.4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46235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29314-2026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46235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44826</v>
      </c>
      <c r="E563" s="1" t="n">
        <v>46235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Naturvårdsverket</t>
        </is>
      </c>
      <c r="I563" t="n">
        <v>32.1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46235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46235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46235</v>
      </c>
      <c r="F566" t="inlineStr">
        <is>
          <t>VÄSTERBOTTENS LÄN</t>
        </is>
      </c>
      <c r="G566" t="inlineStr">
        <is>
          <t>LYCKSELE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45695</v>
      </c>
      <c r="E567" s="1" t="n">
        <v>46235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45503</v>
      </c>
      <c r="E568" s="1" t="n">
        <v>46235</v>
      </c>
      <c r="F568" t="inlineStr">
        <is>
          <t>VÄSTERBOTTENS LÄN</t>
        </is>
      </c>
      <c r="G568" t="inlineStr">
        <is>
          <t>LYCKSELE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45279</v>
      </c>
      <c r="E569" s="1" t="n">
        <v>46235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46235</v>
      </c>
      <c r="F570" t="inlineStr">
        <is>
          <t>VÄSTERBOTTENS LÄN</t>
        </is>
      </c>
      <c r="G570" t="inlineStr">
        <is>
          <t>LYCKSELE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52370-2022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44874</v>
      </c>
      <c r="E571" s="1" t="n">
        <v>46235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28225-2026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46196</v>
      </c>
      <c r="E572" s="1" t="n">
        <v>46235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56744-2025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46235</v>
      </c>
      <c r="F573" t="inlineStr">
        <is>
          <t>VÄSTERBOTTENS LÄN</t>
        </is>
      </c>
      <c r="G573" t="inlineStr">
        <is>
          <t>LYCKSELE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44670</v>
      </c>
      <c r="E574" s="1" t="n">
        <v>46235</v>
      </c>
      <c r="F574" t="inlineStr">
        <is>
          <t>VÄSTERBOTTENS LÄN</t>
        </is>
      </c>
      <c r="G574" t="inlineStr">
        <is>
          <t>LYCKSELE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46235</v>
      </c>
      <c r="F575" t="inlineStr">
        <is>
          <t>VÄSTERBOTTENS LÄN</t>
        </is>
      </c>
      <c r="G575" t="inlineStr">
        <is>
          <t>LYCKSELE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31453-2024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45505</v>
      </c>
      <c r="E576" s="1" t="n">
        <v>46235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46235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46235</v>
      </c>
      <c r="F578" t="inlineStr">
        <is>
          <t>VÄSTERBOTTENS LÄN</t>
        </is>
      </c>
      <c r="G578" t="inlineStr">
        <is>
          <t>LYCKSELE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46235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29706-2026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46204</v>
      </c>
      <c r="E580" s="1" t="n">
        <v>46235</v>
      </c>
      <c r="F580" t="inlineStr">
        <is>
          <t>VÄSTERBOTTENS LÄN</t>
        </is>
      </c>
      <c r="G580" t="inlineStr">
        <is>
          <t>LYCKSELE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46235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45979</v>
      </c>
      <c r="E582" s="1" t="n">
        <v>46235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29675-2023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46235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29425-2026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46203</v>
      </c>
      <c r="E584" s="1" t="n">
        <v>46235</v>
      </c>
      <c r="F584" t="inlineStr">
        <is>
          <t>VÄSTERBOTTENS LÄN</t>
        </is>
      </c>
      <c r="G584" t="inlineStr">
        <is>
          <t>LYCKSELE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57669-2025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46235</v>
      </c>
      <c r="F585" t="inlineStr">
        <is>
          <t>VÄSTERBOTTENS LÄN</t>
        </is>
      </c>
      <c r="G585" t="inlineStr">
        <is>
          <t>LYCKSELE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46235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46235</v>
      </c>
      <c r="F587" t="inlineStr">
        <is>
          <t>VÄSTERBOTTENS LÄN</t>
        </is>
      </c>
      <c r="G587" t="inlineStr">
        <is>
          <t>LYCKSELE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46235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53614-2021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44469</v>
      </c>
      <c r="E589" s="1" t="n">
        <v>46235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58171-2025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46235</v>
      </c>
      <c r="F590" t="inlineStr">
        <is>
          <t>VÄSTERBOTTENS LÄN</t>
        </is>
      </c>
      <c r="G590" t="inlineStr">
        <is>
          <t>LYCKSELE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46235</v>
      </c>
      <c r="F591" t="inlineStr">
        <is>
          <t>VÄSTERBOTTENS LÄN</t>
        </is>
      </c>
      <c r="G591" t="inlineStr">
        <is>
          <t>LYCKSELE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29424-2026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46203</v>
      </c>
      <c r="E592" s="1" t="n">
        <v>46235</v>
      </c>
      <c r="F592" t="inlineStr">
        <is>
          <t>VÄSTERBOTTENS LÄN</t>
        </is>
      </c>
      <c r="G592" t="inlineStr">
        <is>
          <t>LYCKSELE</t>
        </is>
      </c>
      <c r="I592" t="n">
        <v>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46235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46235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46235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46235</v>
      </c>
      <c r="F596" t="inlineStr">
        <is>
          <t>VÄSTERBOTTENS LÄN</t>
        </is>
      </c>
      <c r="G596" t="inlineStr">
        <is>
          <t>LYCKSELE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47697-2021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44448</v>
      </c>
      <c r="E597" s="1" t="n">
        <v>46235</v>
      </c>
      <c r="F597" t="inlineStr">
        <is>
          <t>VÄSTERBOTTENS LÄN</t>
        </is>
      </c>
      <c r="G597" t="inlineStr">
        <is>
          <t>LYCKSELE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8600-2025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45709</v>
      </c>
      <c r="E598" s="1" t="n">
        <v>46235</v>
      </c>
      <c r="F598" t="inlineStr">
        <is>
          <t>VÄSTERBOTTENS LÄN</t>
        </is>
      </c>
      <c r="G598" t="inlineStr">
        <is>
          <t>LYCKSELE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9892-2022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44620</v>
      </c>
      <c r="E599" s="1" t="n">
        <v>46235</v>
      </c>
      <c r="F599" t="inlineStr">
        <is>
          <t>VÄSTERBOTTENS LÄN</t>
        </is>
      </c>
      <c r="G599" t="inlineStr">
        <is>
          <t>LYCKSELE</t>
        </is>
      </c>
      <c r="I599" t="n">
        <v>14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51842-2025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45952</v>
      </c>
      <c r="E600" s="1" t="n">
        <v>46235</v>
      </c>
      <c r="F600" t="inlineStr">
        <is>
          <t>VÄSTERBOTTENS LÄN</t>
        </is>
      </c>
      <c r="G600" t="inlineStr">
        <is>
          <t>LYCKSELE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29436-2026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46203</v>
      </c>
      <c r="E601" s="1" t="n">
        <v>46235</v>
      </c>
      <c r="F601" t="inlineStr">
        <is>
          <t>VÄSTERBOTTENS LÄN</t>
        </is>
      </c>
      <c r="G601" t="inlineStr">
        <is>
          <t>LYCKSELE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46235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46235</v>
      </c>
      <c r="F603" t="inlineStr">
        <is>
          <t>VÄSTERBOTTENS LÄN</t>
        </is>
      </c>
      <c r="G603" t="inlineStr">
        <is>
          <t>LYCKSELE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27964-2023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45098</v>
      </c>
      <c r="E604" s="1" t="n">
        <v>46235</v>
      </c>
      <c r="F604" t="inlineStr">
        <is>
          <t>VÄSTERBOTTENS LÄN</t>
        </is>
      </c>
      <c r="G604" t="inlineStr">
        <is>
          <t>LYCKSELE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44910</v>
      </c>
      <c r="E605" s="1" t="n">
        <v>46235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46235</v>
      </c>
      <c r="F606" t="inlineStr">
        <is>
          <t>VÄSTERBOTTENS LÄN</t>
        </is>
      </c>
      <c r="G606" t="inlineStr">
        <is>
          <t>LYCKSELE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46205</v>
      </c>
      <c r="E607" s="1" t="n">
        <v>46235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46235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44571</v>
      </c>
      <c r="E609" s="1" t="n">
        <v>46235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26357-2023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45091</v>
      </c>
      <c r="E610" s="1" t="n">
        <v>46235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27929-2024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45475</v>
      </c>
      <c r="E611" s="1" t="n">
        <v>46235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Naturvårdsverket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46235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Naturvårdsverket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21109-2023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45061</v>
      </c>
      <c r="E613" s="1" t="n">
        <v>46235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45638</v>
      </c>
      <c r="E614" s="1" t="n">
        <v>46235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45091</v>
      </c>
      <c r="E615" s="1" t="n">
        <v>46235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46235</v>
      </c>
      <c r="F616" t="inlineStr">
        <is>
          <t>VÄSTERBOTTENS LÄN</t>
        </is>
      </c>
      <c r="G616" t="inlineStr">
        <is>
          <t>LYCKSELE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49175-2023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45210</v>
      </c>
      <c r="E617" s="1" t="n">
        <v>46235</v>
      </c>
      <c r="F617" t="inlineStr">
        <is>
          <t>VÄSTERBOTTENS LÄN</t>
        </is>
      </c>
      <c r="G617" t="inlineStr">
        <is>
          <t>LYCKSELE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46235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46235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44924</v>
      </c>
      <c r="E620" s="1" t="n">
        <v>46235</v>
      </c>
      <c r="F620" t="inlineStr">
        <is>
          <t>VÄSTERBOTTENS LÄN</t>
        </is>
      </c>
      <c r="G620" t="inlineStr">
        <is>
          <t>LYCKSELE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30401-2023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46235</v>
      </c>
      <c r="F621" t="inlineStr">
        <is>
          <t>VÄSTERBOTTENS LÄN</t>
        </is>
      </c>
      <c r="G621" t="inlineStr">
        <is>
          <t>LYCKSELE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46235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45700</v>
      </c>
      <c r="E623" s="1" t="n">
        <v>46235</v>
      </c>
      <c r="F623" t="inlineStr">
        <is>
          <t>VÄSTERBOTTENS LÄN</t>
        </is>
      </c>
      <c r="G623" t="inlineStr">
        <is>
          <t>LYCKSELE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46235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45491</v>
      </c>
      <c r="E625" s="1" t="n">
        <v>46235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45586</v>
      </c>
      <c r="E626" s="1" t="n">
        <v>46235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46235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53241-2022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44876</v>
      </c>
      <c r="E628" s="1" t="n">
        <v>46235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46205</v>
      </c>
      <c r="E629" s="1" t="n">
        <v>46235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46235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46235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29844-2026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46235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46235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44468</v>
      </c>
      <c r="E634" s="1" t="n">
        <v>46235</v>
      </c>
      <c r="F634" t="inlineStr">
        <is>
          <t>VÄSTERBOTTENS LÄN</t>
        </is>
      </c>
      <c r="G634" t="inlineStr">
        <is>
          <t>LYCKSELE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46235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57571-2025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45980</v>
      </c>
      <c r="E636" s="1" t="n">
        <v>46235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46235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45544</v>
      </c>
      <c r="E638" s="1" t="n">
        <v>46235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46235</v>
      </c>
      <c r="F639" t="inlineStr">
        <is>
          <t>VÄSTERBOTTENS LÄN</t>
        </is>
      </c>
      <c r="G639" t="inlineStr">
        <is>
          <t>LYCKSELE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46235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21660-2023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45063</v>
      </c>
      <c r="E641" s="1" t="n">
        <v>46235</v>
      </c>
      <c r="F641" t="inlineStr">
        <is>
          <t>VÄSTERBOTTENS LÄN</t>
        </is>
      </c>
      <c r="G641" t="inlineStr">
        <is>
          <t>LYCKSELE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46235</v>
      </c>
      <c r="F642" t="inlineStr">
        <is>
          <t>VÄSTERBOTTENS LÄN</t>
        </is>
      </c>
      <c r="G642" t="inlineStr">
        <is>
          <t>LYCKSELE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46235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46235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46235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46235</v>
      </c>
      <c r="F646" t="inlineStr">
        <is>
          <t>VÄSTERBOTTENS LÄN</t>
        </is>
      </c>
      <c r="G646" t="inlineStr">
        <is>
          <t>LYCKSELE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45996</v>
      </c>
      <c r="E647" s="1" t="n">
        <v>46235</v>
      </c>
      <c r="F647" t="inlineStr">
        <is>
          <t>VÄSTERBOTTENS LÄN</t>
        </is>
      </c>
      <c r="G647" t="inlineStr">
        <is>
          <t>LYCKSELE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52699-2021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44466</v>
      </c>
      <c r="E648" s="1" t="n">
        <v>46235</v>
      </c>
      <c r="F648" t="inlineStr">
        <is>
          <t>VÄSTERBOTTENS LÄN</t>
        </is>
      </c>
      <c r="G648" t="inlineStr">
        <is>
          <t>LYCKSELE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45406</v>
      </c>
      <c r="E649" s="1" t="n">
        <v>46235</v>
      </c>
      <c r="F649" t="inlineStr">
        <is>
          <t>VÄSTERBOTTENS LÄN</t>
        </is>
      </c>
      <c r="G649" t="inlineStr">
        <is>
          <t>LYCKSELE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44902</v>
      </c>
      <c r="E650" s="1" t="n">
        <v>46235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46235</v>
      </c>
      <c r="F651" t="inlineStr">
        <is>
          <t>VÄSTERBOTTENS LÄN</t>
        </is>
      </c>
      <c r="G651" t="inlineStr">
        <is>
          <t>LYCKSELE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24205-2026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46235</v>
      </c>
      <c r="F652" t="inlineStr">
        <is>
          <t>VÄSTERBOTTENS LÄN</t>
        </is>
      </c>
      <c r="G652" t="inlineStr">
        <is>
          <t>LYCKSELE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46235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46235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45226</v>
      </c>
      <c r="E655" s="1" t="n">
        <v>46235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61115-2025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46000</v>
      </c>
      <c r="E656" s="1" t="n">
        <v>46235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45196</v>
      </c>
      <c r="E657" s="1" t="n">
        <v>46235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45732</v>
      </c>
      <c r="E658" s="1" t="n">
        <v>46235</v>
      </c>
      <c r="F658" t="inlineStr">
        <is>
          <t>VÄSTERBOTTENS LÄN</t>
        </is>
      </c>
      <c r="G658" t="inlineStr">
        <is>
          <t>LYCKSELE</t>
        </is>
      </c>
      <c r="I658" t="n">
        <v>15.5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46235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46235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61086-2025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46000</v>
      </c>
      <c r="E661" s="1" t="n">
        <v>46235</v>
      </c>
      <c r="F661" t="inlineStr">
        <is>
          <t>VÄSTERBOTTENS LÄN</t>
        </is>
      </c>
      <c r="G661" t="inlineStr">
        <is>
          <t>LYCKSELE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21289-2025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45779</v>
      </c>
      <c r="E662" s="1" t="n">
        <v>46235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61353-2025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46001</v>
      </c>
      <c r="E663" s="1" t="n">
        <v>46235</v>
      </c>
      <c r="F663" t="inlineStr">
        <is>
          <t>VÄSTERBOTTENS LÄN</t>
        </is>
      </c>
      <c r="G663" t="inlineStr">
        <is>
          <t>LYCKSELE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46209</v>
      </c>
      <c r="E664" s="1" t="n">
        <v>46235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58961-2022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46235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46235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61351-2025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46001</v>
      </c>
      <c r="E667" s="1" t="n">
        <v>46235</v>
      </c>
      <c r="F667" t="inlineStr">
        <is>
          <t>VÄSTERBOTTENS LÄN</t>
        </is>
      </c>
      <c r="G667" t="inlineStr">
        <is>
          <t>LYCKSELE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46235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46235</v>
      </c>
      <c r="F669" t="inlineStr">
        <is>
          <t>VÄSTERBOTTENS LÄN</t>
        </is>
      </c>
      <c r="G669" t="inlineStr">
        <is>
          <t>LYCKSELE</t>
        </is>
      </c>
      <c r="I669" t="n">
        <v>34.9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46235</v>
      </c>
      <c r="F670" t="inlineStr">
        <is>
          <t>VÄSTERBOTTENS LÄN</t>
        </is>
      </c>
      <c r="G670" t="inlineStr">
        <is>
          <t>LYCKSELE</t>
        </is>
      </c>
      <c r="I670" t="n">
        <v>12.4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30447-2026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46209</v>
      </c>
      <c r="E671" s="1" t="n">
        <v>46235</v>
      </c>
      <c r="F671" t="inlineStr">
        <is>
          <t>VÄSTERBOTTENS LÄN</t>
        </is>
      </c>
      <c r="G671" t="inlineStr">
        <is>
          <t>LYCKSELE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46001</v>
      </c>
      <c r="E672" s="1" t="n">
        <v>46235</v>
      </c>
      <c r="F672" t="inlineStr">
        <is>
          <t>VÄSTERBOTTENS LÄN</t>
        </is>
      </c>
      <c r="G672" t="inlineStr">
        <is>
          <t>LYCKSELE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44934</v>
      </c>
      <c r="E673" s="1" t="n">
        <v>46235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46235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46235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46235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61334-2025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46001</v>
      </c>
      <c r="E677" s="1" t="n">
        <v>46235</v>
      </c>
      <c r="F677" t="inlineStr">
        <is>
          <t>VÄSTERBOTTENS LÄN</t>
        </is>
      </c>
      <c r="G677" t="inlineStr">
        <is>
          <t>LYCKSELE</t>
        </is>
      </c>
      <c r="I677" t="n">
        <v>8.9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61593-2025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46002</v>
      </c>
      <c r="E678" s="1" t="n">
        <v>46235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23988-2026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46167</v>
      </c>
      <c r="E679" s="1" t="n">
        <v>46235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46210</v>
      </c>
      <c r="E680" s="1" t="n">
        <v>46235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22451-2026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46153</v>
      </c>
      <c r="E681" s="1" t="n">
        <v>46235</v>
      </c>
      <c r="F681" t="inlineStr">
        <is>
          <t>VÄSTERBOTTENS LÄN</t>
        </is>
      </c>
      <c r="G681" t="inlineStr">
        <is>
          <t>LYCKSELE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16504-2025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45751</v>
      </c>
      <c r="E682" s="1" t="n">
        <v>46235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46235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44886</v>
      </c>
      <c r="E684" s="1" t="n">
        <v>46235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49130-2024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46235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62874-2023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45271</v>
      </c>
      <c r="E686" s="1" t="n">
        <v>46235</v>
      </c>
      <c r="F686" t="inlineStr">
        <is>
          <t>VÄSTERBOTTENS LÄN</t>
        </is>
      </c>
      <c r="G686" t="inlineStr">
        <is>
          <t>LYCKSELE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45561</v>
      </c>
      <c r="E687" s="1" t="n">
        <v>46235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46235</v>
      </c>
      <c r="F688" t="inlineStr">
        <is>
          <t>VÄSTERBOTTENS LÄN</t>
        </is>
      </c>
      <c r="G688" t="inlineStr">
        <is>
          <t>LYCKSELE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53839-2023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46235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62476-2025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46007</v>
      </c>
      <c r="E690" s="1" t="n">
        <v>46235</v>
      </c>
      <c r="F690" t="inlineStr">
        <is>
          <t>VÄSTERBOTTENS LÄN</t>
        </is>
      </c>
      <c r="G690" t="inlineStr">
        <is>
          <t>LYCKSELE</t>
        </is>
      </c>
      <c r="I690" t="n">
        <v>36.8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46235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28550-2023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45103</v>
      </c>
      <c r="E692" s="1" t="n">
        <v>46235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63096-2025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46009</v>
      </c>
      <c r="E693" s="1" t="n">
        <v>46235</v>
      </c>
      <c r="F693" t="inlineStr">
        <is>
          <t>VÄSTERBOTTENS LÄN</t>
        </is>
      </c>
      <c r="G693" t="inlineStr">
        <is>
          <t>LYCKSELE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57298-2025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46235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46235</v>
      </c>
      <c r="F695" t="inlineStr">
        <is>
          <t>VÄSTERBOTTENS LÄN</t>
        </is>
      </c>
      <c r="G695" t="inlineStr">
        <is>
          <t>LYCKSELE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45155</v>
      </c>
      <c r="E696" s="1" t="n">
        <v>46235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62906-2025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46009</v>
      </c>
      <c r="E697" s="1" t="n">
        <v>46235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46235</v>
      </c>
      <c r="F698" t="inlineStr">
        <is>
          <t>VÄSTERBOTTENS LÄN</t>
        </is>
      </c>
      <c r="G698" t="inlineStr">
        <is>
          <t>LYCKSELE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24497-2026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46235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46235</v>
      </c>
      <c r="F700" t="inlineStr">
        <is>
          <t>VÄSTERBOTTENS LÄN</t>
        </is>
      </c>
      <c r="G700" t="inlineStr">
        <is>
          <t>LYCKSELE</t>
        </is>
      </c>
      <c r="I700" t="n">
        <v>25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45308</v>
      </c>
      <c r="E701" s="1" t="n">
        <v>46235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46817-2024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45583</v>
      </c>
      <c r="E702" s="1" t="n">
        <v>46235</v>
      </c>
      <c r="F702" t="inlineStr">
        <is>
          <t>VÄSTERBOTTENS LÄN</t>
        </is>
      </c>
      <c r="G702" t="inlineStr">
        <is>
          <t>LYCKSELE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46171</v>
      </c>
      <c r="E703" s="1" t="n">
        <v>46235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55203-2024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45621</v>
      </c>
      <c r="E704" s="1" t="n">
        <v>46235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46235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60482-2024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45643</v>
      </c>
      <c r="E706" s="1" t="n">
        <v>46235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7.8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45606</v>
      </c>
      <c r="E707" s="1" t="n">
        <v>46235</v>
      </c>
      <c r="F707" t="inlineStr">
        <is>
          <t>VÄSTERBOTTENS LÄN</t>
        </is>
      </c>
      <c r="G707" t="inlineStr">
        <is>
          <t>LYCKSELE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49631-2023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45211</v>
      </c>
      <c r="E708" s="1" t="n">
        <v>46235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Kommuner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61367-2024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45646</v>
      </c>
      <c r="E709" s="1" t="n">
        <v>46235</v>
      </c>
      <c r="F709" t="inlineStr">
        <is>
          <t>VÄSTERBOTTENS LÄN</t>
        </is>
      </c>
      <c r="G709" t="inlineStr">
        <is>
          <t>LYCKSELE</t>
        </is>
      </c>
      <c r="I709" t="n">
        <v>10.4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50652-2021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44459</v>
      </c>
      <c r="E710" s="1" t="n">
        <v>46235</v>
      </c>
      <c r="F710" t="inlineStr">
        <is>
          <t>VÄSTERBOTTENS LÄN</t>
        </is>
      </c>
      <c r="G710" t="inlineStr">
        <is>
          <t>LYCKSELE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46235</v>
      </c>
      <c r="F711" t="inlineStr">
        <is>
          <t>VÄSTERBOTTENS LÄN</t>
        </is>
      </c>
      <c r="G711" t="inlineStr">
        <is>
          <t>LYCKSELE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46213</v>
      </c>
      <c r="E712" s="1" t="n">
        <v>46235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45541</v>
      </c>
      <c r="E713" s="1" t="n">
        <v>46235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63639-2025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46014</v>
      </c>
      <c r="E714" s="1" t="n">
        <v>46235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45101</v>
      </c>
      <c r="E715" s="1" t="n">
        <v>46235</v>
      </c>
      <c r="F715" t="inlineStr">
        <is>
          <t>VÄSTERBOTTENS LÄN</t>
        </is>
      </c>
      <c r="G715" t="inlineStr">
        <is>
          <t>LYCKSELE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45128</v>
      </c>
      <c r="E716" s="1" t="n">
        <v>46235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46235</v>
      </c>
      <c r="F717" t="inlineStr">
        <is>
          <t>VÄSTERBOTTENS LÄN</t>
        </is>
      </c>
      <c r="G717" t="inlineStr">
        <is>
          <t>LYCKSELE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54446-2023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45233</v>
      </c>
      <c r="E718" s="1" t="n">
        <v>46235</v>
      </c>
      <c r="F718" t="inlineStr">
        <is>
          <t>VÄSTERBOTTENS LÄN</t>
        </is>
      </c>
      <c r="G718" t="inlineStr">
        <is>
          <t>LYCKSELE</t>
        </is>
      </c>
      <c r="I718" t="n">
        <v>21.4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30890-2026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46213</v>
      </c>
      <c r="E719" s="1" t="n">
        <v>46235</v>
      </c>
      <c r="F719" t="inlineStr">
        <is>
          <t>VÄSTERBOTTENS LÄN</t>
        </is>
      </c>
      <c r="G719" t="inlineStr">
        <is>
          <t>LYCKSELE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30945-2026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46235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45392</v>
      </c>
      <c r="E721" s="1" t="n">
        <v>46235</v>
      </c>
      <c r="F721" t="inlineStr">
        <is>
          <t>VÄSTERBOTTENS LÄN</t>
        </is>
      </c>
      <c r="G721" t="inlineStr">
        <is>
          <t>LYCKSELE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40527-2024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46235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8.9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46235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46170</v>
      </c>
      <c r="E724" s="1" t="n">
        <v>46235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45209</v>
      </c>
      <c r="E725" s="1" t="n">
        <v>46235</v>
      </c>
      <c r="F725" t="inlineStr">
        <is>
          <t>VÄSTERBOTTENS LÄN</t>
        </is>
      </c>
      <c r="G725" t="inlineStr">
        <is>
          <t>LYCKSELE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46692-2025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45926</v>
      </c>
      <c r="E726" s="1" t="n">
        <v>46235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45520</v>
      </c>
      <c r="E727" s="1" t="n">
        <v>46235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33713-2024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46235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7.5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26396-2022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44735</v>
      </c>
      <c r="E729" s="1" t="n">
        <v>46235</v>
      </c>
      <c r="F729" t="inlineStr">
        <is>
          <t>VÄSTERBOTTENS LÄN</t>
        </is>
      </c>
      <c r="G729" t="inlineStr">
        <is>
          <t>LYCKSELE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50044-2021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44456</v>
      </c>
      <c r="E730" s="1" t="n">
        <v>46235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46181-2025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46235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11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33708-2024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45520</v>
      </c>
      <c r="E732" s="1" t="n">
        <v>46235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46235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45520</v>
      </c>
      <c r="E734" s="1" t="n">
        <v>46235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10.4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16669-2022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44672</v>
      </c>
      <c r="E735" s="1" t="n">
        <v>46235</v>
      </c>
      <c r="F735" t="inlineStr">
        <is>
          <t>VÄSTERBOTTENS LÄN</t>
        </is>
      </c>
      <c r="G735" t="inlineStr">
        <is>
          <t>LYCKSELE</t>
        </is>
      </c>
      <c r="I735" t="n">
        <v>12.8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25080-2026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46235</v>
      </c>
      <c r="F736" t="inlineStr">
        <is>
          <t>VÄSTERBOTTENS LÄN</t>
        </is>
      </c>
      <c r="G736" t="inlineStr">
        <is>
          <t>LYCKSELE</t>
        </is>
      </c>
      <c r="I736" t="n">
        <v>13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31289-2026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46218</v>
      </c>
      <c r="E737" s="1" t="n">
        <v>46235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23971-2024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45455</v>
      </c>
      <c r="E738" s="1" t="n">
        <v>46235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57898-2021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44486</v>
      </c>
      <c r="E739" s="1" t="n">
        <v>46235</v>
      </c>
      <c r="F739" t="inlineStr">
        <is>
          <t>VÄSTERBOTTENS LÄN</t>
        </is>
      </c>
      <c r="G739" t="inlineStr">
        <is>
          <t>LYCKSELE</t>
        </is>
      </c>
      <c r="I739" t="n">
        <v>14.7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32408-2024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45512</v>
      </c>
      <c r="E740" s="1" t="n">
        <v>46235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Naturvårdsverket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46235</v>
      </c>
      <c r="F741" t="inlineStr">
        <is>
          <t>VÄSTERBOTTENS LÄN</t>
        </is>
      </c>
      <c r="G741" t="inlineStr">
        <is>
          <t>LYCKSELE</t>
        </is>
      </c>
      <c r="I741" t="n">
        <v>16.3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46235</v>
      </c>
      <c r="F742" t="inlineStr">
        <is>
          <t>VÄSTERBOTTENS LÄN</t>
        </is>
      </c>
      <c r="G742" t="inlineStr">
        <is>
          <t>LYCKSELE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58439-2022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44901</v>
      </c>
      <c r="E743" s="1" t="n">
        <v>46235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46034</v>
      </c>
      <c r="E744" s="1" t="n">
        <v>46235</v>
      </c>
      <c r="F744" t="inlineStr">
        <is>
          <t>VÄSTERBOTTENS LÄN</t>
        </is>
      </c>
      <c r="G744" t="inlineStr">
        <is>
          <t>LYCKSELE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1613-2026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46235</v>
      </c>
      <c r="F745" t="inlineStr">
        <is>
          <t>VÄSTERBOTTENS LÄN</t>
        </is>
      </c>
      <c r="G745" t="inlineStr">
        <is>
          <t>LYCKSELE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46235</v>
      </c>
      <c r="F746" t="inlineStr">
        <is>
          <t>VÄSTERBOTTENS LÄN</t>
        </is>
      </c>
      <c r="G746" t="inlineStr">
        <is>
          <t>LYCKSELE</t>
        </is>
      </c>
      <c r="I746" t="n">
        <v>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46235</v>
      </c>
      <c r="F747" t="inlineStr">
        <is>
          <t>VÄSTERBOTTENS LÄN</t>
        </is>
      </c>
      <c r="G747" t="inlineStr">
        <is>
          <t>LYCKSELE</t>
        </is>
      </c>
      <c r="I747" t="n">
        <v>10.7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46174</v>
      </c>
      <c r="E748" s="1" t="n">
        <v>46235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46235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46235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60859-2022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46235</v>
      </c>
      <c r="F751" t="inlineStr">
        <is>
          <t>VÄSTERBOTTENS LÄN</t>
        </is>
      </c>
      <c r="G751" t="inlineStr">
        <is>
          <t>LYCKSELE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16289-2025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45751</v>
      </c>
      <c r="E752" s="1" t="n">
        <v>46235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46235</v>
      </c>
      <c r="F753" t="inlineStr">
        <is>
          <t>VÄSTERBOTTENS LÄN</t>
        </is>
      </c>
      <c r="G753" t="inlineStr">
        <is>
          <t>LYCKSELE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45551</v>
      </c>
      <c r="E754" s="1" t="n">
        <v>46235</v>
      </c>
      <c r="F754" t="inlineStr">
        <is>
          <t>VÄSTERBOTTENS LÄN</t>
        </is>
      </c>
      <c r="G754" t="inlineStr">
        <is>
          <t>LYCKSELE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46235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46235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46235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70197-2021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44534</v>
      </c>
      <c r="E758" s="1" t="n">
        <v>46235</v>
      </c>
      <c r="F758" t="inlineStr">
        <is>
          <t>VÄSTERBOTTENS LÄN</t>
        </is>
      </c>
      <c r="G758" t="inlineStr">
        <is>
          <t>LYCKSELE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31358-2026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46219</v>
      </c>
      <c r="E759" s="1" t="n">
        <v>46235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53740-2022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44880</v>
      </c>
      <c r="E760" s="1" t="n">
        <v>46235</v>
      </c>
      <c r="F760" t="inlineStr">
        <is>
          <t>VÄSTERBOTTENS LÄN</t>
        </is>
      </c>
      <c r="G760" t="inlineStr">
        <is>
          <t>LYCKSELE</t>
        </is>
      </c>
      <c r="I760" t="n">
        <v>10.5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46235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16887-2024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45411</v>
      </c>
      <c r="E762" s="1" t="n">
        <v>46235</v>
      </c>
      <c r="F762" t="inlineStr">
        <is>
          <t>VÄSTERBOTTENS LÄN</t>
        </is>
      </c>
      <c r="G762" t="inlineStr">
        <is>
          <t>LYCKSELE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46235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46220</v>
      </c>
      <c r="E764" s="1" t="n">
        <v>46235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46235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45443</v>
      </c>
      <c r="E766" s="1" t="n">
        <v>46235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46220</v>
      </c>
      <c r="E767" s="1" t="n">
        <v>46235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38347-2025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45883</v>
      </c>
      <c r="E768" s="1" t="n">
        <v>46235</v>
      </c>
      <c r="F768" t="inlineStr">
        <is>
          <t>VÄSTERBOTTENS LÄN</t>
        </is>
      </c>
      <c r="G768" t="inlineStr">
        <is>
          <t>LYCKSELE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25461-2026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46235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21666-2024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45441</v>
      </c>
      <c r="E770" s="1" t="n">
        <v>46235</v>
      </c>
      <c r="F770" t="inlineStr">
        <is>
          <t>VÄSTERBOTTENS LÄN</t>
        </is>
      </c>
      <c r="G770" t="inlineStr">
        <is>
          <t>LYCKSELE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25492-2026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46235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15809-2023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45021</v>
      </c>
      <c r="E772" s="1" t="n">
        <v>46235</v>
      </c>
      <c r="F772" t="inlineStr">
        <is>
          <t>VÄSTERBOTTENS LÄN</t>
        </is>
      </c>
      <c r="G772" t="inlineStr">
        <is>
          <t>LYCKSELE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64656-2023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46235</v>
      </c>
      <c r="F773" t="inlineStr">
        <is>
          <t>VÄSTERBOTTENS LÄN</t>
        </is>
      </c>
      <c r="G773" t="inlineStr">
        <is>
          <t>LYCKSELE</t>
        </is>
      </c>
      <c r="I773" t="n">
        <v>12.3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71412-2021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44540</v>
      </c>
      <c r="E774" s="1" t="n">
        <v>46235</v>
      </c>
      <c r="F774" t="inlineStr">
        <is>
          <t>VÄSTERBOTTENS LÄN</t>
        </is>
      </c>
      <c r="G774" t="inlineStr">
        <is>
          <t>LYCKSELE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46235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46235</v>
      </c>
      <c r="F776" t="inlineStr">
        <is>
          <t>VÄSTERBOTTENS LÄN</t>
        </is>
      </c>
      <c r="G776" t="inlineStr">
        <is>
          <t>LYCKSELE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46044</v>
      </c>
      <c r="E777" s="1" t="n">
        <v>46235</v>
      </c>
      <c r="F777" t="inlineStr">
        <is>
          <t>VÄSTERBOTTENS LÄN</t>
        </is>
      </c>
      <c r="G777" t="inlineStr">
        <is>
          <t>LYCKSELE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27818-2024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45475</v>
      </c>
      <c r="E778" s="1" t="n">
        <v>46235</v>
      </c>
      <c r="F778" t="inlineStr">
        <is>
          <t>VÄSTERBOTTENS LÄN</t>
        </is>
      </c>
      <c r="G778" t="inlineStr">
        <is>
          <t>LYCKSELE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27671-2024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45474</v>
      </c>
      <c r="E779" s="1" t="n">
        <v>46235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Naturvårdsverket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45531</v>
      </c>
      <c r="E780" s="1" t="n">
        <v>46235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25727-2026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46235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18156-2023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45040</v>
      </c>
      <c r="E782" s="1" t="n">
        <v>46235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22.9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46235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46235</v>
      </c>
      <c r="F784" t="inlineStr">
        <is>
          <t>VÄSTERBOTTENS LÄN</t>
        </is>
      </c>
      <c r="G784" t="inlineStr">
        <is>
          <t>LYCKSELE</t>
        </is>
      </c>
      <c r="I784" t="n">
        <v>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25946-2026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46235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14857-2023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45014</v>
      </c>
      <c r="E786" s="1" t="n">
        <v>46235</v>
      </c>
      <c r="F786" t="inlineStr">
        <is>
          <t>VÄSTERBOTTENS LÄN</t>
        </is>
      </c>
      <c r="G786" t="inlineStr">
        <is>
          <t>LYCKSELE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46235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46045</v>
      </c>
      <c r="E788" s="1" t="n">
        <v>46235</v>
      </c>
      <c r="F788" t="inlineStr">
        <is>
          <t>VÄSTERBOTTENS LÄN</t>
        </is>
      </c>
      <c r="G788" t="inlineStr">
        <is>
          <t>LYCKSELE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44980</v>
      </c>
      <c r="E789" s="1" t="n">
        <v>46235</v>
      </c>
      <c r="F789" t="inlineStr">
        <is>
          <t>VÄSTERBOTTENS LÄN</t>
        </is>
      </c>
      <c r="G789" t="inlineStr">
        <is>
          <t>LYCKSELE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46045</v>
      </c>
      <c r="E790" s="1" t="n">
        <v>46235</v>
      </c>
      <c r="F790" t="inlineStr">
        <is>
          <t>VÄSTERBOTTENS LÄN</t>
        </is>
      </c>
      <c r="G790" t="inlineStr">
        <is>
          <t>LYCKSELE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25746-2026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46178</v>
      </c>
      <c r="E791" s="1" t="n">
        <v>46235</v>
      </c>
      <c r="F791" t="inlineStr">
        <is>
          <t>VÄSTERBOTTENS LÄN</t>
        </is>
      </c>
      <c r="G791" t="inlineStr">
        <is>
          <t>LYCKSELE</t>
        </is>
      </c>
      <c r="I791" t="n">
        <v>22.3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48832-2024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45593</v>
      </c>
      <c r="E792" s="1" t="n">
        <v>46235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46235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46235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45479</v>
      </c>
      <c r="E795" s="1" t="n">
        <v>46235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28892-2024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45479</v>
      </c>
      <c r="E796" s="1" t="n">
        <v>46235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46235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46235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46235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46235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60425-2021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44496</v>
      </c>
      <c r="E801" s="1" t="n">
        <v>46235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46235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35284-2023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45145</v>
      </c>
      <c r="E803" s="1" t="n">
        <v>46235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45772</v>
      </c>
      <c r="E804" s="1" t="n">
        <v>46235</v>
      </c>
      <c r="F804" t="inlineStr">
        <is>
          <t>VÄSTERBOTTENS LÄN</t>
        </is>
      </c>
      <c r="G804" t="inlineStr">
        <is>
          <t>LYCKSELE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58775-2025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45986</v>
      </c>
      <c r="E805" s="1" t="n">
        <v>46235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46235</v>
      </c>
      <c r="F806" t="inlineStr">
        <is>
          <t>VÄSTERBOTTENS LÄN</t>
        </is>
      </c>
      <c r="G806" t="inlineStr">
        <is>
          <t>LYCKSELE</t>
        </is>
      </c>
      <c r="I806" t="n">
        <v>6.7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26511-2026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46235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45364</v>
      </c>
      <c r="E808" s="1" t="n">
        <v>46235</v>
      </c>
      <c r="F808" t="inlineStr">
        <is>
          <t>VÄSTERBOTTENS LÄN</t>
        </is>
      </c>
      <c r="G808" t="inlineStr">
        <is>
          <t>LYCKSELE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46235</v>
      </c>
      <c r="F809" t="inlineStr">
        <is>
          <t>VÄSTERBOTTENS LÄN</t>
        </is>
      </c>
      <c r="G809" t="inlineStr">
        <is>
          <t>LYCKSELE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26175-2026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46235</v>
      </c>
      <c r="F810" t="inlineStr">
        <is>
          <t>VÄSTERBOTTENS LÄN</t>
        </is>
      </c>
      <c r="G810" t="inlineStr">
        <is>
          <t>LYCKSELE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46235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46235</v>
      </c>
      <c r="F812" t="inlineStr">
        <is>
          <t>VÄSTERBOTTENS LÄN</t>
        </is>
      </c>
      <c r="G812" t="inlineStr">
        <is>
          <t>LYCKSELE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7829-2026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46062</v>
      </c>
      <c r="E813" s="1" t="n">
        <v>46235</v>
      </c>
      <c r="F813" t="inlineStr">
        <is>
          <t>VÄSTERBOTTENS LÄN</t>
        </is>
      </c>
      <c r="G813" t="inlineStr">
        <is>
          <t>LYCKSELE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45361-2024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45576</v>
      </c>
      <c r="E814" s="1" t="n">
        <v>46235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8272-2026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46064</v>
      </c>
      <c r="E815" s="1" t="n">
        <v>46235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Naturvårdsverket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46235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Naturvårdsverket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7954-2026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46235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Naturvårdsverket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44581</v>
      </c>
      <c r="E818" s="1" t="n">
        <v>46235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46235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Naturvårdsverket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8467-2026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46235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47807-2024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45588</v>
      </c>
      <c r="E821" s="1" t="n">
        <v>46235</v>
      </c>
      <c r="F821" t="inlineStr">
        <is>
          <t>VÄSTERBOTTENS LÄN</t>
        </is>
      </c>
      <c r="G821" t="inlineStr">
        <is>
          <t>LYCKSELE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34857-2024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45527</v>
      </c>
      <c r="E822" s="1" t="n">
        <v>46235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45763</v>
      </c>
      <c r="E823" s="1" t="n">
        <v>46235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8485-2026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46065</v>
      </c>
      <c r="E824" s="1" t="n">
        <v>46235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26916-2026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46235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26980-2026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46235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46235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31819-2026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46230</v>
      </c>
      <c r="E828" s="1" t="n">
        <v>46235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31788-2026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46230</v>
      </c>
      <c r="E829" s="1" t="n">
        <v>46235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45312-2024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45576</v>
      </c>
      <c r="E830" s="1" t="n">
        <v>46235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45352-2024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45576</v>
      </c>
      <c r="E831" s="1" t="n">
        <v>46235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18674-2025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45763</v>
      </c>
      <c r="E832" s="1" t="n">
        <v>46235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46235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19390-2024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46235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54680-2024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45618</v>
      </c>
      <c r="E835" s="1" t="n">
        <v>46235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27430-2026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46189</v>
      </c>
      <c r="E836" s="1" t="n">
        <v>46235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44465-2022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44840</v>
      </c>
      <c r="E837" s="1" t="n">
        <v>46235</v>
      </c>
      <c r="F837" t="inlineStr">
        <is>
          <t>VÄSTERBOTTENS LÄN</t>
        </is>
      </c>
      <c r="G837" t="inlineStr">
        <is>
          <t>LYCKSELE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46235</v>
      </c>
      <c r="F838" t="inlineStr">
        <is>
          <t>VÄSTERBOTTENS LÄN</t>
        </is>
      </c>
      <c r="G838" t="inlineStr">
        <is>
          <t>LYCKSELE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51466-2024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45604</v>
      </c>
      <c r="E839" s="1" t="n">
        <v>46235</v>
      </c>
      <c r="F839" t="inlineStr">
        <is>
          <t>VÄSTERBOTTENS LÄN</t>
        </is>
      </c>
      <c r="G839" t="inlineStr">
        <is>
          <t>LYCKSELE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27427-2026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46189</v>
      </c>
      <c r="E840" s="1" t="n">
        <v>46235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45526</v>
      </c>
      <c r="E841" s="1" t="n">
        <v>46235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57109-2024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45629</v>
      </c>
      <c r="E842" s="1" t="n">
        <v>46235</v>
      </c>
      <c r="F842" t="inlineStr">
        <is>
          <t>VÄSTERBOTTENS LÄN</t>
        </is>
      </c>
      <c r="G842" t="inlineStr">
        <is>
          <t>LYCKSELE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46235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54428-2024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45617</v>
      </c>
      <c r="E844" s="1" t="n">
        <v>46235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46235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7.4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26717-2024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45470</v>
      </c>
      <c r="E846" s="1" t="n">
        <v>46235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41361-2023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45174</v>
      </c>
      <c r="E847" s="1" t="n">
        <v>46235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6.6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32112-2026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46234</v>
      </c>
      <c r="E848" s="1" t="n">
        <v>46235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10478-2026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46235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10321-2026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46076</v>
      </c>
      <c r="E850" s="1" t="n">
        <v>46235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46235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46235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10230-2026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46235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10174-2026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46076</v>
      </c>
      <c r="E854" s="1" t="n">
        <v>46235</v>
      </c>
      <c r="F854" t="inlineStr">
        <is>
          <t>VÄSTERBOTTENS LÄN</t>
        </is>
      </c>
      <c r="G854" t="inlineStr">
        <is>
          <t>LYCKSELE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44566</v>
      </c>
      <c r="E855" s="1" t="n">
        <v>46235</v>
      </c>
      <c r="F855" t="inlineStr">
        <is>
          <t>VÄSTERBOTTENS LÄN</t>
        </is>
      </c>
      <c r="G855" t="inlineStr">
        <is>
          <t>LYCKSELE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46235</v>
      </c>
      <c r="F856" t="inlineStr">
        <is>
          <t>VÄSTERBOTTENS LÄN</t>
        </is>
      </c>
      <c r="G856" t="inlineStr">
        <is>
          <t>LYCKSELE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46235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11199-2024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45371</v>
      </c>
      <c r="E858" s="1" t="n">
        <v>46235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55.8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51152-2024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45603</v>
      </c>
      <c r="E859" s="1" t="n">
        <v>46235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46235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37271-2023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45155</v>
      </c>
      <c r="E861" s="1" t="n">
        <v>46235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64336-2023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45279</v>
      </c>
      <c r="E862" s="1" t="n">
        <v>46235</v>
      </c>
      <c r="F862" t="inlineStr">
        <is>
          <t>VÄSTERBOTTENS LÄN</t>
        </is>
      </c>
      <c r="G862" t="inlineStr">
        <is>
          <t>LYCKSELE</t>
        </is>
      </c>
      <c r="I862" t="n">
        <v>6.4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50468-2024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45601</v>
      </c>
      <c r="E863" s="1" t="n">
        <v>46235</v>
      </c>
      <c r="F863" t="inlineStr">
        <is>
          <t>VÄSTERBOTTENS LÄN</t>
        </is>
      </c>
      <c r="G863" t="inlineStr">
        <is>
          <t>LYCKSELE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9517-2025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45715</v>
      </c>
      <c r="E864" s="1" t="n">
        <v>46235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54287-2024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45617</v>
      </c>
      <c r="E865" s="1" t="n">
        <v>46235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11640-2024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45373</v>
      </c>
      <c r="E866" s="1" t="n">
        <v>46235</v>
      </c>
      <c r="F866" t="inlineStr">
        <is>
          <t>VÄSTERBOTTENS LÄN</t>
        </is>
      </c>
      <c r="G866" t="inlineStr">
        <is>
          <t>LYCKSELE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41992-2022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44830</v>
      </c>
      <c r="E867" s="1" t="n">
        <v>46235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17688-2025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45758</v>
      </c>
      <c r="E868" s="1" t="n">
        <v>46235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46235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40912-2024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45558</v>
      </c>
      <c r="E870" s="1" t="n">
        <v>46235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11.1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12302-2026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46087</v>
      </c>
      <c r="E871" s="1" t="n">
        <v>46235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26999-2023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45093</v>
      </c>
      <c r="E872" s="1" t="n">
        <v>46235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12327-2026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46235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12292-2026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46235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46235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4.2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60542-2024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45643</v>
      </c>
      <c r="E876" s="1" t="n">
        <v>46235</v>
      </c>
      <c r="F876" t="inlineStr">
        <is>
          <t>VÄSTERBOTTENS LÄN</t>
        </is>
      </c>
      <c r="G876" t="inlineStr">
        <is>
          <t>LYCKSELE</t>
        </is>
      </c>
      <c r="I876" t="n">
        <v>4.4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53011-2024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45611</v>
      </c>
      <c r="E877" s="1" t="n">
        <v>46235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20287-2022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44698</v>
      </c>
      <c r="E878" s="1" t="n">
        <v>46235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11.5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12662-2026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46091</v>
      </c>
      <c r="E879" s="1" t="n">
        <v>46235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46235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5.7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46235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53788-2024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45615</v>
      </c>
      <c r="E882" s="1" t="n">
        <v>46235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60143-2022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44909</v>
      </c>
      <c r="E883" s="1" t="n">
        <v>46235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12980-2026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46235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7.2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15239-2025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45744</v>
      </c>
      <c r="E885" s="1" t="n">
        <v>46235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12998-2026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46235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44571</v>
      </c>
      <c r="E887" s="1" t="n">
        <v>46235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38478-2024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45546</v>
      </c>
      <c r="E888" s="1" t="n">
        <v>46235</v>
      </c>
      <c r="F888" t="inlineStr">
        <is>
          <t>VÄSTERBOTTENS LÄN</t>
        </is>
      </c>
      <c r="G888" t="inlineStr">
        <is>
          <t>LYCKSELE</t>
        </is>
      </c>
      <c r="I888" t="n">
        <v>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48542-2023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45208</v>
      </c>
      <c r="E889" s="1" t="n">
        <v>46235</v>
      </c>
      <c r="F889" t="inlineStr">
        <is>
          <t>VÄSTERBOTTENS LÄN</t>
        </is>
      </c>
      <c r="G889" t="inlineStr">
        <is>
          <t>LYCKSELE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46092</v>
      </c>
      <c r="E890" s="1" t="n">
        <v>46235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13384-2026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46235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10.9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13436-2026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46094</v>
      </c>
      <c r="E892" s="1" t="n">
        <v>46235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2794-2025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45677</v>
      </c>
      <c r="E893" s="1" t="n">
        <v>46235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13627-2026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46235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13477-2026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46235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61891-2024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45652</v>
      </c>
      <c r="E896" s="1" t="n">
        <v>46235</v>
      </c>
      <c r="F896" t="inlineStr">
        <is>
          <t>VÄSTERBOTTENS LÄN</t>
        </is>
      </c>
      <c r="G896" t="inlineStr">
        <is>
          <t>LYCKSELE</t>
        </is>
      </c>
      <c r="I896" t="n">
        <v>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13413-2026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46094</v>
      </c>
      <c r="E897" s="1" t="n">
        <v>46235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13480-2026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46235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57246-2024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45629</v>
      </c>
      <c r="E899" s="1" t="n">
        <v>46235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46235</v>
      </c>
      <c r="F900" t="inlineStr">
        <is>
          <t>VÄSTERBOTTENS LÄN</t>
        </is>
      </c>
      <c r="G900" t="inlineStr">
        <is>
          <t>LYCKSELE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13518-2026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46235</v>
      </c>
      <c r="F901" t="inlineStr">
        <is>
          <t>VÄSTERBOTTENS LÄN</t>
        </is>
      </c>
      <c r="G901" t="inlineStr">
        <is>
          <t>LYCKSELE</t>
        </is>
      </c>
      <c r="I901" t="n">
        <v>12.7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45350</v>
      </c>
      <c r="E902" s="1" t="n">
        <v>46235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14235-2026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46235</v>
      </c>
      <c r="F903" t="inlineStr">
        <is>
          <t>VÄSTERBOTTENS LÄN</t>
        </is>
      </c>
      <c r="G903" t="inlineStr">
        <is>
          <t>LYCKSELE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14243-2026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46099</v>
      </c>
      <c r="E904" s="1" t="n">
        <v>46235</v>
      </c>
      <c r="F904" t="inlineStr">
        <is>
          <t>VÄSTERBOTTENS LÄN</t>
        </is>
      </c>
      <c r="G904" t="inlineStr">
        <is>
          <t>LYCKSELE</t>
        </is>
      </c>
      <c r="I904" t="n">
        <v>11.8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13954-2026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46235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46098</v>
      </c>
      <c r="E906" s="1" t="n">
        <v>46235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14623-2025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45742</v>
      </c>
      <c r="E907" s="1" t="n">
        <v>46235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29861-2023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45107</v>
      </c>
      <c r="E908" s="1" t="n">
        <v>46235</v>
      </c>
      <c r="F908" t="inlineStr">
        <is>
          <t>VÄSTERBOTTENS LÄN</t>
        </is>
      </c>
      <c r="G908" t="inlineStr">
        <is>
          <t>LYCKSELE</t>
        </is>
      </c>
      <c r="I908" t="n">
        <v>10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14404-2026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46235</v>
      </c>
      <c r="F909" t="inlineStr">
        <is>
          <t>VÄSTERBOTTENS LÄN</t>
        </is>
      </c>
      <c r="G909" t="inlineStr">
        <is>
          <t>LYCKSELE</t>
        </is>
      </c>
      <c r="I909" t="n">
        <v>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38112-2024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45545</v>
      </c>
      <c r="E910" s="1" t="n">
        <v>46235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46235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14725-2026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46101</v>
      </c>
      <c r="E912" s="1" t="n">
        <v>46235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6.4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4671-2025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45687</v>
      </c>
      <c r="E913" s="1" t="n">
        <v>46235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14405-2026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46235</v>
      </c>
      <c r="F914" t="inlineStr">
        <is>
          <t>VÄSTERBOTTENS LÄN</t>
        </is>
      </c>
      <c r="G914" t="inlineStr">
        <is>
          <t>LYCKSELE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14856-2026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46104</v>
      </c>
      <c r="E915" s="1" t="n">
        <v>46235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14845-2026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46104</v>
      </c>
      <c r="E916" s="1" t="n">
        <v>46235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15696-2026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46107</v>
      </c>
      <c r="E917" s="1" t="n">
        <v>46235</v>
      </c>
      <c r="F917" t="inlineStr">
        <is>
          <t>VÄSTERBOTTENS LÄN</t>
        </is>
      </c>
      <c r="G917" t="inlineStr">
        <is>
          <t>LYCKSELE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15655-2026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46106</v>
      </c>
      <c r="E918" s="1" t="n">
        <v>46235</v>
      </c>
      <c r="F918" t="inlineStr">
        <is>
          <t>VÄSTERBOTTENS LÄN</t>
        </is>
      </c>
      <c r="G918" t="inlineStr">
        <is>
          <t>LYCKSELE</t>
        </is>
      </c>
      <c r="I918" t="n">
        <v>5.8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23973-2024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45455</v>
      </c>
      <c r="E919" s="1" t="n">
        <v>46235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15389-2026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46106</v>
      </c>
      <c r="E920" s="1" t="n">
        <v>46235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13883-2025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45737</v>
      </c>
      <c r="E921" s="1" t="n">
        <v>46235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9976-2024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45363</v>
      </c>
      <c r="E922" s="1" t="n">
        <v>46235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61094-2023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45261</v>
      </c>
      <c r="E923" s="1" t="n">
        <v>46235</v>
      </c>
      <c r="F923" t="inlineStr">
        <is>
          <t>VÄSTERBOTTENS LÄN</t>
        </is>
      </c>
      <c r="G923" t="inlineStr">
        <is>
          <t>LYCKSELE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24234-2023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45079</v>
      </c>
      <c r="E924" s="1" t="n">
        <v>46235</v>
      </c>
      <c r="F924" t="inlineStr">
        <is>
          <t>VÄSTERBOTTENS LÄN</t>
        </is>
      </c>
      <c r="G924" t="inlineStr">
        <is>
          <t>LYCKSELE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46111</v>
      </c>
      <c r="E925" s="1" t="n">
        <v>46235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16138-2026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46108</v>
      </c>
      <c r="E926" s="1" t="n">
        <v>46235</v>
      </c>
      <c r="F926" t="inlineStr">
        <is>
          <t>VÄSTERBOTTENS LÄN</t>
        </is>
      </c>
      <c r="G926" t="inlineStr">
        <is>
          <t>LYCKSELE</t>
        </is>
      </c>
      <c r="I926" t="n">
        <v>13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19246-2025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45769</v>
      </c>
      <c r="E927" s="1" t="n">
        <v>46235</v>
      </c>
      <c r="F927" t="inlineStr">
        <is>
          <t>VÄSTERBOTTENS LÄN</t>
        </is>
      </c>
      <c r="G927" t="inlineStr">
        <is>
          <t>LYCKSELE</t>
        </is>
      </c>
      <c r="I927" t="n">
        <v>9.4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52755-2023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45225</v>
      </c>
      <c r="E928" s="1" t="n">
        <v>46235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23164-2022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44719</v>
      </c>
      <c r="E929" s="1" t="n">
        <v>46235</v>
      </c>
      <c r="F929" t="inlineStr">
        <is>
          <t>VÄSTERBOTTENS LÄN</t>
        </is>
      </c>
      <c r="G929" t="inlineStr">
        <is>
          <t>LYCKSELE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16731-2026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46113</v>
      </c>
      <c r="E930" s="1" t="n">
        <v>46235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13.5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16733-2026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46235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16643-2026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46235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46235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16729-2026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46235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19.5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46235</v>
      </c>
      <c r="F935" t="inlineStr">
        <is>
          <t>VÄSTERBOTTENS LÄN</t>
        </is>
      </c>
      <c r="G935" t="inlineStr">
        <is>
          <t>LYCKSELE</t>
        </is>
      </c>
      <c r="I935" t="n">
        <v>17.1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46235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20685-2025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45776</v>
      </c>
      <c r="E937" s="1" t="n">
        <v>46235</v>
      </c>
      <c r="F937" t="inlineStr">
        <is>
          <t>VÄSTERBOTTENS LÄN</t>
        </is>
      </c>
      <c r="G937" t="inlineStr">
        <is>
          <t>LYCKSELE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46235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17329-2026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46119</v>
      </c>
      <c r="E939" s="1" t="n">
        <v>46235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12.1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21046-2025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45777</v>
      </c>
      <c r="E940" s="1" t="n">
        <v>46235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46235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45777</v>
      </c>
      <c r="E942" s="1" t="n">
        <v>46235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58553-2023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45251</v>
      </c>
      <c r="E943" s="1" t="n">
        <v>46235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17650-2026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46121</v>
      </c>
      <c r="E944" s="1" t="n">
        <v>46235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47096-2023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45201</v>
      </c>
      <c r="E945" s="1" t="n">
        <v>46235</v>
      </c>
      <c r="F945" t="inlineStr">
        <is>
          <t>VÄSTERBOTTENS LÄN</t>
        </is>
      </c>
      <c r="G945" t="inlineStr">
        <is>
          <t>LYCKSELE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21266-2025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45779</v>
      </c>
      <c r="E946" s="1" t="n">
        <v>46235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45784</v>
      </c>
      <c r="E947" s="1" t="n">
        <v>46235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32863-2023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45124</v>
      </c>
      <c r="E948" s="1" t="n">
        <v>46235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42208-2022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44830</v>
      </c>
      <c r="E949" s="1" t="n">
        <v>46235</v>
      </c>
      <c r="F949" t="inlineStr">
        <is>
          <t>VÄSTERBOTTENS LÄN</t>
        </is>
      </c>
      <c r="G949" t="inlineStr">
        <is>
          <t>LYCKSELE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34060-2023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45135</v>
      </c>
      <c r="E950" s="1" t="n">
        <v>46235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21888-2025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45784</v>
      </c>
      <c r="E951" s="1" t="n">
        <v>46235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18581-2026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46235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6.4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18789-2026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46235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22309-2025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45786</v>
      </c>
      <c r="E954" s="1" t="n">
        <v>46235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64391-2023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45280</v>
      </c>
      <c r="E955" s="1" t="n">
        <v>46235</v>
      </c>
      <c r="F955" t="inlineStr">
        <is>
          <t>VÄSTERBOTTENS LÄN</t>
        </is>
      </c>
      <c r="G955" t="inlineStr">
        <is>
          <t>LYCKSELE</t>
        </is>
      </c>
      <c r="I955" t="n">
        <v>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19058-2026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46132</v>
      </c>
      <c r="E956" s="1" t="n">
        <v>46235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19062-2026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46132</v>
      </c>
      <c r="E957" s="1" t="n">
        <v>46235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9.699999999999999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46128</v>
      </c>
      <c r="E958" s="1" t="n">
        <v>46235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19701-2026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46134</v>
      </c>
      <c r="E959" s="1" t="n">
        <v>46235</v>
      </c>
      <c r="F959" t="inlineStr">
        <is>
          <t>VÄSTERBOTTENS LÄN</t>
        </is>
      </c>
      <c r="G959" t="inlineStr">
        <is>
          <t>LYCKSELE</t>
        </is>
      </c>
      <c r="I959" t="n">
        <v>7.1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19325-2026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46235</v>
      </c>
      <c r="F960" t="inlineStr">
        <is>
          <t>VÄSTERBOTTENS LÄN</t>
        </is>
      </c>
      <c r="G960" t="inlineStr">
        <is>
          <t>LYCKSELE</t>
        </is>
      </c>
      <c r="I960" t="n">
        <v>6.5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34111-2025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45845</v>
      </c>
      <c r="E961" s="1" t="n">
        <v>46235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53116-2024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45611</v>
      </c>
      <c r="E962" s="1" t="n">
        <v>46235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22453-2025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45786</v>
      </c>
      <c r="E963" s="1" t="n">
        <v>46235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22452-2025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45786</v>
      </c>
      <c r="E964" s="1" t="n">
        <v>46235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22343-2025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45786</v>
      </c>
      <c r="E965" s="1" t="n">
        <v>46235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17192-2025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45756</v>
      </c>
      <c r="E966" s="1" t="n">
        <v>46235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43770-2025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45912</v>
      </c>
      <c r="E967" s="1" t="n">
        <v>46235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8915-2025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45713</v>
      </c>
      <c r="E968" s="1" t="n">
        <v>46235</v>
      </c>
      <c r="F968" t="inlineStr">
        <is>
          <t>VÄSTERBOTTENS LÄN</t>
        </is>
      </c>
      <c r="G968" t="inlineStr">
        <is>
          <t>LYCKSELE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55456-2022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44887</v>
      </c>
      <c r="E969" s="1" t="n">
        <v>46235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7837-2023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44973</v>
      </c>
      <c r="E970" s="1" t="n">
        <v>46235</v>
      </c>
      <c r="F970" t="inlineStr">
        <is>
          <t>VÄSTERBOTTENS LÄN</t>
        </is>
      </c>
      <c r="G970" t="inlineStr">
        <is>
          <t>LYCKSELE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30470-2022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44761</v>
      </c>
      <c r="E971" s="1" t="n">
        <v>46235</v>
      </c>
      <c r="F971" t="inlineStr">
        <is>
          <t>VÄSTERBOTTENS LÄN</t>
        </is>
      </c>
      <c r="G971" t="inlineStr">
        <is>
          <t>LYCKSELE</t>
        </is>
      </c>
      <c r="I971" t="n">
        <v>11.9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22127-2025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45785</v>
      </c>
      <c r="E972" s="1" t="n">
        <v>46235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22456-2025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46235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24041-2023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45078</v>
      </c>
      <c r="E974" s="1" t="n">
        <v>46235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32474-2024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45513</v>
      </c>
      <c r="E975" s="1" t="n">
        <v>46235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32475-2024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45513</v>
      </c>
      <c r="E976" s="1" t="n">
        <v>46235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57224-2023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45239</v>
      </c>
      <c r="E977" s="1" t="n">
        <v>46235</v>
      </c>
      <c r="F977" t="inlineStr">
        <is>
          <t>VÄSTERBOTTENS LÄN</t>
        </is>
      </c>
      <c r="G977" t="inlineStr">
        <is>
          <t>LYCKSELE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39165-2021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44412</v>
      </c>
      <c r="E978" s="1" t="n">
        <v>46235</v>
      </c>
      <c r="F978" t="inlineStr">
        <is>
          <t>VÄSTERBOTTENS LÄN</t>
        </is>
      </c>
      <c r="G978" t="inlineStr">
        <is>
          <t>LYCKSELE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67092-2021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44522</v>
      </c>
      <c r="E979" s="1" t="n">
        <v>46235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53035-2023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45226</v>
      </c>
      <c r="E980" s="1" t="n">
        <v>46235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35970-2024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45533</v>
      </c>
      <c r="E981" s="1" t="n">
        <v>46235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57666-2021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44484</v>
      </c>
      <c r="E982" s="1" t="n">
        <v>46235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22759-2025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45789</v>
      </c>
      <c r="E983" s="1" t="n">
        <v>46235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8360-2024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45352</v>
      </c>
      <c r="E984" s="1" t="n">
        <v>46235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62547-2022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44924</v>
      </c>
      <c r="E985" s="1" t="n">
        <v>46235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14343-2025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45741</v>
      </c>
      <c r="E986" s="1" t="n">
        <v>46235</v>
      </c>
      <c r="F986" t="inlineStr">
        <is>
          <t>VÄSTERBOTTENS LÄN</t>
        </is>
      </c>
      <c r="G986" t="inlineStr">
        <is>
          <t>LYCKSELE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62877-2023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45271</v>
      </c>
      <c r="E987" s="1" t="n">
        <v>46235</v>
      </c>
      <c r="F987" t="inlineStr">
        <is>
          <t>VÄSTERBOTTENS LÄN</t>
        </is>
      </c>
      <c r="G987" t="inlineStr">
        <is>
          <t>LYCKSELE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22344-2025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45786</v>
      </c>
      <c r="E988" s="1" t="n">
        <v>46235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48379-2024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45590</v>
      </c>
      <c r="E989" s="1" t="n">
        <v>46235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43875-2023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45187</v>
      </c>
      <c r="E990" s="1" t="n">
        <v>46235</v>
      </c>
      <c r="F990" t="inlineStr">
        <is>
          <t>VÄSTERBOTTENS LÄN</t>
        </is>
      </c>
      <c r="G990" t="inlineStr">
        <is>
          <t>LYCKSELE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9879-2022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46235</v>
      </c>
      <c r="F991" t="inlineStr">
        <is>
          <t>VÄSTERBOTTENS LÄN</t>
        </is>
      </c>
      <c r="G991" t="inlineStr">
        <is>
          <t>LYCKSELE</t>
        </is>
      </c>
      <c r="I991" t="n">
        <v>8.699999999999999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49514-2022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44861</v>
      </c>
      <c r="E992" s="1" t="n">
        <v>46235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23801-2025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45793</v>
      </c>
      <c r="E993" s="1" t="n">
        <v>46235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45673</v>
      </c>
      <c r="E994" s="1" t="n">
        <v>46235</v>
      </c>
      <c r="F994" t="inlineStr">
        <is>
          <t>VÄSTERBOTTENS LÄN</t>
        </is>
      </c>
      <c r="G994" t="inlineStr">
        <is>
          <t>LYCKSELE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46235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48997-2021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44453</v>
      </c>
      <c r="E996" s="1" t="n">
        <v>46235</v>
      </c>
      <c r="F996" t="inlineStr">
        <is>
          <t>VÄSTERBOTTENS LÄN</t>
        </is>
      </c>
      <c r="G996" t="inlineStr">
        <is>
          <t>LYCKSELE</t>
        </is>
      </c>
      <c r="I996" t="n">
        <v>4.6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52956-2022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44875</v>
      </c>
      <c r="E997" s="1" t="n">
        <v>46235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60226-2022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44910</v>
      </c>
      <c r="E998" s="1" t="n">
        <v>46235</v>
      </c>
      <c r="F998" t="inlineStr">
        <is>
          <t>VÄSTERBOTTENS LÄN</t>
        </is>
      </c>
      <c r="G998" t="inlineStr">
        <is>
          <t>LYCKSELE</t>
        </is>
      </c>
      <c r="I998" t="n">
        <v>5.4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24129-2025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45796</v>
      </c>
      <c r="E999" s="1" t="n">
        <v>46235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46235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33716-2024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46235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33717-2024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45520</v>
      </c>
      <c r="E1002" s="1" t="n">
        <v>46235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45503-2021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44440</v>
      </c>
      <c r="E1003" s="1" t="n">
        <v>46235</v>
      </c>
      <c r="F1003" t="inlineStr">
        <is>
          <t>VÄSTERBOTTENS LÄN</t>
        </is>
      </c>
      <c r="G1003" t="inlineStr">
        <is>
          <t>LYCKSELE</t>
        </is>
      </c>
      <c r="I1003" t="n">
        <v>29.1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41980-2024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45561</v>
      </c>
      <c r="E1004" s="1" t="n">
        <v>46235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33704-2024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46235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46541-2022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44847</v>
      </c>
      <c r="E1006" s="1" t="n">
        <v>46235</v>
      </c>
      <c r="F1006" t="inlineStr">
        <is>
          <t>VÄSTERBOTTENS LÄN</t>
        </is>
      </c>
      <c r="G1006" t="inlineStr">
        <is>
          <t>LYCKSELE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36357-2024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45534</v>
      </c>
      <c r="E1007" s="1" t="n">
        <v>46235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25327-2024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45462</v>
      </c>
      <c r="E1008" s="1" t="n">
        <v>46235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23315-2024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45453</v>
      </c>
      <c r="E1009" s="1" t="n">
        <v>46235</v>
      </c>
      <c r="F1009" t="inlineStr">
        <is>
          <t>VÄSTERBOTTENS LÄN</t>
        </is>
      </c>
      <c r="G1009" t="inlineStr">
        <is>
          <t>LYCKSELE</t>
        </is>
      </c>
      <c r="I1009" t="n">
        <v>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31848-2024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45509</v>
      </c>
      <c r="E1010" s="1" t="n">
        <v>46235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24603-2025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45798</v>
      </c>
      <c r="E1011" s="1" t="n">
        <v>46235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61506-2021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44501</v>
      </c>
      <c r="E1012" s="1" t="n">
        <v>46235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42216-2022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44830</v>
      </c>
      <c r="E1013" s="1" t="n">
        <v>46235</v>
      </c>
      <c r="F1013" t="inlineStr">
        <is>
          <t>VÄSTERBOTTENS LÄN</t>
        </is>
      </c>
      <c r="G1013" t="inlineStr">
        <is>
          <t>LYCKSELE</t>
        </is>
      </c>
      <c r="I1013" t="n">
        <v>15.9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40115-2024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45554</v>
      </c>
      <c r="E1014" s="1" t="n">
        <v>46235</v>
      </c>
      <c r="F1014" t="inlineStr">
        <is>
          <t>VÄSTERBOTTENS LÄN</t>
        </is>
      </c>
      <c r="G1014" t="inlineStr">
        <is>
          <t>LYCKSELE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24514-2025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45798</v>
      </c>
      <c r="E1015" s="1" t="n">
        <v>46235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8.300000000000001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54893-2023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46235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6.5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7063-2022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44603</v>
      </c>
      <c r="E1017" s="1" t="n">
        <v>46235</v>
      </c>
      <c r="F1017" t="inlineStr">
        <is>
          <t>VÄSTERBOTTENS LÄN</t>
        </is>
      </c>
      <c r="G1017" t="inlineStr">
        <is>
          <t>LYCKSELE</t>
        </is>
      </c>
      <c r="I1017" t="n">
        <v>14.2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24729-2025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46235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25061-2025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45799</v>
      </c>
      <c r="E1019" s="1" t="n">
        <v>46235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24906-2025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45799</v>
      </c>
      <c r="E1020" s="1" t="n">
        <v>46235</v>
      </c>
      <c r="F1020" t="inlineStr">
        <is>
          <t>VÄSTERBOTTENS LÄN</t>
        </is>
      </c>
      <c r="G1020" t="inlineStr">
        <is>
          <t>LYCKSELE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24770-2025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45799</v>
      </c>
      <c r="E1021" s="1" t="n">
        <v>46235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8.5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25581-2025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45803</v>
      </c>
      <c r="E1022" s="1" t="n">
        <v>46235</v>
      </c>
      <c r="F1022" t="inlineStr">
        <is>
          <t>VÄSTERBOTTENS LÄN</t>
        </is>
      </c>
      <c r="G1022" t="inlineStr">
        <is>
          <t>LYCKSELE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25590-2025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45803</v>
      </c>
      <c r="E1023" s="1" t="n">
        <v>46235</v>
      </c>
      <c r="F1023" t="inlineStr">
        <is>
          <t>VÄSTERBOTTENS LÄN</t>
        </is>
      </c>
      <c r="G1023" t="inlineStr">
        <is>
          <t>LYCKSELE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25537-2025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45803</v>
      </c>
      <c r="E1024" s="1" t="n">
        <v>46235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25655-2025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45803</v>
      </c>
      <c r="E1025" s="1" t="n">
        <v>46235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60714-2022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44912</v>
      </c>
      <c r="E1026" s="1" t="n">
        <v>46235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45468</v>
      </c>
      <c r="E1027" s="1" t="n">
        <v>46235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26228-2025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45805</v>
      </c>
      <c r="E1028" s="1" t="n">
        <v>46235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55250-2024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45621</v>
      </c>
      <c r="E1029" s="1" t="n">
        <v>46235</v>
      </c>
      <c r="F1029" t="inlineStr">
        <is>
          <t>VÄSTERBOTTENS LÄN</t>
        </is>
      </c>
      <c r="G1029" t="inlineStr">
        <is>
          <t>LYCKSELE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45810</v>
      </c>
      <c r="E1030" s="1" t="n">
        <v>46235</v>
      </c>
      <c r="F1030" t="inlineStr">
        <is>
          <t>VÄSTERBOTTENS LÄN</t>
        </is>
      </c>
      <c r="G1030" t="inlineStr">
        <is>
          <t>LYCKSELE</t>
        </is>
      </c>
      <c r="I1030" t="n">
        <v>3.6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3303-2024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45316</v>
      </c>
      <c r="E1031" s="1" t="n">
        <v>46235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26398-2025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45807</v>
      </c>
      <c r="E1032" s="1" t="n">
        <v>46235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52039-2023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45223</v>
      </c>
      <c r="E1033" s="1" t="n">
        <v>46235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26410-2025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45807</v>
      </c>
      <c r="E1034" s="1" t="n">
        <v>46235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26951-2025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45811</v>
      </c>
      <c r="E1035" s="1" t="n">
        <v>46235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64334-2023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45279</v>
      </c>
      <c r="E1036" s="1" t="n">
        <v>46235</v>
      </c>
      <c r="F1036" t="inlineStr">
        <is>
          <t>VÄSTERBOTTENS LÄN</t>
        </is>
      </c>
      <c r="G1036" t="inlineStr">
        <is>
          <t>LYCKSELE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27072-2025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45811</v>
      </c>
      <c r="E1037" s="1" t="n">
        <v>46235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13563-2023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45006</v>
      </c>
      <c r="E1038" s="1" t="n">
        <v>46235</v>
      </c>
      <c r="F1038" t="inlineStr">
        <is>
          <t>VÄSTERBOTTENS LÄN</t>
        </is>
      </c>
      <c r="G1038" t="inlineStr">
        <is>
          <t>LYCKSELE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27471-2025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45813</v>
      </c>
      <c r="E1039" s="1" t="n">
        <v>46235</v>
      </c>
      <c r="F1039" t="inlineStr">
        <is>
          <t>VÄSTERBOTTENS LÄN</t>
        </is>
      </c>
      <c r="G1039" t="inlineStr">
        <is>
          <t>LYCKSELE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27595-2025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45813</v>
      </c>
      <c r="E1040" s="1" t="n">
        <v>46235</v>
      </c>
      <c r="F1040" t="inlineStr">
        <is>
          <t>VÄSTERBOTTENS LÄN</t>
        </is>
      </c>
      <c r="G1040" t="inlineStr">
        <is>
          <t>LYCKSELE</t>
        </is>
      </c>
      <c r="I1040" t="n">
        <v>10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27610-2025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45813</v>
      </c>
      <c r="E1041" s="1" t="n">
        <v>46235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15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27643-2025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45813</v>
      </c>
      <c r="E1042" s="1" t="n">
        <v>46235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6.3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29277-2023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45105</v>
      </c>
      <c r="E1043" s="1" t="n">
        <v>46235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Naturvårdsverket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30161-2024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45488</v>
      </c>
      <c r="E1044" s="1" t="n">
        <v>46235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16.1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28306-2025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45818</v>
      </c>
      <c r="E1045" s="1" t="n">
        <v>46235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45691</v>
      </c>
      <c r="E1046" s="1" t="n">
        <v>46235</v>
      </c>
      <c r="F1046" t="inlineStr">
        <is>
          <t>VÄSTERBOTTENS LÄN</t>
        </is>
      </c>
      <c r="G1046" t="inlineStr">
        <is>
          <t>LYCKSELE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8313-2025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45708</v>
      </c>
      <c r="E1047" s="1" t="n">
        <v>46235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28486-2025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45819</v>
      </c>
      <c r="E1048" s="1" t="n">
        <v>46235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28833-2025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45820</v>
      </c>
      <c r="E1049" s="1" t="n">
        <v>46235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29235-2025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45824</v>
      </c>
      <c r="E1050" s="1" t="n">
        <v>46235</v>
      </c>
      <c r="F1050" t="inlineStr">
        <is>
          <t>VÄSTERBOTTENS LÄN</t>
        </is>
      </c>
      <c r="G1050" t="inlineStr">
        <is>
          <t>LYCKSELE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29236-2025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45824</v>
      </c>
      <c r="E1051" s="1" t="n">
        <v>46235</v>
      </c>
      <c r="F1051" t="inlineStr">
        <is>
          <t>VÄSTERBOTTENS LÄN</t>
        </is>
      </c>
      <c r="G1051" t="inlineStr">
        <is>
          <t>LYCKSELE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29088-2025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45821</v>
      </c>
      <c r="E1052" s="1" t="n">
        <v>46235</v>
      </c>
      <c r="F1052" t="inlineStr">
        <is>
          <t>VÄSTERBOTTENS LÄN</t>
        </is>
      </c>
      <c r="G1052" t="inlineStr">
        <is>
          <t>LYCKSELE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29123-2025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45821</v>
      </c>
      <c r="E1053" s="1" t="n">
        <v>46235</v>
      </c>
      <c r="F1053" t="inlineStr">
        <is>
          <t>VÄSTERBOTTENS LÄN</t>
        </is>
      </c>
      <c r="G1053" t="inlineStr">
        <is>
          <t>LYCKSELE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29866-2025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45826</v>
      </c>
      <c r="E1054" s="1" t="n">
        <v>46235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45825</v>
      </c>
      <c r="E1055" s="1" t="n">
        <v>46235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30154-2025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45827</v>
      </c>
      <c r="E1056" s="1" t="n">
        <v>46235</v>
      </c>
      <c r="F1056" t="inlineStr">
        <is>
          <t>VÄSTERBOTTENS LÄN</t>
        </is>
      </c>
      <c r="G1056" t="inlineStr">
        <is>
          <t>LYCKSELE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30258-2025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45827</v>
      </c>
      <c r="E1057" s="1" t="n">
        <v>46235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30632-2025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45831</v>
      </c>
      <c r="E1058" s="1" t="n">
        <v>46235</v>
      </c>
      <c r="F1058" t="inlineStr">
        <is>
          <t>VÄSTERBOTTENS LÄN</t>
        </is>
      </c>
      <c r="G1058" t="inlineStr">
        <is>
          <t>LYCKSELE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31022-2025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45832</v>
      </c>
      <c r="E1059" s="1" t="n">
        <v>46235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30623-2025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46235</v>
      </c>
      <c r="F1060" t="inlineStr">
        <is>
          <t>VÄSTERBOTTENS LÄN</t>
        </is>
      </c>
      <c r="G1060" t="inlineStr">
        <is>
          <t>LYCKSELE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30624-2025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45831</v>
      </c>
      <c r="E1061" s="1" t="n">
        <v>46235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30656-2025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46235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31693-2025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45834</v>
      </c>
      <c r="E1063" s="1" t="n">
        <v>46235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18.9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45834</v>
      </c>
      <c r="E1064" s="1" t="n">
        <v>46235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32619-2025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45838</v>
      </c>
      <c r="E1065" s="1" t="n">
        <v>46235</v>
      </c>
      <c r="F1065" t="inlineStr">
        <is>
          <t>VÄSTERBOTTENS LÄN</t>
        </is>
      </c>
      <c r="G1065" t="inlineStr">
        <is>
          <t>LYCKSELE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32783-2025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45839</v>
      </c>
      <c r="E1066" s="1" t="n">
        <v>46235</v>
      </c>
      <c r="F1066" t="inlineStr">
        <is>
          <t>VÄSTERBOTTENS LÄN</t>
        </is>
      </c>
      <c r="G1066" t="inlineStr">
        <is>
          <t>LYCKSELE</t>
        </is>
      </c>
      <c r="I1066" t="n">
        <v>4.5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32722-2025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45839</v>
      </c>
      <c r="E1067" s="1" t="n">
        <v>46235</v>
      </c>
      <c r="F1067" t="inlineStr">
        <is>
          <t>VÄSTERBOTTENS LÄN</t>
        </is>
      </c>
      <c r="G1067" t="inlineStr">
        <is>
          <t>LYCKSELE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33067-2025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46235</v>
      </c>
      <c r="F1068" t="inlineStr">
        <is>
          <t>VÄSTERBOTTENS LÄN</t>
        </is>
      </c>
      <c r="G1068" t="inlineStr">
        <is>
          <t>LYCKSELE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33966-2025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45842</v>
      </c>
      <c r="E1069" s="1" t="n">
        <v>46235</v>
      </c>
      <c r="F1069" t="inlineStr">
        <is>
          <t>VÄSTERBOTTENS LÄN</t>
        </is>
      </c>
      <c r="G1069" t="inlineStr">
        <is>
          <t>LYCKSELE</t>
        </is>
      </c>
      <c r="I1069" t="n">
        <v>12.5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33527-2025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45841</v>
      </c>
      <c r="E1070" s="1" t="n">
        <v>46235</v>
      </c>
      <c r="F1070" t="inlineStr">
        <is>
          <t>VÄSTERBOTTENS LÄN</t>
        </is>
      </c>
      <c r="G1070" t="inlineStr">
        <is>
          <t>LYCKSELE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33431-2025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45841</v>
      </c>
      <c r="E1071" s="1" t="n">
        <v>46235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33415-2025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45841</v>
      </c>
      <c r="E1072" s="1" t="n">
        <v>46235</v>
      </c>
      <c r="F1072" t="inlineStr">
        <is>
          <t>VÄSTERBOTTENS LÄN</t>
        </is>
      </c>
      <c r="G1072" t="inlineStr">
        <is>
          <t>LYCKSELE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33423-2025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45841</v>
      </c>
      <c r="E1073" s="1" t="n">
        <v>46235</v>
      </c>
      <c r="F1073" t="inlineStr">
        <is>
          <t>VÄSTERBOTTENS LÄN</t>
        </is>
      </c>
      <c r="G1073" t="inlineStr">
        <is>
          <t>LYCKSELE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33992-2025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45843</v>
      </c>
      <c r="E1074" s="1" t="n">
        <v>46235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34110-2025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45845</v>
      </c>
      <c r="E1075" s="1" t="n">
        <v>46235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33991-2025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45843</v>
      </c>
      <c r="E1076" s="1" t="n">
        <v>46235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34465-2025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45847</v>
      </c>
      <c r="E1077" s="1" t="n">
        <v>46235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26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34918-2025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46235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34940-2025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45849</v>
      </c>
      <c r="E1079" s="1" t="n">
        <v>46235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34955-2025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45849</v>
      </c>
      <c r="E1080" s="1" t="n">
        <v>46235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9.4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34915-2025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45849</v>
      </c>
      <c r="E1081" s="1" t="n">
        <v>46235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34954-2025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45849</v>
      </c>
      <c r="E1082" s="1" t="n">
        <v>46235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35130-2025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45852</v>
      </c>
      <c r="E1083" s="1" t="n">
        <v>46235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35303-2025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45854</v>
      </c>
      <c r="E1084" s="1" t="n">
        <v>46235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35333-2025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45854</v>
      </c>
      <c r="E1085" s="1" t="n">
        <v>46235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35225-2025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45853</v>
      </c>
      <c r="E1086" s="1" t="n">
        <v>46235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35234-2025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45853</v>
      </c>
      <c r="E1087" s="1" t="n">
        <v>46235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35192-2025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45853</v>
      </c>
      <c r="E1088" s="1" t="n">
        <v>46235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35232-2025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45853</v>
      </c>
      <c r="E1089" s="1" t="n">
        <v>46235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35237-2025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45853</v>
      </c>
      <c r="E1090" s="1" t="n">
        <v>46235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35332-2025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45854</v>
      </c>
      <c r="E1091" s="1" t="n">
        <v>46235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35604-2025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45859</v>
      </c>
      <c r="E1092" s="1" t="n">
        <v>46235</v>
      </c>
      <c r="F1092" t="inlineStr">
        <is>
          <t>VÄSTERBOTTENS LÄN</t>
        </is>
      </c>
      <c r="G1092" t="inlineStr">
        <is>
          <t>LYCKSELE</t>
        </is>
      </c>
      <c r="I1092" t="n">
        <v>5.2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35662-2025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45859</v>
      </c>
      <c r="E1093" s="1" t="n">
        <v>46235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35606-2025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45859</v>
      </c>
      <c r="E1094" s="1" t="n">
        <v>46235</v>
      </c>
      <c r="F1094" t="inlineStr">
        <is>
          <t>VÄSTERBOTTENS LÄN</t>
        </is>
      </c>
      <c r="G1094" t="inlineStr">
        <is>
          <t>LYCKSELE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35671-2025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45859</v>
      </c>
      <c r="E1095" s="1" t="n">
        <v>46235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45861</v>
      </c>
      <c r="E1096" s="1" t="n">
        <v>46235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35920-2025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45862</v>
      </c>
      <c r="E1097" s="1" t="n">
        <v>46235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35832-2025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45861</v>
      </c>
      <c r="E1098" s="1" t="n">
        <v>46235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6.5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36542-2025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45869</v>
      </c>
      <c r="E1099" s="1" t="n">
        <v>46235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36439-2025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45869</v>
      </c>
      <c r="E1100" s="1" t="n">
        <v>46235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14.3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36689-2025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45873</v>
      </c>
      <c r="E1101" s="1" t="n">
        <v>46235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36709-2025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46235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36702-2025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45873</v>
      </c>
      <c r="E1103" s="1" t="n">
        <v>46235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36787-2025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45873</v>
      </c>
      <c r="E1104" s="1" t="n">
        <v>46235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20.1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36736-2025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45873</v>
      </c>
      <c r="E1105" s="1" t="n">
        <v>46235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37105-2025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45875</v>
      </c>
      <c r="E1106" s="1" t="n">
        <v>46235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16.4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37078-2025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45875</v>
      </c>
      <c r="E1107" s="1" t="n">
        <v>46235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37970-2025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45881</v>
      </c>
      <c r="E1108" s="1" t="n">
        <v>46235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919-2021</t>
        </is>
      </c>
      <c r="B1109" t="inlineStr">
        <is>
          <t>samrådsanmälan</t>
        </is>
      </c>
      <c r="C1109" t="inlineStr">
        <is>
          <t>Skogsgödsling</t>
        </is>
      </c>
      <c r="D1109" s="1" t="n">
        <v>44314</v>
      </c>
      <c r="E1109" s="1" t="n">
        <v>46235</v>
      </c>
      <c r="F1109" t="inlineStr">
        <is>
          <t>VÄSTERBOTTENS LÄN</t>
        </is>
      </c>
      <c r="G1109" t="inlineStr">
        <is>
          <t>LYCKSELE</t>
        </is>
      </c>
      <c r="I1109" t="n">
        <v>26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827-2022</t>
        </is>
      </c>
      <c r="B1110" t="inlineStr">
        <is>
          <t>samrådsanmälan</t>
        </is>
      </c>
      <c r="C1110" t="inlineStr">
        <is>
          <t>Skogsgödsling</t>
        </is>
      </c>
      <c r="D1110" s="1" t="n">
        <v>44603</v>
      </c>
      <c r="E1110" s="1" t="n">
        <v>46235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165-2022</t>
        </is>
      </c>
      <c r="B1111" t="inlineStr">
        <is>
          <t>samrådsanmälan</t>
        </is>
      </c>
      <c r="C1111" t="inlineStr">
        <is>
          <t>Skogsbilväg</t>
        </is>
      </c>
      <c r="D1111" s="1" t="n">
        <v>44572</v>
      </c>
      <c r="E1111" s="1" t="n">
        <v>46235</v>
      </c>
      <c r="F1111" t="inlineStr">
        <is>
          <t>VÄSTERBOTTENS LÄN</t>
        </is>
      </c>
      <c r="G1111" t="inlineStr">
        <is>
          <t>LYCKSELE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897-2022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44607</v>
      </c>
      <c r="E1112" s="1" t="n">
        <v>46235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264.9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1133-2024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45393</v>
      </c>
      <c r="E1113" s="1" t="n">
        <v>46235</v>
      </c>
      <c r="F1113" t="inlineStr">
        <is>
          <t>VÄSTERBOTTENS LÄN</t>
        </is>
      </c>
      <c r="G1113" t="inlineStr">
        <is>
          <t>LYCKSELE</t>
        </is>
      </c>
      <c r="I1113" t="n">
        <v>33.1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6646-2021</t>
        </is>
      </c>
      <c r="B1114" t="inlineStr">
        <is>
          <t>samrådsanmälan</t>
        </is>
      </c>
      <c r="C1114" t="inlineStr">
        <is>
          <t>Basväg</t>
        </is>
      </c>
      <c r="D1114" s="1" t="n">
        <v>44455</v>
      </c>
      <c r="E1114" s="1" t="n">
        <v>46235</v>
      </c>
      <c r="F1114" t="inlineStr">
        <is>
          <t>VÄSTERBOTTENS LÄN</t>
        </is>
      </c>
      <c r="G1114" t="inlineStr">
        <is>
          <t>LYCKSELE</t>
        </is>
      </c>
      <c r="I1114" t="n">
        <v>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4195-2023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45250</v>
      </c>
      <c r="E1115" s="1" t="n">
        <v>46235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63.8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1398-2023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45040</v>
      </c>
      <c r="E1116" s="1" t="n">
        <v>46235</v>
      </c>
      <c r="F1116" t="inlineStr">
        <is>
          <t>VÄSTERBOTTENS LÄN</t>
        </is>
      </c>
      <c r="G1116" t="inlineStr">
        <is>
          <t>LYCKSELE</t>
        </is>
      </c>
      <c r="I1116" t="n">
        <v>21.5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1378-2023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45040</v>
      </c>
      <c r="E1117" s="1" t="n">
        <v>46235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1656-2024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45426</v>
      </c>
      <c r="E1118" s="1" t="n">
        <v>46235</v>
      </c>
      <c r="F1118" t="inlineStr">
        <is>
          <t>VÄSTERBOTTENS LÄN</t>
        </is>
      </c>
      <c r="G1118" t="inlineStr">
        <is>
          <t>LYCKSELE</t>
        </is>
      </c>
      <c r="I1118" t="n">
        <v>56.6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523-2024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45348</v>
      </c>
      <c r="E1119" s="1" t="n">
        <v>46235</v>
      </c>
      <c r="F1119" t="inlineStr">
        <is>
          <t>VÄSTERBOTTENS LÄN</t>
        </is>
      </c>
      <c r="G1119" t="inlineStr">
        <is>
          <t>LYCKSELE</t>
        </is>
      </c>
      <c r="I1119" t="n">
        <v>19.9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3789-2024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45558</v>
      </c>
      <c r="E1120" s="1" t="n">
        <v>46235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9.800000000000001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271-2024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45323</v>
      </c>
      <c r="E1121" s="1" t="n">
        <v>46235</v>
      </c>
      <c r="F1121" t="inlineStr">
        <is>
          <t>VÄSTERBOTTENS LÄN</t>
        </is>
      </c>
      <c r="G1121" t="inlineStr">
        <is>
          <t>LYCKSELE</t>
        </is>
      </c>
      <c r="I1121" t="n">
        <v>48.7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1132-2024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45393</v>
      </c>
      <c r="E1122" s="1" t="n">
        <v>46235</v>
      </c>
      <c r="F1122" t="inlineStr">
        <is>
          <t>VÄSTERBOTTENS LÄN</t>
        </is>
      </c>
      <c r="G1122" t="inlineStr">
        <is>
          <t>LYCKSELE</t>
        </is>
      </c>
      <c r="I1122" t="n">
        <v>19.2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1031-2025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45747</v>
      </c>
      <c r="E1123" s="1" t="n">
        <v>46235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36.8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1037-2025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45747</v>
      </c>
      <c r="E1124" s="1" t="n">
        <v>46235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138.5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1233-2025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45757</v>
      </c>
      <c r="E1125" s="1" t="n">
        <v>46235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1326-2025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45771</v>
      </c>
      <c r="E1126" s="1" t="n">
        <v>46235</v>
      </c>
      <c r="F1126" t="inlineStr">
        <is>
          <t>VÄSTERBOTTENS LÄN</t>
        </is>
      </c>
      <c r="G1126" t="inlineStr">
        <is>
          <t>LYCKSELE</t>
        </is>
      </c>
      <c r="I1126" t="n">
        <v>6.2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1841-2025</t>
        </is>
      </c>
      <c r="B1127" t="inlineStr">
        <is>
          <t>samrådsanmälan</t>
        </is>
      </c>
      <c r="C1127" t="inlineStr">
        <is>
          <t>Annan skogsbruksåtgärd</t>
        </is>
      </c>
      <c r="D1127" s="1" t="n">
        <v>45820</v>
      </c>
      <c r="E1127" s="1" t="n">
        <v>46235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447-2026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46071</v>
      </c>
      <c r="E1128" s="1" t="n">
        <v>46235</v>
      </c>
      <c r="F1128" t="inlineStr">
        <is>
          <t>VÄSTERBOTTENS LÄN</t>
        </is>
      </c>
      <c r="G1128" t="inlineStr">
        <is>
          <t>LYCKSELE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727-2026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46093</v>
      </c>
      <c r="E1129" s="1" t="n">
        <v>46235</v>
      </c>
      <c r="F1129" t="inlineStr">
        <is>
          <t>VÄSTERBOTTENS LÄN</t>
        </is>
      </c>
      <c r="G1129" t="inlineStr">
        <is>
          <t>LYCKSELE</t>
        </is>
      </c>
      <c r="I1129" t="n">
        <v>23.5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1148-2026</t>
        </is>
      </c>
      <c r="B1130" t="inlineStr">
        <is>
          <t>samrådsanmälan</t>
        </is>
      </c>
      <c r="C1130" t="inlineStr">
        <is>
          <t>Askåterföring</t>
        </is>
      </c>
      <c r="D1130" s="1" t="n">
        <v>46135</v>
      </c>
      <c r="E1130" s="1" t="n">
        <v>46235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1358-2026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46152</v>
      </c>
      <c r="E1131" s="1" t="n">
        <v>46235</v>
      </c>
      <c r="F1131" t="inlineStr">
        <is>
          <t>VÄSTERBOTTENS LÄN</t>
        </is>
      </c>
      <c r="G1131" t="inlineStr">
        <is>
          <t>LYCKSELE</t>
        </is>
      </c>
      <c r="I1131" t="n">
        <v>20.5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>
      <c r="A1132" t="inlineStr">
        <is>
          <t>S 1524-2026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46164</v>
      </c>
      <c r="E1132" s="1" t="n">
        <v>46235</v>
      </c>
      <c r="F1132" t="inlineStr">
        <is>
          <t>VÄSTERBOTTENS LÄN</t>
        </is>
      </c>
      <c r="G1132" t="inlineStr">
        <is>
          <t>LYCKSELE</t>
        </is>
      </c>
      <c r="I1132" t="n">
        <v>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2026-08-01T01:53:01Z</dcterms:created>
  <dcterms:modified xmlns:dcterms="http://purl.org/dc/terms/" xmlns:xsi="http://www.w3.org/2001/XMLSchema-instance" xsi:type="dcterms:W3CDTF">2026-08-01T01:53:02Z</dcterms:modified>
</cp:coreProperties>
</file>