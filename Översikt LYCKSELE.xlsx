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46229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46229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46229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46229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46229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46229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46229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46229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46229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46229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46229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46229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46229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t="n">
        <v>2</v>
      </c>
      <c r="V14" s="2" t="inlineStr">
        <is>
          <t>Garnlav
Gammelgransskål
Kolflarnlav
Motaggsvamp
Tallriska
Tretåig hackspett
Vitgrynig nållav
Huggorm
Revlummer</t>
        </is>
      </c>
      <c r="W14">
        <f>HYPERLINK("https://klasma.github.io/Logging_2481/artfynd/A 34015-2025 artfynd.xlsx", "A 34015-2025")</f>
        <v/>
      </c>
      <c r="X14">
        <f>HYPERLINK("https://klasma.github.io/Logging_2481/kartor/A 34015-2025 karta.png", "A 34015-2025")</f>
        <v/>
      </c>
      <c r="Y14">
        <f>HYPERLINK("https://klasma.github.io/Logging_2481/kartor_geotiff/A 34015-2025 georefererad karta.tif", "A 34015-2025")</f>
        <v/>
      </c>
      <c r="AA14">
        <f>HYPERLINK("https://klasma.github.io/Logging_2481/klagomål/A 34015-2025 FSC-klagomål.docx", "A 34015-2025")</f>
        <v/>
      </c>
      <c r="AB14">
        <f>HYPERLINK("https://klasma.github.io/Logging_2481/klagomålsmail/A 34015-2025 FSC-klagomål mail.docx", "A 34015-2025")</f>
        <v/>
      </c>
      <c r="AC14">
        <f>HYPERLINK("https://klasma.github.io/Logging_2481/tillsyn/A 34015-2025 tillsynsbegäran.docx", "A 34015-2025")</f>
        <v/>
      </c>
      <c r="AD14">
        <f>HYPERLINK("https://klasma.github.io/Logging_2481/tillsynsmail/A 34015-2025 tillsynsbegäran mail.docx", "A 34015-2025")</f>
        <v/>
      </c>
      <c r="AE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46229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46229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46229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46229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46229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46229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46229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28479-2026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46197</v>
      </c>
      <c r="E22" s="1" t="n">
        <v>46229</v>
      </c>
      <c r="F22" t="inlineStr">
        <is>
          <t>VÄSTERBOTTENS LÄN</t>
        </is>
      </c>
      <c r="G22" t="inlineStr">
        <is>
          <t>LYCKSELE</t>
        </is>
      </c>
      <c r="H22" t="inlineStr">
        <is>
          <t>SCA</t>
        </is>
      </c>
      <c r="I22" t="n">
        <v>20.4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Björktrast
Spillkråka
Buskskvätta
Fiskgjuse
Orre
Svartvit flugsnappare
Trana</t>
        </is>
      </c>
      <c r="W22">
        <f>HYPERLINK("https://klasma.github.io/Logging_2481/artfynd/A 28479-2026 artfynd.xlsx", "A 28479-2026")</f>
        <v/>
      </c>
      <c r="X22">
        <f>HYPERLINK("https://klasma.github.io/Logging_2481/kartor/A 28479-2026 karta.png", "A 28479-2026")</f>
        <v/>
      </c>
      <c r="Y22">
        <f>HYPERLINK("https://klasma.github.io/Logging_2481/kartor_geotiff/A 28479-2026 georefererad karta.tif", "A 28479-2026")</f>
        <v/>
      </c>
      <c r="AA22">
        <f>HYPERLINK("https://klasma.github.io/Logging_2481/klagomål/A 28479-2026 FSC-klagomål.docx", "A 28479-2026")</f>
        <v/>
      </c>
      <c r="AB22">
        <f>HYPERLINK("https://klasma.github.io/Logging_2481/klagomålsmail/A 28479-2026 FSC-klagomål mail.docx", "A 28479-2026")</f>
        <v/>
      </c>
      <c r="AC22">
        <f>HYPERLINK("https://klasma.github.io/Logging_2481/tillsyn/A 28479-2026 tillsynsbegäran.docx", "A 28479-2026")</f>
        <v/>
      </c>
      <c r="AD22">
        <f>HYPERLINK("https://klasma.github.io/Logging_2481/tillsynsmail/A 28479-2026 tillsynsbegäran mail.docx", "A 28479-2026")</f>
        <v/>
      </c>
      <c r="AE22">
        <f>HYPERLINK("https://klasma.github.io/Logging_2481/fåglar/A 28479-2026 prioriterade fågelarter.docx", "A 28479-2026")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46229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33340-2025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46229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5.2</v>
      </c>
      <c r="J24" t="n">
        <v>1</v>
      </c>
      <c r="K24" t="n">
        <v>0</v>
      </c>
      <c r="L24" t="n">
        <v>6</v>
      </c>
      <c r="M24" t="n">
        <v>1</v>
      </c>
      <c r="N24" t="n">
        <v>0</v>
      </c>
      <c r="O24" t="n">
        <v>0</v>
      </c>
      <c r="P24" t="n">
        <v>0</v>
      </c>
      <c r="Q24" t="n">
        <v>7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Doftticka
Blå taggsvamp
Lunglav
Mörk kolflarnlav
Orange taggsvamp
Vaddporing
Vedflamlav</t>
        </is>
      </c>
      <c r="W24">
        <f>HYPERLINK("https://klasma.github.io/Logging_2481/artfynd/A 33340-2025 artfynd.xlsx", "A 33340-2025")</f>
        <v/>
      </c>
      <c r="X24">
        <f>HYPERLINK("https://klasma.github.io/Logging_2481/kartor/A 33340-2025 karta.png", "A 33340-2025")</f>
        <v/>
      </c>
      <c r="Y24">
        <f>HYPERLINK("https://klasma.github.io/Logging_2481/kartor_geotiff/A 33340-2025 georefererad karta.tif", "A 33340-2025")</f>
        <v/>
      </c>
      <c r="AA24">
        <f>HYPERLINK("https://klasma.github.io/Logging_2481/klagomål/A 33340-2025 FSC-klagomål.docx", "A 33340-2025")</f>
        <v/>
      </c>
      <c r="AB24">
        <f>HYPERLINK("https://klasma.github.io/Logging_2481/klagomålsmail/A 33340-2025 FSC-klagomål mail.docx", "A 33340-2025")</f>
        <v/>
      </c>
      <c r="AC24">
        <f>HYPERLINK("https://klasma.github.io/Logging_2481/tillsyn/A 33340-2025 tillsynsbegäran.docx", "A 33340-2025")</f>
        <v/>
      </c>
      <c r="AD24">
        <f>HYPERLINK("https://klasma.github.io/Logging_2481/tillsynsmail/A 33340-2025 tillsynsbegäran mail.docx", "A 33340-2025")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46229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46229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46229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46229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46229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46229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46229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46229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46229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39528-2025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45890</v>
      </c>
      <c r="E34" s="1" t="n">
        <v>46229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24.9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Kolflarnlav
Lunglav
Mörk kolflarnlav
Reliktbock</t>
        </is>
      </c>
      <c r="W34">
        <f>HYPERLINK("https://klasma.github.io/Logging_2481/artfynd/A 39528-2025 artfynd.xlsx", "A 39528-2025")</f>
        <v/>
      </c>
      <c r="X34">
        <f>HYPERLINK("https://klasma.github.io/Logging_2481/kartor/A 39528-2025 karta.png", "A 39528-2025")</f>
        <v/>
      </c>
      <c r="Y34">
        <f>HYPERLINK("https://klasma.github.io/Logging_2481/kartor_geotiff/A 39528-2025 georefererad karta.tif", "A 39528-2025")</f>
        <v/>
      </c>
      <c r="AA34">
        <f>HYPERLINK("https://klasma.github.io/Logging_2481/klagomål/A 39528-2025 FSC-klagomål.docx", "A 39528-2025")</f>
        <v/>
      </c>
      <c r="AB34">
        <f>HYPERLINK("https://klasma.github.io/Logging_2481/klagomålsmail/A 39528-2025 FSC-klagomål mail.docx", "A 39528-2025")</f>
        <v/>
      </c>
      <c r="AC34">
        <f>HYPERLINK("https://klasma.github.io/Logging_2481/tillsyn/A 39528-2025 tillsynsbegäran.docx", "A 39528-2025")</f>
        <v/>
      </c>
      <c r="AD34">
        <f>HYPERLINK("https://klasma.github.io/Logging_2481/tillsynsmail/A 39528-2025 tillsynsbegäran mail.docx", "A 39528-2025")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46229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46229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Blå taggsvamp
Dropptaggsvamp
Kolflarnlav
Mörk kolflarnlav
Orange taggsvamp</t>
        </is>
      </c>
      <c r="W36">
        <f>HYPERLINK("https://klasma.github.io/Logging_2481/artfynd/A 58209-2025 artfynd.xlsx", "A 58209-2025")</f>
        <v/>
      </c>
      <c r="X36">
        <f>HYPERLINK("https://klasma.github.io/Logging_2481/kartor/A 58209-2025 karta.png", "A 58209-2025")</f>
        <v/>
      </c>
      <c r="Y36">
        <f>HYPERLINK("https://klasma.github.io/Logging_2481/kartor_geotiff/A 58209-2025 georefererad karta.tif", "A 58209-2025")</f>
        <v/>
      </c>
      <c r="AA36">
        <f>HYPERLINK("https://klasma.github.io/Logging_2481/klagomål/A 58209-2025 FSC-klagomål.docx", "A 58209-2025")</f>
        <v/>
      </c>
      <c r="AB36">
        <f>HYPERLINK("https://klasma.github.io/Logging_2481/klagomålsmail/A 58209-2025 FSC-klagomål mail.docx", "A 58209-2025")</f>
        <v/>
      </c>
      <c r="AC36">
        <f>HYPERLINK("https://klasma.github.io/Logging_2481/tillsyn/A 58209-2025 tillsynsbegäran.docx", "A 58209-2025")</f>
        <v/>
      </c>
      <c r="AD36">
        <f>HYPERLINK("https://klasma.github.io/Logging_2481/tillsynsmail/A 58209-2025 tillsynsbegäran mail.docx", "A 58209-2025")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46229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A 54905-2024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46229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10</v>
      </c>
      <c r="U38" t="n">
        <v>7</v>
      </c>
      <c r="V38" s="2" t="inlineStr">
        <is>
          <t>Fläckporing
Garnlav
Dropptaggsvamp
Kolflarnlav
Ullticka</t>
        </is>
      </c>
      <c r="W38">
        <f>HYPERLINK("https://klasma.github.io/Logging_2481/artfynd/A 54905-2024 artfynd.xlsx", "A 54905-2024")</f>
        <v/>
      </c>
      <c r="X38">
        <f>HYPERLINK("https://klasma.github.io/Logging_2481/kartor/A 54905-2024 karta.png", "A 54905-2024")</f>
        <v/>
      </c>
      <c r="Y38">
        <f>HYPERLINK("https://klasma.github.io/Logging_2481/kartor_geotiff/A 54905-2024 georefererad karta.tif", "A 54905-2024")</f>
        <v/>
      </c>
      <c r="AA38">
        <f>HYPERLINK("https://klasma.github.io/Logging_2481/klagomål/A 54905-2024 FSC-klagomål.docx", "A 54905-2024")</f>
        <v/>
      </c>
      <c r="AB38">
        <f>HYPERLINK("https://klasma.github.io/Logging_2481/klagomålsmail/A 54905-2024 FSC-klagomål mail.docx", "A 54905-2024")</f>
        <v/>
      </c>
      <c r="AC38">
        <f>HYPERLINK("https://klasma.github.io/Logging_2481/tillsyn/A 54905-2024 tillsynsbegäran.docx", "A 54905-2024")</f>
        <v/>
      </c>
      <c r="AD38">
        <f>HYPERLINK("https://klasma.github.io/Logging_2481/tillsynsmail/A 54905-2024 tillsynsbegäran mail.docx", "A 54905-2024")</f>
        <v/>
      </c>
    </row>
    <row r="39" ht="15" customHeight="1">
      <c r="A39" t="inlineStr">
        <is>
          <t>A 13908-2026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46229</v>
      </c>
      <c r="F39" t="inlineStr">
        <is>
          <t>VÄSTERBOTTENS LÄN</t>
        </is>
      </c>
      <c r="G39" t="inlineStr">
        <is>
          <t>LYCKSELE</t>
        </is>
      </c>
      <c r="I39" t="n">
        <v>13.1</v>
      </c>
      <c r="J39" t="n">
        <v>2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15</v>
      </c>
      <c r="U39" t="n">
        <v>15</v>
      </c>
      <c r="V39" s="2" t="inlineStr">
        <is>
          <t>Garnlav
Tretåig hackspett
Vedtrappmossa
Spindelblomster
Vedticka</t>
        </is>
      </c>
      <c r="W39">
        <f>HYPERLINK("https://klasma.github.io/Logging_2481/artfynd/A 13908-2026 artfynd.xlsx", "A 13908-2026")</f>
        <v/>
      </c>
      <c r="X39">
        <f>HYPERLINK("https://klasma.github.io/Logging_2481/kartor/A 13908-2026 karta.png", "A 13908-2026")</f>
        <v/>
      </c>
      <c r="Y39">
        <f>HYPERLINK("https://klasma.github.io/Logging_2481/kartor_geotiff/A 13908-2026 georefererad karta.tif", "A 13908-2026")</f>
        <v/>
      </c>
      <c r="AA39">
        <f>HYPERLINK("https://klasma.github.io/Logging_2481/klagomål/A 13908-2026 FSC-klagomål.docx", "A 13908-2026")</f>
        <v/>
      </c>
      <c r="AB39">
        <f>HYPERLINK("https://klasma.github.io/Logging_2481/klagomålsmail/A 13908-2026 FSC-klagomål mail.docx", "A 13908-2026")</f>
        <v/>
      </c>
      <c r="AC39">
        <f>HYPERLINK("https://klasma.github.io/Logging_2481/tillsyn/A 13908-2026 tillsynsbegäran.docx", "A 13908-2026")</f>
        <v/>
      </c>
      <c r="AD39">
        <f>HYPERLINK("https://klasma.github.io/Logging_2481/tillsynsmail/A 13908-2026 tillsynsbegäran mail.docx", "A 13908-2026")</f>
        <v/>
      </c>
      <c r="AE39">
        <f>HYPERLINK("https://klasma.github.io/Logging_2481/fåglar/A 13908-2026 prioriterade fågelarter.docx", "A 13908-2026")</f>
        <v/>
      </c>
    </row>
    <row r="40" ht="15" customHeight="1">
      <c r="A40" t="inlineStr">
        <is>
          <t>S 1088-2025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45750</v>
      </c>
      <c r="E40" s="1" t="n">
        <v>46229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8.5</v>
      </c>
      <c r="J40" t="n">
        <v>0</v>
      </c>
      <c r="K40" t="n">
        <v>0</v>
      </c>
      <c r="L40" t="n">
        <v>3</v>
      </c>
      <c r="M40" t="n">
        <v>2</v>
      </c>
      <c r="N40" t="n">
        <v>0</v>
      </c>
      <c r="O40" t="n">
        <v>0</v>
      </c>
      <c r="P40" t="n">
        <v>0</v>
      </c>
      <c r="Q40" t="n">
        <v>5</v>
      </c>
      <c r="R40" t="n">
        <v>2</v>
      </c>
      <c r="S40" t="n">
        <v>5</v>
      </c>
      <c r="T40" t="n">
        <v>6</v>
      </c>
      <c r="U40" t="n">
        <v>0</v>
      </c>
      <c r="V40" s="2" t="inlineStr">
        <is>
          <t>Goliatmusseron
Skrovlig taggsvamp
Blå taggsvamp
Dropptaggsvamp
Orange taggsvamp</t>
        </is>
      </c>
      <c r="W40">
        <f>HYPERLINK("https://klasma.github.io/Logging_2481/artfynd/S 1088-2025 artfynd.xlsx", "S 1088-2025")</f>
        <v/>
      </c>
      <c r="X40">
        <f>HYPERLINK("https://klasma.github.io/Logging_2481/kartor/S 1088-2025 karta.png", "S 1088-2025")</f>
        <v/>
      </c>
      <c r="Y40">
        <f>HYPERLINK("https://klasma.github.io/Logging_2481/kartor_geotiff/S 1088-2025 georefererad karta.tif", "S 1088-2025")</f>
        <v/>
      </c>
      <c r="AA40">
        <f>HYPERLINK("https://klasma.github.io/Logging_2481/klagomål/S 1088-2025 FSC-klagomål.docx", "S 1088-2025")</f>
        <v/>
      </c>
      <c r="AB40">
        <f>HYPERLINK("https://klasma.github.io/Logging_2481/klagomålsmail/S 1088-2025 FSC-klagomål mail.docx", "S 1088-2025")</f>
        <v/>
      </c>
      <c r="AC40">
        <f>HYPERLINK("https://klasma.github.io/Logging_2481/tillsyn/S 1088-2025 tillsynsbegäran.docx", "S 1088-2025")</f>
        <v/>
      </c>
      <c r="AD40">
        <f>HYPERLINK("https://klasma.github.io/Logging_2481/tillsynsmail/S 1088-2025 tillsynsbegäran mail.docx", "S 1088-2025")</f>
        <v/>
      </c>
    </row>
    <row r="41" ht="15" customHeight="1">
      <c r="A41" t="inlineStr">
        <is>
          <t>A 43740-2021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44433</v>
      </c>
      <c r="E41" s="1" t="n">
        <v>46229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16.2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12</v>
      </c>
      <c r="U41" t="n">
        <v>9</v>
      </c>
      <c r="V41" s="2" t="inlineStr">
        <is>
          <t>Garnlav
Kolflarnlav
Lunglav
Bårdlav</t>
        </is>
      </c>
      <c r="W41">
        <f>HYPERLINK("https://klasma.github.io/Logging_2481/artfynd/A 43740-2021 artfynd.xlsx", "A 43740-2021")</f>
        <v/>
      </c>
      <c r="X41">
        <f>HYPERLINK("https://klasma.github.io/Logging_2481/kartor/A 43740-2021 karta.png", "A 43740-2021")</f>
        <v/>
      </c>
      <c r="Y41">
        <f>HYPERLINK("https://klasma.github.io/Logging_2481/kartor_geotiff/A 43740-2021 georefererad karta.tif", "A 43740-2021")</f>
        <v/>
      </c>
      <c r="AA41">
        <f>HYPERLINK("https://klasma.github.io/Logging_2481/klagomål/A 43740-2021 FSC-klagomål.docx", "A 43740-2021")</f>
        <v/>
      </c>
      <c r="AB41">
        <f>HYPERLINK("https://klasma.github.io/Logging_2481/klagomålsmail/A 43740-2021 FSC-klagomål mail.docx", "A 43740-2021")</f>
        <v/>
      </c>
      <c r="AC41">
        <f>HYPERLINK("https://klasma.github.io/Logging_2481/tillsyn/A 43740-2021 tillsynsbegäran.docx", "A 43740-2021")</f>
        <v/>
      </c>
      <c r="AD41">
        <f>HYPERLINK("https://klasma.github.io/Logging_2481/tillsynsmail/A 43740-2021 tillsynsbegäran mail.docx", "A 43740-2021")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46229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46229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46229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30083-2026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46206</v>
      </c>
      <c r="E45" s="1" t="n">
        <v>46229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15.8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3</v>
      </c>
      <c r="V45" s="2" t="inlineStr">
        <is>
          <t>Kolflarnlav
Lunglav
Skrovellav
Vedflamlav</t>
        </is>
      </c>
      <c r="W45">
        <f>HYPERLINK("https://klasma.github.io/Logging_2481/artfynd/A 30083-2026 artfynd.xlsx", "A 30083-2026")</f>
        <v/>
      </c>
      <c r="X45">
        <f>HYPERLINK("https://klasma.github.io/Logging_2481/kartor/A 30083-2026 karta.png", "A 30083-2026")</f>
        <v/>
      </c>
      <c r="Y45">
        <f>HYPERLINK("https://klasma.github.io/Logging_2481/kartor_geotiff/A 30083-2026 georefererad karta.tif", "A 30083-2026")</f>
        <v/>
      </c>
      <c r="AA45">
        <f>HYPERLINK("https://klasma.github.io/Logging_2481/klagomål/A 30083-2026 FSC-klagomål.docx", "A 30083-2026")</f>
        <v/>
      </c>
      <c r="AB45">
        <f>HYPERLINK("https://klasma.github.io/Logging_2481/klagomålsmail/A 30083-2026 FSC-klagomål mail.docx", "A 30083-2026")</f>
        <v/>
      </c>
      <c r="AC45">
        <f>HYPERLINK("https://klasma.github.io/Logging_2481/tillsyn/A 30083-2026 tillsynsbegäran.docx", "A 30083-2026")</f>
        <v/>
      </c>
      <c r="AD45">
        <f>HYPERLINK("https://klasma.github.io/Logging_2481/tillsynsmail/A 30083-2026 tillsynsbegäran mail.docx", "A 30083-2026")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46229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46229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46229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A 27068-2025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46229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3.3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Kolflarnlav
Motaggsvamp</t>
        </is>
      </c>
      <c r="W49">
        <f>HYPERLINK("https://klasma.github.io/Logging_2481/artfynd/A 27068-2025 artfynd.xlsx", "A 27068-2025")</f>
        <v/>
      </c>
      <c r="X49">
        <f>HYPERLINK("https://klasma.github.io/Logging_2481/kartor/A 27068-2025 karta.png", "A 27068-2025")</f>
        <v/>
      </c>
      <c r="Y49">
        <f>HYPERLINK("https://klasma.github.io/Logging_2481/kartor_geotiff/A 27068-2025 georefererad karta.tif", "A 27068-2025")</f>
        <v/>
      </c>
      <c r="AA49">
        <f>HYPERLINK("https://klasma.github.io/Logging_2481/klagomål/A 27068-2025 FSC-klagomål.docx", "A 27068-2025")</f>
        <v/>
      </c>
      <c r="AB49">
        <f>HYPERLINK("https://klasma.github.io/Logging_2481/klagomålsmail/A 27068-2025 FSC-klagomål mail.docx", "A 27068-2025")</f>
        <v/>
      </c>
      <c r="AC49">
        <f>HYPERLINK("https://klasma.github.io/Logging_2481/tillsyn/A 27068-2025 tillsynsbegäran.docx", "A 27068-2025")</f>
        <v/>
      </c>
      <c r="AD49">
        <f>HYPERLINK("https://klasma.github.io/Logging_2481/tillsynsmail/A 27068-2025 tillsynsbegäran mail.docx", "A 27068-2025")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46229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46229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46229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46229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46229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46229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46229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46229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59276-2024 artfynd.xlsx", "A 59276-2024")</f>
        <v/>
      </c>
      <c r="X57">
        <f>HYPERLINK("https://klasma.github.io/Logging_2481/kartor/A 59276-2024 karta.png", "A 59276-2024")</f>
        <v/>
      </c>
      <c r="Y57">
        <f>HYPERLINK("https://klasma.github.io/Logging_2481/kartor_geotiff/A 59276-2024 georefererad karta.tif", "A 59276-2024")</f>
        <v/>
      </c>
      <c r="AA57">
        <f>HYPERLINK("https://klasma.github.io/Logging_2481/klagomål/A 59276-2024 FSC-klagomål.docx", "A 59276-2024")</f>
        <v/>
      </c>
      <c r="AB57">
        <f>HYPERLINK("https://klasma.github.io/Logging_2481/klagomålsmail/A 59276-2024 FSC-klagomål mail.docx", "A 59276-2024")</f>
        <v/>
      </c>
      <c r="AC57">
        <f>HYPERLINK("https://klasma.github.io/Logging_2481/tillsyn/A 59276-2024 tillsynsbegäran.docx", "A 59276-2024")</f>
        <v/>
      </c>
      <c r="AD57">
        <f>HYPERLINK("https://klasma.github.io/Logging_2481/tillsynsmail/A 59276-2024 tillsynsbegäran mail.docx", "A 59276-2024")</f>
        <v/>
      </c>
    </row>
    <row r="58" ht="15" customHeight="1">
      <c r="A58" t="inlineStr">
        <is>
          <t>A 38916-2025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46229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3.1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Lunglav
Stuplav</t>
        </is>
      </c>
      <c r="W58">
        <f>HYPERLINK("https://klasma.github.io/Logging_2481/artfynd/A 38916-2025 artfynd.xlsx", "A 38916-2025")</f>
        <v/>
      </c>
      <c r="X58">
        <f>HYPERLINK("https://klasma.github.io/Logging_2481/kartor/A 38916-2025 karta.png", "A 38916-2025")</f>
        <v/>
      </c>
      <c r="Y58">
        <f>HYPERLINK("https://klasma.github.io/Logging_2481/kartor_geotiff/A 38916-2025 georefererad karta.tif", "A 38916-2025")</f>
        <v/>
      </c>
      <c r="AA58">
        <f>HYPERLINK("https://klasma.github.io/Logging_2481/klagomål/A 38916-2025 FSC-klagomål.docx", "A 38916-2025")</f>
        <v/>
      </c>
      <c r="AB58">
        <f>HYPERLINK("https://klasma.github.io/Logging_2481/klagomålsmail/A 38916-2025 FSC-klagomål mail.docx", "A 38916-2025")</f>
        <v/>
      </c>
      <c r="AC58">
        <f>HYPERLINK("https://klasma.github.io/Logging_2481/tillsyn/A 38916-2025 tillsynsbegäran.docx", "A 38916-2025")</f>
        <v/>
      </c>
      <c r="AD58">
        <f>HYPERLINK("https://klasma.github.io/Logging_2481/tillsynsmail/A 38916-2025 tillsynsbegäran mail.docx", "A 38916-2025")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46229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Blå taggsvamp
Kolflarnlav
Orange taggsvamp</t>
        </is>
      </c>
      <c r="W59">
        <f>HYPERLINK("https://klasma.github.io/Logging_2481/artfynd/A 53115-2024 artfynd.xlsx", "A 53115-2024")</f>
        <v/>
      </c>
      <c r="X59">
        <f>HYPERLINK("https://klasma.github.io/Logging_2481/kartor/A 53115-2024 karta.png", "A 53115-2024")</f>
        <v/>
      </c>
      <c r="Y59">
        <f>HYPERLINK("https://klasma.github.io/Logging_2481/kartor_geotiff/A 53115-2024 georefererad karta.tif", "A 53115-2024")</f>
        <v/>
      </c>
      <c r="AA59">
        <f>HYPERLINK("https://klasma.github.io/Logging_2481/klagomål/A 53115-2024 FSC-klagomål.docx", "A 53115-2024")</f>
        <v/>
      </c>
      <c r="AB59">
        <f>HYPERLINK("https://klasma.github.io/Logging_2481/klagomålsmail/A 53115-2024 FSC-klagomål mail.docx", "A 53115-2024")</f>
        <v/>
      </c>
      <c r="AC59">
        <f>HYPERLINK("https://klasma.github.io/Logging_2481/tillsyn/A 53115-2024 tillsynsbegäran.docx", "A 53115-2024")</f>
        <v/>
      </c>
      <c r="AD59">
        <f>HYPERLINK("https://klasma.github.io/Logging_2481/tillsynsmail/A 53115-2024 tillsynsbegäran mail.docx", "A 53115-2024")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46229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46229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21905-2026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46229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12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Lunglav</t>
        </is>
      </c>
      <c r="W62">
        <f>HYPERLINK("https://klasma.github.io/Logging_2481/artfynd/A 21905-2026 artfynd.xlsx", "A 21905-2026")</f>
        <v/>
      </c>
      <c r="X62">
        <f>HYPERLINK("https://klasma.github.io/Logging_2481/kartor/A 21905-2026 karta.png", "A 21905-2026")</f>
        <v/>
      </c>
      <c r="Y62">
        <f>HYPERLINK("https://klasma.github.io/Logging_2481/kartor_geotiff/A 21905-2026 georefererad karta.tif", "A 21905-2026")</f>
        <v/>
      </c>
      <c r="AA62">
        <f>HYPERLINK("https://klasma.github.io/Logging_2481/klagomål/A 21905-2026 FSC-klagomål.docx", "A 21905-2026")</f>
        <v/>
      </c>
      <c r="AB62">
        <f>HYPERLINK("https://klasma.github.io/Logging_2481/klagomålsmail/A 21905-2026 FSC-klagomål mail.docx", "A 21905-2026")</f>
        <v/>
      </c>
      <c r="AC62">
        <f>HYPERLINK("https://klasma.github.io/Logging_2481/tillsyn/A 21905-2026 tillsynsbegäran.docx", "A 21905-2026")</f>
        <v/>
      </c>
      <c r="AD62">
        <f>HYPERLINK("https://klasma.github.io/Logging_2481/tillsynsmail/A 21905-2026 tillsynsbegäran mail.docx", "A 21905-2026")</f>
        <v/>
      </c>
    </row>
    <row r="63" ht="15" customHeight="1">
      <c r="A63" t="inlineStr">
        <is>
          <t>A 6684-2023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44963</v>
      </c>
      <c r="E63" s="1" t="n">
        <v>46229</v>
      </c>
      <c r="F63" t="inlineStr">
        <is>
          <t>VÄSTERBOTTENS LÄN</t>
        </is>
      </c>
      <c r="G63" t="inlineStr">
        <is>
          <t>LYCKSELE</t>
        </is>
      </c>
      <c r="I63" t="n">
        <v>2.7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Lunglav
Stuplav</t>
        </is>
      </c>
      <c r="W63">
        <f>HYPERLINK("https://klasma.github.io/Logging_2481/artfynd/A 6684-2023 artfynd.xlsx", "A 6684-2023")</f>
        <v/>
      </c>
      <c r="X63">
        <f>HYPERLINK("https://klasma.github.io/Logging_2481/kartor/A 6684-2023 karta.png", "A 6684-2023")</f>
        <v/>
      </c>
      <c r="Y63">
        <f>HYPERLINK("https://klasma.github.io/Logging_2481/kartor_geotiff/A 6684-2023 georefererad karta.tif", "A 6684-2023")</f>
        <v/>
      </c>
      <c r="AA63">
        <f>HYPERLINK("https://klasma.github.io/Logging_2481/klagomål/A 6684-2023 FSC-klagomål.docx", "A 6684-2023")</f>
        <v/>
      </c>
      <c r="AB63">
        <f>HYPERLINK("https://klasma.github.io/Logging_2481/klagomålsmail/A 6684-2023 FSC-klagomål mail.docx", "A 6684-2023")</f>
        <v/>
      </c>
      <c r="AC63">
        <f>HYPERLINK("https://klasma.github.io/Logging_2481/tillsyn/A 6684-2023 tillsynsbegäran.docx", "A 6684-2023")</f>
        <v/>
      </c>
      <c r="AD63">
        <f>HYPERLINK("https://klasma.github.io/Logging_2481/tillsynsmail/A 6684-2023 tillsynsbegäran mail.docx", "A 6684-2023")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46229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46229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Gammelgransskål
Tretåig hackspett
Vitgrynig nållav</t>
        </is>
      </c>
      <c r="W65">
        <f>HYPERLINK("https://klasma.github.io/Logging_2481/artfynd/A 55046-2024 artfynd.xlsx", "A 55046-2024")</f>
        <v/>
      </c>
      <c r="X65">
        <f>HYPERLINK("https://klasma.github.io/Logging_2481/kartor/A 55046-2024 karta.png", "A 55046-2024")</f>
        <v/>
      </c>
      <c r="Y65">
        <f>HYPERLINK("https://klasma.github.io/Logging_2481/kartor_geotiff/A 55046-2024 georefererad karta.tif", "A 55046-2024")</f>
        <v/>
      </c>
      <c r="AA65">
        <f>HYPERLINK("https://klasma.github.io/Logging_2481/klagomål/A 55046-2024 FSC-klagomål.docx", "A 55046-2024")</f>
        <v/>
      </c>
      <c r="AB65">
        <f>HYPERLINK("https://klasma.github.io/Logging_2481/klagomålsmail/A 55046-2024 FSC-klagomål mail.docx", "A 55046-2024")</f>
        <v/>
      </c>
      <c r="AC65">
        <f>HYPERLINK("https://klasma.github.io/Logging_2481/tillsyn/A 55046-2024 tillsynsbegäran.docx", "A 55046-2024")</f>
        <v/>
      </c>
      <c r="AD65">
        <f>HYPERLINK("https://klasma.github.io/Logging_2481/tillsynsmail/A 55046-2024 tillsynsbegäran mail.docx", "A 55046-2024")</f>
        <v/>
      </c>
      <c r="AE65">
        <f>HYPERLINK("https://klasma.github.io/Logging_2481/fåglar/A 55046-2024 prioriterade fågelarter.docx", "A 55046-2024")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46229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t="n">
        <v>1</v>
      </c>
      <c r="V66" s="2" t="inlineStr">
        <is>
          <t>Knärot
Källmossa
Lopplummer (aggregat)</t>
        </is>
      </c>
      <c r="W66">
        <f>HYPERLINK("https://klasma.github.io/Logging_2481/artfynd/A 56566-2025 artfynd.xlsx", "A 56566-2025")</f>
        <v/>
      </c>
      <c r="X66">
        <f>HYPERLINK("https://klasma.github.io/Logging_2481/kartor/A 56566-2025 karta.png", "A 56566-2025")</f>
        <v/>
      </c>
      <c r="Y66">
        <f>HYPERLINK("https://klasma.github.io/Logging_2481/kartor_geotiff/A 56566-2025 georefererad karta.tif", "A 56566-2025")</f>
        <v/>
      </c>
      <c r="Z66">
        <f>HYPERLINK("https://klasma.github.io/Logging_2481/knärot/A 56566-2025 karta knärot.png", "A 56566-2025")</f>
        <v/>
      </c>
      <c r="AA66">
        <f>HYPERLINK("https://klasma.github.io/Logging_2481/klagomål/A 56566-2025 FSC-klagomål.docx", "A 56566-2025")</f>
        <v/>
      </c>
      <c r="AB66">
        <f>HYPERLINK("https://klasma.github.io/Logging_2481/klagomålsmail/A 56566-2025 FSC-klagomål mail.docx", "A 56566-2025")</f>
        <v/>
      </c>
      <c r="AC66">
        <f>HYPERLINK("https://klasma.github.io/Logging_2481/tillsyn/A 56566-2025 tillsynsbegäran.docx", "A 56566-2025")</f>
        <v/>
      </c>
      <c r="AD66">
        <f>HYPERLINK("https://klasma.github.io/Logging_2481/tillsynsmail/A 56566-2025 tillsynsbegäran mail.docx", "A 56566-2025")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46229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60422-2024 artfynd.xlsx", "A 60422-2024")</f>
        <v/>
      </c>
      <c r="X67">
        <f>HYPERLINK("https://klasma.github.io/Logging_2481/kartor/A 60422-2024 karta.png", "A 60422-2024")</f>
        <v/>
      </c>
      <c r="Y67">
        <f>HYPERLINK("https://klasma.github.io/Logging_2481/kartor_geotiff/A 60422-2024 georefererad karta.tif", "A 60422-2024")</f>
        <v/>
      </c>
      <c r="AA67">
        <f>HYPERLINK("https://klasma.github.io/Logging_2481/klagomål/A 60422-2024 FSC-klagomål.docx", "A 60422-2024")</f>
        <v/>
      </c>
      <c r="AB67">
        <f>HYPERLINK("https://klasma.github.io/Logging_2481/klagomålsmail/A 60422-2024 FSC-klagomål mail.docx", "A 60422-2024")</f>
        <v/>
      </c>
      <c r="AC67">
        <f>HYPERLINK("https://klasma.github.io/Logging_2481/tillsyn/A 60422-2024 tillsynsbegäran.docx", "A 60422-2024")</f>
        <v/>
      </c>
      <c r="AD67">
        <f>HYPERLINK("https://klasma.github.io/Logging_2481/tillsynsmail/A 60422-2024 tillsynsbegäran mail.docx", "A 60422-2024")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46229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t="n">
        <v>7</v>
      </c>
      <c r="V68" s="2" t="inlineStr">
        <is>
          <t>Garnlav
Lunglav
Bårdlav</t>
        </is>
      </c>
      <c r="W68">
        <f>HYPERLINK("https://klasma.github.io/Logging_2481/artfynd/A 52891-2024 artfynd.xlsx", "A 52891-2024")</f>
        <v/>
      </c>
      <c r="X68">
        <f>HYPERLINK("https://klasma.github.io/Logging_2481/kartor/A 52891-2024 karta.png", "A 52891-2024")</f>
        <v/>
      </c>
      <c r="Y68">
        <f>HYPERLINK("https://klasma.github.io/Logging_2481/kartor_geotiff/A 52891-2024 georefererad karta.tif", "A 52891-2024")</f>
        <v/>
      </c>
      <c r="AA68">
        <f>HYPERLINK("https://klasma.github.io/Logging_2481/klagomål/A 52891-2024 FSC-klagomål.docx", "A 52891-2024")</f>
        <v/>
      </c>
      <c r="AB68">
        <f>HYPERLINK("https://klasma.github.io/Logging_2481/klagomålsmail/A 52891-2024 FSC-klagomål mail.docx", "A 52891-2024")</f>
        <v/>
      </c>
      <c r="AC68">
        <f>HYPERLINK("https://klasma.github.io/Logging_2481/tillsyn/A 52891-2024 tillsynsbegäran.docx", "A 52891-2024")</f>
        <v/>
      </c>
      <c r="AD68">
        <f>HYPERLINK("https://klasma.github.io/Logging_2481/tillsynsmail/A 52891-2024 tillsynsbegäran mail.docx", "A 52891-2024")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46229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46229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46229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Dropptaggsvamp
Kolflarnlav</t>
        </is>
      </c>
      <c r="W71">
        <f>HYPERLINK("https://klasma.github.io/Logging_2481/artfynd/A 22123-2025 artfynd.xlsx", "A 22123-2025")</f>
        <v/>
      </c>
      <c r="X71">
        <f>HYPERLINK("https://klasma.github.io/Logging_2481/kartor/A 22123-2025 karta.png", "A 22123-2025")</f>
        <v/>
      </c>
      <c r="Y71">
        <f>HYPERLINK("https://klasma.github.io/Logging_2481/kartor_geotiff/A 22123-2025 georefererad karta.tif", "A 22123-2025")</f>
        <v/>
      </c>
      <c r="AA71">
        <f>HYPERLINK("https://klasma.github.io/Logging_2481/klagomål/A 22123-2025 FSC-klagomål.docx", "A 22123-2025")</f>
        <v/>
      </c>
      <c r="AB71">
        <f>HYPERLINK("https://klasma.github.io/Logging_2481/klagomålsmail/A 22123-2025 FSC-klagomål mail.docx", "A 22123-2025")</f>
        <v/>
      </c>
      <c r="AC71">
        <f>HYPERLINK("https://klasma.github.io/Logging_2481/tillsyn/A 22123-2025 tillsynsbegäran.docx", "A 22123-2025")</f>
        <v/>
      </c>
      <c r="AD71">
        <f>HYPERLINK("https://klasma.github.io/Logging_2481/tillsynsmail/A 22123-2025 tillsynsbegäran mail.docx", "A 22123-2025")</f>
        <v/>
      </c>
    </row>
    <row r="72" ht="15" customHeight="1">
      <c r="A72" t="inlineStr">
        <is>
          <t>A 30608-2025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46229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3.2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4</v>
      </c>
      <c r="U72" t="n">
        <v>0</v>
      </c>
      <c r="V72" s="2" t="inlineStr">
        <is>
          <t>Myrstarr
Lunglav
Fläcknycklar</t>
        </is>
      </c>
      <c r="W72">
        <f>HYPERLINK("https://klasma.github.io/Logging_2481/artfynd/A 30608-2025 artfynd.xlsx", "A 30608-2025")</f>
        <v/>
      </c>
      <c r="X72">
        <f>HYPERLINK("https://klasma.github.io/Logging_2481/kartor/A 30608-2025 karta.png", "A 30608-2025")</f>
        <v/>
      </c>
      <c r="Y72">
        <f>HYPERLINK("https://klasma.github.io/Logging_2481/kartor_geotiff/A 30608-2025 georefererad karta.tif", "A 30608-2025")</f>
        <v/>
      </c>
      <c r="AA72">
        <f>HYPERLINK("https://klasma.github.io/Logging_2481/klagomål/A 30608-2025 FSC-klagomål.docx", "A 30608-2025")</f>
        <v/>
      </c>
      <c r="AB72">
        <f>HYPERLINK("https://klasma.github.io/Logging_2481/klagomålsmail/A 30608-2025 FSC-klagomål mail.docx", "A 30608-2025")</f>
        <v/>
      </c>
      <c r="AC72">
        <f>HYPERLINK("https://klasma.github.io/Logging_2481/tillsyn/A 30608-2025 tillsynsbegäran.docx", "A 30608-2025")</f>
        <v/>
      </c>
      <c r="AD72">
        <f>HYPERLINK("https://klasma.github.io/Logging_2481/tillsynsmail/A 30608-2025 tillsynsbegäran mail.docx", "A 30608-2025")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46229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46229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742-2025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45665</v>
      </c>
      <c r="E75" s="1" t="n">
        <v>46229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Garnlav
Fläcknycklar</t>
        </is>
      </c>
      <c r="W75">
        <f>HYPERLINK("https://klasma.github.io/Logging_2481/artfynd/A 742-2025 artfynd.xlsx", "A 742-2025")</f>
        <v/>
      </c>
      <c r="X75">
        <f>HYPERLINK("https://klasma.github.io/Logging_2481/kartor/A 742-2025 karta.png", "A 742-2025")</f>
        <v/>
      </c>
      <c r="Y75">
        <f>HYPERLINK("https://klasma.github.io/Logging_2481/kartor_geotiff/A 742-2025 georefererad karta.tif", "A 742-2025")</f>
        <v/>
      </c>
      <c r="AA75">
        <f>HYPERLINK("https://klasma.github.io/Logging_2481/klagomål/A 742-2025 FSC-klagomål.docx", "A 742-2025")</f>
        <v/>
      </c>
      <c r="AB75">
        <f>HYPERLINK("https://klasma.github.io/Logging_2481/klagomålsmail/A 742-2025 FSC-klagomål mail.docx", "A 742-2025")</f>
        <v/>
      </c>
      <c r="AC75">
        <f>HYPERLINK("https://klasma.github.io/Logging_2481/tillsyn/A 742-2025 tillsynsbegäran.docx", "A 742-2025")</f>
        <v/>
      </c>
      <c r="AD75">
        <f>HYPERLINK("https://klasma.github.io/Logging_2481/tillsynsmail/A 742-2025 tillsynsbegäran mail.docx", "A 742-2025")</f>
        <v/>
      </c>
    </row>
    <row r="76" ht="15" customHeight="1">
      <c r="A76" t="inlineStr">
        <is>
          <t>A 45935-2024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45580</v>
      </c>
      <c r="E76" s="1" t="n">
        <v>46229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Orange taggsvamp</t>
        </is>
      </c>
      <c r="W76">
        <f>HYPERLINK("https://klasma.github.io/Logging_2481/artfynd/A 45935-2024 artfynd.xlsx", "A 45935-2024")</f>
        <v/>
      </c>
      <c r="X76">
        <f>HYPERLINK("https://klasma.github.io/Logging_2481/kartor/A 45935-2024 karta.png", "A 45935-2024")</f>
        <v/>
      </c>
      <c r="Y76">
        <f>HYPERLINK("https://klasma.github.io/Logging_2481/kartor_geotiff/A 45935-2024 georefererad karta.tif", "A 45935-2024")</f>
        <v/>
      </c>
      <c r="AA76">
        <f>HYPERLINK("https://klasma.github.io/Logging_2481/klagomål/A 45935-2024 FSC-klagomål.docx", "A 45935-2024")</f>
        <v/>
      </c>
      <c r="AB76">
        <f>HYPERLINK("https://klasma.github.io/Logging_2481/klagomålsmail/A 45935-2024 FSC-klagomål mail.docx", "A 45935-2024")</f>
        <v/>
      </c>
      <c r="AC76">
        <f>HYPERLINK("https://klasma.github.io/Logging_2481/tillsyn/A 45935-2024 tillsynsbegäran.docx", "A 45935-2024")</f>
        <v/>
      </c>
      <c r="AD76">
        <f>HYPERLINK("https://klasma.github.io/Logging_2481/tillsynsmail/A 45935-2024 tillsynsbegäran mail.docx", "A 45935-2024")</f>
        <v/>
      </c>
    </row>
    <row r="77" ht="15" customHeight="1">
      <c r="A77" t="inlineStr">
        <is>
          <t>A 2893-2023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44945</v>
      </c>
      <c r="E77" s="1" t="n">
        <v>46229</v>
      </c>
      <c r="F77" t="inlineStr">
        <is>
          <t>VÄSTERBOTTENS LÄN</t>
        </is>
      </c>
      <c r="G77" t="inlineStr">
        <is>
          <t>LYCKSELE</t>
        </is>
      </c>
      <c r="H77" t="inlineStr">
        <is>
          <t>Kyrkan</t>
        </is>
      </c>
      <c r="I77" t="n">
        <v>3.5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7</v>
      </c>
      <c r="U77" t="n">
        <v>7</v>
      </c>
      <c r="V77" s="2" t="inlineStr">
        <is>
          <t>Garnlav
Dropptaggsvamp</t>
        </is>
      </c>
      <c r="W77">
        <f>HYPERLINK("https://klasma.github.io/Logging_2481/artfynd/A 2893-2023 artfynd.xlsx", "A 2893-2023")</f>
        <v/>
      </c>
      <c r="X77">
        <f>HYPERLINK("https://klasma.github.io/Logging_2481/kartor/A 2893-2023 karta.png", "A 2893-2023")</f>
        <v/>
      </c>
      <c r="Y77">
        <f>HYPERLINK("https://klasma.github.io/Logging_2481/kartor_geotiff/A 2893-2023 georefererad karta.tif", "A 2893-2023")</f>
        <v/>
      </c>
      <c r="AA77">
        <f>HYPERLINK("https://klasma.github.io/Logging_2481/klagomål/A 2893-2023 FSC-klagomål.docx", "A 2893-2023")</f>
        <v/>
      </c>
      <c r="AB77">
        <f>HYPERLINK("https://klasma.github.io/Logging_2481/klagomålsmail/A 2893-2023 FSC-klagomål mail.docx", "A 2893-2023")</f>
        <v/>
      </c>
      <c r="AC77">
        <f>HYPERLINK("https://klasma.github.io/Logging_2481/tillsyn/A 2893-2023 tillsynsbegäran.docx", "A 2893-2023")</f>
        <v/>
      </c>
      <c r="AD77">
        <f>HYPERLINK("https://klasma.github.io/Logging_2481/tillsynsmail/A 2893-2023 tillsynsbegäran mail.docx", "A 2893-2023")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46229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16914-2024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46229</v>
      </c>
      <c r="F79" t="inlineStr">
        <is>
          <t>VÄSTERBOTTENS LÄN</t>
        </is>
      </c>
      <c r="G79" t="inlineStr">
        <is>
          <t>LYCKSELE</t>
        </is>
      </c>
      <c r="I79" t="n">
        <v>24.6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Lavskrika
Tretåig hackspett</t>
        </is>
      </c>
      <c r="W79">
        <f>HYPERLINK("https://klasma.github.io/Logging_2481/artfynd/A 16914-2024 artfynd.xlsx", "A 16914-2024")</f>
        <v/>
      </c>
      <c r="X79">
        <f>HYPERLINK("https://klasma.github.io/Logging_2481/kartor/A 16914-2024 karta.png", "A 16914-2024")</f>
        <v/>
      </c>
      <c r="Y79">
        <f>HYPERLINK("https://klasma.github.io/Logging_2481/kartor_geotiff/A 16914-2024 georefererad karta.tif", "A 16914-2024")</f>
        <v/>
      </c>
      <c r="AA79">
        <f>HYPERLINK("https://klasma.github.io/Logging_2481/klagomål/A 16914-2024 FSC-klagomål.docx", "A 16914-2024")</f>
        <v/>
      </c>
      <c r="AB79">
        <f>HYPERLINK("https://klasma.github.io/Logging_2481/klagomålsmail/A 16914-2024 FSC-klagomål mail.docx", "A 16914-2024")</f>
        <v/>
      </c>
      <c r="AC79">
        <f>HYPERLINK("https://klasma.github.io/Logging_2481/tillsyn/A 16914-2024 tillsynsbegäran.docx", "A 16914-2024")</f>
        <v/>
      </c>
      <c r="AD79">
        <f>HYPERLINK("https://klasma.github.io/Logging_2481/tillsynsmail/A 16914-2024 tillsynsbegäran mail.docx", "A 16914-2024")</f>
        <v/>
      </c>
      <c r="AE79">
        <f>HYPERLINK("https://klasma.github.io/Logging_2481/fåglar/A 16914-2024 prioriterade fågelarter.docx", "A 16914-2024")</f>
        <v/>
      </c>
    </row>
    <row r="80" ht="15" customHeight="1">
      <c r="A80" t="inlineStr">
        <is>
          <t>A 37458-2025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45877</v>
      </c>
      <c r="E80" s="1" t="n">
        <v>46229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5.1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Garnlav
Lavskrika</t>
        </is>
      </c>
      <c r="W80">
        <f>HYPERLINK("https://klasma.github.io/Logging_2481/artfynd/A 37458-2025 artfynd.xlsx", "A 37458-2025")</f>
        <v/>
      </c>
      <c r="X80">
        <f>HYPERLINK("https://klasma.github.io/Logging_2481/kartor/A 37458-2025 karta.png", "A 37458-2025")</f>
        <v/>
      </c>
      <c r="Y80">
        <f>HYPERLINK("https://klasma.github.io/Logging_2481/kartor_geotiff/A 37458-2025 georefererad karta.tif", "A 37458-2025")</f>
        <v/>
      </c>
      <c r="AA80">
        <f>HYPERLINK("https://klasma.github.io/Logging_2481/klagomål/A 37458-2025 FSC-klagomål.docx", "A 37458-2025")</f>
        <v/>
      </c>
      <c r="AB80">
        <f>HYPERLINK("https://klasma.github.io/Logging_2481/klagomålsmail/A 37458-2025 FSC-klagomål mail.docx", "A 37458-2025")</f>
        <v/>
      </c>
      <c r="AC80">
        <f>HYPERLINK("https://klasma.github.io/Logging_2481/tillsyn/A 37458-2025 tillsynsbegäran.docx", "A 37458-2025")</f>
        <v/>
      </c>
      <c r="AD80">
        <f>HYPERLINK("https://klasma.github.io/Logging_2481/tillsynsmail/A 37458-2025 tillsynsbegäran mail.docx", "A 37458-2025")</f>
        <v/>
      </c>
      <c r="AE80">
        <f>HYPERLINK("https://klasma.github.io/Logging_2481/fåglar/A 37458-2025 prioriterade fågelarter.docx", "A 37458-2025")</f>
        <v/>
      </c>
    </row>
    <row r="81" ht="15" customHeight="1">
      <c r="A81" t="inlineStr">
        <is>
          <t>A 58657-2023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46229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14.4</v>
      </c>
      <c r="J81" t="n">
        <v>1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Talltita
Bollvitmossa</t>
        </is>
      </c>
      <c r="W81">
        <f>HYPERLINK("https://klasma.github.io/Logging_2481/artfynd/A 58657-2023 artfynd.xlsx", "A 58657-2023")</f>
        <v/>
      </c>
      <c r="X81">
        <f>HYPERLINK("https://klasma.github.io/Logging_2481/kartor/A 58657-2023 karta.png", "A 58657-2023")</f>
        <v/>
      </c>
      <c r="Y81">
        <f>HYPERLINK("https://klasma.github.io/Logging_2481/kartor_geotiff/A 58657-2023 georefererad karta.tif", "A 58657-2023")</f>
        <v/>
      </c>
      <c r="AA81">
        <f>HYPERLINK("https://klasma.github.io/Logging_2481/klagomål/A 58657-2023 FSC-klagomål.docx", "A 58657-2023")</f>
        <v/>
      </c>
      <c r="AB81">
        <f>HYPERLINK("https://klasma.github.io/Logging_2481/klagomålsmail/A 58657-2023 FSC-klagomål mail.docx", "A 58657-2023")</f>
        <v/>
      </c>
      <c r="AC81">
        <f>HYPERLINK("https://klasma.github.io/Logging_2481/tillsyn/A 58657-2023 tillsynsbegäran.docx", "A 58657-2023")</f>
        <v/>
      </c>
      <c r="AD81">
        <f>HYPERLINK("https://klasma.github.io/Logging_2481/tillsynsmail/A 58657-2023 tillsynsbegäran mail.docx", "A 58657-2023")</f>
        <v/>
      </c>
      <c r="AE81">
        <f>HYPERLINK("https://klasma.github.io/Logging_2481/fåglar/A 58657-2023 prioriterade fågelarter.docx", "A 58657-2023")</f>
        <v/>
      </c>
    </row>
    <row r="82" ht="15" customHeight="1">
      <c r="A82" t="inlineStr">
        <is>
          <t>A 42159-2025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46229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42159-2025 artfynd.xlsx", "A 42159-2025")</f>
        <v/>
      </c>
      <c r="X82">
        <f>HYPERLINK("https://klasma.github.io/Logging_2481/kartor/A 42159-2025 karta.png", "A 42159-2025")</f>
        <v/>
      </c>
      <c r="Y82">
        <f>HYPERLINK("https://klasma.github.io/Logging_2481/kartor_geotiff/A 42159-2025 georefererad karta.tif", "A 42159-2025")</f>
        <v/>
      </c>
      <c r="AA82">
        <f>HYPERLINK("https://klasma.github.io/Logging_2481/klagomål/A 42159-2025 FSC-klagomål.docx", "A 42159-2025")</f>
        <v/>
      </c>
      <c r="AB82">
        <f>HYPERLINK("https://klasma.github.io/Logging_2481/klagomålsmail/A 42159-2025 FSC-klagomål mail.docx", "A 42159-2025")</f>
        <v/>
      </c>
      <c r="AC82">
        <f>HYPERLINK("https://klasma.github.io/Logging_2481/tillsyn/A 42159-2025 tillsynsbegäran.docx", "A 42159-2025")</f>
        <v/>
      </c>
      <c r="AD82">
        <f>HYPERLINK("https://klasma.github.io/Logging_2481/tillsynsmail/A 42159-2025 tillsynsbegäran mail.docx", "A 42159-2025")</f>
        <v/>
      </c>
    </row>
    <row r="83" ht="15" customHeight="1">
      <c r="A83" t="inlineStr">
        <is>
          <t>A 44351-2025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46229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Tretåig hackspett</t>
        </is>
      </c>
      <c r="W83">
        <f>HYPERLINK("https://klasma.github.io/Logging_2481/artfynd/A 44351-2025 artfynd.xlsx", "A 44351-2025")</f>
        <v/>
      </c>
      <c r="X83">
        <f>HYPERLINK("https://klasma.github.io/Logging_2481/kartor/A 44351-2025 karta.png", "A 44351-2025")</f>
        <v/>
      </c>
      <c r="Y83">
        <f>HYPERLINK("https://klasma.github.io/Logging_2481/kartor_geotiff/A 44351-2025 georefererad karta.tif", "A 44351-2025")</f>
        <v/>
      </c>
      <c r="AA83">
        <f>HYPERLINK("https://klasma.github.io/Logging_2481/klagomål/A 44351-2025 FSC-klagomål.docx", "A 44351-2025")</f>
        <v/>
      </c>
      <c r="AB83">
        <f>HYPERLINK("https://klasma.github.io/Logging_2481/klagomålsmail/A 44351-2025 FSC-klagomål mail.docx", "A 44351-2025")</f>
        <v/>
      </c>
      <c r="AC83">
        <f>HYPERLINK("https://klasma.github.io/Logging_2481/tillsyn/A 44351-2025 tillsynsbegäran.docx", "A 44351-2025")</f>
        <v/>
      </c>
      <c r="AD83">
        <f>HYPERLINK("https://klasma.github.io/Logging_2481/tillsynsmail/A 44351-2025 tillsynsbegäran mail.docx", "A 44351-2025")</f>
        <v/>
      </c>
      <c r="AE83">
        <f>HYPERLINK("https://klasma.github.io/Logging_2481/fåglar/A 44351-2025 prioriterade fågelarter.docx", "A 44351-2025")</f>
        <v/>
      </c>
    </row>
    <row r="84" ht="15" customHeight="1">
      <c r="A84" t="inlineStr">
        <is>
          <t>A 45359-2025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46229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4.6</v>
      </c>
      <c r="J84" t="n">
        <v>0</v>
      </c>
      <c r="K84" t="n">
        <v>1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Stuplav</t>
        </is>
      </c>
      <c r="W84">
        <f>HYPERLINK("https://klasma.github.io/Logging_2481/artfynd/A 45359-2025 artfynd.xlsx", "A 45359-2025")</f>
        <v/>
      </c>
      <c r="X84">
        <f>HYPERLINK("https://klasma.github.io/Logging_2481/kartor/A 45359-2025 karta.png", "A 45359-2025")</f>
        <v/>
      </c>
      <c r="Y84">
        <f>HYPERLINK("https://klasma.github.io/Logging_2481/kartor_geotiff/A 45359-2025 georefererad karta.tif", "A 45359-2025")</f>
        <v/>
      </c>
      <c r="AA84">
        <f>HYPERLINK("https://klasma.github.io/Logging_2481/klagomål/A 45359-2025 FSC-klagomål.docx", "A 45359-2025")</f>
        <v/>
      </c>
      <c r="AB84">
        <f>HYPERLINK("https://klasma.github.io/Logging_2481/klagomålsmail/A 45359-2025 FSC-klagomål mail.docx", "A 45359-2025")</f>
        <v/>
      </c>
      <c r="AC84">
        <f>HYPERLINK("https://klasma.github.io/Logging_2481/tillsyn/A 45359-2025 tillsynsbegäran.docx", "A 45359-2025")</f>
        <v/>
      </c>
      <c r="AD84">
        <f>HYPERLINK("https://klasma.github.io/Logging_2481/tillsynsmail/A 45359-2025 tillsynsbegäran mail.docx", "A 45359-2025")</f>
        <v/>
      </c>
    </row>
    <row r="85" ht="15" customHeight="1">
      <c r="A85" t="inlineStr">
        <is>
          <t>A 47744-2025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45931</v>
      </c>
      <c r="E85" s="1" t="n">
        <v>46229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47744-2025 artfynd.xlsx", "A 47744-2025")</f>
        <v/>
      </c>
      <c r="X85">
        <f>HYPERLINK("https://klasma.github.io/Logging_2481/kartor/A 47744-2025 karta.png", "A 47744-2025")</f>
        <v/>
      </c>
      <c r="Y85">
        <f>HYPERLINK("https://klasma.github.io/Logging_2481/kartor_geotiff/A 47744-2025 georefererad karta.tif", "A 47744-2025")</f>
        <v/>
      </c>
      <c r="AA85">
        <f>HYPERLINK("https://klasma.github.io/Logging_2481/klagomål/A 47744-2025 FSC-klagomål.docx", "A 47744-2025")</f>
        <v/>
      </c>
      <c r="AB85">
        <f>HYPERLINK("https://klasma.github.io/Logging_2481/klagomålsmail/A 47744-2025 FSC-klagomål mail.docx", "A 47744-2025")</f>
        <v/>
      </c>
      <c r="AC85">
        <f>HYPERLINK("https://klasma.github.io/Logging_2481/tillsyn/A 47744-2025 tillsynsbegäran.docx", "A 47744-2025")</f>
        <v/>
      </c>
      <c r="AD85">
        <f>HYPERLINK("https://klasma.github.io/Logging_2481/tillsynsmail/A 47744-2025 tillsynsbegäran mail.docx", "A 47744-2025")</f>
        <v/>
      </c>
    </row>
    <row r="86" ht="15" customHeight="1">
      <c r="A86" t="inlineStr">
        <is>
          <t>A 38475-2023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46229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 taggsvamp
Mörk kolflarnlav</t>
        </is>
      </c>
      <c r="W86">
        <f>HYPERLINK("https://klasma.github.io/Logging_2481/artfynd/A 38475-2023 artfynd.xlsx", "A 38475-2023")</f>
        <v/>
      </c>
      <c r="X86">
        <f>HYPERLINK("https://klasma.github.io/Logging_2481/kartor/A 38475-2023 karta.png", "A 38475-2023")</f>
        <v/>
      </c>
      <c r="Y86">
        <f>HYPERLINK("https://klasma.github.io/Logging_2481/kartor_geotiff/A 38475-2023 georefererad karta.tif", "A 38475-2023")</f>
        <v/>
      </c>
      <c r="AA86">
        <f>HYPERLINK("https://klasma.github.io/Logging_2481/klagomål/A 38475-2023 FSC-klagomål.docx", "A 38475-2023")</f>
        <v/>
      </c>
      <c r="AB86">
        <f>HYPERLINK("https://klasma.github.io/Logging_2481/klagomålsmail/A 38475-2023 FSC-klagomål mail.docx", "A 38475-2023")</f>
        <v/>
      </c>
      <c r="AC86">
        <f>HYPERLINK("https://klasma.github.io/Logging_2481/tillsyn/A 38475-2023 tillsynsbegäran.docx", "A 38475-2023")</f>
        <v/>
      </c>
      <c r="AD86">
        <f>HYPERLINK("https://klasma.github.io/Logging_2481/tillsynsmail/A 38475-2023 tillsynsbegäran mail.docx", "A 38475-2023")</f>
        <v/>
      </c>
    </row>
    <row r="87" ht="15" customHeight="1">
      <c r="A87" t="inlineStr">
        <is>
          <t>A 49553-2025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46229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26.1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49553-2025 artfynd.xlsx", "A 49553-2025")</f>
        <v/>
      </c>
      <c r="X87">
        <f>HYPERLINK("https://klasma.github.io/Logging_2481/kartor/A 49553-2025 karta.png", "A 49553-2025")</f>
        <v/>
      </c>
      <c r="Y87">
        <f>HYPERLINK("https://klasma.github.io/Logging_2481/kartor_geotiff/A 49553-2025 georefererad karta.tif", "A 49553-2025")</f>
        <v/>
      </c>
      <c r="AA87">
        <f>HYPERLINK("https://klasma.github.io/Logging_2481/klagomål/A 49553-2025 FSC-klagomål.docx", "A 49553-2025")</f>
        <v/>
      </c>
      <c r="AB87">
        <f>HYPERLINK("https://klasma.github.io/Logging_2481/klagomålsmail/A 49553-2025 FSC-klagomål mail.docx", "A 49553-2025")</f>
        <v/>
      </c>
      <c r="AC87">
        <f>HYPERLINK("https://klasma.github.io/Logging_2481/tillsyn/A 49553-2025 tillsynsbegäran.docx", "A 49553-2025")</f>
        <v/>
      </c>
      <c r="AD87">
        <f>HYPERLINK("https://klasma.github.io/Logging_2481/tillsynsmail/A 49553-2025 tillsynsbegäran mail.docx", "A 49553-2025")</f>
        <v/>
      </c>
    </row>
    <row r="88" ht="15" customHeight="1">
      <c r="A88" t="inlineStr">
        <is>
          <t>A 49364-2025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46229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7.9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49364-2025 artfynd.xlsx", "A 49364-2025")</f>
        <v/>
      </c>
      <c r="X88">
        <f>HYPERLINK("https://klasma.github.io/Logging_2481/kartor/A 49364-2025 karta.png", "A 49364-2025")</f>
        <v/>
      </c>
      <c r="Y88">
        <f>HYPERLINK("https://klasma.github.io/Logging_2481/kartor_geotiff/A 49364-2025 georefererad karta.tif", "A 49364-2025")</f>
        <v/>
      </c>
      <c r="AA88">
        <f>HYPERLINK("https://klasma.github.io/Logging_2481/klagomål/A 49364-2025 FSC-klagomål.docx", "A 49364-2025")</f>
        <v/>
      </c>
      <c r="AB88">
        <f>HYPERLINK("https://klasma.github.io/Logging_2481/klagomålsmail/A 49364-2025 FSC-klagomål mail.docx", "A 49364-2025")</f>
        <v/>
      </c>
      <c r="AC88">
        <f>HYPERLINK("https://klasma.github.io/Logging_2481/tillsyn/A 49364-2025 tillsynsbegäran.docx", "A 49364-2025")</f>
        <v/>
      </c>
      <c r="AD88">
        <f>HYPERLINK("https://klasma.github.io/Logging_2481/tillsynsmail/A 49364-2025 tillsynsbegäran mail.docx", "A 49364-2025")</f>
        <v/>
      </c>
    </row>
    <row r="89" ht="15" customHeight="1">
      <c r="A89" t="inlineStr">
        <is>
          <t>A 49550-2025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46229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49550-2025 artfynd.xlsx", "A 49550-2025")</f>
        <v/>
      </c>
      <c r="X89">
        <f>HYPERLINK("https://klasma.github.io/Logging_2481/kartor/A 49550-2025 karta.png", "A 49550-2025")</f>
        <v/>
      </c>
      <c r="Y89">
        <f>HYPERLINK("https://klasma.github.io/Logging_2481/kartor_geotiff/A 49550-2025 georefererad karta.tif", "A 49550-2025")</f>
        <v/>
      </c>
      <c r="AA89">
        <f>HYPERLINK("https://klasma.github.io/Logging_2481/klagomål/A 49550-2025 FSC-klagomål.docx", "A 49550-2025")</f>
        <v/>
      </c>
      <c r="AB89">
        <f>HYPERLINK("https://klasma.github.io/Logging_2481/klagomålsmail/A 49550-2025 FSC-klagomål mail.docx", "A 49550-2025")</f>
        <v/>
      </c>
      <c r="AC89">
        <f>HYPERLINK("https://klasma.github.io/Logging_2481/tillsyn/A 49550-2025 tillsynsbegäran.docx", "A 49550-2025")</f>
        <v/>
      </c>
      <c r="AD89">
        <f>HYPERLINK("https://klasma.github.io/Logging_2481/tillsynsmail/A 49550-2025 tillsynsbegäran mail.docx", "A 49550-2025")</f>
        <v/>
      </c>
    </row>
    <row r="90" ht="15" customHeight="1">
      <c r="A90" t="inlineStr">
        <is>
          <t>A 49740-2025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46229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13.8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Kolflarnlav
Mörk kolflarnlav</t>
        </is>
      </c>
      <c r="W90">
        <f>HYPERLINK("https://klasma.github.io/Logging_2481/artfynd/A 49740-2025 artfynd.xlsx", "A 49740-2025")</f>
        <v/>
      </c>
      <c r="X90">
        <f>HYPERLINK("https://klasma.github.io/Logging_2481/kartor/A 49740-2025 karta.png", "A 49740-2025")</f>
        <v/>
      </c>
      <c r="Y90">
        <f>HYPERLINK("https://klasma.github.io/Logging_2481/kartor_geotiff/A 49740-2025 georefererad karta.tif", "A 49740-2025")</f>
        <v/>
      </c>
      <c r="AA90">
        <f>HYPERLINK("https://klasma.github.io/Logging_2481/klagomål/A 49740-2025 FSC-klagomål.docx", "A 49740-2025")</f>
        <v/>
      </c>
      <c r="AB90">
        <f>HYPERLINK("https://klasma.github.io/Logging_2481/klagomålsmail/A 49740-2025 FSC-klagomål mail.docx", "A 49740-2025")</f>
        <v/>
      </c>
      <c r="AC90">
        <f>HYPERLINK("https://klasma.github.io/Logging_2481/tillsyn/A 49740-2025 tillsynsbegäran.docx", "A 49740-2025")</f>
        <v/>
      </c>
      <c r="AD90">
        <f>HYPERLINK("https://klasma.github.io/Logging_2481/tillsynsmail/A 49740-2025 tillsynsbegäran mail.docx", "A 49740-2025")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46229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Luddlav</t>
        </is>
      </c>
      <c r="W91">
        <f>HYPERLINK("https://klasma.github.io/Logging_2481/artfynd/A 53650-2025 artfynd.xlsx", "A 53650-2025")</f>
        <v/>
      </c>
      <c r="X91">
        <f>HYPERLINK("https://klasma.github.io/Logging_2481/kartor/A 53650-2025 karta.png", "A 53650-2025")</f>
        <v/>
      </c>
      <c r="Y91">
        <f>HYPERLINK("https://klasma.github.io/Logging_2481/kartor_geotiff/A 53650-2025 georefererad karta.tif", "A 53650-2025")</f>
        <v/>
      </c>
      <c r="AA91">
        <f>HYPERLINK("https://klasma.github.io/Logging_2481/klagomål/A 53650-2025 FSC-klagomål.docx", "A 53650-2025")</f>
        <v/>
      </c>
      <c r="AB91">
        <f>HYPERLINK("https://klasma.github.io/Logging_2481/klagomålsmail/A 53650-2025 FSC-klagomål mail.docx", "A 53650-2025")</f>
        <v/>
      </c>
      <c r="AC91">
        <f>HYPERLINK("https://klasma.github.io/Logging_2481/tillsyn/A 53650-2025 tillsynsbegäran.docx", "A 53650-2025")</f>
        <v/>
      </c>
      <c r="AD91">
        <f>HYPERLINK("https://klasma.github.io/Logging_2481/tillsynsmail/A 53650-2025 tillsynsbegäran mail.docx", "A 53650-2025")</f>
        <v/>
      </c>
      <c r="AE91">
        <f>HYPERLINK("https://klasma.github.io/Logging_2481/fåglar/A 53650-2025 prioriterade fågelarter.docx", "A 53650-2025")</f>
        <v/>
      </c>
    </row>
    <row r="92" ht="15" customHeight="1">
      <c r="A92" t="inlineStr">
        <is>
          <t>A 28515-2023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46229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10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4</v>
      </c>
      <c r="U92" t="n">
        <v>4</v>
      </c>
      <c r="V92" s="2" t="inlineStr">
        <is>
          <t>Lunglav
Tallticka</t>
        </is>
      </c>
      <c r="W92">
        <f>HYPERLINK("https://klasma.github.io/Logging_2481/artfynd/A 28515-2023 artfynd.xlsx", "A 28515-2023")</f>
        <v/>
      </c>
      <c r="X92">
        <f>HYPERLINK("https://klasma.github.io/Logging_2481/kartor/A 28515-2023 karta.png", "A 28515-2023")</f>
        <v/>
      </c>
      <c r="Y92">
        <f>HYPERLINK("https://klasma.github.io/Logging_2481/kartor_geotiff/A 28515-2023 georefererad karta.tif", "A 28515-2023")</f>
        <v/>
      </c>
      <c r="AA92">
        <f>HYPERLINK("https://klasma.github.io/Logging_2481/klagomål/A 28515-2023 FSC-klagomål.docx", "A 28515-2023")</f>
        <v/>
      </c>
      <c r="AB92">
        <f>HYPERLINK("https://klasma.github.io/Logging_2481/klagomålsmail/A 28515-2023 FSC-klagomål mail.docx", "A 28515-2023")</f>
        <v/>
      </c>
      <c r="AC92">
        <f>HYPERLINK("https://klasma.github.io/Logging_2481/tillsyn/A 28515-2023 tillsynsbegäran.docx", "A 28515-2023")</f>
        <v/>
      </c>
      <c r="AD92">
        <f>HYPERLINK("https://klasma.github.io/Logging_2481/tillsynsmail/A 28515-2023 tillsynsbegäran mail.docx", "A 28515-2023")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46229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HYPERLINK("https://klasma.github.io/Logging_2481/artfynd/A 55508-2025 artfynd.xlsx", "A 55508-2025")</f>
        <v/>
      </c>
      <c r="X93">
        <f>HYPERLINK("https://klasma.github.io/Logging_2481/kartor/A 55508-2025 karta.png", "A 55508-2025")</f>
        <v/>
      </c>
      <c r="Y93">
        <f>HYPERLINK("https://klasma.github.io/Logging_2481/kartor_geotiff/A 55508-2025 georefererad karta.tif", "A 55508-2025")</f>
        <v/>
      </c>
      <c r="AA93">
        <f>HYPERLINK("https://klasma.github.io/Logging_2481/klagomål/A 55508-2025 FSC-klagomål.docx", "A 55508-2025")</f>
        <v/>
      </c>
      <c r="AB93">
        <f>HYPERLINK("https://klasma.github.io/Logging_2481/klagomålsmail/A 55508-2025 FSC-klagomål mail.docx", "A 55508-2025")</f>
        <v/>
      </c>
      <c r="AC93">
        <f>HYPERLINK("https://klasma.github.io/Logging_2481/tillsyn/A 55508-2025 tillsynsbegäran.docx", "A 55508-2025")</f>
        <v/>
      </c>
      <c r="AD93">
        <f>HYPERLINK("https://klasma.github.io/Logging_2481/tillsynsmail/A 55508-2025 tillsynsbegäran mail.docx", "A 55508-2025")</f>
        <v/>
      </c>
    </row>
    <row r="94" ht="15" customHeight="1">
      <c r="A94" t="inlineStr">
        <is>
          <t>A 41776-2024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46229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Kolflarnlav
Koralltaggsvamp</t>
        </is>
      </c>
      <c r="W94">
        <f>HYPERLINK("https://klasma.github.io/Logging_2481/artfynd/A 41776-2024 artfynd.xlsx", "A 41776-2024")</f>
        <v/>
      </c>
      <c r="X94">
        <f>HYPERLINK("https://klasma.github.io/Logging_2481/kartor/A 41776-2024 karta.png", "A 41776-2024")</f>
        <v/>
      </c>
      <c r="Y94">
        <f>HYPERLINK("https://klasma.github.io/Logging_2481/kartor_geotiff/A 41776-2024 georefererad karta.tif", "A 41776-2024")</f>
        <v/>
      </c>
      <c r="AA94">
        <f>HYPERLINK("https://klasma.github.io/Logging_2481/klagomål/A 41776-2024 FSC-klagomål.docx", "A 41776-2024")</f>
        <v/>
      </c>
      <c r="AB94">
        <f>HYPERLINK("https://klasma.github.io/Logging_2481/klagomålsmail/A 41776-2024 FSC-klagomål mail.docx", "A 41776-2024")</f>
        <v/>
      </c>
      <c r="AC94">
        <f>HYPERLINK("https://klasma.github.io/Logging_2481/tillsyn/A 41776-2024 tillsynsbegäran.docx", "A 41776-2024")</f>
        <v/>
      </c>
      <c r="AD94">
        <f>HYPERLINK("https://klasma.github.io/Logging_2481/tillsynsmail/A 41776-2024 tillsynsbegäran mail.docx", "A 41776-2024")</f>
        <v/>
      </c>
    </row>
    <row r="95" ht="15" customHeight="1">
      <c r="A95" t="inlineStr">
        <is>
          <t>A 22688-2026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46156</v>
      </c>
      <c r="E95" s="1" t="n">
        <v>46229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18.3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 taggsvamp
Kolflarnlav</t>
        </is>
      </c>
      <c r="W95">
        <f>HYPERLINK("https://klasma.github.io/Logging_2481/artfynd/A 22688-2026 artfynd.xlsx", "A 22688-2026")</f>
        <v/>
      </c>
      <c r="X95">
        <f>HYPERLINK("https://klasma.github.io/Logging_2481/kartor/A 22688-2026 karta.png", "A 22688-2026")</f>
        <v/>
      </c>
      <c r="Y95">
        <f>HYPERLINK("https://klasma.github.io/Logging_2481/kartor_geotiff/A 22688-2026 georefererad karta.tif", "A 22688-2026")</f>
        <v/>
      </c>
      <c r="AA95">
        <f>HYPERLINK("https://klasma.github.io/Logging_2481/klagomål/A 22688-2026 FSC-klagomål.docx", "A 22688-2026")</f>
        <v/>
      </c>
      <c r="AB95">
        <f>HYPERLINK("https://klasma.github.io/Logging_2481/klagomålsmail/A 22688-2026 FSC-klagomål mail.docx", "A 22688-2026")</f>
        <v/>
      </c>
      <c r="AC95">
        <f>HYPERLINK("https://klasma.github.io/Logging_2481/tillsyn/A 22688-2026 tillsynsbegäran.docx", "A 22688-2026")</f>
        <v/>
      </c>
      <c r="AD95">
        <f>HYPERLINK("https://klasma.github.io/Logging_2481/tillsynsmail/A 22688-2026 tillsynsbegäran mail.docx", "A 22688-2026")</f>
        <v/>
      </c>
    </row>
    <row r="96" ht="15" customHeight="1">
      <c r="A96" t="inlineStr">
        <is>
          <t>A 23096-2026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46161</v>
      </c>
      <c r="E96" s="1" t="n">
        <v>46229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12.7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23096-2026 artfynd.xlsx", "A 23096-2026")</f>
        <v/>
      </c>
      <c r="X96">
        <f>HYPERLINK("https://klasma.github.io/Logging_2481/kartor/A 23096-2026 karta.png", "A 23096-2026")</f>
        <v/>
      </c>
      <c r="Y96">
        <f>HYPERLINK("https://klasma.github.io/Logging_2481/kartor_geotiff/A 23096-2026 georefererad karta.tif", "A 23096-2026")</f>
        <v/>
      </c>
      <c r="AA96">
        <f>HYPERLINK("https://klasma.github.io/Logging_2481/klagomål/A 23096-2026 FSC-klagomål.docx", "A 23096-2026")</f>
        <v/>
      </c>
      <c r="AB96">
        <f>HYPERLINK("https://klasma.github.io/Logging_2481/klagomålsmail/A 23096-2026 FSC-klagomål mail.docx", "A 23096-2026")</f>
        <v/>
      </c>
      <c r="AC96">
        <f>HYPERLINK("https://klasma.github.io/Logging_2481/tillsyn/A 23096-2026 tillsynsbegäran.docx", "A 23096-2026")</f>
        <v/>
      </c>
      <c r="AD96">
        <f>HYPERLINK("https://klasma.github.io/Logging_2481/tillsynsmail/A 23096-2026 tillsynsbegäran mail.docx", "A 23096-2026")</f>
        <v/>
      </c>
    </row>
    <row r="97" ht="15" customHeight="1">
      <c r="A97" t="inlineStr">
        <is>
          <t>A 23098-2026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46229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10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23098-2026 artfynd.xlsx", "A 23098-2026")</f>
        <v/>
      </c>
      <c r="X97">
        <f>HYPERLINK("https://klasma.github.io/Logging_2481/kartor/A 23098-2026 karta.png", "A 23098-2026")</f>
        <v/>
      </c>
      <c r="Y97">
        <f>HYPERLINK("https://klasma.github.io/Logging_2481/kartor_geotiff/A 23098-2026 georefererad karta.tif", "A 23098-2026")</f>
        <v/>
      </c>
      <c r="AA97">
        <f>HYPERLINK("https://klasma.github.io/Logging_2481/klagomål/A 23098-2026 FSC-klagomål.docx", "A 23098-2026")</f>
        <v/>
      </c>
      <c r="AB97">
        <f>HYPERLINK("https://klasma.github.io/Logging_2481/klagomålsmail/A 23098-2026 FSC-klagomål mail.docx", "A 23098-2026")</f>
        <v/>
      </c>
      <c r="AC97">
        <f>HYPERLINK("https://klasma.github.io/Logging_2481/tillsyn/A 23098-2026 tillsynsbegäran.docx", "A 23098-2026")</f>
        <v/>
      </c>
      <c r="AD97">
        <f>HYPERLINK("https://klasma.github.io/Logging_2481/tillsynsmail/A 23098-2026 tillsynsbegäran mail.docx", "A 23098-2026")</f>
        <v/>
      </c>
    </row>
    <row r="98" ht="15" customHeight="1">
      <c r="A98" t="inlineStr">
        <is>
          <t>A 55566-2024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46229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Harticka
Ullticka</t>
        </is>
      </c>
      <c r="W98">
        <f>HYPERLINK("https://klasma.github.io/Logging_2481/artfynd/A 55566-2024 artfynd.xlsx", "A 55566-2024")</f>
        <v/>
      </c>
      <c r="X98">
        <f>HYPERLINK("https://klasma.github.io/Logging_2481/kartor/A 55566-2024 karta.png", "A 55566-2024")</f>
        <v/>
      </c>
      <c r="Y98">
        <f>HYPERLINK("https://klasma.github.io/Logging_2481/kartor_geotiff/A 55566-2024 georefererad karta.tif", "A 55566-2024")</f>
        <v/>
      </c>
      <c r="AA98">
        <f>HYPERLINK("https://klasma.github.io/Logging_2481/klagomål/A 55566-2024 FSC-klagomål.docx", "A 55566-2024")</f>
        <v/>
      </c>
      <c r="AB98">
        <f>HYPERLINK("https://klasma.github.io/Logging_2481/klagomålsmail/A 55566-2024 FSC-klagomål mail.docx", "A 55566-2024")</f>
        <v/>
      </c>
      <c r="AC98">
        <f>HYPERLINK("https://klasma.github.io/Logging_2481/tillsyn/A 55566-2024 tillsynsbegäran.docx", "A 55566-2024")</f>
        <v/>
      </c>
      <c r="AD98">
        <f>HYPERLINK("https://klasma.github.io/Logging_2481/tillsynsmail/A 55566-2024 tillsynsbegäran mail.docx", "A 55566-2024")</f>
        <v/>
      </c>
    </row>
    <row r="99" ht="15" customHeight="1">
      <c r="A99" t="inlineStr">
        <is>
          <t>A 12619-2026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46091</v>
      </c>
      <c r="E99" s="1" t="n">
        <v>46229</v>
      </c>
      <c r="F99" t="inlineStr">
        <is>
          <t>VÄSTERBOTTENS LÄN</t>
        </is>
      </c>
      <c r="G99" t="inlineStr">
        <is>
          <t>LYCKSELE</t>
        </is>
      </c>
      <c r="H99" t="inlineStr">
        <is>
          <t>SCA</t>
        </is>
      </c>
      <c r="I99" t="n">
        <v>3.6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Kungsörn
Orre</t>
        </is>
      </c>
      <c r="W99">
        <f>HYPERLINK("https://klasma.github.io/Logging_2481/artfynd/A 12619-2026 artfynd.xlsx", "A 12619-2026")</f>
        <v/>
      </c>
      <c r="X99">
        <f>HYPERLINK("https://klasma.github.io/Logging_2481/kartor/A 12619-2026 karta.png", "A 12619-2026")</f>
        <v/>
      </c>
      <c r="Y99">
        <f>HYPERLINK("https://klasma.github.io/Logging_2481/kartor_geotiff/A 12619-2026 georefererad karta.tif", "A 12619-2026")</f>
        <v/>
      </c>
      <c r="AA99">
        <f>HYPERLINK("https://klasma.github.io/Logging_2481/klagomål/A 12619-2026 FSC-klagomål.docx", "A 12619-2026")</f>
        <v/>
      </c>
      <c r="AB99">
        <f>HYPERLINK("https://klasma.github.io/Logging_2481/klagomålsmail/A 12619-2026 FSC-klagomål mail.docx", "A 12619-2026")</f>
        <v/>
      </c>
      <c r="AC99">
        <f>HYPERLINK("https://klasma.github.io/Logging_2481/tillsyn/A 12619-2026 tillsynsbegäran.docx", "A 12619-2026")</f>
        <v/>
      </c>
      <c r="AD99">
        <f>HYPERLINK("https://klasma.github.io/Logging_2481/tillsynsmail/A 12619-2026 tillsynsbegäran mail.docx", "A 12619-2026")</f>
        <v/>
      </c>
      <c r="AE99">
        <f>HYPERLINK("https://klasma.github.io/Logging_2481/fåglar/A 12619-2026 prioriterade fågelarter.docx", "A 12619-2026")</f>
        <v/>
      </c>
    </row>
    <row r="100" ht="15" customHeight="1">
      <c r="A100" t="inlineStr">
        <is>
          <t>A 20111-2025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45772</v>
      </c>
      <c r="E100" s="1" t="n">
        <v>46229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6.9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Orange taggsvamp</t>
        </is>
      </c>
      <c r="W100">
        <f>HYPERLINK("https://klasma.github.io/Logging_2481/artfynd/A 20111-2025 artfynd.xlsx", "A 20111-2025")</f>
        <v/>
      </c>
      <c r="X100">
        <f>HYPERLINK("https://klasma.github.io/Logging_2481/kartor/A 20111-2025 karta.png", "A 20111-2025")</f>
        <v/>
      </c>
      <c r="Y100">
        <f>HYPERLINK("https://klasma.github.io/Logging_2481/kartor_geotiff/A 20111-2025 georefererad karta.tif", "A 20111-2025")</f>
        <v/>
      </c>
      <c r="AA100">
        <f>HYPERLINK("https://klasma.github.io/Logging_2481/klagomål/A 20111-2025 FSC-klagomål.docx", "A 20111-2025")</f>
        <v/>
      </c>
      <c r="AB100">
        <f>HYPERLINK("https://klasma.github.io/Logging_2481/klagomålsmail/A 20111-2025 FSC-klagomål mail.docx", "A 20111-2025")</f>
        <v/>
      </c>
      <c r="AC100">
        <f>HYPERLINK("https://klasma.github.io/Logging_2481/tillsyn/A 20111-2025 tillsynsbegäran.docx", "A 20111-2025")</f>
        <v/>
      </c>
      <c r="AD100">
        <f>HYPERLINK("https://klasma.github.io/Logging_2481/tillsynsmail/A 20111-2025 tillsynsbegäran mail.docx", "A 20111-2025")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46229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Kolflarnlav
Mörk kolflarnlav</t>
        </is>
      </c>
      <c r="W101">
        <f>HYPERLINK("https://klasma.github.io/Logging_2481/artfynd/A 25713-2026 artfynd.xlsx", "A 25713-2026")</f>
        <v/>
      </c>
      <c r="X101">
        <f>HYPERLINK("https://klasma.github.io/Logging_2481/kartor/A 25713-2026 karta.png", "A 25713-2026")</f>
        <v/>
      </c>
      <c r="Y101">
        <f>HYPERLINK("https://klasma.github.io/Logging_2481/kartor_geotiff/A 25713-2026 georefererad karta.tif", "A 25713-2026")</f>
        <v/>
      </c>
      <c r="AA101">
        <f>HYPERLINK("https://klasma.github.io/Logging_2481/klagomål/A 25713-2026 FSC-klagomål.docx", "A 25713-2026")</f>
        <v/>
      </c>
      <c r="AB101">
        <f>HYPERLINK("https://klasma.github.io/Logging_2481/klagomålsmail/A 25713-2026 FSC-klagomål mail.docx", "A 25713-2026")</f>
        <v/>
      </c>
      <c r="AC101">
        <f>HYPERLINK("https://klasma.github.io/Logging_2481/tillsyn/A 25713-2026 tillsynsbegäran.docx", "A 25713-2026")</f>
        <v/>
      </c>
      <c r="AD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25722-2026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46229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14.6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25722-2026 artfynd.xlsx", "A 25722-2026")</f>
        <v/>
      </c>
      <c r="X102">
        <f>HYPERLINK("https://klasma.github.io/Logging_2481/kartor/A 25722-2026 karta.png", "A 25722-2026")</f>
        <v/>
      </c>
      <c r="Y102">
        <f>HYPERLINK("https://klasma.github.io/Logging_2481/kartor_geotiff/A 25722-2026 georefererad karta.tif", "A 25722-2026")</f>
        <v/>
      </c>
      <c r="AA102">
        <f>HYPERLINK("https://klasma.github.io/Logging_2481/klagomål/A 25722-2026 FSC-klagomål.docx", "A 25722-2026")</f>
        <v/>
      </c>
      <c r="AB102">
        <f>HYPERLINK("https://klasma.github.io/Logging_2481/klagomålsmail/A 25722-2026 FSC-klagomål mail.docx", "A 25722-2026")</f>
        <v/>
      </c>
      <c r="AC102">
        <f>HYPERLINK("https://klasma.github.io/Logging_2481/tillsyn/A 25722-2026 tillsynsbegäran.docx", "A 25722-2026")</f>
        <v/>
      </c>
      <c r="AD102">
        <f>HYPERLINK("https://klasma.github.io/Logging_2481/tillsynsmail/A 25722-2026 tillsynsbegäran mail.docx", "A 25722-2026")</f>
        <v/>
      </c>
    </row>
    <row r="103" ht="15" customHeight="1">
      <c r="A103" t="inlineStr">
        <is>
          <t>A 26116-2026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46229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Vedticka</t>
        </is>
      </c>
      <c r="W103">
        <f>HYPERLINK("https://klasma.github.io/Logging_2481/artfynd/A 26116-2026 artfynd.xlsx", "A 26116-2026")</f>
        <v/>
      </c>
      <c r="X103">
        <f>HYPERLINK("https://klasma.github.io/Logging_2481/kartor/A 26116-2026 karta.png", "A 26116-2026")</f>
        <v/>
      </c>
      <c r="Y103">
        <f>HYPERLINK("https://klasma.github.io/Logging_2481/kartor_geotiff/A 26116-2026 georefererad karta.tif", "A 26116-2026")</f>
        <v/>
      </c>
      <c r="AA103">
        <f>HYPERLINK("https://klasma.github.io/Logging_2481/klagomål/A 26116-2026 FSC-klagomål.docx", "A 26116-2026")</f>
        <v/>
      </c>
      <c r="AB103">
        <f>HYPERLINK("https://klasma.github.io/Logging_2481/klagomålsmail/A 26116-2026 FSC-klagomål mail.docx", "A 26116-2026")</f>
        <v/>
      </c>
      <c r="AC103">
        <f>HYPERLINK("https://klasma.github.io/Logging_2481/tillsyn/A 26116-2026 tillsynsbegäran.docx", "A 26116-2026")</f>
        <v/>
      </c>
      <c r="AD103">
        <f>HYPERLINK("https://klasma.github.io/Logging_2481/tillsynsmail/A 26116-2026 tillsynsbegäran mail.docx", "A 26116-2026")</f>
        <v/>
      </c>
    </row>
    <row r="104" ht="15" customHeight="1">
      <c r="A104" t="inlineStr">
        <is>
          <t>A 26927-2026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46185</v>
      </c>
      <c r="E104" s="1" t="n">
        <v>46229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14.6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Korallrot
Fläcknycklar</t>
        </is>
      </c>
      <c r="W104">
        <f>HYPERLINK("https://klasma.github.io/Logging_2481/artfynd/A 26927-2026 artfynd.xlsx", "A 26927-2026")</f>
        <v/>
      </c>
      <c r="X104">
        <f>HYPERLINK("https://klasma.github.io/Logging_2481/kartor/A 26927-2026 karta.png", "A 26927-2026")</f>
        <v/>
      </c>
      <c r="Y104">
        <f>HYPERLINK("https://klasma.github.io/Logging_2481/kartor_geotiff/A 26927-2026 georefererad karta.tif", "A 26927-2026")</f>
        <v/>
      </c>
      <c r="AA104">
        <f>HYPERLINK("https://klasma.github.io/Logging_2481/klagomål/A 26927-2026 FSC-klagomål.docx", "A 26927-2026")</f>
        <v/>
      </c>
      <c r="AB104">
        <f>HYPERLINK("https://klasma.github.io/Logging_2481/klagomålsmail/A 26927-2026 FSC-klagomål mail.docx", "A 26927-2026")</f>
        <v/>
      </c>
      <c r="AC104">
        <f>HYPERLINK("https://klasma.github.io/Logging_2481/tillsyn/A 26927-2026 tillsynsbegäran.docx", "A 26927-2026")</f>
        <v/>
      </c>
      <c r="AD104">
        <f>HYPERLINK("https://klasma.github.io/Logging_2481/tillsynsmail/A 26927-2026 tillsynsbegäran mail.docx", "A 26927-2026")</f>
        <v/>
      </c>
    </row>
    <row r="105" ht="15" customHeight="1">
      <c r="A105" t="inlineStr">
        <is>
          <t>A 52234-2024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46229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2.7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Lavskrika</t>
        </is>
      </c>
      <c r="W105">
        <f>HYPERLINK("https://klasma.github.io/Logging_2481/artfynd/A 52234-2024 artfynd.xlsx", "A 52234-2024")</f>
        <v/>
      </c>
      <c r="X105">
        <f>HYPERLINK("https://klasma.github.io/Logging_2481/kartor/A 52234-2024 karta.png", "A 52234-2024")</f>
        <v/>
      </c>
      <c r="Y105">
        <f>HYPERLINK("https://klasma.github.io/Logging_2481/kartor_geotiff/A 52234-2024 georefererad karta.tif", "A 52234-2024")</f>
        <v/>
      </c>
      <c r="AA105">
        <f>HYPERLINK("https://klasma.github.io/Logging_2481/klagomål/A 52234-2024 FSC-klagomål.docx", "A 52234-2024")</f>
        <v/>
      </c>
      <c r="AB105">
        <f>HYPERLINK("https://klasma.github.io/Logging_2481/klagomålsmail/A 52234-2024 FSC-klagomål mail.docx", "A 52234-2024")</f>
        <v/>
      </c>
      <c r="AC105">
        <f>HYPERLINK("https://klasma.github.io/Logging_2481/tillsyn/A 52234-2024 tillsynsbegäran.docx", "A 52234-2024")</f>
        <v/>
      </c>
      <c r="AD105">
        <f>HYPERLINK("https://klasma.github.io/Logging_2481/tillsynsmail/A 52234-2024 tillsynsbegäran mail.docx", "A 52234-2024")</f>
        <v/>
      </c>
      <c r="AE105">
        <f>HYPERLINK("https://klasma.github.io/Logging_2481/fåglar/A 52234-2024 prioriterade fågelarter.docx", "A 52234-2024")</f>
        <v/>
      </c>
    </row>
    <row r="106" ht="15" customHeight="1">
      <c r="A106" t="inlineStr">
        <is>
          <t>A 15197-2023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45016</v>
      </c>
      <c r="E106" s="1" t="n">
        <v>46229</v>
      </c>
      <c r="F106" t="inlineStr">
        <is>
          <t>VÄSTERBOTTENS LÄN</t>
        </is>
      </c>
      <c r="G106" t="inlineStr">
        <is>
          <t>LYCKSELE</t>
        </is>
      </c>
      <c r="I106" t="n">
        <v>11.2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Dropptaggsvamp
Vaddporing</t>
        </is>
      </c>
      <c r="W106">
        <f>HYPERLINK("https://klasma.github.io/Logging_2481/artfynd/A 15197-2023 artfynd.xlsx", "A 15197-2023")</f>
        <v/>
      </c>
      <c r="X106">
        <f>HYPERLINK("https://klasma.github.io/Logging_2481/kartor/A 15197-2023 karta.png", "A 15197-2023")</f>
        <v/>
      </c>
      <c r="Y106">
        <f>HYPERLINK("https://klasma.github.io/Logging_2481/kartor_geotiff/A 15197-2023 georefererad karta.tif", "A 15197-2023")</f>
        <v/>
      </c>
      <c r="AA106">
        <f>HYPERLINK("https://klasma.github.io/Logging_2481/klagomål/A 15197-2023 FSC-klagomål.docx", "A 15197-2023")</f>
        <v/>
      </c>
      <c r="AB106">
        <f>HYPERLINK("https://klasma.github.io/Logging_2481/klagomålsmail/A 15197-2023 FSC-klagomål mail.docx", "A 15197-2023")</f>
        <v/>
      </c>
      <c r="AC106">
        <f>HYPERLINK("https://klasma.github.io/Logging_2481/tillsyn/A 15197-2023 tillsynsbegäran.docx", "A 15197-2023")</f>
        <v/>
      </c>
      <c r="AD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26271-2025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46229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Gammelgransskål
Lunglav</t>
        </is>
      </c>
      <c r="W107">
        <f>HYPERLINK("https://klasma.github.io/Logging_2481/artfynd/A 26271-2025 artfynd.xlsx", "A 26271-2025")</f>
        <v/>
      </c>
      <c r="X107">
        <f>HYPERLINK("https://klasma.github.io/Logging_2481/kartor/A 26271-2025 karta.png", "A 26271-2025")</f>
        <v/>
      </c>
      <c r="Y107">
        <f>HYPERLINK("https://klasma.github.io/Logging_2481/kartor_geotiff/A 26271-2025 georefererad karta.tif", "A 26271-2025")</f>
        <v/>
      </c>
      <c r="AA107">
        <f>HYPERLINK("https://klasma.github.io/Logging_2481/klagomål/A 26271-2025 FSC-klagomål.docx", "A 26271-2025")</f>
        <v/>
      </c>
      <c r="AB107">
        <f>HYPERLINK("https://klasma.github.io/Logging_2481/klagomålsmail/A 26271-2025 FSC-klagomål mail.docx", "A 26271-2025")</f>
        <v/>
      </c>
      <c r="AC107">
        <f>HYPERLINK("https://klasma.github.io/Logging_2481/tillsyn/A 26271-2025 tillsynsbegäran.docx", "A 26271-2025")</f>
        <v/>
      </c>
      <c r="AD107">
        <f>HYPERLINK("https://klasma.github.io/Logging_2481/tillsynsmail/A 26271-2025 tillsynsbegäran mail.docx", "A 26271-2025")</f>
        <v/>
      </c>
    </row>
    <row r="108" ht="15" customHeight="1">
      <c r="A108" t="inlineStr">
        <is>
          <t>A 30691-2025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46229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2</v>
      </c>
      <c r="V108" s="2" t="inlineStr">
        <is>
          <t>Mörk kolflarnlav
Tretåig hackspett</t>
        </is>
      </c>
      <c r="W108">
        <f>HYPERLINK("https://klasma.github.io/Logging_2481/artfynd/A 30691-2025 artfynd.xlsx", "A 30691-2025")</f>
        <v/>
      </c>
      <c r="X108">
        <f>HYPERLINK("https://klasma.github.io/Logging_2481/kartor/A 30691-2025 karta.png", "A 30691-2025")</f>
        <v/>
      </c>
      <c r="Y108">
        <f>HYPERLINK("https://klasma.github.io/Logging_2481/kartor_geotiff/A 30691-2025 georefererad karta.tif", "A 30691-2025")</f>
        <v/>
      </c>
      <c r="AA108">
        <f>HYPERLINK("https://klasma.github.io/Logging_2481/klagomål/A 30691-2025 FSC-klagomål.docx", "A 30691-2025")</f>
        <v/>
      </c>
      <c r="AB108">
        <f>HYPERLINK("https://klasma.github.io/Logging_2481/klagomålsmail/A 30691-2025 FSC-klagomål mail.docx", "A 30691-2025")</f>
        <v/>
      </c>
      <c r="AC108">
        <f>HYPERLINK("https://klasma.github.io/Logging_2481/tillsyn/A 30691-2025 tillsynsbegäran.docx", "A 30691-2025")</f>
        <v/>
      </c>
      <c r="AD108">
        <f>HYPERLINK("https://klasma.github.io/Logging_2481/tillsynsmail/A 30691-2025 tillsynsbegäran mail.docx", "A 30691-2025")</f>
        <v/>
      </c>
      <c r="AE108">
        <f>HYPERLINK("https://klasma.github.io/Logging_2481/fåglar/A 30691-2025 prioriterade fågelarter.docx", "A 30691-2025")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46229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46229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46229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46229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46229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46229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9341-2022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46229</v>
      </c>
      <c r="F115" t="inlineStr">
        <is>
          <t>VÄSTERBOTTENS LÄN</t>
        </is>
      </c>
      <c r="G115" t="inlineStr">
        <is>
          <t>LYCKSELE</t>
        </is>
      </c>
      <c r="I115" t="n">
        <v>6.9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Ullticka</t>
        </is>
      </c>
      <c r="W115">
        <f>HYPERLINK("https://klasma.github.io/Logging_2481/artfynd/A 9341-2022 artfynd.xlsx", "A 9341-2022")</f>
        <v/>
      </c>
      <c r="X115">
        <f>HYPERLINK("https://klasma.github.io/Logging_2481/kartor/A 9341-2022 karta.png", "A 9341-2022")</f>
        <v/>
      </c>
      <c r="Y115">
        <f>HYPERLINK("https://klasma.github.io/Logging_2481/kartor_geotiff/A 9341-2022 georefererad karta.tif", "A 9341-2022")</f>
        <v/>
      </c>
      <c r="AA115">
        <f>HYPERLINK("https://klasma.github.io/Logging_2481/klagomål/A 9341-2022 FSC-klagomål.docx", "A 9341-2022")</f>
        <v/>
      </c>
      <c r="AB115">
        <f>HYPERLINK("https://klasma.github.io/Logging_2481/klagomålsmail/A 9341-2022 FSC-klagomål mail.docx", "A 9341-2022")</f>
        <v/>
      </c>
      <c r="AC115">
        <f>HYPERLINK("https://klasma.github.io/Logging_2481/tillsyn/A 9341-2022 tillsynsbegäran.docx", "A 9341-2022")</f>
        <v/>
      </c>
      <c r="AD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44795</v>
      </c>
      <c r="E116" s="1" t="n">
        <v>46229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Gammelgransskål</t>
        </is>
      </c>
      <c r="W116">
        <f>HYPERLINK("https://klasma.github.io/Logging_2481/artfynd/A 34809-2022 artfynd.xlsx", "A 34809-2022")</f>
        <v/>
      </c>
      <c r="X116">
        <f>HYPERLINK("https://klasma.github.io/Logging_2481/kartor/A 34809-2022 karta.png", "A 34809-2022")</f>
        <v/>
      </c>
      <c r="Y116">
        <f>HYPERLINK("https://klasma.github.io/Logging_2481/kartor_geotiff/A 34809-2022 georefererad karta.tif", "A 34809-2022")</f>
        <v/>
      </c>
      <c r="AA116">
        <f>HYPERLINK("https://klasma.github.io/Logging_2481/klagomål/A 34809-2022 FSC-klagomål.docx", "A 34809-2022")</f>
        <v/>
      </c>
      <c r="AB116">
        <f>HYPERLINK("https://klasma.github.io/Logging_2481/klagomålsmail/A 34809-2022 FSC-klagomål mail.docx", "A 34809-2022")</f>
        <v/>
      </c>
      <c r="AC116">
        <f>HYPERLINK("https://klasma.github.io/Logging_2481/tillsyn/A 34809-2022 tillsynsbegäran.docx", "A 34809-2022")</f>
        <v/>
      </c>
      <c r="AD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45774-2024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45579</v>
      </c>
      <c r="E117" s="1" t="n">
        <v>46229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SCA</t>
        </is>
      </c>
      <c r="I117" t="n">
        <v>4.3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Barkticka</t>
        </is>
      </c>
      <c r="W117">
        <f>HYPERLINK("https://klasma.github.io/Logging_2481/artfynd/A 45774-2024 artfynd.xlsx", "A 45774-2024")</f>
        <v/>
      </c>
      <c r="X117">
        <f>HYPERLINK("https://klasma.github.io/Logging_2481/kartor/A 45774-2024 karta.png", "A 45774-2024")</f>
        <v/>
      </c>
      <c r="Y117">
        <f>HYPERLINK("https://klasma.github.io/Logging_2481/kartor_geotiff/A 45774-2024 georefererad karta.tif", "A 45774-2024")</f>
        <v/>
      </c>
      <c r="AA117">
        <f>HYPERLINK("https://klasma.github.io/Logging_2481/klagomål/A 45774-2024 FSC-klagomål.docx", "A 45774-2024")</f>
        <v/>
      </c>
      <c r="AB117">
        <f>HYPERLINK("https://klasma.github.io/Logging_2481/klagomålsmail/A 45774-2024 FSC-klagomål mail.docx", "A 45774-2024")</f>
        <v/>
      </c>
      <c r="AC117">
        <f>HYPERLINK("https://klasma.github.io/Logging_2481/tillsyn/A 45774-2024 tillsynsbegäran.docx", "A 45774-2024")</f>
        <v/>
      </c>
      <c r="AD117">
        <f>HYPERLINK("https://klasma.github.io/Logging_2481/tillsynsmail/A 45774-2024 tillsynsbegäran mail.docx", "A 45774-2024")</f>
        <v/>
      </c>
    </row>
    <row r="118" ht="15" customHeight="1">
      <c r="A118" t="inlineStr">
        <is>
          <t>A 27553-2024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46229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HYPERLINK("https://klasma.github.io/Logging_2481/artfynd/A 27553-2024 artfynd.xlsx", "A 27553-2024")</f>
        <v/>
      </c>
      <c r="X118">
        <f>HYPERLINK("https://klasma.github.io/Logging_2481/kartor/A 27553-2024 karta.png", "A 27553-2024")</f>
        <v/>
      </c>
      <c r="Y118">
        <f>HYPERLINK("https://klasma.github.io/Logging_2481/kartor_geotiff/A 27553-2024 georefererad karta.tif", "A 27553-2024")</f>
        <v/>
      </c>
      <c r="AA118">
        <f>HYPERLINK("https://klasma.github.io/Logging_2481/klagomål/A 27553-2024 FSC-klagomål.docx", "A 27553-2024")</f>
        <v/>
      </c>
      <c r="AB118">
        <f>HYPERLINK("https://klasma.github.io/Logging_2481/klagomålsmail/A 27553-2024 FSC-klagomål mail.docx", "A 27553-2024")</f>
        <v/>
      </c>
      <c r="AC118">
        <f>HYPERLINK("https://klasma.github.io/Logging_2481/tillsyn/A 27553-2024 tillsynsbegäran.docx", "A 27553-2024")</f>
        <v/>
      </c>
      <c r="AD118">
        <f>HYPERLINK("https://klasma.github.io/Logging_2481/tillsynsmail/A 27553-2024 tillsynsbegäran mail.docx", "A 27553-2024")</f>
        <v/>
      </c>
    </row>
    <row r="119" ht="15" customHeight="1">
      <c r="A119" t="inlineStr">
        <is>
          <t>A 9924-2024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46229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5.3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HYPERLINK("https://klasma.github.io/Logging_2481/artfynd/A 9924-2024 artfynd.xlsx", "A 9924-2024")</f>
        <v/>
      </c>
      <c r="X119">
        <f>HYPERLINK("https://klasma.github.io/Logging_2481/kartor/A 9924-2024 karta.png", "A 9924-2024")</f>
        <v/>
      </c>
      <c r="Y119">
        <f>HYPERLINK("https://klasma.github.io/Logging_2481/kartor_geotiff/A 9924-2024 georefererad karta.tif", "A 9924-2024")</f>
        <v/>
      </c>
      <c r="AA119">
        <f>HYPERLINK("https://klasma.github.io/Logging_2481/klagomål/A 9924-2024 FSC-klagomål.docx", "A 9924-2024")</f>
        <v/>
      </c>
      <c r="AB119">
        <f>HYPERLINK("https://klasma.github.io/Logging_2481/klagomålsmail/A 9924-2024 FSC-klagomål mail.docx", "A 9924-2024")</f>
        <v/>
      </c>
      <c r="AC119">
        <f>HYPERLINK("https://klasma.github.io/Logging_2481/tillsyn/A 9924-2024 tillsynsbegäran.docx", "A 9924-2024")</f>
        <v/>
      </c>
      <c r="AD119">
        <f>HYPERLINK("https://klasma.github.io/Logging_2481/tillsynsmail/A 9924-2024 tillsynsbegäran mail.docx", "A 9924-2024")</f>
        <v/>
      </c>
    </row>
    <row r="120" ht="15" customHeight="1">
      <c r="A120" t="inlineStr">
        <is>
          <t>A 24824-2024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45461</v>
      </c>
      <c r="E120" s="1" t="n">
        <v>46229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6.1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Kungsörn</t>
        </is>
      </c>
      <c r="W120">
        <f>HYPERLINK("https://klasma.github.io/Logging_2481/artfynd/A 24824-2024 artfynd.xlsx", "A 24824-2024")</f>
        <v/>
      </c>
      <c r="X120">
        <f>HYPERLINK("https://klasma.github.io/Logging_2481/kartor/A 24824-2024 karta.png", "A 24824-2024")</f>
        <v/>
      </c>
      <c r="Y120">
        <f>HYPERLINK("https://klasma.github.io/Logging_2481/kartor_geotiff/A 24824-2024 georefererad karta.tif", "A 24824-2024")</f>
        <v/>
      </c>
      <c r="AA120">
        <f>HYPERLINK("https://klasma.github.io/Logging_2481/klagomål/A 24824-2024 FSC-klagomål.docx", "A 24824-2024")</f>
        <v/>
      </c>
      <c r="AB120">
        <f>HYPERLINK("https://klasma.github.io/Logging_2481/klagomålsmail/A 24824-2024 FSC-klagomål mail.docx", "A 24824-2024")</f>
        <v/>
      </c>
      <c r="AC120">
        <f>HYPERLINK("https://klasma.github.io/Logging_2481/tillsyn/A 24824-2024 tillsynsbegäran.docx", "A 24824-2024")</f>
        <v/>
      </c>
      <c r="AD120">
        <f>HYPERLINK("https://klasma.github.io/Logging_2481/tillsynsmail/A 24824-2024 tillsynsbegäran mail.docx", "A 24824-2024")</f>
        <v/>
      </c>
      <c r="AE120">
        <f>HYPERLINK("https://klasma.github.io/Logging_2481/fåglar/A 24824-2024 prioriterade fågelarter.docx", "A 24824-2024")</f>
        <v/>
      </c>
    </row>
    <row r="121" ht="15" customHeight="1">
      <c r="A121" t="inlineStr">
        <is>
          <t>A 61910-2024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45653</v>
      </c>
      <c r="E121" s="1" t="n">
        <v>46229</v>
      </c>
      <c r="F121" t="inlineStr">
        <is>
          <t>VÄSTERBOTTENS LÄN</t>
        </is>
      </c>
      <c r="G121" t="inlineStr">
        <is>
          <t>LYCKSELE</t>
        </is>
      </c>
      <c r="I121" t="n">
        <v>5.8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7</v>
      </c>
      <c r="U121" t="n">
        <v>3</v>
      </c>
      <c r="V121" s="2" t="inlineStr">
        <is>
          <t>Norna</t>
        </is>
      </c>
      <c r="W121">
        <f>HYPERLINK("https://klasma.github.io/Logging_2481/artfynd/A 61910-2024 artfynd.xlsx", "A 61910-2024")</f>
        <v/>
      </c>
      <c r="X121">
        <f>HYPERLINK("https://klasma.github.io/Logging_2481/kartor/A 61910-2024 karta.png", "A 61910-2024")</f>
        <v/>
      </c>
      <c r="Y121">
        <f>HYPERLINK("https://klasma.github.io/Logging_2481/kartor_geotiff/A 61910-2024 georefererad karta.tif", "A 61910-2024")</f>
        <v/>
      </c>
      <c r="AA121">
        <f>HYPERLINK("https://klasma.github.io/Logging_2481/klagomål/A 61910-2024 FSC-klagomål.docx", "A 61910-2024")</f>
        <v/>
      </c>
      <c r="AB121">
        <f>HYPERLINK("https://klasma.github.io/Logging_2481/klagomålsmail/A 61910-2024 FSC-klagomål mail.docx", "A 61910-2024")</f>
        <v/>
      </c>
      <c r="AC121">
        <f>HYPERLINK("https://klasma.github.io/Logging_2481/tillsyn/A 61910-2024 tillsynsbegäran.docx", "A 61910-2024")</f>
        <v/>
      </c>
      <c r="AD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49394-2024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45595</v>
      </c>
      <c r="E122" s="1" t="n">
        <v>46229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HYPERLINK("https://klasma.github.io/Logging_2481/artfynd/A 49394-2024 artfynd.xlsx", "A 49394-2024")</f>
        <v/>
      </c>
      <c r="X122">
        <f>HYPERLINK("https://klasma.github.io/Logging_2481/kartor/A 49394-2024 karta.png", "A 49394-2024")</f>
        <v/>
      </c>
      <c r="Y122">
        <f>HYPERLINK("https://klasma.github.io/Logging_2481/kartor_geotiff/A 49394-2024 georefererad karta.tif", "A 49394-2024")</f>
        <v/>
      </c>
      <c r="AA122">
        <f>HYPERLINK("https://klasma.github.io/Logging_2481/klagomål/A 49394-2024 FSC-klagomål.docx", "A 49394-2024")</f>
        <v/>
      </c>
      <c r="AB122">
        <f>HYPERLINK("https://klasma.github.io/Logging_2481/klagomålsmail/A 49394-2024 FSC-klagomål mail.docx", "A 49394-2024")</f>
        <v/>
      </c>
      <c r="AC122">
        <f>HYPERLINK("https://klasma.github.io/Logging_2481/tillsyn/A 49394-2024 tillsynsbegäran.docx", "A 49394-2024")</f>
        <v/>
      </c>
      <c r="AD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53869-2023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46229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Dropptaggsvamp</t>
        </is>
      </c>
      <c r="W123">
        <f>HYPERLINK("https://klasma.github.io/Logging_2481/artfynd/A 53869-2023 artfynd.xlsx", "A 53869-2023")</f>
        <v/>
      </c>
      <c r="X123">
        <f>HYPERLINK("https://klasma.github.io/Logging_2481/kartor/A 53869-2023 karta.png", "A 53869-2023")</f>
        <v/>
      </c>
      <c r="Y123">
        <f>HYPERLINK("https://klasma.github.io/Logging_2481/kartor_geotiff/A 53869-2023 georefererad karta.tif", "A 53869-2023")</f>
        <v/>
      </c>
      <c r="AA123">
        <f>HYPERLINK("https://klasma.github.io/Logging_2481/klagomål/A 53869-2023 FSC-klagomål.docx", "A 53869-2023")</f>
        <v/>
      </c>
      <c r="AB123">
        <f>HYPERLINK("https://klasma.github.io/Logging_2481/klagomålsmail/A 53869-2023 FSC-klagomål mail.docx", "A 53869-2023")</f>
        <v/>
      </c>
      <c r="AC123">
        <f>HYPERLINK("https://klasma.github.io/Logging_2481/tillsyn/A 53869-2023 tillsynsbegäran.docx", "A 53869-2023")</f>
        <v/>
      </c>
      <c r="AD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59283-2024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46229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Dropptaggsvamp</t>
        </is>
      </c>
      <c r="W124">
        <f>HYPERLINK("https://klasma.github.io/Logging_2481/artfynd/A 59283-2024 artfynd.xlsx", "A 59283-2024")</f>
        <v/>
      </c>
      <c r="X124">
        <f>HYPERLINK("https://klasma.github.io/Logging_2481/kartor/A 59283-2024 karta.png", "A 59283-2024")</f>
        <v/>
      </c>
      <c r="Y124">
        <f>HYPERLINK("https://klasma.github.io/Logging_2481/kartor_geotiff/A 59283-2024 georefererad karta.tif", "A 59283-2024")</f>
        <v/>
      </c>
      <c r="AA124">
        <f>HYPERLINK("https://klasma.github.io/Logging_2481/klagomål/A 59283-2024 FSC-klagomål.docx", "A 59283-2024")</f>
        <v/>
      </c>
      <c r="AB124">
        <f>HYPERLINK("https://klasma.github.io/Logging_2481/klagomålsmail/A 59283-2024 FSC-klagomål mail.docx", "A 59283-2024")</f>
        <v/>
      </c>
      <c r="AC124">
        <f>HYPERLINK("https://klasma.github.io/Logging_2481/tillsyn/A 59283-2024 tillsynsbegäran.docx", "A 59283-2024")</f>
        <v/>
      </c>
      <c r="AD124">
        <f>HYPERLINK("https://klasma.github.io/Logging_2481/tillsynsmail/A 59283-2024 tillsynsbegäran mail.docx", "A 59283-2024")</f>
        <v/>
      </c>
    </row>
    <row r="125" ht="15" customHeight="1">
      <c r="A125" t="inlineStr">
        <is>
          <t>A 35559-2023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45147</v>
      </c>
      <c r="E125" s="1" t="n">
        <v>46229</v>
      </c>
      <c r="F125" t="inlineStr">
        <is>
          <t>VÄSTERBOTTENS LÄN</t>
        </is>
      </c>
      <c r="G125" t="inlineStr">
        <is>
          <t>LYCKSELE</t>
        </is>
      </c>
      <c r="I125" t="n">
        <v>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Stjärntagging</t>
        </is>
      </c>
      <c r="W125">
        <f>HYPERLINK("https://klasma.github.io/Logging_2481/artfynd/A 35559-2023 artfynd.xlsx", "A 35559-2023")</f>
        <v/>
      </c>
      <c r="X125">
        <f>HYPERLINK("https://klasma.github.io/Logging_2481/kartor/A 35559-2023 karta.png", "A 35559-2023")</f>
        <v/>
      </c>
      <c r="Y125">
        <f>HYPERLINK("https://klasma.github.io/Logging_2481/kartor_geotiff/A 35559-2023 georefererad karta.tif", "A 35559-2023")</f>
        <v/>
      </c>
      <c r="AA125">
        <f>HYPERLINK("https://klasma.github.io/Logging_2481/klagomål/A 35559-2023 FSC-klagomål.docx", "A 35559-2023")</f>
        <v/>
      </c>
      <c r="AB125">
        <f>HYPERLINK("https://klasma.github.io/Logging_2481/klagomålsmail/A 35559-2023 FSC-klagomål mail.docx", "A 35559-2023")</f>
        <v/>
      </c>
      <c r="AC125">
        <f>HYPERLINK("https://klasma.github.io/Logging_2481/tillsyn/A 35559-2023 tillsynsbegäran.docx", "A 35559-2023")</f>
        <v/>
      </c>
      <c r="AD125">
        <f>HYPERLINK("https://klasma.github.io/Logging_2481/tillsynsmail/A 35559-2023 tillsynsbegäran mail.docx", "A 35559-2023")</f>
        <v/>
      </c>
    </row>
    <row r="126" ht="15" customHeight="1">
      <c r="A126" t="inlineStr">
        <is>
          <t>A 36687-2025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45873</v>
      </c>
      <c r="E126" s="1" t="n">
        <v>46229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Kolflarnlav</t>
        </is>
      </c>
      <c r="W126">
        <f>HYPERLINK("https://klasma.github.io/Logging_2481/artfynd/A 36687-2025 artfynd.xlsx", "A 36687-2025")</f>
        <v/>
      </c>
      <c r="X126">
        <f>HYPERLINK("https://klasma.github.io/Logging_2481/kartor/A 36687-2025 karta.png", "A 36687-2025")</f>
        <v/>
      </c>
      <c r="Y126">
        <f>HYPERLINK("https://klasma.github.io/Logging_2481/kartor_geotiff/A 36687-2025 georefererad karta.tif", "A 36687-2025")</f>
        <v/>
      </c>
      <c r="AA126">
        <f>HYPERLINK("https://klasma.github.io/Logging_2481/klagomål/A 36687-2025 FSC-klagomål.docx", "A 36687-2025")</f>
        <v/>
      </c>
      <c r="AB126">
        <f>HYPERLINK("https://klasma.github.io/Logging_2481/klagomålsmail/A 36687-2025 FSC-klagomål mail.docx", "A 36687-2025")</f>
        <v/>
      </c>
      <c r="AC126">
        <f>HYPERLINK("https://klasma.github.io/Logging_2481/tillsyn/A 36687-2025 tillsynsbegäran.docx", "A 36687-2025")</f>
        <v/>
      </c>
      <c r="AD126">
        <f>HYPERLINK("https://klasma.github.io/Logging_2481/tillsynsmail/A 36687-2025 tillsynsbegäran mail.docx", "A 36687-2025")</f>
        <v/>
      </c>
    </row>
    <row r="127" ht="15" customHeight="1">
      <c r="A127" t="inlineStr">
        <is>
          <t>A 37823-2025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45881</v>
      </c>
      <c r="E127" s="1" t="n">
        <v>46229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Plattlummer</t>
        </is>
      </c>
      <c r="W127">
        <f>HYPERLINK("https://klasma.github.io/Logging_2481/artfynd/A 37823-2025 artfynd.xlsx", "A 37823-2025")</f>
        <v/>
      </c>
      <c r="X127">
        <f>HYPERLINK("https://klasma.github.io/Logging_2481/kartor/A 37823-2025 karta.png", "A 37823-2025")</f>
        <v/>
      </c>
      <c r="Y127">
        <f>HYPERLINK("https://klasma.github.io/Logging_2481/kartor_geotiff/A 37823-2025 georefererad karta.tif", "A 37823-2025")</f>
        <v/>
      </c>
      <c r="AA127">
        <f>HYPERLINK("https://klasma.github.io/Logging_2481/klagomål/A 37823-2025 FSC-klagomål.docx", "A 37823-2025")</f>
        <v/>
      </c>
      <c r="AB127">
        <f>HYPERLINK("https://klasma.github.io/Logging_2481/klagomålsmail/A 37823-2025 FSC-klagomål mail.docx", "A 37823-2025")</f>
        <v/>
      </c>
      <c r="AC127">
        <f>HYPERLINK("https://klasma.github.io/Logging_2481/tillsyn/A 37823-2025 tillsynsbegäran.docx", "A 37823-2025")</f>
        <v/>
      </c>
      <c r="AD127">
        <f>HYPERLINK("https://klasma.github.io/Logging_2481/tillsynsmail/A 37823-2025 tillsynsbegäran mail.docx", "A 37823-2025")</f>
        <v/>
      </c>
    </row>
    <row r="128" ht="15" customHeight="1">
      <c r="A128" t="inlineStr">
        <is>
          <t>A 39231-2025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46229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16.3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kolflarnlav</t>
        </is>
      </c>
      <c r="W128">
        <f>HYPERLINK("https://klasma.github.io/Logging_2481/artfynd/A 39231-2025 artfynd.xlsx", "A 39231-2025")</f>
        <v/>
      </c>
      <c r="X128">
        <f>HYPERLINK("https://klasma.github.io/Logging_2481/kartor/A 39231-2025 karta.png", "A 39231-2025")</f>
        <v/>
      </c>
      <c r="Y128">
        <f>HYPERLINK("https://klasma.github.io/Logging_2481/kartor_geotiff/A 39231-2025 georefererad karta.tif", "A 39231-2025")</f>
        <v/>
      </c>
      <c r="AA128">
        <f>HYPERLINK("https://klasma.github.io/Logging_2481/klagomål/A 39231-2025 FSC-klagomål.docx", "A 39231-2025")</f>
        <v/>
      </c>
      <c r="AB128">
        <f>HYPERLINK("https://klasma.github.io/Logging_2481/klagomålsmail/A 39231-2025 FSC-klagomål mail.docx", "A 39231-2025")</f>
        <v/>
      </c>
      <c r="AC128">
        <f>HYPERLINK("https://klasma.github.io/Logging_2481/tillsyn/A 39231-2025 tillsynsbegäran.docx", "A 39231-2025")</f>
        <v/>
      </c>
      <c r="AD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46229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9.199999999999999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39280-2025 artfynd.xlsx", "A 39280-2025")</f>
        <v/>
      </c>
      <c r="X129">
        <f>HYPERLINK("https://klasma.github.io/Logging_2481/kartor/A 39280-2025 karta.png", "A 39280-2025")</f>
        <v/>
      </c>
      <c r="Y129">
        <f>HYPERLINK("https://klasma.github.io/Logging_2481/kartor_geotiff/A 39280-2025 georefererad karta.tif", "A 39280-2025")</f>
        <v/>
      </c>
      <c r="AA129">
        <f>HYPERLINK("https://klasma.github.io/Logging_2481/klagomål/A 39280-2025 FSC-klagomål.docx", "A 39280-2025")</f>
        <v/>
      </c>
      <c r="AB129">
        <f>HYPERLINK("https://klasma.github.io/Logging_2481/klagomålsmail/A 39280-2025 FSC-klagomål mail.docx", "A 39280-2025")</f>
        <v/>
      </c>
      <c r="AC129">
        <f>HYPERLINK("https://klasma.github.io/Logging_2481/tillsyn/A 39280-2025 tillsynsbegäran.docx", "A 39280-2025")</f>
        <v/>
      </c>
      <c r="AD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37669-2024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46229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Dropptaggsvamp</t>
        </is>
      </c>
      <c r="W130">
        <f>HYPERLINK("https://klasma.github.io/Logging_2481/artfynd/A 37669-2024 artfynd.xlsx", "A 37669-2024")</f>
        <v/>
      </c>
      <c r="X130">
        <f>HYPERLINK("https://klasma.github.io/Logging_2481/kartor/A 37669-2024 karta.png", "A 37669-2024")</f>
        <v/>
      </c>
      <c r="Y130">
        <f>HYPERLINK("https://klasma.github.io/Logging_2481/kartor_geotiff/A 37669-2024 georefererad karta.tif", "A 37669-2024")</f>
        <v/>
      </c>
      <c r="AA130">
        <f>HYPERLINK("https://klasma.github.io/Logging_2481/klagomål/A 37669-2024 FSC-klagomål.docx", "A 37669-2024")</f>
        <v/>
      </c>
      <c r="AB130">
        <f>HYPERLINK("https://klasma.github.io/Logging_2481/klagomålsmail/A 37669-2024 FSC-klagomål mail.docx", "A 37669-2024")</f>
        <v/>
      </c>
      <c r="AC130">
        <f>HYPERLINK("https://klasma.github.io/Logging_2481/tillsyn/A 37669-2024 tillsynsbegäran.docx", "A 37669-2024")</f>
        <v/>
      </c>
      <c r="AD130">
        <f>HYPERLINK("https://klasma.github.io/Logging_2481/tillsynsmail/A 37669-2024 tillsynsbegäran mail.docx", "A 37669-2024")</f>
        <v/>
      </c>
    </row>
    <row r="131" ht="15" customHeight="1">
      <c r="A131" t="inlineStr">
        <is>
          <t>A 72131-2021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44543</v>
      </c>
      <c r="E131" s="1" t="n">
        <v>46229</v>
      </c>
      <c r="F131" t="inlineStr">
        <is>
          <t>VÄSTERBOTTENS LÄN</t>
        </is>
      </c>
      <c r="G131" t="inlineStr">
        <is>
          <t>LYCKSELE</t>
        </is>
      </c>
      <c r="I131" t="n">
        <v>19.1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Tretåig hackspett</t>
        </is>
      </c>
      <c r="W131">
        <f>HYPERLINK("https://klasma.github.io/Logging_2481/artfynd/A 72131-2021 artfynd.xlsx", "A 72131-2021")</f>
        <v/>
      </c>
      <c r="X131">
        <f>HYPERLINK("https://klasma.github.io/Logging_2481/kartor/A 72131-2021 karta.png", "A 72131-2021")</f>
        <v/>
      </c>
      <c r="Y131">
        <f>HYPERLINK("https://klasma.github.io/Logging_2481/kartor_geotiff/A 72131-2021 georefererad karta.tif", "A 72131-2021")</f>
        <v/>
      </c>
      <c r="AA131">
        <f>HYPERLINK("https://klasma.github.io/Logging_2481/klagomål/A 72131-2021 FSC-klagomål.docx", "A 72131-2021")</f>
        <v/>
      </c>
      <c r="AB131">
        <f>HYPERLINK("https://klasma.github.io/Logging_2481/klagomålsmail/A 72131-2021 FSC-klagomål mail.docx", "A 72131-2021")</f>
        <v/>
      </c>
      <c r="AC131">
        <f>HYPERLINK("https://klasma.github.io/Logging_2481/tillsyn/A 72131-2021 tillsynsbegäran.docx", "A 72131-2021")</f>
        <v/>
      </c>
      <c r="AD131">
        <f>HYPERLINK("https://klasma.github.io/Logging_2481/tillsynsmail/A 72131-2021 tillsynsbegäran mail.docx", "A 72131-2021")</f>
        <v/>
      </c>
      <c r="AE131">
        <f>HYPERLINK("https://klasma.github.io/Logging_2481/fåglar/A 72131-2021 prioriterade fågelarter.docx", "A 72131-2021")</f>
        <v/>
      </c>
    </row>
    <row r="132" ht="15" customHeight="1">
      <c r="A132" t="inlineStr">
        <is>
          <t>A 44360-2025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46229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HYPERLINK("https://klasma.github.io/Logging_2481/artfynd/A 44360-2025 artfynd.xlsx", "A 44360-2025")</f>
        <v/>
      </c>
      <c r="X132">
        <f>HYPERLINK("https://klasma.github.io/Logging_2481/kartor/A 44360-2025 karta.png", "A 44360-2025")</f>
        <v/>
      </c>
      <c r="Y132">
        <f>HYPERLINK("https://klasma.github.io/Logging_2481/kartor_geotiff/A 44360-2025 georefererad karta.tif", "A 44360-2025")</f>
        <v/>
      </c>
      <c r="AA132">
        <f>HYPERLINK("https://klasma.github.io/Logging_2481/klagomål/A 44360-2025 FSC-klagomål.docx", "A 44360-2025")</f>
        <v/>
      </c>
      <c r="AB132">
        <f>HYPERLINK("https://klasma.github.io/Logging_2481/klagomålsmail/A 44360-2025 FSC-klagomål mail.docx", "A 44360-2025")</f>
        <v/>
      </c>
      <c r="AC132">
        <f>HYPERLINK("https://klasma.github.io/Logging_2481/tillsyn/A 44360-2025 tillsynsbegäran.docx", "A 44360-2025")</f>
        <v/>
      </c>
      <c r="AD132">
        <f>HYPERLINK("https://klasma.github.io/Logging_2481/tillsynsmail/A 44360-2025 tillsynsbegäran mail.docx", "A 44360-2025")</f>
        <v/>
      </c>
    </row>
    <row r="133" ht="15" customHeight="1">
      <c r="A133" t="inlineStr">
        <is>
          <t>A 44331-2025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46229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HYPERLINK("https://klasma.github.io/Logging_2481/artfynd/A 44331-2025 artfynd.xlsx", "A 44331-2025")</f>
        <v/>
      </c>
      <c r="X133">
        <f>HYPERLINK("https://klasma.github.io/Logging_2481/kartor/A 44331-2025 karta.png", "A 44331-2025")</f>
        <v/>
      </c>
      <c r="Y133">
        <f>HYPERLINK("https://klasma.github.io/Logging_2481/kartor_geotiff/A 44331-2025 georefererad karta.tif", "A 44331-2025")</f>
        <v/>
      </c>
      <c r="AA133">
        <f>HYPERLINK("https://klasma.github.io/Logging_2481/klagomål/A 44331-2025 FSC-klagomål.docx", "A 44331-2025")</f>
        <v/>
      </c>
      <c r="AB133">
        <f>HYPERLINK("https://klasma.github.io/Logging_2481/klagomålsmail/A 44331-2025 FSC-klagomål mail.docx", "A 44331-2025")</f>
        <v/>
      </c>
      <c r="AC133">
        <f>HYPERLINK("https://klasma.github.io/Logging_2481/tillsyn/A 44331-2025 tillsynsbegäran.docx", "A 44331-2025")</f>
        <v/>
      </c>
      <c r="AD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45127-2025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46229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Kolflarnlav</t>
        </is>
      </c>
      <c r="W134">
        <f>HYPERLINK("https://klasma.github.io/Logging_2481/artfynd/A 45127-2025 artfynd.xlsx", "A 45127-2025")</f>
        <v/>
      </c>
      <c r="X134">
        <f>HYPERLINK("https://klasma.github.io/Logging_2481/kartor/A 45127-2025 karta.png", "A 45127-2025")</f>
        <v/>
      </c>
      <c r="Y134">
        <f>HYPERLINK("https://klasma.github.io/Logging_2481/kartor_geotiff/A 45127-2025 georefererad karta.tif", "A 45127-2025")</f>
        <v/>
      </c>
      <c r="AA134">
        <f>HYPERLINK("https://klasma.github.io/Logging_2481/klagomål/A 45127-2025 FSC-klagomål.docx", "A 45127-2025")</f>
        <v/>
      </c>
      <c r="AB134">
        <f>HYPERLINK("https://klasma.github.io/Logging_2481/klagomålsmail/A 45127-2025 FSC-klagomål mail.docx", "A 45127-2025")</f>
        <v/>
      </c>
      <c r="AC134">
        <f>HYPERLINK("https://klasma.github.io/Logging_2481/tillsyn/A 45127-2025 tillsynsbegäran.docx", "A 45127-2025")</f>
        <v/>
      </c>
      <c r="AD134">
        <f>HYPERLINK("https://klasma.github.io/Logging_2481/tillsynsmail/A 45127-2025 tillsynsbegäran mail.docx", "A 45127-2025")</f>
        <v/>
      </c>
    </row>
    <row r="135" ht="15" customHeight="1">
      <c r="A135" t="inlineStr">
        <is>
          <t>A 47454-2025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46229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Motaggsvamp</t>
        </is>
      </c>
      <c r="W135">
        <f>HYPERLINK("https://klasma.github.io/Logging_2481/artfynd/A 47454-2025 artfynd.xlsx", "A 47454-2025")</f>
        <v/>
      </c>
      <c r="X135">
        <f>HYPERLINK("https://klasma.github.io/Logging_2481/kartor/A 47454-2025 karta.png", "A 47454-2025")</f>
        <v/>
      </c>
      <c r="Y135">
        <f>HYPERLINK("https://klasma.github.io/Logging_2481/kartor_geotiff/A 47454-2025 georefererad karta.tif", "A 47454-2025")</f>
        <v/>
      </c>
      <c r="AA135">
        <f>HYPERLINK("https://klasma.github.io/Logging_2481/klagomål/A 47454-2025 FSC-klagomål.docx", "A 47454-2025")</f>
        <v/>
      </c>
      <c r="AB135">
        <f>HYPERLINK("https://klasma.github.io/Logging_2481/klagomålsmail/A 47454-2025 FSC-klagomål mail.docx", "A 47454-2025")</f>
        <v/>
      </c>
      <c r="AC135">
        <f>HYPERLINK("https://klasma.github.io/Logging_2481/tillsyn/A 47454-2025 tillsynsbegäran.docx", "A 47454-2025")</f>
        <v/>
      </c>
      <c r="AD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55938-2023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45240</v>
      </c>
      <c r="E136" s="1" t="n">
        <v>46229</v>
      </c>
      <c r="F136" t="inlineStr">
        <is>
          <t>VÄSTERBOTTENS LÄN</t>
        </is>
      </c>
      <c r="G136" t="inlineStr">
        <is>
          <t>LYCKSELE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Järpe</t>
        </is>
      </c>
      <c r="W136">
        <f>HYPERLINK("https://klasma.github.io/Logging_2481/artfynd/A 55938-2023 artfynd.xlsx", "A 55938-2023")</f>
        <v/>
      </c>
      <c r="X136">
        <f>HYPERLINK("https://klasma.github.io/Logging_2481/kartor/A 55938-2023 karta.png", "A 55938-2023")</f>
        <v/>
      </c>
      <c r="Y136">
        <f>HYPERLINK("https://klasma.github.io/Logging_2481/kartor_geotiff/A 55938-2023 georefererad karta.tif", "A 55938-2023")</f>
        <v/>
      </c>
      <c r="AA136">
        <f>HYPERLINK("https://klasma.github.io/Logging_2481/klagomål/A 55938-2023 FSC-klagomål.docx", "A 55938-2023")</f>
        <v/>
      </c>
      <c r="AB136">
        <f>HYPERLINK("https://klasma.github.io/Logging_2481/klagomålsmail/A 55938-2023 FSC-klagomål mail.docx", "A 55938-2023")</f>
        <v/>
      </c>
      <c r="AC136">
        <f>HYPERLINK("https://klasma.github.io/Logging_2481/tillsyn/A 55938-2023 tillsynsbegäran.docx", "A 55938-2023")</f>
        <v/>
      </c>
      <c r="AD136">
        <f>HYPERLINK("https://klasma.github.io/Logging_2481/tillsynsmail/A 55938-2023 tillsynsbegäran mail.docx", "A 55938-2023")</f>
        <v/>
      </c>
      <c r="AE136">
        <f>HYPERLINK("https://klasma.github.io/Logging_2481/fåglar/A 55938-2023 prioriterade fågelarter.docx", "A 55938-2023")</f>
        <v/>
      </c>
    </row>
    <row r="137" ht="15" customHeight="1">
      <c r="A137" t="inlineStr">
        <is>
          <t>A 20404-2026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46229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Utter</t>
        </is>
      </c>
      <c r="W137">
        <f>HYPERLINK("https://klasma.github.io/Logging_2481/artfynd/A 20404-2026 artfynd.xlsx", "A 20404-2026")</f>
        <v/>
      </c>
      <c r="X137">
        <f>HYPERLINK("https://klasma.github.io/Logging_2481/kartor/A 20404-2026 karta.png", "A 20404-2026")</f>
        <v/>
      </c>
      <c r="Y137">
        <f>HYPERLINK("https://klasma.github.io/Logging_2481/kartor_geotiff/A 20404-2026 georefererad karta.tif", "A 20404-2026")</f>
        <v/>
      </c>
      <c r="AA137">
        <f>HYPERLINK("https://klasma.github.io/Logging_2481/klagomål/A 20404-2026 FSC-klagomål.docx", "A 20404-2026")</f>
        <v/>
      </c>
      <c r="AB137">
        <f>HYPERLINK("https://klasma.github.io/Logging_2481/klagomålsmail/A 20404-2026 FSC-klagomål mail.docx", "A 20404-2026")</f>
        <v/>
      </c>
      <c r="AC137">
        <f>HYPERLINK("https://klasma.github.io/Logging_2481/tillsyn/A 20404-2026 tillsynsbegäran.docx", "A 20404-2026")</f>
        <v/>
      </c>
      <c r="AD137">
        <f>HYPERLINK("https://klasma.github.io/Logging_2481/tillsynsmail/A 20404-2026 tillsynsbegäran mail.docx", "A 20404-2026")</f>
        <v/>
      </c>
    </row>
    <row r="138" ht="15" customHeight="1">
      <c r="A138" t="inlineStr">
        <is>
          <t>A 50463-2025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46229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Dropptaggsvamp</t>
        </is>
      </c>
      <c r="W138">
        <f>HYPERLINK("https://klasma.github.io/Logging_2481/artfynd/A 50463-2025 artfynd.xlsx", "A 50463-2025")</f>
        <v/>
      </c>
      <c r="X138">
        <f>HYPERLINK("https://klasma.github.io/Logging_2481/kartor/A 50463-2025 karta.png", "A 50463-2025")</f>
        <v/>
      </c>
      <c r="Y138">
        <f>HYPERLINK("https://klasma.github.io/Logging_2481/kartor_geotiff/A 50463-2025 georefererad karta.tif", "A 50463-2025")</f>
        <v/>
      </c>
      <c r="AA138">
        <f>HYPERLINK("https://klasma.github.io/Logging_2481/klagomål/A 50463-2025 FSC-klagomål.docx", "A 50463-2025")</f>
        <v/>
      </c>
      <c r="AB138">
        <f>HYPERLINK("https://klasma.github.io/Logging_2481/klagomålsmail/A 50463-2025 FSC-klagomål mail.docx", "A 50463-2025")</f>
        <v/>
      </c>
      <c r="AC138">
        <f>HYPERLINK("https://klasma.github.io/Logging_2481/tillsyn/A 50463-2025 tillsynsbegäran.docx", "A 50463-2025")</f>
        <v/>
      </c>
      <c r="AD138">
        <f>HYPERLINK("https://klasma.github.io/Logging_2481/tillsynsmail/A 50463-2025 tillsynsbegäran mail.docx", "A 50463-2025")</f>
        <v/>
      </c>
    </row>
    <row r="139" ht="15" customHeight="1">
      <c r="A139" t="inlineStr">
        <is>
          <t>A 53110-2025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46229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16.2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53110-2025 artfynd.xlsx", "A 53110-2025")</f>
        <v/>
      </c>
      <c r="X139">
        <f>HYPERLINK("https://klasma.github.io/Logging_2481/kartor/A 53110-2025 karta.png", "A 53110-2025")</f>
        <v/>
      </c>
      <c r="Y139">
        <f>HYPERLINK("https://klasma.github.io/Logging_2481/kartor_geotiff/A 53110-2025 georefererad karta.tif", "A 53110-2025")</f>
        <v/>
      </c>
      <c r="AA139">
        <f>HYPERLINK("https://klasma.github.io/Logging_2481/klagomål/A 53110-2025 FSC-klagomål.docx", "A 53110-2025")</f>
        <v/>
      </c>
      <c r="AB139">
        <f>HYPERLINK("https://klasma.github.io/Logging_2481/klagomålsmail/A 53110-2025 FSC-klagomål mail.docx", "A 53110-2025")</f>
        <v/>
      </c>
      <c r="AC139">
        <f>HYPERLINK("https://klasma.github.io/Logging_2481/tillsyn/A 53110-2025 tillsynsbegäran.docx", "A 53110-2025")</f>
        <v/>
      </c>
      <c r="AD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53108-2025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46229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14.1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Bårdlav</t>
        </is>
      </c>
      <c r="W140">
        <f>HYPERLINK("https://klasma.github.io/Logging_2481/artfynd/A 53108-2025 artfynd.xlsx", "A 53108-2025")</f>
        <v/>
      </c>
      <c r="X140">
        <f>HYPERLINK("https://klasma.github.io/Logging_2481/kartor/A 53108-2025 karta.png", "A 53108-2025")</f>
        <v/>
      </c>
      <c r="Y140">
        <f>HYPERLINK("https://klasma.github.io/Logging_2481/kartor_geotiff/A 53108-2025 georefererad karta.tif", "A 53108-2025")</f>
        <v/>
      </c>
      <c r="AA140">
        <f>HYPERLINK("https://klasma.github.io/Logging_2481/klagomål/A 53108-2025 FSC-klagomål.docx", "A 53108-2025")</f>
        <v/>
      </c>
      <c r="AB140">
        <f>HYPERLINK("https://klasma.github.io/Logging_2481/klagomålsmail/A 53108-2025 FSC-klagomål mail.docx", "A 53108-2025")</f>
        <v/>
      </c>
      <c r="AC140">
        <f>HYPERLINK("https://klasma.github.io/Logging_2481/tillsyn/A 53108-2025 tillsynsbegäran.docx", "A 53108-2025")</f>
        <v/>
      </c>
      <c r="AD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27161-2026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46188</v>
      </c>
      <c r="E141" s="1" t="n">
        <v>46229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5.2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Lunglav</t>
        </is>
      </c>
      <c r="W141">
        <f>HYPERLINK("https://klasma.github.io/Logging_2481/artfynd/A 27161-2026 artfynd.xlsx", "A 27161-2026")</f>
        <v/>
      </c>
      <c r="X141">
        <f>HYPERLINK("https://klasma.github.io/Logging_2481/kartor/A 27161-2026 karta.png", "A 27161-2026")</f>
        <v/>
      </c>
      <c r="Y141">
        <f>HYPERLINK("https://klasma.github.io/Logging_2481/kartor_geotiff/A 27161-2026 georefererad karta.tif", "A 27161-2026")</f>
        <v/>
      </c>
      <c r="AA141">
        <f>HYPERLINK("https://klasma.github.io/Logging_2481/klagomål/A 27161-2026 FSC-klagomål.docx", "A 27161-2026")</f>
        <v/>
      </c>
      <c r="AB141">
        <f>HYPERLINK("https://klasma.github.io/Logging_2481/klagomålsmail/A 27161-2026 FSC-klagomål mail.docx", "A 27161-2026")</f>
        <v/>
      </c>
      <c r="AC141">
        <f>HYPERLINK("https://klasma.github.io/Logging_2481/tillsyn/A 27161-2026 tillsynsbegäran.docx", "A 27161-2026")</f>
        <v/>
      </c>
      <c r="AD141">
        <f>HYPERLINK("https://klasma.github.io/Logging_2481/tillsynsmail/A 27161-2026 tillsynsbegäran mail.docx", "A 27161-2026")</f>
        <v/>
      </c>
    </row>
    <row r="142" ht="15" customHeight="1">
      <c r="A142" t="inlineStr">
        <is>
          <t>A 27830-2026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46191</v>
      </c>
      <c r="E142" s="1" t="n">
        <v>46229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Holmen skog AB</t>
        </is>
      </c>
      <c r="I142" t="n">
        <v>1.6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HYPERLINK("https://klasma.github.io/Logging_2481/artfynd/A 27830-2026 artfynd.xlsx", "A 27830-2026")</f>
        <v/>
      </c>
      <c r="X142">
        <f>HYPERLINK("https://klasma.github.io/Logging_2481/kartor/A 27830-2026 karta.png", "A 27830-2026")</f>
        <v/>
      </c>
      <c r="Y142">
        <f>HYPERLINK("https://klasma.github.io/Logging_2481/kartor_geotiff/A 27830-2026 georefererad karta.tif", "A 27830-2026")</f>
        <v/>
      </c>
      <c r="AA142">
        <f>HYPERLINK("https://klasma.github.io/Logging_2481/klagomål/A 27830-2026 FSC-klagomål.docx", "A 27830-2026")</f>
        <v/>
      </c>
      <c r="AB142">
        <f>HYPERLINK("https://klasma.github.io/Logging_2481/klagomålsmail/A 27830-2026 FSC-klagomål mail.docx", "A 27830-2026")</f>
        <v/>
      </c>
      <c r="AC142">
        <f>HYPERLINK("https://klasma.github.io/Logging_2481/tillsyn/A 27830-2026 tillsynsbegäran.docx", "A 27830-2026")</f>
        <v/>
      </c>
      <c r="AD142">
        <f>HYPERLINK("https://klasma.github.io/Logging_2481/tillsynsmail/A 27830-2026 tillsynsbegäran mail.docx", "A 27830-2026")</f>
        <v/>
      </c>
    </row>
    <row r="143" ht="15" customHeight="1">
      <c r="A143" t="inlineStr">
        <is>
          <t>A 54277-2025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46229</v>
      </c>
      <c r="F143" t="inlineStr">
        <is>
          <t>VÄSTERBOTTENS LÄN</t>
        </is>
      </c>
      <c r="G143" t="inlineStr">
        <is>
          <t>LYCKSELE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0</v>
      </c>
      <c r="V143" s="2" t="inlineStr">
        <is>
          <t>Garnlav</t>
        </is>
      </c>
      <c r="W143">
        <f>HYPERLINK("https://klasma.github.io/Logging_2481/artfynd/A 54277-2025 artfynd.xlsx", "A 54277-2025")</f>
        <v/>
      </c>
      <c r="X143">
        <f>HYPERLINK("https://klasma.github.io/Logging_2481/kartor/A 54277-2025 karta.png", "A 54277-2025")</f>
        <v/>
      </c>
      <c r="Y143">
        <f>HYPERLINK("https://klasma.github.io/Logging_2481/kartor_geotiff/A 54277-2025 georefererad karta.tif", "A 54277-2025")</f>
        <v/>
      </c>
      <c r="AA143">
        <f>HYPERLINK("https://klasma.github.io/Logging_2481/klagomål/A 54277-2025 FSC-klagomål.docx", "A 54277-2025")</f>
        <v/>
      </c>
      <c r="AB143">
        <f>HYPERLINK("https://klasma.github.io/Logging_2481/klagomålsmail/A 54277-2025 FSC-klagomål mail.docx", "A 54277-2025")</f>
        <v/>
      </c>
      <c r="AC143">
        <f>HYPERLINK("https://klasma.github.io/Logging_2481/tillsyn/A 54277-2025 tillsynsbegäran.docx", "A 54277-2025")</f>
        <v/>
      </c>
      <c r="AD143">
        <f>HYPERLINK("https://klasma.github.io/Logging_2481/tillsynsmail/A 54277-2025 tillsynsbegäran mail.docx", "A 54277-2025")</f>
        <v/>
      </c>
    </row>
    <row r="144" ht="15" customHeight="1">
      <c r="A144" t="inlineStr">
        <is>
          <t>A 38507-2023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46229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Blå taggsvamp</t>
        </is>
      </c>
      <c r="W144">
        <f>HYPERLINK("https://klasma.github.io/Logging_2481/artfynd/A 38507-2023 artfynd.xlsx", "A 38507-2023")</f>
        <v/>
      </c>
      <c r="X144">
        <f>HYPERLINK("https://klasma.github.io/Logging_2481/kartor/A 38507-2023 karta.png", "A 38507-2023")</f>
        <v/>
      </c>
      <c r="Y144">
        <f>HYPERLINK("https://klasma.github.io/Logging_2481/kartor_geotiff/A 38507-2023 georefererad karta.tif", "A 38507-2023")</f>
        <v/>
      </c>
      <c r="AA144">
        <f>HYPERLINK("https://klasma.github.io/Logging_2481/klagomål/A 38507-2023 FSC-klagomål.docx", "A 38507-2023")</f>
        <v/>
      </c>
      <c r="AB144">
        <f>HYPERLINK("https://klasma.github.io/Logging_2481/klagomålsmail/A 38507-2023 FSC-klagomål mail.docx", "A 38507-2023")</f>
        <v/>
      </c>
      <c r="AC144">
        <f>HYPERLINK("https://klasma.github.io/Logging_2481/tillsyn/A 38507-2023 tillsynsbegäran.docx", "A 38507-2023")</f>
        <v/>
      </c>
      <c r="AD144">
        <f>HYPERLINK("https://klasma.github.io/Logging_2481/tillsynsmail/A 38507-2023 tillsynsbegäran mail.docx", "A 38507-2023")</f>
        <v/>
      </c>
    </row>
    <row r="145" ht="15" customHeight="1">
      <c r="A145" t="inlineStr">
        <is>
          <t>A 20929-2025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45777</v>
      </c>
      <c r="E145" s="1" t="n">
        <v>46229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HYPERLINK("https://klasma.github.io/Logging_2481/artfynd/A 20929-2025 artfynd.xlsx", "A 20929-2025")</f>
        <v/>
      </c>
      <c r="X145">
        <f>HYPERLINK("https://klasma.github.io/Logging_2481/kartor/A 20929-2025 karta.png", "A 20929-2025")</f>
        <v/>
      </c>
      <c r="Y145">
        <f>HYPERLINK("https://klasma.github.io/Logging_2481/kartor_geotiff/A 20929-2025 georefererad karta.tif", "A 20929-2025")</f>
        <v/>
      </c>
      <c r="AA145">
        <f>HYPERLINK("https://klasma.github.io/Logging_2481/klagomål/A 20929-2025 FSC-klagomål.docx", "A 20929-2025")</f>
        <v/>
      </c>
      <c r="AB145">
        <f>HYPERLINK("https://klasma.github.io/Logging_2481/klagomålsmail/A 20929-2025 FSC-klagomål mail.docx", "A 20929-2025")</f>
        <v/>
      </c>
      <c r="AC145">
        <f>HYPERLINK("https://klasma.github.io/Logging_2481/tillsyn/A 20929-2025 tillsynsbegäran.docx", "A 20929-2025")</f>
        <v/>
      </c>
      <c r="AD145">
        <f>HYPERLINK("https://klasma.github.io/Logging_2481/tillsynsmail/A 20929-2025 tillsynsbegäran mail.docx", "A 20929-2025")</f>
        <v/>
      </c>
    </row>
    <row r="146" ht="15" customHeight="1">
      <c r="A146" t="inlineStr">
        <is>
          <t>A 58390-2025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46229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58390-2025 artfynd.xlsx", "A 58390-2025")</f>
        <v/>
      </c>
      <c r="X146">
        <f>HYPERLINK("https://klasma.github.io/Logging_2481/kartor/A 58390-2025 karta.png", "A 58390-2025")</f>
        <v/>
      </c>
      <c r="Y146">
        <f>HYPERLINK("https://klasma.github.io/Logging_2481/kartor_geotiff/A 58390-2025 georefererad karta.tif", "A 58390-2025")</f>
        <v/>
      </c>
      <c r="AA146">
        <f>HYPERLINK("https://klasma.github.io/Logging_2481/klagomål/A 58390-2025 FSC-klagomål.docx", "A 58390-2025")</f>
        <v/>
      </c>
      <c r="AB146">
        <f>HYPERLINK("https://klasma.github.io/Logging_2481/klagomålsmail/A 58390-2025 FSC-klagomål mail.docx", "A 58390-2025")</f>
        <v/>
      </c>
      <c r="AC146">
        <f>HYPERLINK("https://klasma.github.io/Logging_2481/tillsyn/A 58390-2025 tillsynsbegäran.docx", "A 58390-2025")</f>
        <v/>
      </c>
      <c r="AD146">
        <f>HYPERLINK("https://klasma.github.io/Logging_2481/tillsynsmail/A 58390-2025 tillsynsbegäran mail.docx", "A 58390-2025")</f>
        <v/>
      </c>
    </row>
    <row r="147" ht="15" customHeight="1">
      <c r="A147" t="inlineStr">
        <is>
          <t>A 22120-2026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46229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Kolflarnlav</t>
        </is>
      </c>
      <c r="W147">
        <f>HYPERLINK("https://klasma.github.io/Logging_2481/artfynd/A 22120-2026 artfynd.xlsx", "A 22120-2026")</f>
        <v/>
      </c>
      <c r="X147">
        <f>HYPERLINK("https://klasma.github.io/Logging_2481/kartor/A 22120-2026 karta.png", "A 22120-2026")</f>
        <v/>
      </c>
      <c r="Y147">
        <f>HYPERLINK("https://klasma.github.io/Logging_2481/kartor_geotiff/A 22120-2026 georefererad karta.tif", "A 22120-2026")</f>
        <v/>
      </c>
      <c r="AA147">
        <f>HYPERLINK("https://klasma.github.io/Logging_2481/klagomål/A 22120-2026 FSC-klagomål.docx", "A 22120-2026")</f>
        <v/>
      </c>
      <c r="AB147">
        <f>HYPERLINK("https://klasma.github.io/Logging_2481/klagomålsmail/A 22120-2026 FSC-klagomål mail.docx", "A 22120-2026")</f>
        <v/>
      </c>
      <c r="AC147">
        <f>HYPERLINK("https://klasma.github.io/Logging_2481/tillsyn/A 22120-2026 tillsynsbegäran.docx", "A 22120-2026")</f>
        <v/>
      </c>
      <c r="AD147">
        <f>HYPERLINK("https://klasma.github.io/Logging_2481/tillsynsmail/A 22120-2026 tillsynsbegäran mail.docx", "A 22120-2026")</f>
        <v/>
      </c>
    </row>
    <row r="148" ht="15" customHeight="1">
      <c r="A148" t="inlineStr">
        <is>
          <t>A 58071-2025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45982</v>
      </c>
      <c r="E148" s="1" t="n">
        <v>46229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Stuplav</t>
        </is>
      </c>
      <c r="W148">
        <f>HYPERLINK("https://klasma.github.io/Logging_2481/artfynd/A 58071-2025 artfynd.xlsx", "A 58071-2025")</f>
        <v/>
      </c>
      <c r="X148">
        <f>HYPERLINK("https://klasma.github.io/Logging_2481/kartor/A 58071-2025 karta.png", "A 58071-2025")</f>
        <v/>
      </c>
      <c r="Y148">
        <f>HYPERLINK("https://klasma.github.io/Logging_2481/kartor_geotiff/A 58071-2025 georefererad karta.tif", "A 58071-2025")</f>
        <v/>
      </c>
      <c r="AA148">
        <f>HYPERLINK("https://klasma.github.io/Logging_2481/klagomål/A 58071-2025 FSC-klagomål.docx", "A 58071-2025")</f>
        <v/>
      </c>
      <c r="AB148">
        <f>HYPERLINK("https://klasma.github.io/Logging_2481/klagomålsmail/A 58071-2025 FSC-klagomål mail.docx", "A 58071-2025")</f>
        <v/>
      </c>
      <c r="AC148">
        <f>HYPERLINK("https://klasma.github.io/Logging_2481/tillsyn/A 58071-2025 tillsynsbegäran.docx", "A 58071-2025")</f>
        <v/>
      </c>
      <c r="AD148">
        <f>HYPERLINK("https://klasma.github.io/Logging_2481/tillsynsmail/A 58071-2025 tillsynsbegäran mail.docx", "A 58071-2025")</f>
        <v/>
      </c>
    </row>
    <row r="149" ht="15" customHeight="1">
      <c r="A149" t="inlineStr">
        <is>
          <t>A 59883-2025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46229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9.1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59883-2025 artfynd.xlsx", "A 59883-2025")</f>
        <v/>
      </c>
      <c r="X149">
        <f>HYPERLINK("https://klasma.github.io/Logging_2481/kartor/A 59883-2025 karta.png", "A 59883-2025")</f>
        <v/>
      </c>
      <c r="Y149">
        <f>HYPERLINK("https://klasma.github.io/Logging_2481/kartor_geotiff/A 59883-2025 georefererad karta.tif", "A 59883-2025")</f>
        <v/>
      </c>
      <c r="AA149">
        <f>HYPERLINK("https://klasma.github.io/Logging_2481/klagomål/A 59883-2025 FSC-klagomål.docx", "A 59883-2025")</f>
        <v/>
      </c>
      <c r="AB149">
        <f>HYPERLINK("https://klasma.github.io/Logging_2481/klagomålsmail/A 59883-2025 FSC-klagomål mail.docx", "A 59883-2025")</f>
        <v/>
      </c>
      <c r="AC149">
        <f>HYPERLINK("https://klasma.github.io/Logging_2481/tillsyn/A 59883-2025 tillsynsbegäran.docx", "A 59883-2025")</f>
        <v/>
      </c>
      <c r="AD149">
        <f>HYPERLINK("https://klasma.github.io/Logging_2481/tillsynsmail/A 59883-2025 tillsynsbegäran mail.docx", "A 59883-2025")</f>
        <v/>
      </c>
    </row>
    <row r="150" ht="15" customHeight="1">
      <c r="A150" t="inlineStr">
        <is>
          <t>A 57243-2025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45979</v>
      </c>
      <c r="E150" s="1" t="n">
        <v>46229</v>
      </c>
      <c r="F150" t="inlineStr">
        <is>
          <t>VÄSTERBOTTENS LÄN</t>
        </is>
      </c>
      <c r="G150" t="inlineStr">
        <is>
          <t>LYCKSELE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HYPERLINK("https://klasma.github.io/Logging_2481/artfynd/A 57243-2025 artfynd.xlsx", "A 57243-2025")</f>
        <v/>
      </c>
      <c r="X150">
        <f>HYPERLINK("https://klasma.github.io/Logging_2481/kartor/A 57243-2025 karta.png", "A 57243-2025")</f>
        <v/>
      </c>
      <c r="Y150">
        <f>HYPERLINK("https://klasma.github.io/Logging_2481/kartor_geotiff/A 57243-2025 georefererad karta.tif", "A 57243-2025")</f>
        <v/>
      </c>
      <c r="AA150">
        <f>HYPERLINK("https://klasma.github.io/Logging_2481/klagomål/A 57243-2025 FSC-klagomål.docx", "A 57243-2025")</f>
        <v/>
      </c>
      <c r="AB150">
        <f>HYPERLINK("https://klasma.github.io/Logging_2481/klagomålsmail/A 57243-2025 FSC-klagomål mail.docx", "A 57243-2025")</f>
        <v/>
      </c>
      <c r="AC150">
        <f>HYPERLINK("https://klasma.github.io/Logging_2481/tillsyn/A 57243-2025 tillsynsbegäran.docx", "A 57243-2025")</f>
        <v/>
      </c>
      <c r="AD150">
        <f>HYPERLINK("https://klasma.github.io/Logging_2481/tillsynsmail/A 57243-2025 tillsynsbegäran mail.docx", "A 57243-2025")</f>
        <v/>
      </c>
    </row>
    <row r="151" ht="15" customHeight="1">
      <c r="A151" t="inlineStr">
        <is>
          <t>A 62317-2025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46229</v>
      </c>
      <c r="F151" t="inlineStr">
        <is>
          <t>VÄSTERBOTTENS LÄN</t>
        </is>
      </c>
      <c r="G151" t="inlineStr">
        <is>
          <t>LYCKSELE</t>
        </is>
      </c>
      <c r="I151" t="n">
        <v>0.9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Plattlummer</t>
        </is>
      </c>
      <c r="W151">
        <f>HYPERLINK("https://klasma.github.io/Logging_2481/artfynd/A 62317-2025 artfynd.xlsx", "A 62317-2025")</f>
        <v/>
      </c>
      <c r="X151">
        <f>HYPERLINK("https://klasma.github.io/Logging_2481/kartor/A 62317-2025 karta.png", "A 62317-2025")</f>
        <v/>
      </c>
      <c r="Y151">
        <f>HYPERLINK("https://klasma.github.io/Logging_2481/kartor_geotiff/A 62317-2025 georefererad karta.tif", "A 62317-2025")</f>
        <v/>
      </c>
      <c r="AA151">
        <f>HYPERLINK("https://klasma.github.io/Logging_2481/klagomål/A 62317-2025 FSC-klagomål.docx", "A 62317-2025")</f>
        <v/>
      </c>
      <c r="AB151">
        <f>HYPERLINK("https://klasma.github.io/Logging_2481/klagomålsmail/A 62317-2025 FSC-klagomål mail.docx", "A 62317-2025")</f>
        <v/>
      </c>
      <c r="AC151">
        <f>HYPERLINK("https://klasma.github.io/Logging_2481/tillsyn/A 62317-2025 tillsynsbegäran.docx", "A 62317-2025")</f>
        <v/>
      </c>
      <c r="AD151">
        <f>HYPERLINK("https://klasma.github.io/Logging_2481/tillsynsmail/A 62317-2025 tillsynsbegäran mail.docx", "A 62317-2025")</f>
        <v/>
      </c>
    </row>
    <row r="152" ht="15" customHeight="1">
      <c r="A152" t="inlineStr">
        <is>
          <t>A 28459-2026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46229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SCA</t>
        </is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Fläcknycklar</t>
        </is>
      </c>
      <c r="W152">
        <f>HYPERLINK("https://klasma.github.io/Logging_2481/artfynd/A 28459-2026 artfynd.xlsx", "A 28459-2026")</f>
        <v/>
      </c>
      <c r="X152">
        <f>HYPERLINK("https://klasma.github.io/Logging_2481/kartor/A 28459-2026 karta.png", "A 28459-2026")</f>
        <v/>
      </c>
      <c r="Y152">
        <f>HYPERLINK("https://klasma.github.io/Logging_2481/kartor_geotiff/A 28459-2026 georefererad karta.tif", "A 28459-2026")</f>
        <v/>
      </c>
      <c r="AA152">
        <f>HYPERLINK("https://klasma.github.io/Logging_2481/klagomål/A 28459-2026 FSC-klagomål.docx", "A 28459-2026")</f>
        <v/>
      </c>
      <c r="AB152">
        <f>HYPERLINK("https://klasma.github.io/Logging_2481/klagomålsmail/A 28459-2026 FSC-klagomål mail.docx", "A 28459-2026")</f>
        <v/>
      </c>
      <c r="AC152">
        <f>HYPERLINK("https://klasma.github.io/Logging_2481/tillsyn/A 28459-2026 tillsynsbegäran.docx", "A 28459-2026")</f>
        <v/>
      </c>
      <c r="AD152">
        <f>HYPERLINK("https://klasma.github.io/Logging_2481/tillsynsmail/A 28459-2026 tillsynsbegäran mail.docx", "A 28459-2026")</f>
        <v/>
      </c>
    </row>
    <row r="153" ht="15" customHeight="1">
      <c r="A153" t="inlineStr">
        <is>
          <t>A 28716-2026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46198</v>
      </c>
      <c r="E153" s="1" t="n">
        <v>46229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11.2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28716-2026 artfynd.xlsx", "A 28716-2026")</f>
        <v/>
      </c>
      <c r="X153">
        <f>HYPERLINK("https://klasma.github.io/Logging_2481/kartor/A 28716-2026 karta.png", "A 28716-2026")</f>
        <v/>
      </c>
      <c r="Y153">
        <f>HYPERLINK("https://klasma.github.io/Logging_2481/kartor_geotiff/A 28716-2026 georefererad karta.tif", "A 28716-2026")</f>
        <v/>
      </c>
      <c r="AA153">
        <f>HYPERLINK("https://klasma.github.io/Logging_2481/klagomål/A 28716-2026 FSC-klagomål.docx", "A 28716-2026")</f>
        <v/>
      </c>
      <c r="AB153">
        <f>HYPERLINK("https://klasma.github.io/Logging_2481/klagomålsmail/A 28716-2026 FSC-klagomål mail.docx", "A 28716-2026")</f>
        <v/>
      </c>
      <c r="AC153">
        <f>HYPERLINK("https://klasma.github.io/Logging_2481/tillsyn/A 28716-2026 tillsynsbegäran.docx", "A 28716-2026")</f>
        <v/>
      </c>
      <c r="AD153">
        <f>HYPERLINK("https://klasma.github.io/Logging_2481/tillsynsmail/A 28716-2026 tillsynsbegäran mail.docx", "A 28716-2026")</f>
        <v/>
      </c>
    </row>
    <row r="154" ht="15" customHeight="1">
      <c r="A154" t="inlineStr">
        <is>
          <t>A 22680-2026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46156</v>
      </c>
      <c r="E154" s="1" t="n">
        <v>46229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22.2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22680-2026 artfynd.xlsx", "A 22680-2026")</f>
        <v/>
      </c>
      <c r="X154">
        <f>HYPERLINK("https://klasma.github.io/Logging_2481/kartor/A 22680-2026 karta.png", "A 22680-2026")</f>
        <v/>
      </c>
      <c r="Y154">
        <f>HYPERLINK("https://klasma.github.io/Logging_2481/kartor_geotiff/A 22680-2026 georefererad karta.tif", "A 22680-2026")</f>
        <v/>
      </c>
      <c r="AA154">
        <f>HYPERLINK("https://klasma.github.io/Logging_2481/klagomål/A 22680-2026 FSC-klagomål.docx", "A 22680-2026")</f>
        <v/>
      </c>
      <c r="AB154">
        <f>HYPERLINK("https://klasma.github.io/Logging_2481/klagomålsmail/A 22680-2026 FSC-klagomål mail.docx", "A 22680-2026")</f>
        <v/>
      </c>
      <c r="AC154">
        <f>HYPERLINK("https://klasma.github.io/Logging_2481/tillsyn/A 22680-2026 tillsynsbegäran.docx", "A 22680-2026")</f>
        <v/>
      </c>
      <c r="AD154">
        <f>HYPERLINK("https://klasma.github.io/Logging_2481/tillsynsmail/A 22680-2026 tillsynsbegäran mail.docx", "A 22680-2026")</f>
        <v/>
      </c>
    </row>
    <row r="155" ht="15" customHeight="1">
      <c r="A155" t="inlineStr">
        <is>
          <t>A 28806-2026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46198</v>
      </c>
      <c r="E155" s="1" t="n">
        <v>46229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Holmen skog AB</t>
        </is>
      </c>
      <c r="I155" t="n">
        <v>3.3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HYPERLINK("https://klasma.github.io/Logging_2481/artfynd/A 28806-2026 artfynd.xlsx", "A 28806-2026")</f>
        <v/>
      </c>
      <c r="X155">
        <f>HYPERLINK("https://klasma.github.io/Logging_2481/kartor/A 28806-2026 karta.png", "A 28806-2026")</f>
        <v/>
      </c>
      <c r="Y155">
        <f>HYPERLINK("https://klasma.github.io/Logging_2481/kartor_geotiff/A 28806-2026 georefererad karta.tif", "A 28806-2026")</f>
        <v/>
      </c>
      <c r="AA155">
        <f>HYPERLINK("https://klasma.github.io/Logging_2481/klagomål/A 28806-2026 FSC-klagomål.docx", "A 28806-2026")</f>
        <v/>
      </c>
      <c r="AB155">
        <f>HYPERLINK("https://klasma.github.io/Logging_2481/klagomålsmail/A 28806-2026 FSC-klagomål mail.docx", "A 28806-2026")</f>
        <v/>
      </c>
      <c r="AC155">
        <f>HYPERLINK("https://klasma.github.io/Logging_2481/tillsyn/A 28806-2026 tillsynsbegäran.docx", "A 28806-2026")</f>
        <v/>
      </c>
      <c r="AD155">
        <f>HYPERLINK("https://klasma.github.io/Logging_2481/tillsynsmail/A 28806-2026 tillsynsbegäran mail.docx", "A 28806-2026")</f>
        <v/>
      </c>
    </row>
    <row r="156" ht="15" customHeight="1">
      <c r="A156" t="inlineStr">
        <is>
          <t>A 41793-2024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46229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7.1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HYPERLINK("https://klasma.github.io/Logging_2481/artfynd/A 41793-2024 artfynd.xlsx", "A 41793-2024")</f>
        <v/>
      </c>
      <c r="X156">
        <f>HYPERLINK("https://klasma.github.io/Logging_2481/kartor/A 41793-2024 karta.png", "A 41793-2024")</f>
        <v/>
      </c>
      <c r="Y156">
        <f>HYPERLINK("https://klasma.github.io/Logging_2481/kartor_geotiff/A 41793-2024 georefererad karta.tif", "A 41793-2024")</f>
        <v/>
      </c>
      <c r="AA156">
        <f>HYPERLINK("https://klasma.github.io/Logging_2481/klagomål/A 41793-2024 FSC-klagomål.docx", "A 41793-2024")</f>
        <v/>
      </c>
      <c r="AB156">
        <f>HYPERLINK("https://klasma.github.io/Logging_2481/klagomålsmail/A 41793-2024 FSC-klagomål mail.docx", "A 41793-2024")</f>
        <v/>
      </c>
      <c r="AC156">
        <f>HYPERLINK("https://klasma.github.io/Logging_2481/tillsyn/A 41793-2024 tillsynsbegäran.docx", "A 41793-2024")</f>
        <v/>
      </c>
      <c r="AD156">
        <f>HYPERLINK("https://klasma.github.io/Logging_2481/tillsynsmail/A 41793-2024 tillsynsbegäran mail.docx", "A 41793-2024")</f>
        <v/>
      </c>
    </row>
    <row r="157" ht="15" customHeight="1">
      <c r="A157" t="inlineStr">
        <is>
          <t>A 1339-2026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46229</v>
      </c>
      <c r="F157" t="inlineStr">
        <is>
          <t>VÄSTERBOTTENS LÄN</t>
        </is>
      </c>
      <c r="G157" t="inlineStr">
        <is>
          <t>LYCKSELE</t>
        </is>
      </c>
      <c r="I157" t="n">
        <v>4.9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7</v>
      </c>
      <c r="U157" t="n">
        <v>3</v>
      </c>
      <c r="V157" s="2" t="inlineStr">
        <is>
          <t>Norna</t>
        </is>
      </c>
      <c r="W157">
        <f>HYPERLINK("https://klasma.github.io/Logging_2481/artfynd/A 1339-2026 artfynd.xlsx", "A 1339-2026")</f>
        <v/>
      </c>
      <c r="X157">
        <f>HYPERLINK("https://klasma.github.io/Logging_2481/kartor/A 1339-2026 karta.png", "A 1339-2026")</f>
        <v/>
      </c>
      <c r="Y157">
        <f>HYPERLINK("https://klasma.github.io/Logging_2481/kartor_geotiff/A 1339-2026 georefererad karta.tif", "A 1339-2026")</f>
        <v/>
      </c>
      <c r="AA157">
        <f>HYPERLINK("https://klasma.github.io/Logging_2481/klagomål/A 1339-2026 FSC-klagomål.docx", "A 1339-2026")</f>
        <v/>
      </c>
      <c r="AB157">
        <f>HYPERLINK("https://klasma.github.io/Logging_2481/klagomålsmail/A 1339-2026 FSC-klagomål mail.docx", "A 1339-2026")</f>
        <v/>
      </c>
      <c r="AC157">
        <f>HYPERLINK("https://klasma.github.io/Logging_2481/tillsyn/A 1339-2026 tillsynsbegäran.docx", "A 1339-2026")</f>
        <v/>
      </c>
      <c r="AD157">
        <f>HYPERLINK("https://klasma.github.io/Logging_2481/tillsynsmail/A 1339-2026 tillsynsbegäran mail.docx", "A 1339-2026")</f>
        <v/>
      </c>
    </row>
    <row r="158" ht="15" customHeight="1">
      <c r="A158" t="inlineStr">
        <is>
          <t>A 2499-2026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46229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19.3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HYPERLINK("https://klasma.github.io/Logging_2481/artfynd/A 2499-2026 artfynd.xlsx", "A 2499-2026")</f>
        <v/>
      </c>
      <c r="X158">
        <f>HYPERLINK("https://klasma.github.io/Logging_2481/kartor/A 2499-2026 karta.png", "A 2499-2026")</f>
        <v/>
      </c>
      <c r="Y158">
        <f>HYPERLINK("https://klasma.github.io/Logging_2481/kartor_geotiff/A 2499-2026 georefererad karta.tif", "A 2499-2026")</f>
        <v/>
      </c>
      <c r="AA158">
        <f>HYPERLINK("https://klasma.github.io/Logging_2481/klagomål/A 2499-2026 FSC-klagomål.docx", "A 2499-2026")</f>
        <v/>
      </c>
      <c r="AB158">
        <f>HYPERLINK("https://klasma.github.io/Logging_2481/klagomålsmail/A 2499-2026 FSC-klagomål mail.docx", "A 2499-2026")</f>
        <v/>
      </c>
      <c r="AC158">
        <f>HYPERLINK("https://klasma.github.io/Logging_2481/tillsyn/A 2499-2026 tillsynsbegäran.docx", "A 2499-2026")</f>
        <v/>
      </c>
      <c r="AD158">
        <f>HYPERLINK("https://klasma.github.io/Logging_2481/tillsynsmail/A 2499-2026 tillsynsbegäran mail.docx", "A 2499-2026")</f>
        <v/>
      </c>
    </row>
    <row r="159" ht="15" customHeight="1">
      <c r="A159" t="inlineStr">
        <is>
          <t>A 23396-2026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46162</v>
      </c>
      <c r="E159" s="1" t="n">
        <v>46229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SCA</t>
        </is>
      </c>
      <c r="I159" t="n">
        <v>6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Källpraktmossa</t>
        </is>
      </c>
      <c r="W159">
        <f>HYPERLINK("https://klasma.github.io/Logging_2481/artfynd/A 23396-2026 artfynd.xlsx", "A 23396-2026")</f>
        <v/>
      </c>
      <c r="X159">
        <f>HYPERLINK("https://klasma.github.io/Logging_2481/kartor/A 23396-2026 karta.png", "A 23396-2026")</f>
        <v/>
      </c>
      <c r="Y159">
        <f>HYPERLINK("https://klasma.github.io/Logging_2481/kartor_geotiff/A 23396-2026 georefererad karta.tif", "A 23396-2026")</f>
        <v/>
      </c>
      <c r="AA159">
        <f>HYPERLINK("https://klasma.github.io/Logging_2481/klagomål/A 23396-2026 FSC-klagomål.docx", "A 23396-2026")</f>
        <v/>
      </c>
      <c r="AB159">
        <f>HYPERLINK("https://klasma.github.io/Logging_2481/klagomålsmail/A 23396-2026 FSC-klagomål mail.docx", "A 23396-2026")</f>
        <v/>
      </c>
      <c r="AC159">
        <f>HYPERLINK("https://klasma.github.io/Logging_2481/tillsyn/A 23396-2026 tillsynsbegäran.docx", "A 23396-2026")</f>
        <v/>
      </c>
      <c r="AD159">
        <f>HYPERLINK("https://klasma.github.io/Logging_2481/tillsynsmail/A 23396-2026 tillsynsbegäran mail.docx", "A 23396-2026")</f>
        <v/>
      </c>
    </row>
    <row r="160" ht="15" customHeight="1">
      <c r="A160" t="inlineStr">
        <is>
          <t>A 29828-2026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46205</v>
      </c>
      <c r="E160" s="1" t="n">
        <v>46229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Kolflarnlav</t>
        </is>
      </c>
      <c r="W160">
        <f>HYPERLINK("https://klasma.github.io/Logging_2481/artfynd/A 29828-2026 artfynd.xlsx", "A 29828-2026")</f>
        <v/>
      </c>
      <c r="X160">
        <f>HYPERLINK("https://klasma.github.io/Logging_2481/kartor/A 29828-2026 karta.png", "A 29828-2026")</f>
        <v/>
      </c>
      <c r="Y160">
        <f>HYPERLINK("https://klasma.github.io/Logging_2481/kartor_geotiff/A 29828-2026 georefererad karta.tif", "A 29828-2026")</f>
        <v/>
      </c>
      <c r="AA160">
        <f>HYPERLINK("https://klasma.github.io/Logging_2481/klagomål/A 29828-2026 FSC-klagomål.docx", "A 29828-2026")</f>
        <v/>
      </c>
      <c r="AB160">
        <f>HYPERLINK("https://klasma.github.io/Logging_2481/klagomålsmail/A 29828-2026 FSC-klagomål mail.docx", "A 29828-2026")</f>
        <v/>
      </c>
      <c r="AC160">
        <f>HYPERLINK("https://klasma.github.io/Logging_2481/tillsyn/A 29828-2026 tillsynsbegäran.docx", "A 29828-2026")</f>
        <v/>
      </c>
      <c r="AD160">
        <f>HYPERLINK("https://klasma.github.io/Logging_2481/tillsynsmail/A 29828-2026 tillsynsbegäran mail.docx", "A 29828-2026")</f>
        <v/>
      </c>
    </row>
    <row r="161" ht="15" customHeight="1">
      <c r="A161" t="inlineStr">
        <is>
          <t>A 8491-2026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46065</v>
      </c>
      <c r="E161" s="1" t="n">
        <v>46229</v>
      </c>
      <c r="F161" t="inlineStr">
        <is>
          <t>VÄSTERBOTTENS LÄN</t>
        </is>
      </c>
      <c r="G161" t="inlineStr">
        <is>
          <t>LYCKSELE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8491-2026 artfynd.xlsx", "A 8491-2026")</f>
        <v/>
      </c>
      <c r="X161">
        <f>HYPERLINK("https://klasma.github.io/Logging_2481/kartor/A 8491-2026 karta.png", "A 8491-2026")</f>
        <v/>
      </c>
      <c r="Y161">
        <f>HYPERLINK("https://klasma.github.io/Logging_2481/kartor_geotiff/A 8491-2026 georefererad karta.tif", "A 8491-2026")</f>
        <v/>
      </c>
      <c r="AA161">
        <f>HYPERLINK("https://klasma.github.io/Logging_2481/klagomål/A 8491-2026 FSC-klagomål.docx", "A 8491-2026")</f>
        <v/>
      </c>
      <c r="AB161">
        <f>HYPERLINK("https://klasma.github.io/Logging_2481/klagomålsmail/A 8491-2026 FSC-klagomål mail.docx", "A 8491-2026")</f>
        <v/>
      </c>
      <c r="AC161">
        <f>HYPERLINK("https://klasma.github.io/Logging_2481/tillsyn/A 8491-2026 tillsynsbegäran.docx", "A 8491-2026")</f>
        <v/>
      </c>
      <c r="AD161">
        <f>HYPERLINK("https://klasma.github.io/Logging_2481/tillsynsmail/A 8491-2026 tillsynsbegäran mail.docx", "A 8491-2026")</f>
        <v/>
      </c>
    </row>
    <row r="162" ht="15" customHeight="1">
      <c r="A162" t="inlineStr">
        <is>
          <t>A 9722-2026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46072</v>
      </c>
      <c r="E162" s="1" t="n">
        <v>46229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Holmen skog AB</t>
        </is>
      </c>
      <c r="I162" t="n">
        <v>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HYPERLINK("https://klasma.github.io/Logging_2481/artfynd/A 9722-2026 artfynd.xlsx", "A 9722-2026")</f>
        <v/>
      </c>
      <c r="X162">
        <f>HYPERLINK("https://klasma.github.io/Logging_2481/kartor/A 9722-2026 karta.png", "A 9722-2026")</f>
        <v/>
      </c>
      <c r="Y162">
        <f>HYPERLINK("https://klasma.github.io/Logging_2481/kartor_geotiff/A 9722-2026 georefererad karta.tif", "A 9722-2026")</f>
        <v/>
      </c>
      <c r="AA162">
        <f>HYPERLINK("https://klasma.github.io/Logging_2481/klagomål/A 9722-2026 FSC-klagomål.docx", "A 9722-2026")</f>
        <v/>
      </c>
      <c r="AB162">
        <f>HYPERLINK("https://klasma.github.io/Logging_2481/klagomålsmail/A 9722-2026 FSC-klagomål mail.docx", "A 9722-2026")</f>
        <v/>
      </c>
      <c r="AC162">
        <f>HYPERLINK("https://klasma.github.io/Logging_2481/tillsyn/A 9722-2026 tillsynsbegäran.docx", "A 9722-2026")</f>
        <v/>
      </c>
      <c r="AD162">
        <f>HYPERLINK("https://klasma.github.io/Logging_2481/tillsynsmail/A 9722-2026 tillsynsbegäran mail.docx", "A 9722-2026")</f>
        <v/>
      </c>
    </row>
    <row r="163" ht="15" customHeight="1">
      <c r="A163" t="inlineStr">
        <is>
          <t>A 30994-2026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46213</v>
      </c>
      <c r="E163" s="1" t="n">
        <v>46229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Violettgrå tagellav</t>
        </is>
      </c>
      <c r="W163">
        <f>HYPERLINK("https://klasma.github.io/Logging_2481/artfynd/A 30994-2026 artfynd.xlsx", "A 30994-2026")</f>
        <v/>
      </c>
      <c r="X163">
        <f>HYPERLINK("https://klasma.github.io/Logging_2481/kartor/A 30994-2026 karta.png", "A 30994-2026")</f>
        <v/>
      </c>
      <c r="Y163">
        <f>HYPERLINK("https://klasma.github.io/Logging_2481/kartor_geotiff/A 30994-2026 georefererad karta.tif", "A 30994-2026")</f>
        <v/>
      </c>
      <c r="AA163">
        <f>HYPERLINK("https://klasma.github.io/Logging_2481/klagomål/A 30994-2026 FSC-klagomål.docx", "A 30994-2026")</f>
        <v/>
      </c>
      <c r="AB163">
        <f>HYPERLINK("https://klasma.github.io/Logging_2481/klagomålsmail/A 30994-2026 FSC-klagomål mail.docx", "A 30994-2026")</f>
        <v/>
      </c>
      <c r="AC163">
        <f>HYPERLINK("https://klasma.github.io/Logging_2481/tillsyn/A 30994-2026 tillsynsbegäran.docx", "A 30994-2026")</f>
        <v/>
      </c>
      <c r="AD163">
        <f>HYPERLINK("https://klasma.github.io/Logging_2481/tillsynsmail/A 30994-2026 tillsynsbegäran mail.docx", "A 30994-2026")</f>
        <v/>
      </c>
    </row>
    <row r="164" ht="15" customHeight="1">
      <c r="A164" t="inlineStr">
        <is>
          <t>A 31290-2026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46229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HYPERLINK("https://klasma.github.io/Logging_2481/artfynd/A 31290-2026 artfynd.xlsx", "A 31290-2026")</f>
        <v/>
      </c>
      <c r="X164">
        <f>HYPERLINK("https://klasma.github.io/Logging_2481/kartor/A 31290-2026 karta.png", "A 31290-2026")</f>
        <v/>
      </c>
      <c r="Y164">
        <f>HYPERLINK("https://klasma.github.io/Logging_2481/kartor_geotiff/A 31290-2026 georefererad karta.tif", "A 31290-2026")</f>
        <v/>
      </c>
      <c r="AA164">
        <f>HYPERLINK("https://klasma.github.io/Logging_2481/klagomål/A 31290-2026 FSC-klagomål.docx", "A 31290-2026")</f>
        <v/>
      </c>
      <c r="AB164">
        <f>HYPERLINK("https://klasma.github.io/Logging_2481/klagomålsmail/A 31290-2026 FSC-klagomål mail.docx", "A 31290-2026")</f>
        <v/>
      </c>
      <c r="AC164">
        <f>HYPERLINK("https://klasma.github.io/Logging_2481/tillsyn/A 31290-2026 tillsynsbegäran.docx", "A 31290-2026")</f>
        <v/>
      </c>
      <c r="AD164">
        <f>HYPERLINK("https://klasma.github.io/Logging_2481/tillsynsmail/A 31290-2026 tillsynsbegäran mail.docx", "A 31290-2026")</f>
        <v/>
      </c>
    </row>
    <row r="165" ht="15" customHeight="1">
      <c r="A165" t="inlineStr">
        <is>
          <t>A 25701-2026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46229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Skrovellav</t>
        </is>
      </c>
      <c r="W165">
        <f>HYPERLINK("https://klasma.github.io/Logging_2481/artfynd/A 25701-2026 artfynd.xlsx", "A 25701-2026")</f>
        <v/>
      </c>
      <c r="X165">
        <f>HYPERLINK("https://klasma.github.io/Logging_2481/kartor/A 25701-2026 karta.png", "A 25701-2026")</f>
        <v/>
      </c>
      <c r="Y165">
        <f>HYPERLINK("https://klasma.github.io/Logging_2481/kartor_geotiff/A 25701-2026 georefererad karta.tif", "A 25701-2026")</f>
        <v/>
      </c>
      <c r="AA165">
        <f>HYPERLINK("https://klasma.github.io/Logging_2481/klagomål/A 25701-2026 FSC-klagomål.docx", "A 25701-2026")</f>
        <v/>
      </c>
      <c r="AB165">
        <f>HYPERLINK("https://klasma.github.io/Logging_2481/klagomålsmail/A 25701-2026 FSC-klagomål mail.docx", "A 25701-2026")</f>
        <v/>
      </c>
      <c r="AC165">
        <f>HYPERLINK("https://klasma.github.io/Logging_2481/tillsyn/A 25701-2026 tillsynsbegäran.docx", "A 25701-2026")</f>
        <v/>
      </c>
      <c r="AD165">
        <f>HYPERLINK("https://klasma.github.io/Logging_2481/tillsynsmail/A 25701-2026 tillsynsbegäran mail.docx", "A 25701-2026")</f>
        <v/>
      </c>
    </row>
    <row r="166" ht="15" customHeight="1">
      <c r="A166" t="inlineStr">
        <is>
          <t>A 25591-2026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46229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15.9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Gränsticka</t>
        </is>
      </c>
      <c r="W166">
        <f>HYPERLINK("https://klasma.github.io/Logging_2481/artfynd/A 25591-2026 artfynd.xlsx", "A 25591-2026")</f>
        <v/>
      </c>
      <c r="X166">
        <f>HYPERLINK("https://klasma.github.io/Logging_2481/kartor/A 25591-2026 karta.png", "A 25591-2026")</f>
        <v/>
      </c>
      <c r="Y166">
        <f>HYPERLINK("https://klasma.github.io/Logging_2481/kartor_geotiff/A 25591-2026 georefererad karta.tif", "A 25591-2026")</f>
        <v/>
      </c>
      <c r="AA166">
        <f>HYPERLINK("https://klasma.github.io/Logging_2481/klagomål/A 25591-2026 FSC-klagomål.docx", "A 25591-2026")</f>
        <v/>
      </c>
      <c r="AB166">
        <f>HYPERLINK("https://klasma.github.io/Logging_2481/klagomålsmail/A 25591-2026 FSC-klagomål mail.docx", "A 25591-2026")</f>
        <v/>
      </c>
      <c r="AC166">
        <f>HYPERLINK("https://klasma.github.io/Logging_2481/tillsyn/A 25591-2026 tillsynsbegäran.docx", "A 25591-2026")</f>
        <v/>
      </c>
      <c r="AD166">
        <f>HYPERLINK("https://klasma.github.io/Logging_2481/tillsynsmail/A 25591-2026 tillsynsbegäran mail.docx", "A 25591-2026")</f>
        <v/>
      </c>
    </row>
    <row r="167" ht="15" customHeight="1">
      <c r="A167" t="inlineStr">
        <is>
          <t>A 25720-2026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46229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10.5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Orange taggsvamp</t>
        </is>
      </c>
      <c r="W167">
        <f>HYPERLINK("https://klasma.github.io/Logging_2481/artfynd/A 25720-2026 artfynd.xlsx", "A 25720-2026")</f>
        <v/>
      </c>
      <c r="X167">
        <f>HYPERLINK("https://klasma.github.io/Logging_2481/kartor/A 25720-2026 karta.png", "A 25720-2026")</f>
        <v/>
      </c>
      <c r="Y167">
        <f>HYPERLINK("https://klasma.github.io/Logging_2481/kartor_geotiff/A 25720-2026 georefererad karta.tif", "A 25720-2026")</f>
        <v/>
      </c>
      <c r="AA167">
        <f>HYPERLINK("https://klasma.github.io/Logging_2481/klagomål/A 25720-2026 FSC-klagomål.docx", "A 25720-2026")</f>
        <v/>
      </c>
      <c r="AB167">
        <f>HYPERLINK("https://klasma.github.io/Logging_2481/klagomålsmail/A 25720-2026 FSC-klagomål mail.docx", "A 25720-2026")</f>
        <v/>
      </c>
      <c r="AC167">
        <f>HYPERLINK("https://klasma.github.io/Logging_2481/tillsyn/A 25720-2026 tillsynsbegäran.docx", "A 25720-2026")</f>
        <v/>
      </c>
      <c r="AD167">
        <f>HYPERLINK("https://klasma.github.io/Logging_2481/tillsynsmail/A 25720-2026 tillsynsbegäran mail.docx", "A 25720-2026")</f>
        <v/>
      </c>
    </row>
    <row r="168" ht="15" customHeight="1">
      <c r="A168" t="inlineStr">
        <is>
          <t>A 25706-2026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46229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7.9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25706-2026 artfynd.xlsx", "A 25706-2026")</f>
        <v/>
      </c>
      <c r="X168">
        <f>HYPERLINK("https://klasma.github.io/Logging_2481/kartor/A 25706-2026 karta.png", "A 25706-2026")</f>
        <v/>
      </c>
      <c r="Y168">
        <f>HYPERLINK("https://klasma.github.io/Logging_2481/kartor_geotiff/A 25706-2026 georefererad karta.tif", "A 25706-2026")</f>
        <v/>
      </c>
      <c r="AA168">
        <f>HYPERLINK("https://klasma.github.io/Logging_2481/klagomål/A 25706-2026 FSC-klagomål.docx", "A 25706-2026")</f>
        <v/>
      </c>
      <c r="AB168">
        <f>HYPERLINK("https://klasma.github.io/Logging_2481/klagomålsmail/A 25706-2026 FSC-klagomål mail.docx", "A 25706-2026")</f>
        <v/>
      </c>
      <c r="AC168">
        <f>HYPERLINK("https://klasma.github.io/Logging_2481/tillsyn/A 25706-2026 tillsynsbegäran.docx", "A 25706-2026")</f>
        <v/>
      </c>
      <c r="AD168">
        <f>HYPERLINK("https://klasma.github.io/Logging_2481/tillsynsmail/A 25706-2026 tillsynsbegäran mail.docx", "A 25706-2026")</f>
        <v/>
      </c>
    </row>
    <row r="169" ht="15" customHeight="1">
      <c r="A169" t="inlineStr">
        <is>
          <t>A 28408-2023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45101</v>
      </c>
      <c r="E169" s="1" t="n">
        <v>46229</v>
      </c>
      <c r="F169" t="inlineStr">
        <is>
          <t>VÄSTERBOTTENS LÄN</t>
        </is>
      </c>
      <c r="G169" t="inlineStr">
        <is>
          <t>LYCKSELE</t>
        </is>
      </c>
      <c r="I169" t="n">
        <v>5.7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Blå taggsvamp</t>
        </is>
      </c>
      <c r="W169">
        <f>HYPERLINK("https://klasma.github.io/Logging_2481/artfynd/A 28408-2023 artfynd.xlsx", "A 28408-2023")</f>
        <v/>
      </c>
      <c r="X169">
        <f>HYPERLINK("https://klasma.github.io/Logging_2481/kartor/A 28408-2023 karta.png", "A 28408-2023")</f>
        <v/>
      </c>
      <c r="Y169">
        <f>HYPERLINK("https://klasma.github.io/Logging_2481/kartor_geotiff/A 28408-2023 georefererad karta.tif", "A 28408-2023")</f>
        <v/>
      </c>
      <c r="AA169">
        <f>HYPERLINK("https://klasma.github.io/Logging_2481/klagomål/A 28408-2023 FSC-klagomål.docx", "A 28408-2023")</f>
        <v/>
      </c>
      <c r="AB169">
        <f>HYPERLINK("https://klasma.github.io/Logging_2481/klagomålsmail/A 28408-2023 FSC-klagomål mail.docx", "A 28408-2023")</f>
        <v/>
      </c>
      <c r="AC169">
        <f>HYPERLINK("https://klasma.github.io/Logging_2481/tillsyn/A 28408-2023 tillsynsbegäran.docx", "A 28408-2023")</f>
        <v/>
      </c>
      <c r="AD169">
        <f>HYPERLINK("https://klasma.github.io/Logging_2481/tillsynsmail/A 28408-2023 tillsynsbegäran mail.docx", "A 28408-2023")</f>
        <v/>
      </c>
    </row>
    <row r="170" ht="15" customHeight="1">
      <c r="A170" t="inlineStr">
        <is>
          <t>A 50018-2024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45599</v>
      </c>
      <c r="E170" s="1" t="n">
        <v>46229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50018-2024 artfynd.xlsx", "A 50018-2024")</f>
        <v/>
      </c>
      <c r="X170">
        <f>HYPERLINK("https://klasma.github.io/Logging_2481/kartor/A 50018-2024 karta.png", "A 50018-2024")</f>
        <v/>
      </c>
      <c r="Y170">
        <f>HYPERLINK("https://klasma.github.io/Logging_2481/kartor_geotiff/A 50018-2024 georefererad karta.tif", "A 50018-2024")</f>
        <v/>
      </c>
      <c r="AA170">
        <f>HYPERLINK("https://klasma.github.io/Logging_2481/klagomål/A 50018-2024 FSC-klagomål.docx", "A 50018-2024")</f>
        <v/>
      </c>
      <c r="AB170">
        <f>HYPERLINK("https://klasma.github.io/Logging_2481/klagomålsmail/A 50018-2024 FSC-klagomål mail.docx", "A 50018-2024")</f>
        <v/>
      </c>
      <c r="AC170">
        <f>HYPERLINK("https://klasma.github.io/Logging_2481/tillsyn/A 50018-2024 tillsynsbegäran.docx", "A 50018-2024")</f>
        <v/>
      </c>
      <c r="AD170">
        <f>HYPERLINK("https://klasma.github.io/Logging_2481/tillsynsmail/A 50018-2024 tillsynsbegäran mail.docx", "A 50018-2024")</f>
        <v/>
      </c>
    </row>
    <row r="171" ht="15" customHeight="1">
      <c r="A171" t="inlineStr">
        <is>
          <t>A 33726-2022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46229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12.7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Pärluggla</t>
        </is>
      </c>
      <c r="W171">
        <f>HYPERLINK("https://klasma.github.io/Logging_2481/artfynd/A 33726-2022 artfynd.xlsx", "A 33726-2022")</f>
        <v/>
      </c>
      <c r="X171">
        <f>HYPERLINK("https://klasma.github.io/Logging_2481/kartor/A 33726-2022 karta.png", "A 33726-2022")</f>
        <v/>
      </c>
      <c r="Y171">
        <f>HYPERLINK("https://klasma.github.io/Logging_2481/kartor_geotiff/A 33726-2022 georefererad karta.tif", "A 33726-2022")</f>
        <v/>
      </c>
      <c r="AA171">
        <f>HYPERLINK("https://klasma.github.io/Logging_2481/klagomål/A 33726-2022 FSC-klagomål.docx", "A 33726-2022")</f>
        <v/>
      </c>
      <c r="AB171">
        <f>HYPERLINK("https://klasma.github.io/Logging_2481/klagomålsmail/A 33726-2022 FSC-klagomål mail.docx", "A 33726-2022")</f>
        <v/>
      </c>
      <c r="AC171">
        <f>HYPERLINK("https://klasma.github.io/Logging_2481/tillsyn/A 33726-2022 tillsynsbegäran.docx", "A 33726-2022")</f>
        <v/>
      </c>
      <c r="AD171">
        <f>HYPERLINK("https://klasma.github.io/Logging_2481/tillsynsmail/A 33726-2022 tillsynsbegäran mail.docx", "A 33726-2022")</f>
        <v/>
      </c>
      <c r="AE171">
        <f>HYPERLINK("https://klasma.github.io/Logging_2481/fåglar/A 33726-2022 prioriterade fågelarter.docx", "A 33726-2022")</f>
        <v/>
      </c>
    </row>
    <row r="172" ht="15" customHeight="1">
      <c r="A172" t="inlineStr">
        <is>
          <t>A 219-2025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45660</v>
      </c>
      <c r="E172" s="1" t="n">
        <v>46229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Dropptaggsvamp</t>
        </is>
      </c>
      <c r="W172">
        <f>HYPERLINK("https://klasma.github.io/Logging_2481/artfynd/A 219-2025 artfynd.xlsx", "A 219-2025")</f>
        <v/>
      </c>
      <c r="X172">
        <f>HYPERLINK("https://klasma.github.io/Logging_2481/kartor/A 219-2025 karta.png", "A 219-2025")</f>
        <v/>
      </c>
      <c r="Y172">
        <f>HYPERLINK("https://klasma.github.io/Logging_2481/kartor_geotiff/A 219-2025 georefererad karta.tif", "A 219-2025")</f>
        <v/>
      </c>
      <c r="AA172">
        <f>HYPERLINK("https://klasma.github.io/Logging_2481/klagomål/A 219-2025 FSC-klagomål.docx", "A 219-2025")</f>
        <v/>
      </c>
      <c r="AB172">
        <f>HYPERLINK("https://klasma.github.io/Logging_2481/klagomålsmail/A 219-2025 FSC-klagomål mail.docx", "A 219-2025")</f>
        <v/>
      </c>
      <c r="AC172">
        <f>HYPERLINK("https://klasma.github.io/Logging_2481/tillsyn/A 219-2025 tillsynsbegäran.docx", "A 219-2025")</f>
        <v/>
      </c>
      <c r="AD172">
        <f>HYPERLINK("https://klasma.github.io/Logging_2481/tillsynsmail/A 219-2025 tillsynsbegäran mail.docx", "A 219-2025")</f>
        <v/>
      </c>
    </row>
    <row r="173" ht="15" customHeight="1">
      <c r="A173" t="inlineStr">
        <is>
          <t>A 28838-2024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46229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Kolflarnlav</t>
        </is>
      </c>
      <c r="W173">
        <f>HYPERLINK("https://klasma.github.io/Logging_2481/artfynd/A 28838-2024 artfynd.xlsx", "A 28838-2024")</f>
        <v/>
      </c>
      <c r="X173">
        <f>HYPERLINK("https://klasma.github.io/Logging_2481/kartor/A 28838-2024 karta.png", "A 28838-2024")</f>
        <v/>
      </c>
      <c r="Y173">
        <f>HYPERLINK("https://klasma.github.io/Logging_2481/kartor_geotiff/A 28838-2024 georefererad karta.tif", "A 28838-2024")</f>
        <v/>
      </c>
      <c r="AA173">
        <f>HYPERLINK("https://klasma.github.io/Logging_2481/klagomål/A 28838-2024 FSC-klagomål.docx", "A 28838-2024")</f>
        <v/>
      </c>
      <c r="AB173">
        <f>HYPERLINK("https://klasma.github.io/Logging_2481/klagomålsmail/A 28838-2024 FSC-klagomål mail.docx", "A 28838-2024")</f>
        <v/>
      </c>
      <c r="AC173">
        <f>HYPERLINK("https://klasma.github.io/Logging_2481/tillsyn/A 28838-2024 tillsynsbegäran.docx", "A 28838-2024")</f>
        <v/>
      </c>
      <c r="AD173">
        <f>HYPERLINK("https://klasma.github.io/Logging_2481/tillsynsmail/A 28838-2024 tillsynsbegäran mail.docx", "A 28838-2024")</f>
        <v/>
      </c>
    </row>
    <row r="174" ht="15" customHeight="1">
      <c r="A174" t="inlineStr">
        <is>
          <t>A 50826-2024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46229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Dropptaggsvamp</t>
        </is>
      </c>
      <c r="W174">
        <f>HYPERLINK("https://klasma.github.io/Logging_2481/artfynd/A 50826-2024 artfynd.xlsx", "A 50826-2024")</f>
        <v/>
      </c>
      <c r="X174">
        <f>HYPERLINK("https://klasma.github.io/Logging_2481/kartor/A 50826-2024 karta.png", "A 50826-2024")</f>
        <v/>
      </c>
      <c r="Y174">
        <f>HYPERLINK("https://klasma.github.io/Logging_2481/kartor_geotiff/A 50826-2024 georefererad karta.tif", "A 50826-2024")</f>
        <v/>
      </c>
      <c r="AA174">
        <f>HYPERLINK("https://klasma.github.io/Logging_2481/klagomål/A 50826-2024 FSC-klagomål.docx", "A 50826-2024")</f>
        <v/>
      </c>
      <c r="AB174">
        <f>HYPERLINK("https://klasma.github.io/Logging_2481/klagomålsmail/A 50826-2024 FSC-klagomål mail.docx", "A 50826-2024")</f>
        <v/>
      </c>
      <c r="AC174">
        <f>HYPERLINK("https://klasma.github.io/Logging_2481/tillsyn/A 50826-2024 tillsynsbegäran.docx", "A 50826-2024")</f>
        <v/>
      </c>
      <c r="AD174">
        <f>HYPERLINK("https://klasma.github.io/Logging_2481/tillsynsmail/A 50826-2024 tillsynsbegäran mail.docx", "A 50826-2024")</f>
        <v/>
      </c>
    </row>
    <row r="175" ht="15" customHeight="1">
      <c r="A175" t="inlineStr">
        <is>
          <t>A 496-2024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45299</v>
      </c>
      <c r="E175" s="1" t="n">
        <v>46229</v>
      </c>
      <c r="F175" t="inlineStr">
        <is>
          <t>VÄSTERBOTTENS LÄN</t>
        </is>
      </c>
      <c r="G175" t="inlineStr">
        <is>
          <t>LYCKSELE</t>
        </is>
      </c>
      <c r="I175" t="n">
        <v>5.2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7</v>
      </c>
      <c r="U175" t="n">
        <v>7</v>
      </c>
      <c r="V175" s="2" t="inlineStr">
        <is>
          <t>Tretåig hackspett</t>
        </is>
      </c>
      <c r="W175">
        <f>HYPERLINK("https://klasma.github.io/Logging_2481/artfynd/A 496-2024 artfynd.xlsx", "A 496-2024")</f>
        <v/>
      </c>
      <c r="X175">
        <f>HYPERLINK("https://klasma.github.io/Logging_2481/kartor/A 496-2024 karta.png", "A 496-2024")</f>
        <v/>
      </c>
      <c r="Y175">
        <f>HYPERLINK("https://klasma.github.io/Logging_2481/kartor_geotiff/A 496-2024 georefererad karta.tif", "A 496-2024")</f>
        <v/>
      </c>
      <c r="AA175">
        <f>HYPERLINK("https://klasma.github.io/Logging_2481/klagomål/A 496-2024 FSC-klagomål.docx", "A 496-2024")</f>
        <v/>
      </c>
      <c r="AB175">
        <f>HYPERLINK("https://klasma.github.io/Logging_2481/klagomålsmail/A 496-2024 FSC-klagomål mail.docx", "A 496-2024")</f>
        <v/>
      </c>
      <c r="AC175">
        <f>HYPERLINK("https://klasma.github.io/Logging_2481/tillsyn/A 496-2024 tillsynsbegäran.docx", "A 496-2024")</f>
        <v/>
      </c>
      <c r="AD175">
        <f>HYPERLINK("https://klasma.github.io/Logging_2481/tillsynsmail/A 496-2024 tillsynsbegäran mail.docx", "A 496-2024")</f>
        <v/>
      </c>
      <c r="AE175">
        <f>HYPERLINK("https://klasma.github.io/Logging_2481/fåglar/A 496-2024 prioriterade fågelarter.docx", "A 496-2024")</f>
        <v/>
      </c>
    </row>
    <row r="176" ht="15" customHeight="1">
      <c r="A176" t="inlineStr">
        <is>
          <t>A 22373-2025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46229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Garnlav</t>
        </is>
      </c>
      <c r="W176">
        <f>HYPERLINK("https://klasma.github.io/Logging_2481/artfynd/A 22373-2025 artfynd.xlsx", "A 22373-2025")</f>
        <v/>
      </c>
      <c r="X176">
        <f>HYPERLINK("https://klasma.github.io/Logging_2481/kartor/A 22373-2025 karta.png", "A 22373-2025")</f>
        <v/>
      </c>
      <c r="Y176">
        <f>HYPERLINK("https://klasma.github.io/Logging_2481/kartor_geotiff/A 22373-2025 georefererad karta.tif", "A 22373-2025")</f>
        <v/>
      </c>
      <c r="AA176">
        <f>HYPERLINK("https://klasma.github.io/Logging_2481/klagomål/A 22373-2025 FSC-klagomål.docx", "A 22373-2025")</f>
        <v/>
      </c>
      <c r="AB176">
        <f>HYPERLINK("https://klasma.github.io/Logging_2481/klagomålsmail/A 22373-2025 FSC-klagomål mail.docx", "A 22373-2025")</f>
        <v/>
      </c>
      <c r="AC176">
        <f>HYPERLINK("https://klasma.github.io/Logging_2481/tillsyn/A 22373-2025 tillsynsbegäran.docx", "A 22373-2025")</f>
        <v/>
      </c>
      <c r="AD176">
        <f>HYPERLINK("https://klasma.github.io/Logging_2481/tillsynsmail/A 22373-2025 tillsynsbegäran mail.docx", "A 22373-2025")</f>
        <v/>
      </c>
    </row>
    <row r="177" ht="15" customHeight="1">
      <c r="A177" t="inlineStr">
        <is>
          <t>A 53226-2022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44876</v>
      </c>
      <c r="E177" s="1" t="n">
        <v>46229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10.5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Ängsmetallvinge</t>
        </is>
      </c>
      <c r="W177">
        <f>HYPERLINK("https://klasma.github.io/Logging_2481/artfynd/A 53226-2022 artfynd.xlsx", "A 53226-2022")</f>
        <v/>
      </c>
      <c r="X177">
        <f>HYPERLINK("https://klasma.github.io/Logging_2481/kartor/A 53226-2022 karta.png", "A 53226-2022")</f>
        <v/>
      </c>
      <c r="Y177">
        <f>HYPERLINK("https://klasma.github.io/Logging_2481/kartor_geotiff/A 53226-2022 georefererad karta.tif", "A 53226-2022")</f>
        <v/>
      </c>
      <c r="AA177">
        <f>HYPERLINK("https://klasma.github.io/Logging_2481/klagomål/A 53226-2022 FSC-klagomål.docx", "A 53226-2022")</f>
        <v/>
      </c>
      <c r="AB177">
        <f>HYPERLINK("https://klasma.github.io/Logging_2481/klagomålsmail/A 53226-2022 FSC-klagomål mail.docx", "A 53226-2022")</f>
        <v/>
      </c>
      <c r="AC177">
        <f>HYPERLINK("https://klasma.github.io/Logging_2481/tillsyn/A 53226-2022 tillsynsbegäran.docx", "A 53226-2022")</f>
        <v/>
      </c>
      <c r="AD177">
        <f>HYPERLINK("https://klasma.github.io/Logging_2481/tillsynsmail/A 53226-2022 tillsynsbegäran mail.docx", "A 53226-2022")</f>
        <v/>
      </c>
    </row>
    <row r="178" ht="15" customHeight="1">
      <c r="A178" t="inlineStr">
        <is>
          <t>A 7768-2023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46229</v>
      </c>
      <c r="F178" t="inlineStr">
        <is>
          <t>VÄSTERBOTTENS LÄN</t>
        </is>
      </c>
      <c r="G178" t="inlineStr">
        <is>
          <t>LYCKSELE</t>
        </is>
      </c>
      <c r="I178" t="n">
        <v>2.3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HYPERLINK("https://klasma.github.io/Logging_2481/artfynd/A 7768-2023 artfynd.xlsx", "A 7768-2023")</f>
        <v/>
      </c>
      <c r="X178">
        <f>HYPERLINK("https://klasma.github.io/Logging_2481/kartor/A 7768-2023 karta.png", "A 7768-2023")</f>
        <v/>
      </c>
      <c r="Y178">
        <f>HYPERLINK("https://klasma.github.io/Logging_2481/kartor_geotiff/A 7768-2023 georefererad karta.tif", "A 7768-2023")</f>
        <v/>
      </c>
      <c r="Z178">
        <f>HYPERLINK("https://klasma.github.io/Logging_2481/knärot/A 7768-2023 karta knärot.png", "A 7768-2023")</f>
        <v/>
      </c>
      <c r="AA178">
        <f>HYPERLINK("https://klasma.github.io/Logging_2481/klagomål/A 7768-2023 FSC-klagomål.docx", "A 7768-2023")</f>
        <v/>
      </c>
      <c r="AB178">
        <f>HYPERLINK("https://klasma.github.io/Logging_2481/klagomålsmail/A 7768-2023 FSC-klagomål mail.docx", "A 7768-2023")</f>
        <v/>
      </c>
      <c r="AC178">
        <f>HYPERLINK("https://klasma.github.io/Logging_2481/tillsyn/A 7768-2023 tillsynsbegäran.docx", "A 7768-2023")</f>
        <v/>
      </c>
      <c r="AD178">
        <f>HYPERLINK("https://klasma.github.io/Logging_2481/tillsynsmail/A 7768-2023 tillsynsbegäran mail.docx", "A 7768-2023")</f>
        <v/>
      </c>
    </row>
    <row r="179" ht="15" customHeight="1">
      <c r="A179" t="inlineStr">
        <is>
          <t>A 30515-2025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46229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8.1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HYPERLINK("https://klasma.github.io/Logging_2481/artfynd/A 30515-2025 artfynd.xlsx", "A 30515-2025")</f>
        <v/>
      </c>
      <c r="X179">
        <f>HYPERLINK("https://klasma.github.io/Logging_2481/kartor/A 30515-2025 karta.png", "A 30515-2025")</f>
        <v/>
      </c>
      <c r="Y179">
        <f>HYPERLINK("https://klasma.github.io/Logging_2481/kartor_geotiff/A 30515-2025 georefererad karta.tif", "A 30515-2025")</f>
        <v/>
      </c>
      <c r="AA179">
        <f>HYPERLINK("https://klasma.github.io/Logging_2481/klagomål/A 30515-2025 FSC-klagomål.docx", "A 30515-2025")</f>
        <v/>
      </c>
      <c r="AB179">
        <f>HYPERLINK("https://klasma.github.io/Logging_2481/klagomålsmail/A 30515-2025 FSC-klagomål mail.docx", "A 30515-2025")</f>
        <v/>
      </c>
      <c r="AC179">
        <f>HYPERLINK("https://klasma.github.io/Logging_2481/tillsyn/A 30515-2025 tillsynsbegäran.docx", "A 30515-2025")</f>
        <v/>
      </c>
      <c r="AD179">
        <f>HYPERLINK("https://klasma.github.io/Logging_2481/tillsynsmail/A 30515-2025 tillsynsbegäran mail.docx", "A 30515-2025")</f>
        <v/>
      </c>
    </row>
    <row r="180" ht="15" customHeight="1">
      <c r="A180" t="inlineStr">
        <is>
          <t>A 33346-2025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46229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7.8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Doftskinn</t>
        </is>
      </c>
      <c r="W180">
        <f>HYPERLINK("https://klasma.github.io/Logging_2481/artfynd/A 33346-2025 artfynd.xlsx", "A 33346-2025")</f>
        <v/>
      </c>
      <c r="X180">
        <f>HYPERLINK("https://klasma.github.io/Logging_2481/kartor/A 33346-2025 karta.png", "A 33346-2025")</f>
        <v/>
      </c>
      <c r="Y180">
        <f>HYPERLINK("https://klasma.github.io/Logging_2481/kartor_geotiff/A 33346-2025 georefererad karta.tif", "A 33346-2025")</f>
        <v/>
      </c>
      <c r="AA180">
        <f>HYPERLINK("https://klasma.github.io/Logging_2481/klagomål/A 33346-2025 FSC-klagomål.docx", "A 33346-2025")</f>
        <v/>
      </c>
      <c r="AB180">
        <f>HYPERLINK("https://klasma.github.io/Logging_2481/klagomålsmail/A 33346-2025 FSC-klagomål mail.docx", "A 33346-2025")</f>
        <v/>
      </c>
      <c r="AC180">
        <f>HYPERLINK("https://klasma.github.io/Logging_2481/tillsyn/A 33346-2025 tillsynsbegäran.docx", "A 33346-2025")</f>
        <v/>
      </c>
      <c r="AD180">
        <f>HYPERLINK("https://klasma.github.io/Logging_2481/tillsynsmail/A 33346-2025 tillsynsbegäran mail.docx", "A 33346-2025")</f>
        <v/>
      </c>
    </row>
    <row r="181" ht="15" customHeight="1">
      <c r="A181" t="inlineStr">
        <is>
          <t>A 34032-2025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45845</v>
      </c>
      <c r="E181" s="1" t="n">
        <v>46229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34032-2025 artfynd.xlsx", "A 34032-2025")</f>
        <v/>
      </c>
      <c r="X181">
        <f>HYPERLINK("https://klasma.github.io/Logging_2481/kartor/A 34032-2025 karta.png", "A 34032-2025")</f>
        <v/>
      </c>
      <c r="Y181">
        <f>HYPERLINK("https://klasma.github.io/Logging_2481/kartor_geotiff/A 34032-2025 georefererad karta.tif", "A 34032-2025")</f>
        <v/>
      </c>
      <c r="AA181">
        <f>HYPERLINK("https://klasma.github.io/Logging_2481/klagomål/A 34032-2025 FSC-klagomål.docx", "A 34032-2025")</f>
        <v/>
      </c>
      <c r="AB181">
        <f>HYPERLINK("https://klasma.github.io/Logging_2481/klagomålsmail/A 34032-2025 FSC-klagomål mail.docx", "A 34032-2025")</f>
        <v/>
      </c>
      <c r="AC181">
        <f>HYPERLINK("https://klasma.github.io/Logging_2481/tillsyn/A 34032-2025 tillsynsbegäran.docx", "A 34032-2025")</f>
        <v/>
      </c>
      <c r="AD181">
        <f>HYPERLINK("https://klasma.github.io/Logging_2481/tillsynsmail/A 34032-2025 tillsynsbegäran mail.docx", "A 34032-2025")</f>
        <v/>
      </c>
    </row>
    <row r="182" ht="15" customHeight="1">
      <c r="A182" t="inlineStr">
        <is>
          <t>A 34958-2025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46229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4.1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Spillkråka</t>
        </is>
      </c>
      <c r="W182">
        <f>HYPERLINK("https://klasma.github.io/Logging_2481/artfynd/A 34958-2025 artfynd.xlsx", "A 34958-2025")</f>
        <v/>
      </c>
      <c r="X182">
        <f>HYPERLINK("https://klasma.github.io/Logging_2481/kartor/A 34958-2025 karta.png", "A 34958-2025")</f>
        <v/>
      </c>
      <c r="Y182">
        <f>HYPERLINK("https://klasma.github.io/Logging_2481/kartor_geotiff/A 34958-2025 georefererad karta.tif", "A 34958-2025")</f>
        <v/>
      </c>
      <c r="AA182">
        <f>HYPERLINK("https://klasma.github.io/Logging_2481/klagomål/A 34958-2025 FSC-klagomål.docx", "A 34958-2025")</f>
        <v/>
      </c>
      <c r="AB182">
        <f>HYPERLINK("https://klasma.github.io/Logging_2481/klagomålsmail/A 34958-2025 FSC-klagomål mail.docx", "A 34958-2025")</f>
        <v/>
      </c>
      <c r="AC182">
        <f>HYPERLINK("https://klasma.github.io/Logging_2481/tillsyn/A 34958-2025 tillsynsbegäran.docx", "A 34958-2025")</f>
        <v/>
      </c>
      <c r="AD182">
        <f>HYPERLINK("https://klasma.github.io/Logging_2481/tillsynsmail/A 34958-2025 tillsynsbegäran mail.docx", "A 34958-2025")</f>
        <v/>
      </c>
      <c r="AE182">
        <f>HYPERLINK("https://klasma.github.io/Logging_2481/fåglar/A 34958-2025 prioriterade fågelarter.docx", "A 34958-2025")</f>
        <v/>
      </c>
    </row>
    <row r="183" ht="15" customHeight="1">
      <c r="A183" t="inlineStr">
        <is>
          <t>A 35239-2025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45853</v>
      </c>
      <c r="E183" s="1" t="n">
        <v>46229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8.699999999999999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Gammelgransskål</t>
        </is>
      </c>
      <c r="W183">
        <f>HYPERLINK("https://klasma.github.io/Logging_2481/artfynd/A 35239-2025 artfynd.xlsx", "A 35239-2025")</f>
        <v/>
      </c>
      <c r="X183">
        <f>HYPERLINK("https://klasma.github.io/Logging_2481/kartor/A 35239-2025 karta.png", "A 35239-2025")</f>
        <v/>
      </c>
      <c r="Y183">
        <f>HYPERLINK("https://klasma.github.io/Logging_2481/kartor_geotiff/A 35239-2025 georefererad karta.tif", "A 35239-2025")</f>
        <v/>
      </c>
      <c r="AA183">
        <f>HYPERLINK("https://klasma.github.io/Logging_2481/klagomål/A 35239-2025 FSC-klagomål.docx", "A 35239-2025")</f>
        <v/>
      </c>
      <c r="AB183">
        <f>HYPERLINK("https://klasma.github.io/Logging_2481/klagomålsmail/A 35239-2025 FSC-klagomål mail.docx", "A 35239-2025")</f>
        <v/>
      </c>
      <c r="AC183">
        <f>HYPERLINK("https://klasma.github.io/Logging_2481/tillsyn/A 35239-2025 tillsynsbegäran.docx", "A 35239-2025")</f>
        <v/>
      </c>
      <c r="AD183">
        <f>HYPERLINK("https://klasma.github.io/Logging_2481/tillsynsmail/A 35239-2025 tillsynsbegäran mail.docx", "A 35239-2025")</f>
        <v/>
      </c>
    </row>
    <row r="184" ht="15" customHeight="1">
      <c r="A184" t="inlineStr">
        <is>
          <t>A 35226-2025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45853</v>
      </c>
      <c r="E184" s="1" t="n">
        <v>46229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14.7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Tretåig hackspett</t>
        </is>
      </c>
      <c r="W184">
        <f>HYPERLINK("https://klasma.github.io/Logging_2481/artfynd/A 35226-2025 artfynd.xlsx", "A 35226-2025")</f>
        <v/>
      </c>
      <c r="X184">
        <f>HYPERLINK("https://klasma.github.io/Logging_2481/kartor/A 35226-2025 karta.png", "A 35226-2025")</f>
        <v/>
      </c>
      <c r="Y184">
        <f>HYPERLINK("https://klasma.github.io/Logging_2481/kartor_geotiff/A 35226-2025 georefererad karta.tif", "A 35226-2025")</f>
        <v/>
      </c>
      <c r="AA184">
        <f>HYPERLINK("https://klasma.github.io/Logging_2481/klagomål/A 35226-2025 FSC-klagomål.docx", "A 35226-2025")</f>
        <v/>
      </c>
      <c r="AB184">
        <f>HYPERLINK("https://klasma.github.io/Logging_2481/klagomålsmail/A 35226-2025 FSC-klagomål mail.docx", "A 35226-2025")</f>
        <v/>
      </c>
      <c r="AC184">
        <f>HYPERLINK("https://klasma.github.io/Logging_2481/tillsyn/A 35226-2025 tillsynsbegäran.docx", "A 35226-2025")</f>
        <v/>
      </c>
      <c r="AD184">
        <f>HYPERLINK("https://klasma.github.io/Logging_2481/tillsynsmail/A 35226-2025 tillsynsbegäran mail.docx", "A 35226-2025")</f>
        <v/>
      </c>
      <c r="AE184">
        <f>HYPERLINK("https://klasma.github.io/Logging_2481/fåglar/A 35226-2025 prioriterade fågelarter.docx", "A 35226-2025")</f>
        <v/>
      </c>
    </row>
    <row r="185" ht="15" customHeight="1">
      <c r="A185" t="inlineStr">
        <is>
          <t>A 7398-2025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45705</v>
      </c>
      <c r="E185" s="1" t="n">
        <v>46229</v>
      </c>
      <c r="F185" t="inlineStr">
        <is>
          <t>VÄSTERBOTTENS LÄN</t>
        </is>
      </c>
      <c r="G185" t="inlineStr">
        <is>
          <t>LYCKSELE</t>
        </is>
      </c>
      <c r="I185" t="n">
        <v>2.4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Gråspett</t>
        </is>
      </c>
      <c r="W185">
        <f>HYPERLINK("https://klasma.github.io/Logging_2481/artfynd/A 7398-2025 artfynd.xlsx", "A 7398-2025")</f>
        <v/>
      </c>
      <c r="X185">
        <f>HYPERLINK("https://klasma.github.io/Logging_2481/kartor/A 7398-2025 karta.png", "A 7398-2025")</f>
        <v/>
      </c>
      <c r="Y185">
        <f>HYPERLINK("https://klasma.github.io/Logging_2481/kartor_geotiff/A 7398-2025 georefererad karta.tif", "A 7398-2025")</f>
        <v/>
      </c>
      <c r="AA185">
        <f>HYPERLINK("https://klasma.github.io/Logging_2481/klagomål/A 7398-2025 FSC-klagomål.docx", "A 7398-2025")</f>
        <v/>
      </c>
      <c r="AB185">
        <f>HYPERLINK("https://klasma.github.io/Logging_2481/klagomålsmail/A 7398-2025 FSC-klagomål mail.docx", "A 7398-2025")</f>
        <v/>
      </c>
      <c r="AC185">
        <f>HYPERLINK("https://klasma.github.io/Logging_2481/tillsyn/A 7398-2025 tillsynsbegäran.docx", "A 7398-2025")</f>
        <v/>
      </c>
      <c r="AD185">
        <f>HYPERLINK("https://klasma.github.io/Logging_2481/tillsynsmail/A 7398-2025 tillsynsbegäran mail.docx", "A 7398-2025")</f>
        <v/>
      </c>
      <c r="AE185">
        <f>HYPERLINK("https://klasma.github.io/Logging_2481/fåglar/A 7398-2025 prioriterade fågelarter.docx", "A 7398-2025")</f>
        <v/>
      </c>
    </row>
    <row r="186" ht="15" customHeight="1">
      <c r="A186" t="inlineStr">
        <is>
          <t>A 35981-2025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45863</v>
      </c>
      <c r="E186" s="1" t="n">
        <v>46229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Dropptaggsvamp</t>
        </is>
      </c>
      <c r="W186">
        <f>HYPERLINK("https://klasma.github.io/Logging_2481/artfynd/A 35981-2025 artfynd.xlsx", "A 35981-2025")</f>
        <v/>
      </c>
      <c r="X186">
        <f>HYPERLINK("https://klasma.github.io/Logging_2481/kartor/A 35981-2025 karta.png", "A 35981-2025")</f>
        <v/>
      </c>
      <c r="Y186">
        <f>HYPERLINK("https://klasma.github.io/Logging_2481/kartor_geotiff/A 35981-2025 georefererad karta.tif", "A 35981-2025")</f>
        <v/>
      </c>
      <c r="AA186">
        <f>HYPERLINK("https://klasma.github.io/Logging_2481/klagomål/A 35981-2025 FSC-klagomål.docx", "A 35981-2025")</f>
        <v/>
      </c>
      <c r="AB186">
        <f>HYPERLINK("https://klasma.github.io/Logging_2481/klagomålsmail/A 35981-2025 FSC-klagomål mail.docx", "A 35981-2025")</f>
        <v/>
      </c>
      <c r="AC186">
        <f>HYPERLINK("https://klasma.github.io/Logging_2481/tillsyn/A 35981-2025 tillsynsbegäran.docx", "A 35981-2025")</f>
        <v/>
      </c>
      <c r="AD186">
        <f>HYPERLINK("https://klasma.github.io/Logging_2481/tillsynsmail/A 35981-2025 tillsynsbegäran mail.docx", "A 35981-2025")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46229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Norrlandslav</t>
        </is>
      </c>
      <c r="W187">
        <f>HYPERLINK("https://klasma.github.io/Logging_2481/artfynd/S 156-2023 artfynd.xlsx", "S 156-2023")</f>
        <v/>
      </c>
      <c r="X187">
        <f>HYPERLINK("https://klasma.github.io/Logging_2481/kartor/S 156-2023 karta.png", "S 156-2023")</f>
        <v/>
      </c>
      <c r="Y187">
        <f>HYPERLINK("https://klasma.github.io/Logging_2481/kartor_geotiff/S 156-2023 georefererad karta.tif", "S 156-2023")</f>
        <v/>
      </c>
      <c r="AA187">
        <f>HYPERLINK("https://klasma.github.io/Logging_2481/klagomål/S 156-2023 FSC-klagomål.docx", "S 156-2023")</f>
        <v/>
      </c>
      <c r="AB187">
        <f>HYPERLINK("https://klasma.github.io/Logging_2481/klagomålsmail/S 156-2023 FSC-klagomål mail.docx", "S 156-2023")</f>
        <v/>
      </c>
      <c r="AC187">
        <f>HYPERLINK("https://klasma.github.io/Logging_2481/tillsyn/S 156-2023 tillsynsbegäran.docx", "S 156-2023")</f>
        <v/>
      </c>
      <c r="AD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46229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Doftticka</t>
        </is>
      </c>
      <c r="W188">
        <f>HYPERLINK("https://klasma.github.io/Logging_2481/artfynd/S 454-2025 artfynd.xlsx", "S 454-2025")</f>
        <v/>
      </c>
      <c r="X188">
        <f>HYPERLINK("https://klasma.github.io/Logging_2481/kartor/S 454-2025 karta.png", "S 454-2025")</f>
        <v/>
      </c>
      <c r="Y188">
        <f>HYPERLINK("https://klasma.github.io/Logging_2481/kartor_geotiff/S 454-2025 georefererad karta.tif", "S 454-2025")</f>
        <v/>
      </c>
      <c r="AA188">
        <f>HYPERLINK("https://klasma.github.io/Logging_2481/klagomål/S 454-2025 FSC-klagomål.docx", "S 454-2025")</f>
        <v/>
      </c>
      <c r="AB188">
        <f>HYPERLINK("https://klasma.github.io/Logging_2481/klagomålsmail/S 454-2025 FSC-klagomål mail.docx", "S 454-2025")</f>
        <v/>
      </c>
      <c r="AC188">
        <f>HYPERLINK("https://klasma.github.io/Logging_2481/tillsyn/S 454-2025 tillsynsbegäran.docx", "S 454-2025")</f>
        <v/>
      </c>
      <c r="AD188">
        <f>HYPERLINK("https://klasma.github.io/Logging_2481/tillsynsmail/S 454-2025 tillsynsbegäran mail.docx", "S 454-2025")</f>
        <v/>
      </c>
    </row>
    <row r="189" ht="15" customHeight="1">
      <c r="A189" t="inlineStr">
        <is>
          <t>A 37987-2021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44403</v>
      </c>
      <c r="E189" s="1" t="n">
        <v>46229</v>
      </c>
      <c r="F189" t="inlineStr">
        <is>
          <t>VÄSTERBOTTENS LÄN</t>
        </is>
      </c>
      <c r="G189" t="inlineStr">
        <is>
          <t>LYCKSELE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60044-2021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44495</v>
      </c>
      <c r="E190" s="1" t="n">
        <v>46229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44805</v>
      </c>
      <c r="E191" s="1" t="n">
        <v>46229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44567</v>
      </c>
      <c r="E192" s="1" t="n">
        <v>46229</v>
      </c>
      <c r="F192" t="inlineStr">
        <is>
          <t>VÄSTERBOTTENS LÄN</t>
        </is>
      </c>
      <c r="G192" t="inlineStr">
        <is>
          <t>LYCKSELE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42144-2021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44426</v>
      </c>
      <c r="E193" s="1" t="n">
        <v>46229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57821-2021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44484</v>
      </c>
      <c r="E194" s="1" t="n">
        <v>46229</v>
      </c>
      <c r="F194" t="inlineStr">
        <is>
          <t>VÄSTERBOTTENS LÄN</t>
        </is>
      </c>
      <c r="G194" t="inlineStr">
        <is>
          <t>LYCKSELE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46229</v>
      </c>
      <c r="F195" t="inlineStr">
        <is>
          <t>VÄSTERBOTTENS LÄN</t>
        </is>
      </c>
      <c r="G195" t="inlineStr">
        <is>
          <t>LYCKSELE</t>
        </is>
      </c>
      <c r="I195" t="n">
        <v>11.8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44446</v>
      </c>
      <c r="E196" s="1" t="n">
        <v>46229</v>
      </c>
      <c r="F196" t="inlineStr">
        <is>
          <t>VÄSTERBOTTENS LÄN</t>
        </is>
      </c>
      <c r="G196" t="inlineStr">
        <is>
          <t>LYCKSELE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46229</v>
      </c>
      <c r="F197" t="inlineStr">
        <is>
          <t>VÄSTERBOTTENS LÄN</t>
        </is>
      </c>
      <c r="G197" t="inlineStr">
        <is>
          <t>LYCKSELE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44403</v>
      </c>
      <c r="E198" s="1" t="n">
        <v>46229</v>
      </c>
      <c r="F198" t="inlineStr">
        <is>
          <t>VÄSTERBOTTENS LÄN</t>
        </is>
      </c>
      <c r="G198" t="inlineStr">
        <is>
          <t>LYCKSELE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70213-2021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44535</v>
      </c>
      <c r="E199" s="1" t="n">
        <v>46229</v>
      </c>
      <c r="F199" t="inlineStr">
        <is>
          <t>VÄSTERBOTTENS LÄN</t>
        </is>
      </c>
      <c r="G199" t="inlineStr">
        <is>
          <t>LYCKSELE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33235-2022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44785</v>
      </c>
      <c r="E200" s="1" t="n">
        <v>46229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SCA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46229</v>
      </c>
      <c r="F201" t="inlineStr">
        <is>
          <t>VÄSTERBOTTENS LÄN</t>
        </is>
      </c>
      <c r="G201" t="inlineStr">
        <is>
          <t>LYCKSELE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46229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46229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22076-2022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44711</v>
      </c>
      <c r="E204" s="1" t="n">
        <v>46229</v>
      </c>
      <c r="F204" t="inlineStr">
        <is>
          <t>VÄSTERBOTTENS LÄN</t>
        </is>
      </c>
      <c r="G204" t="inlineStr">
        <is>
          <t>LYCKSELE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46229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44784</v>
      </c>
      <c r="E206" s="1" t="n">
        <v>46229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44622</v>
      </c>
      <c r="E207" s="1" t="n">
        <v>46229</v>
      </c>
      <c r="F207" t="inlineStr">
        <is>
          <t>VÄSTERBOTTENS LÄN</t>
        </is>
      </c>
      <c r="G207" t="inlineStr">
        <is>
          <t>LYCKSELE</t>
        </is>
      </c>
      <c r="I207" t="n">
        <v>13.8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38544-2021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44407</v>
      </c>
      <c r="E208" s="1" t="n">
        <v>46229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44405</v>
      </c>
      <c r="E209" s="1" t="n">
        <v>46229</v>
      </c>
      <c r="F209" t="inlineStr">
        <is>
          <t>VÄSTERBOTTENS LÄN</t>
        </is>
      </c>
      <c r="G209" t="inlineStr">
        <is>
          <t>LYCKSELE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46229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46229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46229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44761</v>
      </c>
      <c r="E213" s="1" t="n">
        <v>46229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46229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46229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46229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46229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46229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46229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46229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46229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46229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46229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46229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46229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46229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46229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46229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46229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42818-2021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44429</v>
      </c>
      <c r="E230" s="1" t="n">
        <v>46229</v>
      </c>
      <c r="F230" t="inlineStr">
        <is>
          <t>VÄSTERBOTTENS LÄN</t>
        </is>
      </c>
      <c r="G230" t="inlineStr">
        <is>
          <t>LYCKSELE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53974-2021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46229</v>
      </c>
      <c r="F231" t="inlineStr">
        <is>
          <t>VÄSTERBOTTENS LÄN</t>
        </is>
      </c>
      <c r="G231" t="inlineStr">
        <is>
          <t>LYCKSELE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43579-2021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44433</v>
      </c>
      <c r="E232" s="1" t="n">
        <v>46229</v>
      </c>
      <c r="F232" t="inlineStr">
        <is>
          <t>VÄSTERBOTTENS LÄN</t>
        </is>
      </c>
      <c r="G232" t="inlineStr">
        <is>
          <t>LYCKSELE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63827-2021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44509</v>
      </c>
      <c r="E233" s="1" t="n">
        <v>46229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46229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44564</v>
      </c>
      <c r="E235" s="1" t="n">
        <v>46229</v>
      </c>
      <c r="F235" t="inlineStr">
        <is>
          <t>VÄSTERBOTTENS LÄN</t>
        </is>
      </c>
      <c r="G235" t="inlineStr">
        <is>
          <t>LYCKSELE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72332-2021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44545</v>
      </c>
      <c r="E236" s="1" t="n">
        <v>46229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46229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45964-2022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44846</v>
      </c>
      <c r="E238" s="1" t="n">
        <v>46229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46229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46229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46229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46229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44837</v>
      </c>
      <c r="E243" s="1" t="n">
        <v>46229</v>
      </c>
      <c r="F243" t="inlineStr">
        <is>
          <t>VÄSTERBOTTENS LÄN</t>
        </is>
      </c>
      <c r="G243" t="inlineStr">
        <is>
          <t>LYCKSELE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53027-2022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44875</v>
      </c>
      <c r="E244" s="1" t="n">
        <v>46229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46229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65231-2021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44513</v>
      </c>
      <c r="E246" s="1" t="n">
        <v>46229</v>
      </c>
      <c r="F246" t="inlineStr">
        <is>
          <t>VÄSTERBOTTENS LÄN</t>
        </is>
      </c>
      <c r="G246" t="inlineStr">
        <is>
          <t>LYCKSELE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45266-2021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44439</v>
      </c>
      <c r="E247" s="1" t="n">
        <v>46229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70817-2021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44537</v>
      </c>
      <c r="E248" s="1" t="n">
        <v>46229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Naturvårdsverket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61554-2021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46229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44632-2021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44437</v>
      </c>
      <c r="E250" s="1" t="n">
        <v>46229</v>
      </c>
      <c r="F250" t="inlineStr">
        <is>
          <t>VÄSTERBOTTENS LÄN</t>
        </is>
      </c>
      <c r="G250" t="inlineStr">
        <is>
          <t>LYCKSELE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21058-2022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44704</v>
      </c>
      <c r="E251" s="1" t="n">
        <v>46229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46229</v>
      </c>
      <c r="F252" t="inlineStr">
        <is>
          <t>VÄSTERBOTTENS LÄN</t>
        </is>
      </c>
      <c r="G252" t="inlineStr">
        <is>
          <t>LYCKSELE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49816-2021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44454</v>
      </c>
      <c r="E253" s="1" t="n">
        <v>46229</v>
      </c>
      <c r="F253" t="inlineStr">
        <is>
          <t>VÄSTERBOTTENS LÄN</t>
        </is>
      </c>
      <c r="G253" t="inlineStr">
        <is>
          <t>LYCKSELE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60437-2021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44496</v>
      </c>
      <c r="E254" s="1" t="n">
        <v>46229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47067-2021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44446</v>
      </c>
      <c r="E255" s="1" t="n">
        <v>46229</v>
      </c>
      <c r="F255" t="inlineStr">
        <is>
          <t>VÄSTERBOTTENS LÄN</t>
        </is>
      </c>
      <c r="G255" t="inlineStr">
        <is>
          <t>LYCKSELE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46229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16274-2022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46229</v>
      </c>
      <c r="F257" t="inlineStr">
        <is>
          <t>VÄSTERBOTTENS LÄN</t>
        </is>
      </c>
      <c r="G257" t="inlineStr">
        <is>
          <t>LYCKSELE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45457</v>
      </c>
      <c r="E258" s="1" t="n">
        <v>46229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46229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46229</v>
      </c>
      <c r="F260" t="inlineStr">
        <is>
          <t>VÄSTERBOTTENS LÄN</t>
        </is>
      </c>
      <c r="G260" t="inlineStr">
        <is>
          <t>LYCKSELE</t>
        </is>
      </c>
      <c r="I260" t="n">
        <v>17.8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46229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46229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46229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46229</v>
      </c>
      <c r="F264" t="inlineStr">
        <is>
          <t>VÄSTERBOTTENS LÄN</t>
        </is>
      </c>
      <c r="G264" t="inlineStr">
        <is>
          <t>LYCKSELE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46229</v>
      </c>
      <c r="F265" t="inlineStr">
        <is>
          <t>VÄSTERBOTTENS LÄN</t>
        </is>
      </c>
      <c r="G265" t="inlineStr">
        <is>
          <t>LYCKSELE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44826</v>
      </c>
      <c r="E266" s="1" t="n">
        <v>46229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Naturvårdsverket</t>
        </is>
      </c>
      <c r="I266" t="n">
        <v>32.1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46229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44880</v>
      </c>
      <c r="E268" s="1" t="n">
        <v>46229</v>
      </c>
      <c r="F268" t="inlineStr">
        <is>
          <t>VÄSTERBOTTENS LÄN</t>
        </is>
      </c>
      <c r="G268" t="inlineStr">
        <is>
          <t>LYCKSELE</t>
        </is>
      </c>
      <c r="I268" t="n">
        <v>10.5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45751</v>
      </c>
      <c r="E269" s="1" t="n">
        <v>46229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Holmen skog AB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46229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46229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46229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13.6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45142</v>
      </c>
      <c r="E273" s="1" t="n">
        <v>46229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34043-2023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45135</v>
      </c>
      <c r="E274" s="1" t="n">
        <v>46229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46229</v>
      </c>
      <c r="F275" t="inlineStr">
        <is>
          <t>VÄSTERBOTTENS LÄN</t>
        </is>
      </c>
      <c r="G275" t="inlineStr">
        <is>
          <t>LYCKSELE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46229</v>
      </c>
      <c r="F276" t="inlineStr">
        <is>
          <t>VÄSTERBOTTENS LÄN</t>
        </is>
      </c>
      <c r="G276" t="inlineStr">
        <is>
          <t>LYCKSELE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46229</v>
      </c>
      <c r="F277" t="inlineStr">
        <is>
          <t>VÄSTERBOTTENS LÄN</t>
        </is>
      </c>
      <c r="G277" t="inlineStr">
        <is>
          <t>LYCKSELE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45681</v>
      </c>
      <c r="E278" s="1" t="n">
        <v>46229</v>
      </c>
      <c r="F278" t="inlineStr">
        <is>
          <t>VÄSTERBOTTENS LÄN</t>
        </is>
      </c>
      <c r="G278" t="inlineStr">
        <is>
          <t>LYCKSELE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45742</v>
      </c>
      <c r="E279" s="1" t="n">
        <v>46229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Naturvårdsverket</t>
        </is>
      </c>
      <c r="I279" t="n">
        <v>10.4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45488</v>
      </c>
      <c r="E280" s="1" t="n">
        <v>46229</v>
      </c>
      <c r="F280" t="inlineStr">
        <is>
          <t>VÄSTERBOTTENS LÄN</t>
        </is>
      </c>
      <c r="G280" t="inlineStr">
        <is>
          <t>LYCKSELE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44761</v>
      </c>
      <c r="E281" s="1" t="n">
        <v>46229</v>
      </c>
      <c r="F281" t="inlineStr">
        <is>
          <t>VÄSTERBOTTENS LÄN</t>
        </is>
      </c>
      <c r="G281" t="inlineStr">
        <is>
          <t>LYCKSELE</t>
        </is>
      </c>
      <c r="I281" t="n">
        <v>11.9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58439-2022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44901</v>
      </c>
      <c r="E282" s="1" t="n">
        <v>46229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45544</v>
      </c>
      <c r="E283" s="1" t="n">
        <v>46229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56401-2021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44477</v>
      </c>
      <c r="E284" s="1" t="n">
        <v>46229</v>
      </c>
      <c r="F284" t="inlineStr">
        <is>
          <t>VÄSTERBOTTENS LÄN</t>
        </is>
      </c>
      <c r="G284" t="inlineStr">
        <is>
          <t>LYCKSELE</t>
        </is>
      </c>
      <c r="I284" t="n">
        <v>11.5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45312-2024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45576</v>
      </c>
      <c r="E285" s="1" t="n">
        <v>46229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38114-2024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45545</v>
      </c>
      <c r="E286" s="1" t="n">
        <v>46229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SCA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46229</v>
      </c>
      <c r="F287" t="inlineStr">
        <is>
          <t>VÄSTERBOTTENS LÄN</t>
        </is>
      </c>
      <c r="G287" t="inlineStr">
        <is>
          <t>LYCKSELE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46229</v>
      </c>
      <c r="F288" t="inlineStr">
        <is>
          <t>VÄSTERBOTTENS LÄN</t>
        </is>
      </c>
      <c r="G288" t="inlineStr">
        <is>
          <t>LYCKSELE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45378</v>
      </c>
      <c r="E289" s="1" t="n">
        <v>46229</v>
      </c>
      <c r="F289" t="inlineStr">
        <is>
          <t>VÄSTERBOTTENS LÄN</t>
        </is>
      </c>
      <c r="G289" t="inlineStr">
        <is>
          <t>LYCKSELE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45503</v>
      </c>
      <c r="E290" s="1" t="n">
        <v>46229</v>
      </c>
      <c r="F290" t="inlineStr">
        <is>
          <t>VÄSTERBOTTENS LÄN</t>
        </is>
      </c>
      <c r="G290" t="inlineStr">
        <is>
          <t>LYCKSELE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47131-2024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45586</v>
      </c>
      <c r="E291" s="1" t="n">
        <v>46229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44571</v>
      </c>
      <c r="E292" s="1" t="n">
        <v>46229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26397-2022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44735</v>
      </c>
      <c r="E293" s="1" t="n">
        <v>46229</v>
      </c>
      <c r="F293" t="inlineStr">
        <is>
          <t>VÄSTERBOTTENS LÄN</t>
        </is>
      </c>
      <c r="G293" t="inlineStr">
        <is>
          <t>LYCKSELE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45462</v>
      </c>
      <c r="E294" s="1" t="n">
        <v>46229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58920-2022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46229</v>
      </c>
      <c r="F295" t="inlineStr">
        <is>
          <t>VÄSTERBOTTENS LÄN</t>
        </is>
      </c>
      <c r="G295" t="inlineStr">
        <is>
          <t>LYCKSELE</t>
        </is>
      </c>
      <c r="I295" t="n">
        <v>20.5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45561</v>
      </c>
      <c r="E296" s="1" t="n">
        <v>46229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45751</v>
      </c>
      <c r="E297" s="1" t="n">
        <v>46229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Holmen skog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45226</v>
      </c>
      <c r="E298" s="1" t="n">
        <v>46229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SCA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45457</v>
      </c>
      <c r="E299" s="1" t="n">
        <v>46229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44952</v>
      </c>
      <c r="E300" s="1" t="n">
        <v>46229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45154</v>
      </c>
      <c r="E301" s="1" t="n">
        <v>46229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57263-2024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46229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41749-2024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45561</v>
      </c>
      <c r="E303" s="1" t="n">
        <v>46229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57246-2024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46229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46229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64336-2023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46229</v>
      </c>
      <c r="F306" t="inlineStr">
        <is>
          <t>VÄSTERBOTTENS LÄN</t>
        </is>
      </c>
      <c r="G306" t="inlineStr">
        <is>
          <t>LYCKSELE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45694</v>
      </c>
      <c r="E307" s="1" t="n">
        <v>46229</v>
      </c>
      <c r="F307" t="inlineStr">
        <is>
          <t>VÄSTERBOTTENS LÄN</t>
        </is>
      </c>
      <c r="G307" t="inlineStr">
        <is>
          <t>LYCKSELE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46229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43875-2023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45187</v>
      </c>
      <c r="E309" s="1" t="n">
        <v>46229</v>
      </c>
      <c r="F309" t="inlineStr">
        <is>
          <t>VÄSTERBOTTENS LÄN</t>
        </is>
      </c>
      <c r="G309" t="inlineStr">
        <is>
          <t>LYCKSELE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46229</v>
      </c>
      <c r="F310" t="inlineStr">
        <is>
          <t>VÄSTERBOTTENS LÄN</t>
        </is>
      </c>
      <c r="G310" t="inlineStr">
        <is>
          <t>LYCKSELE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45103</v>
      </c>
      <c r="E311" s="1" t="n">
        <v>46229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44571</v>
      </c>
      <c r="E312" s="1" t="n">
        <v>46229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45541</v>
      </c>
      <c r="E313" s="1" t="n">
        <v>46229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45744</v>
      </c>
      <c r="E314" s="1" t="n">
        <v>46229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45677</v>
      </c>
      <c r="E315" s="1" t="n">
        <v>46229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44468</v>
      </c>
      <c r="E316" s="1" t="n">
        <v>46229</v>
      </c>
      <c r="F316" t="inlineStr">
        <is>
          <t>VÄSTERBOTTENS LÄN</t>
        </is>
      </c>
      <c r="G316" t="inlineStr">
        <is>
          <t>LYCKSELE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21660-2023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45063</v>
      </c>
      <c r="E317" s="1" t="n">
        <v>46229</v>
      </c>
      <c r="F317" t="inlineStr">
        <is>
          <t>VÄSTERBOTTENS LÄN</t>
        </is>
      </c>
      <c r="G317" t="inlineStr">
        <is>
          <t>LYCKSELE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46229</v>
      </c>
      <c r="F318" t="inlineStr">
        <is>
          <t>VÄSTERBOTTENS LÄN</t>
        </is>
      </c>
      <c r="G318" t="inlineStr">
        <is>
          <t>LYCKSELE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45208</v>
      </c>
      <c r="E319" s="1" t="n">
        <v>46229</v>
      </c>
      <c r="F319" t="inlineStr">
        <is>
          <t>VÄSTERBOTTENS LÄN</t>
        </is>
      </c>
      <c r="G319" t="inlineStr">
        <is>
          <t>LYCKSELE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53369-2022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44874</v>
      </c>
      <c r="E320" s="1" t="n">
        <v>46229</v>
      </c>
      <c r="F320" t="inlineStr">
        <is>
          <t>VÄSTERBOTTENS LÄN</t>
        </is>
      </c>
      <c r="G320" t="inlineStr">
        <is>
          <t>LYCKSELE</t>
        </is>
      </c>
      <c r="I320" t="n">
        <v>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44733</v>
      </c>
      <c r="E321" s="1" t="n">
        <v>46229</v>
      </c>
      <c r="F321" t="inlineStr">
        <is>
          <t>VÄSTERBOTTENS LÄN</t>
        </is>
      </c>
      <c r="G321" t="inlineStr">
        <is>
          <t>LYCKSELE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46229</v>
      </c>
      <c r="F322" t="inlineStr">
        <is>
          <t>VÄSTERBOTTENS LÄN</t>
        </is>
      </c>
      <c r="G322" t="inlineStr">
        <is>
          <t>LYCKSELE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45124</v>
      </c>
      <c r="E323" s="1" t="n">
        <v>46229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45491</v>
      </c>
      <c r="E324" s="1" t="n">
        <v>46229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45652</v>
      </c>
      <c r="E325" s="1" t="n">
        <v>46229</v>
      </c>
      <c r="F325" t="inlineStr">
        <is>
          <t>VÄSTERBOTTENS LÄN</t>
        </is>
      </c>
      <c r="G325" t="inlineStr">
        <is>
          <t>LYCKSELE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64668-2023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45281</v>
      </c>
      <c r="E326" s="1" t="n">
        <v>46229</v>
      </c>
      <c r="F326" t="inlineStr">
        <is>
          <t>VÄSTERBOTTENS LÄN</t>
        </is>
      </c>
      <c r="G326" t="inlineStr">
        <is>
          <t>LYCKSELE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44566</v>
      </c>
      <c r="E327" s="1" t="n">
        <v>46229</v>
      </c>
      <c r="F327" t="inlineStr">
        <is>
          <t>VÄSTERBOTTENS LÄN</t>
        </is>
      </c>
      <c r="G327" t="inlineStr">
        <is>
          <t>LYCKSELE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18156-2023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45040</v>
      </c>
      <c r="E328" s="1" t="n">
        <v>46229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SCA</t>
        </is>
      </c>
      <c r="I328" t="n">
        <v>22.9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45474</v>
      </c>
      <c r="E329" s="1" t="n">
        <v>46229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Naturvårdsverket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37817-2024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46229</v>
      </c>
      <c r="F330" t="inlineStr">
        <is>
          <t>VÄSTERBOTTENS LÄN</t>
        </is>
      </c>
      <c r="G330" t="inlineStr">
        <is>
          <t>LYCKSELE</t>
        </is>
      </c>
      <c r="I330" t="n">
        <v>12.3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34060-2023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45135</v>
      </c>
      <c r="E331" s="1" t="n">
        <v>46229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45544</v>
      </c>
      <c r="E332" s="1" t="n">
        <v>46229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45469</v>
      </c>
      <c r="E333" s="1" t="n">
        <v>46229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45685</v>
      </c>
      <c r="E334" s="1" t="n">
        <v>46229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25020-2024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45461</v>
      </c>
      <c r="E335" s="1" t="n">
        <v>46229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SCA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8035-2024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45350</v>
      </c>
      <c r="E336" s="1" t="n">
        <v>46229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46229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46229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64663-2023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45281</v>
      </c>
      <c r="E339" s="1" t="n">
        <v>46229</v>
      </c>
      <c r="F339" t="inlineStr">
        <is>
          <t>VÄSTERBOTTENS LÄN</t>
        </is>
      </c>
      <c r="G339" t="inlineStr">
        <is>
          <t>LYCKSELE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59209-2024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45637</v>
      </c>
      <c r="E340" s="1" t="n">
        <v>46229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45618</v>
      </c>
      <c r="E341" s="1" t="n">
        <v>46229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11626-2024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45373</v>
      </c>
      <c r="E342" s="1" t="n">
        <v>46229</v>
      </c>
      <c r="F342" t="inlineStr">
        <is>
          <t>VÄSTERBOTTENS LÄN</t>
        </is>
      </c>
      <c r="G342" t="inlineStr">
        <is>
          <t>LYCKSELE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26357-2023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45091</v>
      </c>
      <c r="E343" s="1" t="n">
        <v>46229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18365-2023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45041</v>
      </c>
      <c r="E344" s="1" t="n">
        <v>46229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22.4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16669-2022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44672</v>
      </c>
      <c r="E345" s="1" t="n">
        <v>46229</v>
      </c>
      <c r="F345" t="inlineStr">
        <is>
          <t>VÄSTERBOTTENS LÄN</t>
        </is>
      </c>
      <c r="G345" t="inlineStr">
        <is>
          <t>LYCKSELE</t>
        </is>
      </c>
      <c r="I345" t="n">
        <v>12.8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48230-2023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46229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41256-2022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44826</v>
      </c>
      <c r="E347" s="1" t="n">
        <v>46229</v>
      </c>
      <c r="F347" t="inlineStr">
        <is>
          <t>VÄSTERBOTTENS LÄN</t>
        </is>
      </c>
      <c r="G347" t="inlineStr">
        <is>
          <t>LYCKSELE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44465-2022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44840</v>
      </c>
      <c r="E348" s="1" t="n">
        <v>46229</v>
      </c>
      <c r="F348" t="inlineStr">
        <is>
          <t>VÄSTERBOTTENS LÄN</t>
        </is>
      </c>
      <c r="G348" t="inlineStr">
        <is>
          <t>LYCKSELE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13883-2025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45737</v>
      </c>
      <c r="E349" s="1" t="n">
        <v>46229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Naturvårdsverket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25170-2024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45462</v>
      </c>
      <c r="E350" s="1" t="n">
        <v>46229</v>
      </c>
      <c r="F350" t="inlineStr">
        <is>
          <t>VÄSTERBOTTENS LÄN</t>
        </is>
      </c>
      <c r="G350" t="inlineStr">
        <is>
          <t>LYCKSELE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33699-2024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45520</v>
      </c>
      <c r="E351" s="1" t="n">
        <v>46229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16.3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36736-2025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46229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36702-2025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45873</v>
      </c>
      <c r="E353" s="1" t="n">
        <v>46229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45443</v>
      </c>
      <c r="E354" s="1" t="n">
        <v>46229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36787-2025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45873</v>
      </c>
      <c r="E355" s="1" t="n">
        <v>46229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20.1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45873</v>
      </c>
      <c r="E356" s="1" t="n">
        <v>46229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33704-2024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45520</v>
      </c>
      <c r="E357" s="1" t="n">
        <v>46229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46229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46229</v>
      </c>
      <c r="F359" t="inlineStr">
        <is>
          <t>VÄSTERBOTTENS LÄN</t>
        </is>
      </c>
      <c r="G359" t="inlineStr">
        <is>
          <t>LYCKSELE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44994</v>
      </c>
      <c r="E360" s="1" t="n">
        <v>46229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45875</v>
      </c>
      <c r="E361" s="1" t="n">
        <v>46229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16.4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46229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2758-2023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44943</v>
      </c>
      <c r="E363" s="1" t="n">
        <v>46229</v>
      </c>
      <c r="F363" t="inlineStr">
        <is>
          <t>VÄSTERBOTTENS LÄN</t>
        </is>
      </c>
      <c r="G363" t="inlineStr">
        <is>
          <t>LYCKSELE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42208-2022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44830</v>
      </c>
      <c r="E364" s="1" t="n">
        <v>46229</v>
      </c>
      <c r="F364" t="inlineStr">
        <is>
          <t>VÄSTERBOTTENS LÄN</t>
        </is>
      </c>
      <c r="G364" t="inlineStr">
        <is>
          <t>LYCKSELE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45356</v>
      </c>
      <c r="E365" s="1" t="n">
        <v>46229</v>
      </c>
      <c r="F365" t="inlineStr">
        <is>
          <t>VÄSTERBOTTENS LÄN</t>
        </is>
      </c>
      <c r="G365" t="inlineStr">
        <is>
          <t>LYCKSELE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45730</v>
      </c>
      <c r="E366" s="1" t="n">
        <v>46229</v>
      </c>
      <c r="F366" t="inlineStr">
        <is>
          <t>VÄSTERBOTTENS LÄN</t>
        </is>
      </c>
      <c r="G366" t="inlineStr">
        <is>
          <t>LYCKSELE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53320-2021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44468</v>
      </c>
      <c r="E367" s="1" t="n">
        <v>46229</v>
      </c>
      <c r="F367" t="inlineStr">
        <is>
          <t>VÄSTERBOTTENS LÄN</t>
        </is>
      </c>
      <c r="G367" t="inlineStr">
        <is>
          <t>LYCKSELE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45881</v>
      </c>
      <c r="E368" s="1" t="n">
        <v>46229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Holmen skog AB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8360-2024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45352</v>
      </c>
      <c r="E369" s="1" t="n">
        <v>46229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31.5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53036-2023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45226</v>
      </c>
      <c r="E370" s="1" t="n">
        <v>46229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SCA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45919</v>
      </c>
      <c r="E371" s="1" t="n">
        <v>46229</v>
      </c>
      <c r="F371" t="inlineStr">
        <is>
          <t>VÄSTERBOTTENS LÄN</t>
        </is>
      </c>
      <c r="G371" t="inlineStr">
        <is>
          <t>LYCKSELE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41711-2023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45176</v>
      </c>
      <c r="E372" s="1" t="n">
        <v>46229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Holmen skog AB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41992-2022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44830</v>
      </c>
      <c r="E373" s="1" t="n">
        <v>46229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Holmen skog AB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46229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SCA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46229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SCA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45889</v>
      </c>
      <c r="E376" s="1" t="n">
        <v>46229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SCA</t>
        </is>
      </c>
      <c r="I376" t="n">
        <v>13.5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39135-2025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45888</v>
      </c>
      <c r="E377" s="1" t="n">
        <v>46229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8941-2025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46229</v>
      </c>
      <c r="F378" t="inlineStr">
        <is>
          <t>VÄSTERBOTTENS LÄN</t>
        </is>
      </c>
      <c r="G378" t="inlineStr">
        <is>
          <t>LYCKSELE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39239-2025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45889</v>
      </c>
      <c r="E379" s="1" t="n">
        <v>46229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46229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39342-2025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45889</v>
      </c>
      <c r="E381" s="1" t="n">
        <v>46229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7.9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39521-2025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45890</v>
      </c>
      <c r="E382" s="1" t="n">
        <v>46229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20.2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39562-2025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45890</v>
      </c>
      <c r="E383" s="1" t="n">
        <v>46229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46229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45889</v>
      </c>
      <c r="E385" s="1" t="n">
        <v>46229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46229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39552-2025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45890</v>
      </c>
      <c r="E387" s="1" t="n">
        <v>46229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45673</v>
      </c>
      <c r="E388" s="1" t="n">
        <v>46229</v>
      </c>
      <c r="F388" t="inlineStr">
        <is>
          <t>VÄSTERBOTTENS LÄN</t>
        </is>
      </c>
      <c r="G388" t="inlineStr">
        <is>
          <t>LYCKSELE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39543-2025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46229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12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57224-2023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46229</v>
      </c>
      <c r="F390" t="inlineStr">
        <is>
          <t>VÄSTERBOTTENS LÄN</t>
        </is>
      </c>
      <c r="G390" t="inlineStr">
        <is>
          <t>LYCKSELE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38922-2025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45887</v>
      </c>
      <c r="E391" s="1" t="n">
        <v>46229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45887</v>
      </c>
      <c r="E392" s="1" t="n">
        <v>46229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45894</v>
      </c>
      <c r="E393" s="1" t="n">
        <v>46229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40238-2025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45894</v>
      </c>
      <c r="E394" s="1" t="n">
        <v>46229</v>
      </c>
      <c r="F394" t="inlineStr">
        <is>
          <t>VÄSTERBOTTENS LÄN</t>
        </is>
      </c>
      <c r="G394" t="inlineStr">
        <is>
          <t>LYCKSELE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45887</v>
      </c>
      <c r="E395" s="1" t="n">
        <v>46229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46229</v>
      </c>
      <c r="F396" t="inlineStr">
        <is>
          <t>VÄSTERBOTTENS LÄN</t>
        </is>
      </c>
      <c r="G396" t="inlineStr">
        <is>
          <t>LYCKSELE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41523-2024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45560</v>
      </c>
      <c r="E397" s="1" t="n">
        <v>46229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Holmen skog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26999-2023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45093</v>
      </c>
      <c r="E398" s="1" t="n">
        <v>46229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SCA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71412-2021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44540</v>
      </c>
      <c r="E399" s="1" t="n">
        <v>46229</v>
      </c>
      <c r="F399" t="inlineStr">
        <is>
          <t>VÄSTERBOTTENS LÄN</t>
        </is>
      </c>
      <c r="G399" t="inlineStr">
        <is>
          <t>LYCKSELE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45887</v>
      </c>
      <c r="E400" s="1" t="n">
        <v>46229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10.7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41604-2025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45901</v>
      </c>
      <c r="E401" s="1" t="n">
        <v>46229</v>
      </c>
      <c r="F401" t="inlineStr">
        <is>
          <t>VÄSTERBOTTENS LÄN</t>
        </is>
      </c>
      <c r="G401" t="inlineStr">
        <is>
          <t>LYCKSELE</t>
        </is>
      </c>
      <c r="I401" t="n">
        <v>16.6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46139</v>
      </c>
      <c r="E402" s="1" t="n">
        <v>46229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41087-2025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45898</v>
      </c>
      <c r="E403" s="1" t="n">
        <v>46229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46229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9.4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45673</v>
      </c>
      <c r="E405" s="1" t="n">
        <v>46229</v>
      </c>
      <c r="F405" t="inlineStr">
        <is>
          <t>VÄSTERBOTTENS LÄN</t>
        </is>
      </c>
      <c r="G405" t="inlineStr">
        <is>
          <t>LYCKSELE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52699-2021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44466</v>
      </c>
      <c r="E406" s="1" t="n">
        <v>46229</v>
      </c>
      <c r="F406" t="inlineStr">
        <is>
          <t>VÄSTERBOTTENS LÄN</t>
        </is>
      </c>
      <c r="G406" t="inlineStr">
        <is>
          <t>LYCKSELE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45903</v>
      </c>
      <c r="E407" s="1" t="n">
        <v>46229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42075-2025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45902</v>
      </c>
      <c r="E408" s="1" t="n">
        <v>46229</v>
      </c>
      <c r="F408" t="inlineStr">
        <is>
          <t>VÄSTERBOTTENS LÄN</t>
        </is>
      </c>
      <c r="G408" t="inlineStr">
        <is>
          <t>LYCKSELE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45903</v>
      </c>
      <c r="E409" s="1" t="n">
        <v>46229</v>
      </c>
      <c r="F409" t="inlineStr">
        <is>
          <t>VÄSTERBOTTENS LÄN</t>
        </is>
      </c>
      <c r="G409" t="inlineStr">
        <is>
          <t>LYCKSELE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45903</v>
      </c>
      <c r="E410" s="1" t="n">
        <v>46229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12261-2022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44637</v>
      </c>
      <c r="E411" s="1" t="n">
        <v>46229</v>
      </c>
      <c r="F411" t="inlineStr">
        <is>
          <t>VÄSTERBOTTENS LÄN</t>
        </is>
      </c>
      <c r="G411" t="inlineStr">
        <is>
          <t>LYCKSELE</t>
        </is>
      </c>
      <c r="I411" t="n">
        <v>30.8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45903</v>
      </c>
      <c r="E412" s="1" t="n">
        <v>46229</v>
      </c>
      <c r="F412" t="inlineStr">
        <is>
          <t>VÄSTERBOTTENS LÄN</t>
        </is>
      </c>
      <c r="G412" t="inlineStr">
        <is>
          <t>LYCKSELE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57618-2022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44897</v>
      </c>
      <c r="E413" s="1" t="n">
        <v>46229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46229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45266</v>
      </c>
      <c r="E415" s="1" t="n">
        <v>46229</v>
      </c>
      <c r="F415" t="inlineStr">
        <is>
          <t>VÄSTERBOTTENS LÄN</t>
        </is>
      </c>
      <c r="G415" t="inlineStr">
        <is>
          <t>LYCKSELE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45905</v>
      </c>
      <c r="E416" s="1" t="n">
        <v>46229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23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42616-2025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46229</v>
      </c>
      <c r="F417" t="inlineStr">
        <is>
          <t>VÄSTERBOTTENS LÄN</t>
        </is>
      </c>
      <c r="G417" t="inlineStr">
        <is>
          <t>LYCKSELE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42986-2025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45909</v>
      </c>
      <c r="E418" s="1" t="n">
        <v>46229</v>
      </c>
      <c r="F418" t="inlineStr">
        <is>
          <t>VÄSTERBOTTENS LÄN</t>
        </is>
      </c>
      <c r="G418" t="inlineStr">
        <is>
          <t>LYCKSELE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62870-2023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45271</v>
      </c>
      <c r="E419" s="1" t="n">
        <v>46229</v>
      </c>
      <c r="F419" t="inlineStr">
        <is>
          <t>VÄSTERBOTTENS LÄN</t>
        </is>
      </c>
      <c r="G419" t="inlineStr">
        <is>
          <t>LYCKSELE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45993</v>
      </c>
      <c r="E420" s="1" t="n">
        <v>46229</v>
      </c>
      <c r="F420" t="inlineStr">
        <is>
          <t>VÄSTERBOTTENS LÄN</t>
        </is>
      </c>
      <c r="G420" t="inlineStr">
        <is>
          <t>LYCKSELE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45201</v>
      </c>
      <c r="E421" s="1" t="n">
        <v>46229</v>
      </c>
      <c r="F421" t="inlineStr">
        <is>
          <t>VÄSTERBOTTENS LÄN</t>
        </is>
      </c>
      <c r="G421" t="inlineStr">
        <is>
          <t>LYCKSELE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46229</v>
      </c>
      <c r="F422" t="inlineStr">
        <is>
          <t>VÄSTERBOTTENS LÄN</t>
        </is>
      </c>
      <c r="G422" t="inlineStr">
        <is>
          <t>LYCKSELE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57898-2021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44486</v>
      </c>
      <c r="E423" s="1" t="n">
        <v>46229</v>
      </c>
      <c r="F423" t="inlineStr">
        <is>
          <t>VÄSTERBOTTENS LÄN</t>
        </is>
      </c>
      <c r="G423" t="inlineStr">
        <is>
          <t>LYCKSELE</t>
        </is>
      </c>
      <c r="I423" t="n">
        <v>14.7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44933</v>
      </c>
      <c r="E424" s="1" t="n">
        <v>46229</v>
      </c>
      <c r="F424" t="inlineStr">
        <is>
          <t>VÄSTERBOTTENS LÄN</t>
        </is>
      </c>
      <c r="G424" t="inlineStr">
        <is>
          <t>LYCKSELE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44087-2025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46229</v>
      </c>
      <c r="F425" t="inlineStr">
        <is>
          <t>VÄSTERBOTTENS LÄN</t>
        </is>
      </c>
      <c r="G425" t="inlineStr">
        <is>
          <t>LYCKSELE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44098-2025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46229</v>
      </c>
      <c r="F426" t="inlineStr">
        <is>
          <t>VÄSTERBOTTENS LÄN</t>
        </is>
      </c>
      <c r="G426" t="inlineStr">
        <is>
          <t>LYCKSELE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46229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46229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9.9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43929-2025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46229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43931-2025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46229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9.9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44337-2025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46229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13566-2023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45006</v>
      </c>
      <c r="E432" s="1" t="n">
        <v>46229</v>
      </c>
      <c r="F432" t="inlineStr">
        <is>
          <t>VÄSTERBOTTENS LÄN</t>
        </is>
      </c>
      <c r="G432" t="inlineStr">
        <is>
          <t>LYCKSELE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60425-2021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44496</v>
      </c>
      <c r="E433" s="1" t="n">
        <v>46229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44092-2025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46229</v>
      </c>
      <c r="F434" t="inlineStr">
        <is>
          <t>VÄSTERBOTTENS LÄN</t>
        </is>
      </c>
      <c r="G434" t="inlineStr">
        <is>
          <t>LYCKSELE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46229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46229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19.6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44345-2025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46229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44547-2025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45917</v>
      </c>
      <c r="E438" s="1" t="n">
        <v>46229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44342-2025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45916</v>
      </c>
      <c r="E439" s="1" t="n">
        <v>46229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45916</v>
      </c>
      <c r="E440" s="1" t="n">
        <v>46229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45982</v>
      </c>
      <c r="E441" s="1" t="n">
        <v>46229</v>
      </c>
      <c r="F441" t="inlineStr">
        <is>
          <t>VÄSTERBOTTENS LÄN</t>
        </is>
      </c>
      <c r="G441" t="inlineStr">
        <is>
          <t>LYCKSELE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45617</v>
      </c>
      <c r="E442" s="1" t="n">
        <v>46229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12.9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45174-2025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45919</v>
      </c>
      <c r="E443" s="1" t="n">
        <v>46229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51152-2024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45603</v>
      </c>
      <c r="E444" s="1" t="n">
        <v>46229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44107-2025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46229</v>
      </c>
      <c r="F445" t="inlineStr">
        <is>
          <t>VÄSTERBOTTENS LÄN</t>
        </is>
      </c>
      <c r="G445" t="inlineStr">
        <is>
          <t>LYCKSELE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44094-2025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45915</v>
      </c>
      <c r="E446" s="1" t="n">
        <v>46229</v>
      </c>
      <c r="F446" t="inlineStr">
        <is>
          <t>VÄSTERBOTTENS LÄN</t>
        </is>
      </c>
      <c r="G446" t="inlineStr">
        <is>
          <t>LYCKSELE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62584-2022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44924</v>
      </c>
      <c r="E447" s="1" t="n">
        <v>46229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16887-2024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45411</v>
      </c>
      <c r="E448" s="1" t="n">
        <v>46229</v>
      </c>
      <c r="F448" t="inlineStr">
        <is>
          <t>VÄSTERBOTTENS LÄN</t>
        </is>
      </c>
      <c r="G448" t="inlineStr">
        <is>
          <t>LYCKSELE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45490</v>
      </c>
      <c r="E449" s="1" t="n">
        <v>46229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45837-2025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45923</v>
      </c>
      <c r="E450" s="1" t="n">
        <v>46229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45313</v>
      </c>
      <c r="E451" s="1" t="n">
        <v>46229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Naturvårdsverket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44564</v>
      </c>
      <c r="E452" s="1" t="n">
        <v>46229</v>
      </c>
      <c r="F452" t="inlineStr">
        <is>
          <t>VÄSTERBOTTENS LÄN</t>
        </is>
      </c>
      <c r="G452" t="inlineStr">
        <is>
          <t>LYCKSELE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9879-2022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44620</v>
      </c>
      <c r="E453" s="1" t="n">
        <v>46229</v>
      </c>
      <c r="F453" t="inlineStr">
        <is>
          <t>VÄSTERBOTTENS LÄN</t>
        </is>
      </c>
      <c r="G453" t="inlineStr">
        <is>
          <t>LYCKSELE</t>
        </is>
      </c>
      <c r="I453" t="n">
        <v>8.699999999999999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47113-2025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45929</v>
      </c>
      <c r="E454" s="1" t="n">
        <v>46229</v>
      </c>
      <c r="F454" t="inlineStr">
        <is>
          <t>VÄSTERBOTTENS LÄN</t>
        </is>
      </c>
      <c r="G454" t="inlineStr">
        <is>
          <t>LYCKSELE</t>
        </is>
      </c>
      <c r="I454" t="n">
        <v>8.5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29034-2025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45821</v>
      </c>
      <c r="E455" s="1" t="n">
        <v>46229</v>
      </c>
      <c r="F455" t="inlineStr">
        <is>
          <t>VÄSTERBOTTENS LÄN</t>
        </is>
      </c>
      <c r="G455" t="inlineStr">
        <is>
          <t>LYCKSELE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46229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57666-2021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44484</v>
      </c>
      <c r="E457" s="1" t="n">
        <v>46229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54167-2022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46229</v>
      </c>
      <c r="F458" t="inlineStr">
        <is>
          <t>VÄSTERBOTTENS LÄN</t>
        </is>
      </c>
      <c r="G458" t="inlineStr">
        <is>
          <t>LYCKSELE</t>
        </is>
      </c>
      <c r="I458" t="n">
        <v>11.3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45936</v>
      </c>
      <c r="E459" s="1" t="n">
        <v>46229</v>
      </c>
      <c r="F459" t="inlineStr">
        <is>
          <t>VÄSTERBOTTENS LÄN</t>
        </is>
      </c>
      <c r="G459" t="inlineStr">
        <is>
          <t>LYCKSELE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46229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29449-2024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45483</v>
      </c>
      <c r="E461" s="1" t="n">
        <v>46229</v>
      </c>
      <c r="F461" t="inlineStr">
        <is>
          <t>VÄSTERBOTTENS LÄN</t>
        </is>
      </c>
      <c r="G461" t="inlineStr">
        <is>
          <t>LYCKSELE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41497-2021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44424</v>
      </c>
      <c r="E462" s="1" t="n">
        <v>46229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40342-2025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45895</v>
      </c>
      <c r="E463" s="1" t="n">
        <v>46229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62547-2022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44924</v>
      </c>
      <c r="E464" s="1" t="n">
        <v>46229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47093-2025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45929</v>
      </c>
      <c r="E465" s="1" t="n">
        <v>46229</v>
      </c>
      <c r="F465" t="inlineStr">
        <is>
          <t>VÄSTERBOTTENS LÄN</t>
        </is>
      </c>
      <c r="G465" t="inlineStr">
        <is>
          <t>LYCKSELE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45107</v>
      </c>
      <c r="E466" s="1" t="n">
        <v>46229</v>
      </c>
      <c r="F466" t="inlineStr">
        <is>
          <t>VÄSTERBOTTENS LÄN</t>
        </is>
      </c>
      <c r="G466" t="inlineStr">
        <is>
          <t>LYCKSELE</t>
        </is>
      </c>
      <c r="I466" t="n">
        <v>17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47459-2025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45930</v>
      </c>
      <c r="E467" s="1" t="n">
        <v>46229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50044-2021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44456</v>
      </c>
      <c r="E468" s="1" t="n">
        <v>46229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47456-2025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45930</v>
      </c>
      <c r="E469" s="1" t="n">
        <v>46229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47700-2025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45931</v>
      </c>
      <c r="E470" s="1" t="n">
        <v>46229</v>
      </c>
      <c r="F470" t="inlineStr">
        <is>
          <t>VÄSTERBOTTENS LÄN</t>
        </is>
      </c>
      <c r="G470" t="inlineStr">
        <is>
          <t>LYCKSELE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47461-2025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46229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50468-2024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45601</v>
      </c>
      <c r="E472" s="1" t="n">
        <v>46229</v>
      </c>
      <c r="F472" t="inlineStr">
        <is>
          <t>VÄSTERBOTTENS LÄN</t>
        </is>
      </c>
      <c r="G472" t="inlineStr">
        <is>
          <t>LYCKSELE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39527-2025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45890</v>
      </c>
      <c r="E473" s="1" t="n">
        <v>46229</v>
      </c>
      <c r="F473" t="inlineStr">
        <is>
          <t>VÄSTERBOTTENS LÄN</t>
        </is>
      </c>
      <c r="G473" t="inlineStr">
        <is>
          <t>LYCKSELE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46229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10.8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48205-2025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45933</v>
      </c>
      <c r="E475" s="1" t="n">
        <v>46229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46229</v>
      </c>
      <c r="F476" t="inlineStr">
        <is>
          <t>VÄSTERBOTTENS LÄN</t>
        </is>
      </c>
      <c r="G476" t="inlineStr">
        <is>
          <t>LYCKSELE</t>
        </is>
      </c>
      <c r="I476" t="n">
        <v>17.8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48208-2025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45933</v>
      </c>
      <c r="E477" s="1" t="n">
        <v>46229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58714-2024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45635</v>
      </c>
      <c r="E478" s="1" t="n">
        <v>46229</v>
      </c>
      <c r="F478" t="inlineStr">
        <is>
          <t>VÄSTERBOTTENS LÄN</t>
        </is>
      </c>
      <c r="G478" t="inlineStr">
        <is>
          <t>LYCKSELE</t>
        </is>
      </c>
      <c r="I478" t="n">
        <v>25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25573-2025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45803</v>
      </c>
      <c r="E479" s="1" t="n">
        <v>46229</v>
      </c>
      <c r="F479" t="inlineStr">
        <is>
          <t>VÄSTERBOTTENS LÄN</t>
        </is>
      </c>
      <c r="G479" t="inlineStr">
        <is>
          <t>LYCKSELE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60117-2022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44909</v>
      </c>
      <c r="E480" s="1" t="n">
        <v>46229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3632-2024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45320</v>
      </c>
      <c r="E481" s="1" t="n">
        <v>46229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48493-2025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45936</v>
      </c>
      <c r="E482" s="1" t="n">
        <v>46229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Holmen skog AB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58263-2025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46229</v>
      </c>
      <c r="F483" t="inlineStr">
        <is>
          <t>VÄSTERBOTTENS LÄN</t>
        </is>
      </c>
      <c r="G483" t="inlineStr">
        <is>
          <t>LYCKSELE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50365-2024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45600</v>
      </c>
      <c r="E484" s="1" t="n">
        <v>46229</v>
      </c>
      <c r="F484" t="inlineStr">
        <is>
          <t>VÄSTERBOTTENS LÄN</t>
        </is>
      </c>
      <c r="G484" t="inlineStr">
        <is>
          <t>LYCKSELE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45447-2024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45576</v>
      </c>
      <c r="E485" s="1" t="n">
        <v>46229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Naturvårdsverket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46654-2025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46229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45926</v>
      </c>
      <c r="E487" s="1" t="n">
        <v>46229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45406</v>
      </c>
      <c r="E488" s="1" t="n">
        <v>46229</v>
      </c>
      <c r="F488" t="inlineStr">
        <is>
          <t>VÄSTERBOTTENS LÄN</t>
        </is>
      </c>
      <c r="G488" t="inlineStr">
        <is>
          <t>LYCKSELE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45406-2024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45576</v>
      </c>
      <c r="E489" s="1" t="n">
        <v>46229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Naturvårdsverket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49366-2025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45938</v>
      </c>
      <c r="E490" s="1" t="n">
        <v>46229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1289-2022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44572</v>
      </c>
      <c r="E491" s="1" t="n">
        <v>46229</v>
      </c>
      <c r="F491" t="inlineStr">
        <is>
          <t>VÄSTERBOTTENS LÄN</t>
        </is>
      </c>
      <c r="G491" t="inlineStr">
        <is>
          <t>LYCKSELE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29709-2025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45825</v>
      </c>
      <c r="E492" s="1" t="n">
        <v>46229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52.4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45512</v>
      </c>
      <c r="E493" s="1" t="n">
        <v>46229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Naturvårdsverket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49196-2025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45938</v>
      </c>
      <c r="E494" s="1" t="n">
        <v>46229</v>
      </c>
      <c r="F494" t="inlineStr">
        <is>
          <t>VÄSTERBOTTENS LÄN</t>
        </is>
      </c>
      <c r="G494" t="inlineStr">
        <is>
          <t>LYCKSELE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49859-2025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46229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49977-2025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45942</v>
      </c>
      <c r="E496" s="1" t="n">
        <v>46229</v>
      </c>
      <c r="F496" t="inlineStr">
        <is>
          <t>VÄSTERBOTTENS LÄN</t>
        </is>
      </c>
      <c r="G496" t="inlineStr">
        <is>
          <t>LYCKSELE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50021-2025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45943</v>
      </c>
      <c r="E497" s="1" t="n">
        <v>46229</v>
      </c>
      <c r="F497" t="inlineStr">
        <is>
          <t>VÄSTERBOTTENS LÄN</t>
        </is>
      </c>
      <c r="G497" t="inlineStr">
        <is>
          <t>LYCKSELE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49968-2025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45941</v>
      </c>
      <c r="E498" s="1" t="n">
        <v>46229</v>
      </c>
      <c r="F498" t="inlineStr">
        <is>
          <t>VÄSTERBOTTENS LÄN</t>
        </is>
      </c>
      <c r="G498" t="inlineStr">
        <is>
          <t>LYCKSELE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15809-2023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45021</v>
      </c>
      <c r="E499" s="1" t="n">
        <v>46229</v>
      </c>
      <c r="F499" t="inlineStr">
        <is>
          <t>VÄSTERBOTTENS LÄN</t>
        </is>
      </c>
      <c r="G499" t="inlineStr">
        <is>
          <t>LYCKSELE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45666</v>
      </c>
      <c r="E500" s="1" t="n">
        <v>46229</v>
      </c>
      <c r="F500" t="inlineStr">
        <is>
          <t>VÄSTERBOTTENS LÄN</t>
        </is>
      </c>
      <c r="G500" t="inlineStr">
        <is>
          <t>LYCKSELE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14343-2025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45741</v>
      </c>
      <c r="E501" s="1" t="n">
        <v>46229</v>
      </c>
      <c r="F501" t="inlineStr">
        <is>
          <t>VÄSTERBOTTENS LÄN</t>
        </is>
      </c>
      <c r="G501" t="inlineStr">
        <is>
          <t>LYCKSELE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70197-2021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44534</v>
      </c>
      <c r="E502" s="1" t="n">
        <v>46229</v>
      </c>
      <c r="F502" t="inlineStr">
        <is>
          <t>VÄSTERBOTTENS LÄN</t>
        </is>
      </c>
      <c r="G502" t="inlineStr">
        <is>
          <t>LYCKSELE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45947</v>
      </c>
      <c r="E503" s="1" t="n">
        <v>46229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51748-2025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45951</v>
      </c>
      <c r="E504" s="1" t="n">
        <v>46229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19.8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35227-2023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45145</v>
      </c>
      <c r="E505" s="1" t="n">
        <v>46229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50652-2021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44459</v>
      </c>
      <c r="E506" s="1" t="n">
        <v>46229</v>
      </c>
      <c r="F506" t="inlineStr">
        <is>
          <t>VÄSTERBOTTENS LÄN</t>
        </is>
      </c>
      <c r="G506" t="inlineStr">
        <is>
          <t>LYCKSELE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51473-2025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45950</v>
      </c>
      <c r="E507" s="1" t="n">
        <v>46229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24511-2025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45798</v>
      </c>
      <c r="E508" s="1" t="n">
        <v>46229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29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45798</v>
      </c>
      <c r="E509" s="1" t="n">
        <v>46229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29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21080-2026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46229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21096-2026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46229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21141-2026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46229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21150-2026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46146</v>
      </c>
      <c r="E513" s="1" t="n">
        <v>46229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46229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51859-2025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45952</v>
      </c>
      <c r="E515" s="1" t="n">
        <v>46229</v>
      </c>
      <c r="F515" t="inlineStr">
        <is>
          <t>VÄSTERBOTTENS LÄN</t>
        </is>
      </c>
      <c r="G515" t="inlineStr">
        <is>
          <t>LYCKSELE</t>
        </is>
      </c>
      <c r="I515" t="n">
        <v>13.5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46229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52945-2025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45957</v>
      </c>
      <c r="E517" s="1" t="n">
        <v>46229</v>
      </c>
      <c r="F517" t="inlineStr">
        <is>
          <t>VÄSTERBOTTENS LÄN</t>
        </is>
      </c>
      <c r="G517" t="inlineStr">
        <is>
          <t>LYCKSELE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21066-2026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46146</v>
      </c>
      <c r="E518" s="1" t="n">
        <v>46229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21082-2026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46229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8600-2025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45709</v>
      </c>
      <c r="E520" s="1" t="n">
        <v>46229</v>
      </c>
      <c r="F520" t="inlineStr">
        <is>
          <t>VÄSTERBOTTENS LÄN</t>
        </is>
      </c>
      <c r="G520" t="inlineStr">
        <is>
          <t>LYCKSELE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21317-2026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46147</v>
      </c>
      <c r="E521" s="1" t="n">
        <v>46229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24509-2025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45798</v>
      </c>
      <c r="E522" s="1" t="n">
        <v>46229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29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46229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45957</v>
      </c>
      <c r="E524" s="1" t="n">
        <v>46229</v>
      </c>
      <c r="F524" t="inlineStr">
        <is>
          <t>VÄSTERBOTTENS LÄN</t>
        </is>
      </c>
      <c r="G524" t="inlineStr">
        <is>
          <t>LYCKSELE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45077</v>
      </c>
      <c r="E525" s="1" t="n">
        <v>46229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23679-2025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45793</v>
      </c>
      <c r="E526" s="1" t="n">
        <v>46229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29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21092-2026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46229</v>
      </c>
      <c r="F527" t="inlineStr">
        <is>
          <t>VÄSTERBOTTENS LÄN</t>
        </is>
      </c>
      <c r="G527" t="inlineStr">
        <is>
          <t>LYCKSELE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58961-2022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44903</v>
      </c>
      <c r="E528" s="1" t="n">
        <v>46229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53451-2025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45959</v>
      </c>
      <c r="E529" s="1" t="n">
        <v>46229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12.1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46146</v>
      </c>
      <c r="E530" s="1" t="n">
        <v>46229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46146</v>
      </c>
      <c r="E531" s="1" t="n">
        <v>46229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46146</v>
      </c>
      <c r="E532" s="1" t="n">
        <v>46229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Sveaskog</t>
        </is>
      </c>
      <c r="I532" t="n">
        <v>13.8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22720-2025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45789</v>
      </c>
      <c r="E533" s="1" t="n">
        <v>46229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29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27430-2026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46189</v>
      </c>
      <c r="E534" s="1" t="n">
        <v>46229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45048</v>
      </c>
      <c r="E535" s="1" t="n">
        <v>46229</v>
      </c>
      <c r="F535" t="inlineStr">
        <is>
          <t>VÄSTERBOTTENS LÄN</t>
        </is>
      </c>
      <c r="G535" t="inlineStr">
        <is>
          <t>LYCKSELE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37262-2023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45155</v>
      </c>
      <c r="E536" s="1" t="n">
        <v>46229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46229</v>
      </c>
      <c r="F537" t="inlineStr">
        <is>
          <t>VÄSTERBOTTENS LÄN</t>
        </is>
      </c>
      <c r="G537" t="inlineStr">
        <is>
          <t>LYCKSELE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27964-2023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45098</v>
      </c>
      <c r="E538" s="1" t="n">
        <v>46229</v>
      </c>
      <c r="F538" t="inlineStr">
        <is>
          <t>VÄSTERBOTTENS LÄN</t>
        </is>
      </c>
      <c r="G538" t="inlineStr">
        <is>
          <t>LYCKSELE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48832-2024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45593</v>
      </c>
      <c r="E539" s="1" t="n">
        <v>46229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46191</v>
      </c>
      <c r="E540" s="1" t="n">
        <v>46229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Holmen skog AB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45516</v>
      </c>
      <c r="E541" s="1" t="n">
        <v>46229</v>
      </c>
      <c r="F541" t="inlineStr">
        <is>
          <t>VÄSTERBOTTENS LÄN</t>
        </is>
      </c>
      <c r="G541" t="inlineStr">
        <is>
          <t>LYCKSELE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54942-2025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45967</v>
      </c>
      <c r="E542" s="1" t="n">
        <v>46229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54906-2025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45967</v>
      </c>
      <c r="E543" s="1" t="n">
        <v>46229</v>
      </c>
      <c r="F543" t="inlineStr">
        <is>
          <t>VÄSTERBOTTENS LÄN</t>
        </is>
      </c>
      <c r="G543" t="inlineStr">
        <is>
          <t>LYCKSELE</t>
        </is>
      </c>
      <c r="I543" t="n">
        <v>24.9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54943-2025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45967</v>
      </c>
      <c r="E544" s="1" t="n">
        <v>46229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27854-2026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46191</v>
      </c>
      <c r="E545" s="1" t="n">
        <v>46229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55187-2025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46229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27842-2026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46229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48379-2024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45590</v>
      </c>
      <c r="E548" s="1" t="n">
        <v>46229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55216-2025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45968</v>
      </c>
      <c r="E549" s="1" t="n">
        <v>46229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Naturvårdsverket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55545-2025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45971</v>
      </c>
      <c r="E550" s="1" t="n">
        <v>46229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8.300000000000001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23971-2024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45455</v>
      </c>
      <c r="E551" s="1" t="n">
        <v>46229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55333-2025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46229</v>
      </c>
      <c r="F552" t="inlineStr">
        <is>
          <t>VÄSTERBOTTENS LÄN</t>
        </is>
      </c>
      <c r="G552" t="inlineStr">
        <is>
          <t>LYCKSELE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55627-2025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45972</v>
      </c>
      <c r="E553" s="1" t="n">
        <v>46229</v>
      </c>
      <c r="F553" t="inlineStr">
        <is>
          <t>VÄSTERBOTTENS LÄN</t>
        </is>
      </c>
      <c r="G553" t="inlineStr">
        <is>
          <t>LYCKSELE</t>
        </is>
      </c>
      <c r="I553" t="n">
        <v>14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27929-2024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45475</v>
      </c>
      <c r="E554" s="1" t="n">
        <v>46229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Naturvårdsverket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27932-2024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45475</v>
      </c>
      <c r="E555" s="1" t="n">
        <v>46229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Naturvårdsverket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46191</v>
      </c>
      <c r="E556" s="1" t="n">
        <v>46229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4673-2023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44952</v>
      </c>
      <c r="E557" s="1" t="n">
        <v>46229</v>
      </c>
      <c r="F557" t="inlineStr">
        <is>
          <t>VÄSTERBOTTENS LÄN</t>
        </is>
      </c>
      <c r="G557" t="inlineStr">
        <is>
          <t>LYCKSELE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62874-2023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45271</v>
      </c>
      <c r="E558" s="1" t="n">
        <v>46229</v>
      </c>
      <c r="F558" t="inlineStr">
        <is>
          <t>VÄSTERBOTTENS LÄN</t>
        </is>
      </c>
      <c r="G558" t="inlineStr">
        <is>
          <t>LYCKSELE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45513</v>
      </c>
      <c r="E559" s="1" t="n">
        <v>46229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Holmen skog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55666-2025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45972</v>
      </c>
      <c r="E560" s="1" t="n">
        <v>46229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8577-2026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46065</v>
      </c>
      <c r="E561" s="1" t="n">
        <v>46229</v>
      </c>
      <c r="F561" t="inlineStr">
        <is>
          <t>VÄSTERBOTTENS LÄN</t>
        </is>
      </c>
      <c r="G561" t="inlineStr">
        <is>
          <t>LYCKSELE</t>
        </is>
      </c>
      <c r="I561" t="n">
        <v>9.9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41101-2022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44820</v>
      </c>
      <c r="E562" s="1" t="n">
        <v>46229</v>
      </c>
      <c r="F562" t="inlineStr">
        <is>
          <t>VÄSTERBOTTENS LÄN</t>
        </is>
      </c>
      <c r="G562" t="inlineStr">
        <is>
          <t>LYCKSELE</t>
        </is>
      </c>
      <c r="I562" t="n">
        <v>13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45352-2024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45576</v>
      </c>
      <c r="E563" s="1" t="n">
        <v>46229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51466-2024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45604</v>
      </c>
      <c r="E564" s="1" t="n">
        <v>46229</v>
      </c>
      <c r="F564" t="inlineStr">
        <is>
          <t>VÄSTERBOTTENS LÄN</t>
        </is>
      </c>
      <c r="G564" t="inlineStr">
        <is>
          <t>LYCKSELE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56172-2025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45974</v>
      </c>
      <c r="E565" s="1" t="n">
        <v>46229</v>
      </c>
      <c r="F565" t="inlineStr">
        <is>
          <t>VÄSTERBOTTENS LÄN</t>
        </is>
      </c>
      <c r="G565" t="inlineStr">
        <is>
          <t>LYCKSELE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57471-2024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46229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60542-2024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45643</v>
      </c>
      <c r="E567" s="1" t="n">
        <v>46229</v>
      </c>
      <c r="F567" t="inlineStr">
        <is>
          <t>VÄSTERBOTTENS LÄN</t>
        </is>
      </c>
      <c r="G567" t="inlineStr">
        <is>
          <t>LYCKSELE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57197-2025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45979</v>
      </c>
      <c r="E568" s="1" t="n">
        <v>46229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56744-2025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45978</v>
      </c>
      <c r="E569" s="1" t="n">
        <v>46229</v>
      </c>
      <c r="F569" t="inlineStr">
        <is>
          <t>VÄSTERBOTTENS LÄN</t>
        </is>
      </c>
      <c r="G569" t="inlineStr">
        <is>
          <t>LYCKSELE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57241-2025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45979</v>
      </c>
      <c r="E570" s="1" t="n">
        <v>46229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15564-2023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45020</v>
      </c>
      <c r="E571" s="1" t="n">
        <v>46229</v>
      </c>
      <c r="F571" t="inlineStr">
        <is>
          <t>VÄSTERBOTTENS LÄN</t>
        </is>
      </c>
      <c r="G571" t="inlineStr">
        <is>
          <t>LYCKSELE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46817-2024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45583</v>
      </c>
      <c r="E572" s="1" t="n">
        <v>46229</v>
      </c>
      <c r="F572" t="inlineStr">
        <is>
          <t>VÄSTERBOTTENS LÄN</t>
        </is>
      </c>
      <c r="G572" t="inlineStr">
        <is>
          <t>LYCKSELE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45533</v>
      </c>
      <c r="E573" s="1" t="n">
        <v>46229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43973-2023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45187</v>
      </c>
      <c r="E574" s="1" t="n">
        <v>46229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21918-2026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46150</v>
      </c>
      <c r="E575" s="1" t="n">
        <v>46229</v>
      </c>
      <c r="F575" t="inlineStr">
        <is>
          <t>VÄSTERBOTTENS LÄN</t>
        </is>
      </c>
      <c r="G575" t="inlineStr">
        <is>
          <t>LYCKSELE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45981</v>
      </c>
      <c r="E576" s="1" t="n">
        <v>46229</v>
      </c>
      <c r="F576" t="inlineStr">
        <is>
          <t>VÄSTERBOTTENS LÄN</t>
        </is>
      </c>
      <c r="G576" t="inlineStr">
        <is>
          <t>LYCKSELE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57330-2025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46229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9.300000000000001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15046-2023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45015</v>
      </c>
      <c r="E578" s="1" t="n">
        <v>46229</v>
      </c>
      <c r="F578" t="inlineStr">
        <is>
          <t>VÄSTERBOTTENS LÄN</t>
        </is>
      </c>
      <c r="G578" t="inlineStr">
        <is>
          <t>LYCKSELE</t>
        </is>
      </c>
      <c r="I578" t="n">
        <v>13.4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57669-2025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45981</v>
      </c>
      <c r="E579" s="1" t="n">
        <v>46229</v>
      </c>
      <c r="F579" t="inlineStr">
        <is>
          <t>VÄSTERBOTTENS LÄN</t>
        </is>
      </c>
      <c r="G579" t="inlineStr">
        <is>
          <t>LYCKSELE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45361-2024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45576</v>
      </c>
      <c r="E580" s="1" t="n">
        <v>46229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Holmen skog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57531-2025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46229</v>
      </c>
      <c r="F581" t="inlineStr">
        <is>
          <t>VÄSTERBOTTENS LÄN</t>
        </is>
      </c>
      <c r="G581" t="inlineStr">
        <is>
          <t>LYCKSELE</t>
        </is>
      </c>
      <c r="I581" t="n">
        <v>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45981</v>
      </c>
      <c r="E582" s="1" t="n">
        <v>46229</v>
      </c>
      <c r="F582" t="inlineStr">
        <is>
          <t>VÄSTERBOTTENS LÄN</t>
        </is>
      </c>
      <c r="G582" t="inlineStr">
        <is>
          <t>LYCKSELE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58097-2025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45982</v>
      </c>
      <c r="E583" s="1" t="n">
        <v>46229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58094-2025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45982</v>
      </c>
      <c r="E584" s="1" t="n">
        <v>46229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58171-2025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45982</v>
      </c>
      <c r="E585" s="1" t="n">
        <v>46229</v>
      </c>
      <c r="F585" t="inlineStr">
        <is>
          <t>VÄSTERBOTTENS LÄN</t>
        </is>
      </c>
      <c r="G585" t="inlineStr">
        <is>
          <t>LYCKSELE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9090-2025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45713</v>
      </c>
      <c r="E586" s="1" t="n">
        <v>46229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41756-2024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45561</v>
      </c>
      <c r="E587" s="1" t="n">
        <v>46229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44904</v>
      </c>
      <c r="E588" s="1" t="n">
        <v>46229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14773-2025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45742</v>
      </c>
      <c r="E589" s="1" t="n">
        <v>46229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Holmen skog AB</t>
        </is>
      </c>
      <c r="I589" t="n">
        <v>50.1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68665-2021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44529</v>
      </c>
      <c r="E590" s="1" t="n">
        <v>46229</v>
      </c>
      <c r="F590" t="inlineStr">
        <is>
          <t>VÄSTERBOTTENS LÄN</t>
        </is>
      </c>
      <c r="G590" t="inlineStr">
        <is>
          <t>LYCKSELE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58610-2025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45986</v>
      </c>
      <c r="E591" s="1" t="n">
        <v>46229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46229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28545-2023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45103</v>
      </c>
      <c r="E593" s="1" t="n">
        <v>46229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46229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12424-2025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45730</v>
      </c>
      <c r="E595" s="1" t="n">
        <v>46229</v>
      </c>
      <c r="F595" t="inlineStr">
        <is>
          <t>VÄSTERBOTTENS LÄN</t>
        </is>
      </c>
      <c r="G595" t="inlineStr">
        <is>
          <t>LYCKSELE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73113-2021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44550</v>
      </c>
      <c r="E596" s="1" t="n">
        <v>46229</v>
      </c>
      <c r="F596" t="inlineStr">
        <is>
          <t>VÄSTERBOTTENS LÄN</t>
        </is>
      </c>
      <c r="G596" t="inlineStr">
        <is>
          <t>LYCKSELE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7837-2023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44973</v>
      </c>
      <c r="E597" s="1" t="n">
        <v>46229</v>
      </c>
      <c r="F597" t="inlineStr">
        <is>
          <t>VÄSTERBOTTENS LÄN</t>
        </is>
      </c>
      <c r="G597" t="inlineStr">
        <is>
          <t>LYCKSELE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12333-2024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45378</v>
      </c>
      <c r="E598" s="1" t="n">
        <v>46229</v>
      </c>
      <c r="F598" t="inlineStr">
        <is>
          <t>VÄSTERBOTTENS LÄN</t>
        </is>
      </c>
      <c r="G598" t="inlineStr">
        <is>
          <t>LYCKSELE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18566-2025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45763</v>
      </c>
      <c r="E599" s="1" t="n">
        <v>46229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Holmen skog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59821-2025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45992</v>
      </c>
      <c r="E600" s="1" t="n">
        <v>46229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59825-2025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45992</v>
      </c>
      <c r="E601" s="1" t="n">
        <v>46229</v>
      </c>
      <c r="F601" t="inlineStr">
        <is>
          <t>VÄSTERBOTTENS LÄN</t>
        </is>
      </c>
      <c r="G601" t="inlineStr">
        <is>
          <t>LYCKSELE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24377-2024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45457</v>
      </c>
      <c r="E602" s="1" t="n">
        <v>46229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Holmen skog AB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59818-2025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45992</v>
      </c>
      <c r="E603" s="1" t="n">
        <v>46229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59927-2025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46229</v>
      </c>
      <c r="F604" t="inlineStr">
        <is>
          <t>VÄSTERBOTTENS LÄN</t>
        </is>
      </c>
      <c r="G604" t="inlineStr">
        <is>
          <t>LYCKSELE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57571-2025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45980</v>
      </c>
      <c r="E605" s="1" t="n">
        <v>46229</v>
      </c>
      <c r="F605" t="inlineStr">
        <is>
          <t>VÄSTERBOTTENS LÄN</t>
        </is>
      </c>
      <c r="G605" t="inlineStr">
        <is>
          <t>LYCKSELE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30899-2024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45498</v>
      </c>
      <c r="E606" s="1" t="n">
        <v>46229</v>
      </c>
      <c r="F606" t="inlineStr">
        <is>
          <t>VÄSTERBOTTENS LÄN</t>
        </is>
      </c>
      <c r="G606" t="inlineStr">
        <is>
          <t>LYCKSELE</t>
        </is>
      </c>
      <c r="I606" t="n">
        <v>14.4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59736-2025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46229</v>
      </c>
      <c r="F607" t="inlineStr">
        <is>
          <t>VÄSTERBOTTENS LÄN</t>
        </is>
      </c>
      <c r="G607" t="inlineStr">
        <is>
          <t>LYCKSELE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59812-2025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46229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21109-2023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45061</v>
      </c>
      <c r="E609" s="1" t="n">
        <v>46229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60309-2025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45994</v>
      </c>
      <c r="E610" s="1" t="n">
        <v>46229</v>
      </c>
      <c r="F610" t="inlineStr">
        <is>
          <t>VÄSTERBOTTENS LÄN</t>
        </is>
      </c>
      <c r="G610" t="inlineStr">
        <is>
          <t>LYCKSELE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49631-2023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45211</v>
      </c>
      <c r="E611" s="1" t="n">
        <v>46229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Kommuner</t>
        </is>
      </c>
      <c r="I611" t="n">
        <v>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22367-2026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46154</v>
      </c>
      <c r="E612" s="1" t="n">
        <v>46229</v>
      </c>
      <c r="F612" t="inlineStr">
        <is>
          <t>VÄSTERBOTTENS LÄN</t>
        </is>
      </c>
      <c r="G612" t="inlineStr">
        <is>
          <t>LYCKSELE</t>
        </is>
      </c>
      <c r="I612" t="n">
        <v>18.8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38478-2024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45546</v>
      </c>
      <c r="E613" s="1" t="n">
        <v>46229</v>
      </c>
      <c r="F613" t="inlineStr">
        <is>
          <t>VÄSTERBOTTENS LÄN</t>
        </is>
      </c>
      <c r="G613" t="inlineStr">
        <is>
          <t>LYCKSELE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46176-2023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45196</v>
      </c>
      <c r="E614" s="1" t="n">
        <v>46229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58553-2023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45251</v>
      </c>
      <c r="E615" s="1" t="n">
        <v>46229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54778-2024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45618</v>
      </c>
      <c r="E616" s="1" t="n">
        <v>46229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60594-2025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45996</v>
      </c>
      <c r="E617" s="1" t="n">
        <v>46229</v>
      </c>
      <c r="F617" t="inlineStr">
        <is>
          <t>VÄSTERBOTTENS LÄN</t>
        </is>
      </c>
      <c r="G617" t="inlineStr">
        <is>
          <t>LYCKSELE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61086-2025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46000</v>
      </c>
      <c r="E618" s="1" t="n">
        <v>46229</v>
      </c>
      <c r="F618" t="inlineStr">
        <is>
          <t>VÄSTERBOTTENS LÄN</t>
        </is>
      </c>
      <c r="G618" t="inlineStr">
        <is>
          <t>LYCKSELE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61115-2025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46000</v>
      </c>
      <c r="E619" s="1" t="n">
        <v>46229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61334-2025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46001</v>
      </c>
      <c r="E620" s="1" t="n">
        <v>46229</v>
      </c>
      <c r="F620" t="inlineStr">
        <is>
          <t>VÄSTERBOTTENS LÄN</t>
        </is>
      </c>
      <c r="G620" t="inlineStr">
        <is>
          <t>LYCKSELE</t>
        </is>
      </c>
      <c r="I620" t="n">
        <v>8.9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22654-2026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46155</v>
      </c>
      <c r="E621" s="1" t="n">
        <v>46229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31453-2024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45505</v>
      </c>
      <c r="E622" s="1" t="n">
        <v>46229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SCA</t>
        </is>
      </c>
      <c r="I622" t="n">
        <v>8.300000000000001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61088-2025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46229</v>
      </c>
      <c r="F623" t="inlineStr">
        <is>
          <t>VÄSTERBOTTENS LÄN</t>
        </is>
      </c>
      <c r="G623" t="inlineStr">
        <is>
          <t>LYCKSELE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61096-2025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46000</v>
      </c>
      <c r="E624" s="1" t="n">
        <v>46229</v>
      </c>
      <c r="F624" t="inlineStr">
        <is>
          <t>VÄSTERBOTTENS LÄN</t>
        </is>
      </c>
      <c r="G624" t="inlineStr">
        <is>
          <t>LYCKSELE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61091-2025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46000</v>
      </c>
      <c r="E625" s="1" t="n">
        <v>46229</v>
      </c>
      <c r="F625" t="inlineStr">
        <is>
          <t>VÄSTERBOTTENS LÄN</t>
        </is>
      </c>
      <c r="G625" t="inlineStr">
        <is>
          <t>LYCKSELE</t>
        </is>
      </c>
      <c r="I625" t="n">
        <v>6.3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61128-2025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46229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61335-2025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46229</v>
      </c>
      <c r="F627" t="inlineStr">
        <is>
          <t>VÄSTERBOTTENS LÄN</t>
        </is>
      </c>
      <c r="G627" t="inlineStr">
        <is>
          <t>LYCKSELE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61353-2025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46001</v>
      </c>
      <c r="E628" s="1" t="n">
        <v>46229</v>
      </c>
      <c r="F628" t="inlineStr">
        <is>
          <t>VÄSTERBOTTENS LÄN</t>
        </is>
      </c>
      <c r="G628" t="inlineStr">
        <is>
          <t>LYCKSELE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61351-2025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46229</v>
      </c>
      <c r="F629" t="inlineStr">
        <is>
          <t>VÄSTERBOTTENS LÄN</t>
        </is>
      </c>
      <c r="G629" t="inlineStr">
        <is>
          <t>LYCKSELE</t>
        </is>
      </c>
      <c r="I629" t="n">
        <v>8.199999999999999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61472-2025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46001</v>
      </c>
      <c r="E630" s="1" t="n">
        <v>46229</v>
      </c>
      <c r="F630" t="inlineStr">
        <is>
          <t>VÄSTERBOTTENS LÄN</t>
        </is>
      </c>
      <c r="G630" t="inlineStr">
        <is>
          <t>LYCKSELE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40912-2024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45558</v>
      </c>
      <c r="E631" s="1" t="n">
        <v>46229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11.1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53241-2022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44876</v>
      </c>
      <c r="E632" s="1" t="n">
        <v>46229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Holmen skog AB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61590-2025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46002</v>
      </c>
      <c r="E633" s="1" t="n">
        <v>46229</v>
      </c>
      <c r="F633" t="inlineStr">
        <is>
          <t>VÄSTERBOTTENS LÄN</t>
        </is>
      </c>
      <c r="G633" t="inlineStr">
        <is>
          <t>LYCKSELE</t>
        </is>
      </c>
      <c r="I633" t="n">
        <v>12.4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61854-2025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46003</v>
      </c>
      <c r="E634" s="1" t="n">
        <v>46229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9517-2025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45715</v>
      </c>
      <c r="E635" s="1" t="n">
        <v>46229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SCA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21289-2025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45779</v>
      </c>
      <c r="E636" s="1" t="n">
        <v>46229</v>
      </c>
      <c r="F636" t="inlineStr">
        <is>
          <t>VÄSTERBOTTENS LÄN</t>
        </is>
      </c>
      <c r="G636" t="inlineStr">
        <is>
          <t>LYCKSELE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61281-2022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44909</v>
      </c>
      <c r="E637" s="1" t="n">
        <v>46229</v>
      </c>
      <c r="F637" t="inlineStr">
        <is>
          <t>VÄSTERBOTTENS LÄN</t>
        </is>
      </c>
      <c r="G637" t="inlineStr">
        <is>
          <t>LYCKSELE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61593-2025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46002</v>
      </c>
      <c r="E638" s="1" t="n">
        <v>46229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25.2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49514-2022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44861</v>
      </c>
      <c r="E639" s="1" t="n">
        <v>46229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28586-2026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46197</v>
      </c>
      <c r="E640" s="1" t="n">
        <v>46229</v>
      </c>
      <c r="F640" t="inlineStr">
        <is>
          <t>VÄSTERBOTTENS LÄN</t>
        </is>
      </c>
      <c r="G640" t="inlineStr">
        <is>
          <t>LYCKSELE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22285-2026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46154</v>
      </c>
      <c r="E641" s="1" t="n">
        <v>46229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62476-2025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46007</v>
      </c>
      <c r="E642" s="1" t="n">
        <v>46229</v>
      </c>
      <c r="F642" t="inlineStr">
        <is>
          <t>VÄSTERBOTTENS LÄN</t>
        </is>
      </c>
      <c r="G642" t="inlineStr">
        <is>
          <t>LYCKSELE</t>
        </is>
      </c>
      <c r="I642" t="n">
        <v>36.8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26531-2024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45469</v>
      </c>
      <c r="E643" s="1" t="n">
        <v>46229</v>
      </c>
      <c r="F643" t="inlineStr">
        <is>
          <t>VÄSTERBOTTENS LÄN</t>
        </is>
      </c>
      <c r="G643" t="inlineStr">
        <is>
          <t>LYCKSELE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63100-2025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46009</v>
      </c>
      <c r="E644" s="1" t="n">
        <v>46229</v>
      </c>
      <c r="F644" t="inlineStr">
        <is>
          <t>VÄSTERBOTTENS LÄN</t>
        </is>
      </c>
      <c r="G644" t="inlineStr">
        <is>
          <t>LYCKSELE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28421-2026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46197</v>
      </c>
      <c r="E645" s="1" t="n">
        <v>46229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62906-2025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46009</v>
      </c>
      <c r="E646" s="1" t="n">
        <v>46229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63096-2025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46009</v>
      </c>
      <c r="E647" s="1" t="n">
        <v>46229</v>
      </c>
      <c r="F647" t="inlineStr">
        <is>
          <t>VÄSTERBOTTENS LÄN</t>
        </is>
      </c>
      <c r="G647" t="inlineStr">
        <is>
          <t>LYCKSELE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54234-2023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45232</v>
      </c>
      <c r="E648" s="1" t="n">
        <v>46229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28217-2026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46229</v>
      </c>
      <c r="F649" t="inlineStr">
        <is>
          <t>VÄSTERBOTTENS LÄN</t>
        </is>
      </c>
      <c r="G649" t="inlineStr">
        <is>
          <t>LYCKSELE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57298-2025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45979</v>
      </c>
      <c r="E650" s="1" t="n">
        <v>46229</v>
      </c>
      <c r="F650" t="inlineStr">
        <is>
          <t>VÄSTERBOTTENS LÄN</t>
        </is>
      </c>
      <c r="G650" t="inlineStr">
        <is>
          <t>LYCKSELE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28890-2024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45479</v>
      </c>
      <c r="E651" s="1" t="n">
        <v>46229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SCA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28892-2024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45479</v>
      </c>
      <c r="E652" s="1" t="n">
        <v>46229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SCA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54287-2024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45617</v>
      </c>
      <c r="E653" s="1" t="n">
        <v>46229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19390-2024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46229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63315-2025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46010</v>
      </c>
      <c r="E655" s="1" t="n">
        <v>46229</v>
      </c>
      <c r="F655" t="inlineStr">
        <is>
          <t>VÄSTERBOTTENS LÄN</t>
        </is>
      </c>
      <c r="G655" t="inlineStr">
        <is>
          <t>LYCKSELE</t>
        </is>
      </c>
      <c r="I655" t="n">
        <v>9.199999999999999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63639-2025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46014</v>
      </c>
      <c r="E656" s="1" t="n">
        <v>46229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10.6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53011-2024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45611</v>
      </c>
      <c r="E657" s="1" t="n">
        <v>46229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7.1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28907-2026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46199</v>
      </c>
      <c r="E658" s="1" t="n">
        <v>46229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28910-2026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46199</v>
      </c>
      <c r="E659" s="1" t="n">
        <v>46229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43134-2023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45182</v>
      </c>
      <c r="E660" s="1" t="n">
        <v>46229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28939-2026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46229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46692-2025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45926</v>
      </c>
      <c r="E662" s="1" t="n">
        <v>46229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Holmen skog AB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19765-2024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45432</v>
      </c>
      <c r="E663" s="1" t="n">
        <v>46229</v>
      </c>
      <c r="F663" t="inlineStr">
        <is>
          <t>VÄSTERBOTTENS LÄN</t>
        </is>
      </c>
      <c r="G663" t="inlineStr">
        <is>
          <t>LYCKSELE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28829-2026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46229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25.4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26396-2022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44735</v>
      </c>
      <c r="E665" s="1" t="n">
        <v>46229</v>
      </c>
      <c r="F665" t="inlineStr">
        <is>
          <t>VÄSTERBOTTENS LÄN</t>
        </is>
      </c>
      <c r="G665" t="inlineStr">
        <is>
          <t>LYCKSELE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46181-2025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45924</v>
      </c>
      <c r="E666" s="1" t="n">
        <v>46229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11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27818-2024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45475</v>
      </c>
      <c r="E667" s="1" t="n">
        <v>46229</v>
      </c>
      <c r="F667" t="inlineStr">
        <is>
          <t>VÄSTERBOTTENS LÄN</t>
        </is>
      </c>
      <c r="G667" t="inlineStr">
        <is>
          <t>LYCKSELE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44942</v>
      </c>
      <c r="E668" s="1" t="n">
        <v>46229</v>
      </c>
      <c r="F668" t="inlineStr">
        <is>
          <t>VÄSTERBOTTENS LÄN</t>
        </is>
      </c>
      <c r="G668" t="inlineStr">
        <is>
          <t>LYCKSELE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42216-2022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44830</v>
      </c>
      <c r="E669" s="1" t="n">
        <v>46229</v>
      </c>
      <c r="F669" t="inlineStr">
        <is>
          <t>VÄSTERBOTTENS LÄN</t>
        </is>
      </c>
      <c r="G669" t="inlineStr">
        <is>
          <t>LYCKSELE</t>
        </is>
      </c>
      <c r="I669" t="n">
        <v>15.9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28650-2026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46198</v>
      </c>
      <c r="E670" s="1" t="n">
        <v>46229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22685-2026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46156</v>
      </c>
      <c r="E671" s="1" t="n">
        <v>46229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12839-2022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44642</v>
      </c>
      <c r="E672" s="1" t="n">
        <v>46229</v>
      </c>
      <c r="F672" t="inlineStr">
        <is>
          <t>VÄSTERBOTTENS LÄN</t>
        </is>
      </c>
      <c r="G672" t="inlineStr">
        <is>
          <t>LYCKSELE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58716-2024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45635</v>
      </c>
      <c r="E673" s="1" t="n">
        <v>46229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Holmen skog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46202</v>
      </c>
      <c r="E674" s="1" t="n">
        <v>46229</v>
      </c>
      <c r="F674" t="inlineStr">
        <is>
          <t>VÄSTERBOTTENS LÄN</t>
        </is>
      </c>
      <c r="G674" t="inlineStr">
        <is>
          <t>LYCKSELE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46030</v>
      </c>
      <c r="E675" s="1" t="n">
        <v>46229</v>
      </c>
      <c r="F675" t="inlineStr">
        <is>
          <t>VÄSTERBOTTENS LÄN</t>
        </is>
      </c>
      <c r="G675" t="inlineStr">
        <is>
          <t>LYCKSELE</t>
        </is>
      </c>
      <c r="I675" t="n">
        <v>16.3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29314-2026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46197</v>
      </c>
      <c r="E676" s="1" t="n">
        <v>46229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Kommuner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1085-2026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46030</v>
      </c>
      <c r="E677" s="1" t="n">
        <v>46229</v>
      </c>
      <c r="F677" t="inlineStr">
        <is>
          <t>VÄSTERBOTTENS LÄN</t>
        </is>
      </c>
      <c r="G677" t="inlineStr">
        <is>
          <t>LYCKSELE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28225-2026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46196</v>
      </c>
      <c r="E678" s="1" t="n">
        <v>46229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14276-2025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45740</v>
      </c>
      <c r="E679" s="1" t="n">
        <v>46229</v>
      </c>
      <c r="F679" t="inlineStr">
        <is>
          <t>VÄSTERBOTTENS LÄN</t>
        </is>
      </c>
      <c r="G679" t="inlineStr">
        <is>
          <t>LYCKSELE</t>
        </is>
      </c>
      <c r="I679" t="n">
        <v>34.9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1561-2026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46229</v>
      </c>
      <c r="F680" t="inlineStr">
        <is>
          <t>VÄSTERBOTTENS LÄN</t>
        </is>
      </c>
      <c r="G680" t="inlineStr">
        <is>
          <t>LYCKSELE</t>
        </is>
      </c>
      <c r="I680" t="n">
        <v>10.7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1613-2026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46034</v>
      </c>
      <c r="E681" s="1" t="n">
        <v>46229</v>
      </c>
      <c r="F681" t="inlineStr">
        <is>
          <t>VÄSTERBOTTENS LÄN</t>
        </is>
      </c>
      <c r="G681" t="inlineStr">
        <is>
          <t>LYCKSELE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62877-2023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45271</v>
      </c>
      <c r="E682" s="1" t="n">
        <v>46229</v>
      </c>
      <c r="F682" t="inlineStr">
        <is>
          <t>VÄSTERBOTTENS LÄN</t>
        </is>
      </c>
      <c r="G682" t="inlineStr">
        <is>
          <t>LYCKSELE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46034</v>
      </c>
      <c r="E683" s="1" t="n">
        <v>46229</v>
      </c>
      <c r="F683" t="inlineStr">
        <is>
          <t>VÄSTERBOTTENS LÄN</t>
        </is>
      </c>
      <c r="G683" t="inlineStr">
        <is>
          <t>LYCKSELE</t>
        </is>
      </c>
      <c r="I683" t="n">
        <v>8.4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29424-2026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46203</v>
      </c>
      <c r="E684" s="1" t="n">
        <v>46229</v>
      </c>
      <c r="F684" t="inlineStr">
        <is>
          <t>VÄSTERBOTTENS LÄN</t>
        </is>
      </c>
      <c r="G684" t="inlineStr">
        <is>
          <t>LYCKSELE</t>
        </is>
      </c>
      <c r="I684" t="n">
        <v>7.1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29425-2026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46203</v>
      </c>
      <c r="E685" s="1" t="n">
        <v>46229</v>
      </c>
      <c r="F685" t="inlineStr">
        <is>
          <t>VÄSTERBOTTENS LÄN</t>
        </is>
      </c>
      <c r="G685" t="inlineStr">
        <is>
          <t>LYCKSELE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34567-2023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45140</v>
      </c>
      <c r="E686" s="1" t="n">
        <v>46229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66460-2021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44518</v>
      </c>
      <c r="E687" s="1" t="n">
        <v>46229</v>
      </c>
      <c r="F687" t="inlineStr">
        <is>
          <t>VÄSTERBOTTENS LÄN</t>
        </is>
      </c>
      <c r="G687" t="inlineStr">
        <is>
          <t>LYCKSELE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17192-2025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45756</v>
      </c>
      <c r="E688" s="1" t="n">
        <v>46229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Holmen skog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29395-2026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46203</v>
      </c>
      <c r="E689" s="1" t="n">
        <v>46229</v>
      </c>
      <c r="F689" t="inlineStr">
        <is>
          <t>VÄSTERBOTTENS LÄN</t>
        </is>
      </c>
      <c r="G689" t="inlineStr">
        <is>
          <t>LYCKSELE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52755-2023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45225</v>
      </c>
      <c r="E690" s="1" t="n">
        <v>46229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9550-2025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45715</v>
      </c>
      <c r="E691" s="1" t="n">
        <v>46229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14857-2023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45014</v>
      </c>
      <c r="E692" s="1" t="n">
        <v>46229</v>
      </c>
      <c r="F692" t="inlineStr">
        <is>
          <t>VÄSTERBOTTENS LÄN</t>
        </is>
      </c>
      <c r="G692" t="inlineStr">
        <is>
          <t>LYCKSELE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29149-2026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46202</v>
      </c>
      <c r="E693" s="1" t="n">
        <v>46229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38.4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29151-2026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46202</v>
      </c>
      <c r="E694" s="1" t="n">
        <v>46229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37391-2024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45540</v>
      </c>
      <c r="E695" s="1" t="n">
        <v>46229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6.7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2859-2022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44581</v>
      </c>
      <c r="E696" s="1" t="n">
        <v>46229</v>
      </c>
      <c r="F696" t="inlineStr">
        <is>
          <t>VÄSTERBOTTENS LÄN</t>
        </is>
      </c>
      <c r="G696" t="inlineStr">
        <is>
          <t>LYCKSELE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62715-2022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44925</v>
      </c>
      <c r="E697" s="1" t="n">
        <v>46229</v>
      </c>
      <c r="F697" t="inlineStr">
        <is>
          <t>VÄSTERBOTTENS LÄN</t>
        </is>
      </c>
      <c r="G697" t="inlineStr">
        <is>
          <t>LYCKSELE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29436-2026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46203</v>
      </c>
      <c r="E698" s="1" t="n">
        <v>46229</v>
      </c>
      <c r="F698" t="inlineStr">
        <is>
          <t>VÄSTERBOTTENS LÄN</t>
        </is>
      </c>
      <c r="G698" t="inlineStr">
        <is>
          <t>LYCKSELE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46045</v>
      </c>
      <c r="E699" s="1" t="n">
        <v>46229</v>
      </c>
      <c r="F699" t="inlineStr">
        <is>
          <t>VÄSTERBOTTENS LÄN</t>
        </is>
      </c>
      <c r="G699" t="inlineStr">
        <is>
          <t>LYCKSELE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29719-2026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46204</v>
      </c>
      <c r="E700" s="1" t="n">
        <v>46229</v>
      </c>
      <c r="F700" t="inlineStr">
        <is>
          <t>VÄSTERBOTTENS LÄN</t>
        </is>
      </c>
      <c r="G700" t="inlineStr">
        <is>
          <t>LYCKSELE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23356-2026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46162</v>
      </c>
      <c r="E701" s="1" t="n">
        <v>46229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23391-2026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46162</v>
      </c>
      <c r="E702" s="1" t="n">
        <v>46229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10.2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29524-2023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45106</v>
      </c>
      <c r="E703" s="1" t="n">
        <v>46229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46044</v>
      </c>
      <c r="E704" s="1" t="n">
        <v>46229</v>
      </c>
      <c r="F704" t="inlineStr">
        <is>
          <t>VÄSTERBOTTENS LÄN</t>
        </is>
      </c>
      <c r="G704" t="inlineStr">
        <is>
          <t>LYCKSELE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44924</v>
      </c>
      <c r="E705" s="1" t="n">
        <v>46229</v>
      </c>
      <c r="F705" t="inlineStr">
        <is>
          <t>VÄSTERBOTTENS LÄN</t>
        </is>
      </c>
      <c r="G705" t="inlineStr">
        <is>
          <t>LYCKSELE</t>
        </is>
      </c>
      <c r="I705" t="n">
        <v>11.9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46045</v>
      </c>
      <c r="E706" s="1" t="n">
        <v>46229</v>
      </c>
      <c r="F706" t="inlineStr">
        <is>
          <t>VÄSTERBOTTENS LÄN</t>
        </is>
      </c>
      <c r="G706" t="inlineStr">
        <is>
          <t>LYCKSELE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51842-2025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45952</v>
      </c>
      <c r="E707" s="1" t="n">
        <v>46229</v>
      </c>
      <c r="F707" t="inlineStr">
        <is>
          <t>VÄSTERBOTTENS LÄN</t>
        </is>
      </c>
      <c r="G707" t="inlineStr">
        <is>
          <t>LYCKSELE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32800-2024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45516</v>
      </c>
      <c r="E708" s="1" t="n">
        <v>46229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64893-2021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44512</v>
      </c>
      <c r="E709" s="1" t="n">
        <v>46229</v>
      </c>
      <c r="F709" t="inlineStr">
        <is>
          <t>VÄSTERBOTTENS LÄN</t>
        </is>
      </c>
      <c r="G709" t="inlineStr">
        <is>
          <t>LYCKSELE</t>
        </is>
      </c>
      <c r="I709" t="n">
        <v>7.3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29839-2026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46229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46044</v>
      </c>
      <c r="E711" s="1" t="n">
        <v>46229</v>
      </c>
      <c r="F711" t="inlineStr">
        <is>
          <t>VÄSTERBOTTENS LÄN</t>
        </is>
      </c>
      <c r="G711" t="inlineStr">
        <is>
          <t>LYCKSELE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46826-2023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45198</v>
      </c>
      <c r="E712" s="1" t="n">
        <v>46229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29823-2026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46205</v>
      </c>
      <c r="E713" s="1" t="n">
        <v>46229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38178-2022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44812</v>
      </c>
      <c r="E714" s="1" t="n">
        <v>46229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29836-2026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46205</v>
      </c>
      <c r="E715" s="1" t="n">
        <v>46229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8.6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29841-2026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46205</v>
      </c>
      <c r="E716" s="1" t="n">
        <v>46229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29848-2026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46229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46049</v>
      </c>
      <c r="E718" s="1" t="n">
        <v>46229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24.6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29706-2026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46204</v>
      </c>
      <c r="E719" s="1" t="n">
        <v>46229</v>
      </c>
      <c r="F719" t="inlineStr">
        <is>
          <t>VÄSTERBOTTENS LÄN</t>
        </is>
      </c>
      <c r="G719" t="inlineStr">
        <is>
          <t>LYCKSELE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29852-2026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46205</v>
      </c>
      <c r="E720" s="1" t="n">
        <v>46229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13.4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29904-2026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46205</v>
      </c>
      <c r="E721" s="1" t="n">
        <v>46229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29844-2026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46205</v>
      </c>
      <c r="E722" s="1" t="n">
        <v>46229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5508-2026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46050</v>
      </c>
      <c r="E723" s="1" t="n">
        <v>46229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45444-2024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45576</v>
      </c>
      <c r="E724" s="1" t="n">
        <v>46229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29730-2026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46204</v>
      </c>
      <c r="E725" s="1" t="n">
        <v>46229</v>
      </c>
      <c r="F725" t="inlineStr">
        <is>
          <t>VÄSTERBOTTENS LÄN</t>
        </is>
      </c>
      <c r="G725" t="inlineStr">
        <is>
          <t>LYCKSELE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4671-2025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45687</v>
      </c>
      <c r="E726" s="1" t="n">
        <v>46229</v>
      </c>
      <c r="F726" t="inlineStr">
        <is>
          <t>VÄSTERBOTTENS LÄN</t>
        </is>
      </c>
      <c r="G726" t="inlineStr">
        <is>
          <t>LYCKSELE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14070-2024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45392</v>
      </c>
      <c r="E727" s="1" t="n">
        <v>46229</v>
      </c>
      <c r="F727" t="inlineStr">
        <is>
          <t>VÄSTERBOTTENS LÄN</t>
        </is>
      </c>
      <c r="G727" t="inlineStr">
        <is>
          <t>LYCKSELE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19246-2025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45769</v>
      </c>
      <c r="E728" s="1" t="n">
        <v>46229</v>
      </c>
      <c r="F728" t="inlineStr">
        <is>
          <t>VÄSTERBOTTENS LÄN</t>
        </is>
      </c>
      <c r="G728" t="inlineStr">
        <is>
          <t>LYCKSELE</t>
        </is>
      </c>
      <c r="I728" t="n">
        <v>9.4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23274-2026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46162</v>
      </c>
      <c r="E729" s="1" t="n">
        <v>46229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3021-2026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46038</v>
      </c>
      <c r="E730" s="1" t="n">
        <v>46229</v>
      </c>
      <c r="F730" t="inlineStr">
        <is>
          <t>VÄSTERBOTTENS LÄN</t>
        </is>
      </c>
      <c r="G730" t="inlineStr">
        <is>
          <t>LYCKSELE</t>
        </is>
      </c>
      <c r="I730" t="n">
        <v>6.7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58775-2025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45986</v>
      </c>
      <c r="E731" s="1" t="n">
        <v>46229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40262-2022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44820</v>
      </c>
      <c r="E732" s="1" t="n">
        <v>46229</v>
      </c>
      <c r="F732" t="inlineStr">
        <is>
          <t>VÄSTERBOTTENS LÄN</t>
        </is>
      </c>
      <c r="G732" t="inlineStr">
        <is>
          <t>LYCKSELE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51048-2023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45218</v>
      </c>
      <c r="E733" s="1" t="n">
        <v>46229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24041-2023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45078</v>
      </c>
      <c r="E734" s="1" t="n">
        <v>46229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11743-2023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44994</v>
      </c>
      <c r="E735" s="1" t="n">
        <v>46229</v>
      </c>
      <c r="F735" t="inlineStr">
        <is>
          <t>VÄSTERBOTTENS LÄN</t>
        </is>
      </c>
      <c r="G735" t="inlineStr">
        <is>
          <t>LYCKSELE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19270-2024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45428</v>
      </c>
      <c r="E736" s="1" t="n">
        <v>46229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11.1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23988-2026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46167</v>
      </c>
      <c r="E737" s="1" t="n">
        <v>46229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7829-2026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46062</v>
      </c>
      <c r="E738" s="1" t="n">
        <v>46229</v>
      </c>
      <c r="F738" t="inlineStr">
        <is>
          <t>VÄSTERBOTTENS LÄN</t>
        </is>
      </c>
      <c r="G738" t="inlineStr">
        <is>
          <t>LYCKSELE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7954-2026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46063</v>
      </c>
      <c r="E739" s="1" t="n">
        <v>46229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Naturvårdsverket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30288-2026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46229</v>
      </c>
      <c r="F740" t="inlineStr">
        <is>
          <t>VÄSTERBOTTENS LÄN</t>
        </is>
      </c>
      <c r="G740" t="inlineStr">
        <is>
          <t>LYCKSELE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34810-2024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45526</v>
      </c>
      <c r="E741" s="1" t="n">
        <v>46229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8018-2026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46063</v>
      </c>
      <c r="E742" s="1" t="n">
        <v>46229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Naturvårdsverket</t>
        </is>
      </c>
      <c r="I742" t="n">
        <v>11.4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55170-2022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44886</v>
      </c>
      <c r="E743" s="1" t="n">
        <v>46229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7842-2026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46062</v>
      </c>
      <c r="E744" s="1" t="n">
        <v>46229</v>
      </c>
      <c r="F744" t="inlineStr">
        <is>
          <t>VÄSTERBOTTENS LÄN</t>
        </is>
      </c>
      <c r="G744" t="inlineStr">
        <is>
          <t>LYCKSELE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8485-2026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46065</v>
      </c>
      <c r="E745" s="1" t="n">
        <v>46229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Holmen skog AB</t>
        </is>
      </c>
      <c r="I745" t="n">
        <v>12.1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46034</v>
      </c>
      <c r="E746" s="1" t="n">
        <v>46229</v>
      </c>
      <c r="F746" t="inlineStr">
        <is>
          <t>VÄSTERBOTTENS LÄN</t>
        </is>
      </c>
      <c r="G746" t="inlineStr">
        <is>
          <t>LYCKSELE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8273-2026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46064</v>
      </c>
      <c r="E747" s="1" t="n">
        <v>46229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Naturvårdsverket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8272-2026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46064</v>
      </c>
      <c r="E748" s="1" t="n">
        <v>46229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Naturvårdsverket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8467-2026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46065</v>
      </c>
      <c r="E749" s="1" t="n">
        <v>46229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6.8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59653-2022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44907</v>
      </c>
      <c r="E750" s="1" t="n">
        <v>46229</v>
      </c>
      <c r="F750" t="inlineStr">
        <is>
          <t>VÄSTERBOTTENS LÄN</t>
        </is>
      </c>
      <c r="G750" t="inlineStr">
        <is>
          <t>LYCKSELE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30360-2026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46209</v>
      </c>
      <c r="E751" s="1" t="n">
        <v>46229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30290-2026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46206</v>
      </c>
      <c r="E752" s="1" t="n">
        <v>46229</v>
      </c>
      <c r="F752" t="inlineStr">
        <is>
          <t>VÄSTERBOTTENS LÄN</t>
        </is>
      </c>
      <c r="G752" t="inlineStr">
        <is>
          <t>LYCKSELE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30447-2026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46209</v>
      </c>
      <c r="E753" s="1" t="n">
        <v>46229</v>
      </c>
      <c r="F753" t="inlineStr">
        <is>
          <t>VÄSTERBOTTENS LÄN</t>
        </is>
      </c>
      <c r="G753" t="inlineStr">
        <is>
          <t>LYCKSELE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71407-2021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44540</v>
      </c>
      <c r="E754" s="1" t="n">
        <v>46229</v>
      </c>
      <c r="F754" t="inlineStr">
        <is>
          <t>VÄSTERBOTTENS LÄN</t>
        </is>
      </c>
      <c r="G754" t="inlineStr">
        <is>
          <t>LYCKSELE</t>
        </is>
      </c>
      <c r="I754" t="n">
        <v>9.4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9310-2026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46070</v>
      </c>
      <c r="E755" s="1" t="n">
        <v>46229</v>
      </c>
      <c r="F755" t="inlineStr">
        <is>
          <t>VÄSTERBOTTENS LÄN</t>
        </is>
      </c>
      <c r="G755" t="inlineStr">
        <is>
          <t>LYCKSELE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9716-2026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46072</v>
      </c>
      <c r="E756" s="1" t="n">
        <v>46229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24175-2026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46168</v>
      </c>
      <c r="E757" s="1" t="n">
        <v>46229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6.5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1962-2024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45308</v>
      </c>
      <c r="E758" s="1" t="n">
        <v>46229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Holmen skog AB</t>
        </is>
      </c>
      <c r="I758" t="n">
        <v>9.300000000000001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10180-2026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46076</v>
      </c>
      <c r="E759" s="1" t="n">
        <v>46229</v>
      </c>
      <c r="F759" t="inlineStr">
        <is>
          <t>VÄSTERBOTTENS LÄN</t>
        </is>
      </c>
      <c r="G759" t="inlineStr">
        <is>
          <t>LYCKSELE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10230-2026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46076</v>
      </c>
      <c r="E760" s="1" t="n">
        <v>46229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24204-2026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46168</v>
      </c>
      <c r="E761" s="1" t="n">
        <v>46229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41361-2023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45174</v>
      </c>
      <c r="E762" s="1" t="n">
        <v>46229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6.6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10478-2026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46077</v>
      </c>
      <c r="E763" s="1" t="n">
        <v>46229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7.3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33713-2024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45520</v>
      </c>
      <c r="E764" s="1" t="n">
        <v>46229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7.5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10174-2026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46076</v>
      </c>
      <c r="E765" s="1" t="n">
        <v>46229</v>
      </c>
      <c r="F765" t="inlineStr">
        <is>
          <t>VÄSTERBOTTENS LÄN</t>
        </is>
      </c>
      <c r="G765" t="inlineStr">
        <is>
          <t>LYCKSELE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10321-2026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46076</v>
      </c>
      <c r="E766" s="1" t="n">
        <v>46229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22451-2026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46153</v>
      </c>
      <c r="E767" s="1" t="n">
        <v>46229</v>
      </c>
      <c r="F767" t="inlineStr">
        <is>
          <t>VÄSTERBOTTENS LÄN</t>
        </is>
      </c>
      <c r="G767" t="inlineStr">
        <is>
          <t>LYCKSELE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53614-2021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44469</v>
      </c>
      <c r="E768" s="1" t="n">
        <v>46229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60685-2022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44911</v>
      </c>
      <c r="E769" s="1" t="n">
        <v>46229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30631-2026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46211</v>
      </c>
      <c r="E770" s="1" t="n">
        <v>46229</v>
      </c>
      <c r="F770" t="inlineStr">
        <is>
          <t>VÄSTERBOTTENS LÄN</t>
        </is>
      </c>
      <c r="G770" t="inlineStr">
        <is>
          <t>LYCKSELE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18674-2025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45763</v>
      </c>
      <c r="E771" s="1" t="n">
        <v>46229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7.9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47807-2024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45588</v>
      </c>
      <c r="E772" s="1" t="n">
        <v>46229</v>
      </c>
      <c r="F772" t="inlineStr">
        <is>
          <t>VÄSTERBOTTENS LÄN</t>
        </is>
      </c>
      <c r="G772" t="inlineStr">
        <is>
          <t>LYCKSELE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42887-2024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45566</v>
      </c>
      <c r="E773" s="1" t="n">
        <v>46229</v>
      </c>
      <c r="F773" t="inlineStr">
        <is>
          <t>VÄSTERBOTTENS LÄN</t>
        </is>
      </c>
      <c r="G773" t="inlineStr">
        <is>
          <t>LYCKSELE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10208-2024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45364</v>
      </c>
      <c r="E774" s="1" t="n">
        <v>46229</v>
      </c>
      <c r="F774" t="inlineStr">
        <is>
          <t>VÄSTERBOTTENS LÄN</t>
        </is>
      </c>
      <c r="G774" t="inlineStr">
        <is>
          <t>LYCKSELE</t>
        </is>
      </c>
      <c r="I774" t="n">
        <v>9.4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59174-2024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45637</v>
      </c>
      <c r="E775" s="1" t="n">
        <v>46229</v>
      </c>
      <c r="F775" t="inlineStr">
        <is>
          <t>VÄSTERBOTTENS LÄN</t>
        </is>
      </c>
      <c r="G775" t="inlineStr">
        <is>
          <t>LYCKSELE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12083-2026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46086</v>
      </c>
      <c r="E776" s="1" t="n">
        <v>46229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24205-2026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46229</v>
      </c>
      <c r="F777" t="inlineStr">
        <is>
          <t>VÄSTERBOTTENS LÄN</t>
        </is>
      </c>
      <c r="G777" t="inlineStr">
        <is>
          <t>LYCKSELE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30589-2026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46210</v>
      </c>
      <c r="E778" s="1" t="n">
        <v>46229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6.9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11870-2026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46085</v>
      </c>
      <c r="E779" s="1" t="n">
        <v>46229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37271-2023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45155</v>
      </c>
      <c r="E780" s="1" t="n">
        <v>46229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12292-2026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46087</v>
      </c>
      <c r="E781" s="1" t="n">
        <v>46229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46170</v>
      </c>
      <c r="E782" s="1" t="n">
        <v>46229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61506-2021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44501</v>
      </c>
      <c r="E783" s="1" t="n">
        <v>46229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6.4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12302-2026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46087</v>
      </c>
      <c r="E784" s="1" t="n">
        <v>46229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12436-2026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46090</v>
      </c>
      <c r="E785" s="1" t="n">
        <v>46229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60267-2022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44910</v>
      </c>
      <c r="E786" s="1" t="n">
        <v>46229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12327-2026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46087</v>
      </c>
      <c r="E787" s="1" t="n">
        <v>46229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40115-2024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45554</v>
      </c>
      <c r="E788" s="1" t="n">
        <v>46229</v>
      </c>
      <c r="F788" t="inlineStr">
        <is>
          <t>VÄSTERBOTTENS LÄN</t>
        </is>
      </c>
      <c r="G788" t="inlineStr">
        <is>
          <t>LYCKSELE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27495-2024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45474</v>
      </c>
      <c r="E789" s="1" t="n">
        <v>46229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30939-2026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46213</v>
      </c>
      <c r="E790" s="1" t="n">
        <v>46229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24.3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30890-2026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46213</v>
      </c>
      <c r="E791" s="1" t="n">
        <v>46229</v>
      </c>
      <c r="F791" t="inlineStr">
        <is>
          <t>VÄSTERBOTTENS LÄN</t>
        </is>
      </c>
      <c r="G791" t="inlineStr">
        <is>
          <t>LYCKSELE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24548-2026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46170</v>
      </c>
      <c r="E792" s="1" t="n">
        <v>46229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46170</v>
      </c>
      <c r="E793" s="1" t="n">
        <v>46229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12889-2026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46092</v>
      </c>
      <c r="E794" s="1" t="n">
        <v>46229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4.8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30945-2026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46213</v>
      </c>
      <c r="E795" s="1" t="n">
        <v>46229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4.9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12980-2026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46092</v>
      </c>
      <c r="E796" s="1" t="n">
        <v>46229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7.2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12662-2026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46091</v>
      </c>
      <c r="E797" s="1" t="n">
        <v>46229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30962-2026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46213</v>
      </c>
      <c r="E798" s="1" t="n">
        <v>46229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12998-2026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46092</v>
      </c>
      <c r="E799" s="1" t="n">
        <v>46229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12735-2026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46091</v>
      </c>
      <c r="E800" s="1" t="n">
        <v>46229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31689-2023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45117</v>
      </c>
      <c r="E801" s="1" t="n">
        <v>46229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32690-2024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45515</v>
      </c>
      <c r="E802" s="1" t="n">
        <v>46229</v>
      </c>
      <c r="F802" t="inlineStr">
        <is>
          <t>VÄSTERBOTTENS LÄN</t>
        </is>
      </c>
      <c r="G802" t="inlineStr">
        <is>
          <t>LYCKSELE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24574-2026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46170</v>
      </c>
      <c r="E803" s="1" t="n">
        <v>46229</v>
      </c>
      <c r="F803" t="inlineStr">
        <is>
          <t>VÄSTERBOTTENS LÄN</t>
        </is>
      </c>
      <c r="G803" t="inlineStr">
        <is>
          <t>LYCKSELE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36875-2023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45154</v>
      </c>
      <c r="E804" s="1" t="n">
        <v>46229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13502-2026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46094</v>
      </c>
      <c r="E805" s="1" t="n">
        <v>46229</v>
      </c>
      <c r="F805" t="inlineStr">
        <is>
          <t>VÄSTERBOTTENS LÄN</t>
        </is>
      </c>
      <c r="G805" t="inlineStr">
        <is>
          <t>LYCKSELE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13436-2026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46094</v>
      </c>
      <c r="E806" s="1" t="n">
        <v>46229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13384-2026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46094</v>
      </c>
      <c r="E807" s="1" t="n">
        <v>46229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10.9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13477-2026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46094</v>
      </c>
      <c r="E808" s="1" t="n">
        <v>46229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13413-2026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46094</v>
      </c>
      <c r="E809" s="1" t="n">
        <v>46229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13480-2026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46094</v>
      </c>
      <c r="E810" s="1" t="n">
        <v>46229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13517-2026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46094</v>
      </c>
      <c r="E811" s="1" t="n">
        <v>46229</v>
      </c>
      <c r="F811" t="inlineStr">
        <is>
          <t>VÄSTERBOTTENS LÄN</t>
        </is>
      </c>
      <c r="G811" t="inlineStr">
        <is>
          <t>LYCKSELE</t>
        </is>
      </c>
      <c r="I811" t="n">
        <v>4.8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13518-2026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46094</v>
      </c>
      <c r="E812" s="1" t="n">
        <v>46229</v>
      </c>
      <c r="F812" t="inlineStr">
        <is>
          <t>VÄSTERBOTTENS LÄN</t>
        </is>
      </c>
      <c r="G812" t="inlineStr">
        <is>
          <t>LYCKSELE</t>
        </is>
      </c>
      <c r="I812" t="n">
        <v>12.7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10331-2023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44980</v>
      </c>
      <c r="E813" s="1" t="n">
        <v>46229</v>
      </c>
      <c r="F813" t="inlineStr">
        <is>
          <t>VÄSTERBOTTENS LÄN</t>
        </is>
      </c>
      <c r="G813" t="inlineStr">
        <is>
          <t>LYCKSELE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13954-2026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46098</v>
      </c>
      <c r="E814" s="1" t="n">
        <v>46229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51943-2023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45223</v>
      </c>
      <c r="E815" s="1" t="n">
        <v>46229</v>
      </c>
      <c r="F815" t="inlineStr">
        <is>
          <t>VÄSTERBOTTENS LÄN</t>
        </is>
      </c>
      <c r="G815" t="inlineStr">
        <is>
          <t>LYCKSELE</t>
        </is>
      </c>
      <c r="I815" t="n">
        <v>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13921-2026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46098</v>
      </c>
      <c r="E816" s="1" t="n">
        <v>46229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13627-2026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46097</v>
      </c>
      <c r="E817" s="1" t="n">
        <v>46229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11199-2024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45371</v>
      </c>
      <c r="E818" s="1" t="n">
        <v>46229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55.8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14235-2026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46099</v>
      </c>
      <c r="E819" s="1" t="n">
        <v>46229</v>
      </c>
      <c r="F819" t="inlineStr">
        <is>
          <t>VÄSTERBOTTENS LÄN</t>
        </is>
      </c>
      <c r="G819" t="inlineStr">
        <is>
          <t>LYCKSELE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14404-2026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46100</v>
      </c>
      <c r="E820" s="1" t="n">
        <v>46229</v>
      </c>
      <c r="F820" t="inlineStr">
        <is>
          <t>VÄSTERBOTTENS LÄN</t>
        </is>
      </c>
      <c r="G820" t="inlineStr">
        <is>
          <t>LYCKSELE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37984-2021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44403</v>
      </c>
      <c r="E821" s="1" t="n">
        <v>46229</v>
      </c>
      <c r="F821" t="inlineStr">
        <is>
          <t>VÄSTERBOTTENS LÄN</t>
        </is>
      </c>
      <c r="G821" t="inlineStr">
        <is>
          <t>LYCKSELE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14243-2026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46099</v>
      </c>
      <c r="E822" s="1" t="n">
        <v>46229</v>
      </c>
      <c r="F822" t="inlineStr">
        <is>
          <t>VÄSTERBOTTENS LÄN</t>
        </is>
      </c>
      <c r="G822" t="inlineStr">
        <is>
          <t>LYCKSELE</t>
        </is>
      </c>
      <c r="I822" t="n">
        <v>11.8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25080-2026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46174</v>
      </c>
      <c r="E823" s="1" t="n">
        <v>46229</v>
      </c>
      <c r="F823" t="inlineStr">
        <is>
          <t>VÄSTERBOTTENS LÄN</t>
        </is>
      </c>
      <c r="G823" t="inlineStr">
        <is>
          <t>LYCKSELE</t>
        </is>
      </c>
      <c r="I823" t="n">
        <v>13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14405-2026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46100</v>
      </c>
      <c r="E824" s="1" t="n">
        <v>46229</v>
      </c>
      <c r="F824" t="inlineStr">
        <is>
          <t>VÄSTERBOTTENS LÄN</t>
        </is>
      </c>
      <c r="G824" t="inlineStr">
        <is>
          <t>LYCKSELE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49130-2024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46229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61094-2023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45261</v>
      </c>
      <c r="E826" s="1" t="n">
        <v>46229</v>
      </c>
      <c r="F826" t="inlineStr">
        <is>
          <t>VÄSTERBOTTENS LÄN</t>
        </is>
      </c>
      <c r="G826" t="inlineStr">
        <is>
          <t>LYCKSELE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24763-2026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46171</v>
      </c>
      <c r="E827" s="1" t="n">
        <v>46229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14675-2026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46229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5.4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45307</v>
      </c>
      <c r="E829" s="1" t="n">
        <v>46229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14.9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14856-2026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46104</v>
      </c>
      <c r="E830" s="1" t="n">
        <v>46229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11.1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21668-2024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45441</v>
      </c>
      <c r="E831" s="1" t="n">
        <v>46229</v>
      </c>
      <c r="F831" t="inlineStr">
        <is>
          <t>VÄSTERBOTTENS LÄN</t>
        </is>
      </c>
      <c r="G831" t="inlineStr">
        <is>
          <t>LYCKSELE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12336-2024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45378</v>
      </c>
      <c r="E832" s="1" t="n">
        <v>46229</v>
      </c>
      <c r="F832" t="inlineStr">
        <is>
          <t>VÄSTERBOTTENS LÄN</t>
        </is>
      </c>
      <c r="G832" t="inlineStr">
        <is>
          <t>LYCKSELE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26717-2024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45470</v>
      </c>
      <c r="E833" s="1" t="n">
        <v>46229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61367-2024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45646</v>
      </c>
      <c r="E834" s="1" t="n">
        <v>46229</v>
      </c>
      <c r="F834" t="inlineStr">
        <is>
          <t>VÄSTERBOTTENS LÄN</t>
        </is>
      </c>
      <c r="G834" t="inlineStr">
        <is>
          <t>LYCKSELE</t>
        </is>
      </c>
      <c r="I834" t="n">
        <v>10.4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14725-2026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46101</v>
      </c>
      <c r="E835" s="1" t="n">
        <v>46229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31251-2024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45503</v>
      </c>
      <c r="E836" s="1" t="n">
        <v>46229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7.4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14845-2026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46104</v>
      </c>
      <c r="E837" s="1" t="n">
        <v>46229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15389-2026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46106</v>
      </c>
      <c r="E838" s="1" t="n">
        <v>46229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12.9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51669-2024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45606</v>
      </c>
      <c r="E839" s="1" t="n">
        <v>46229</v>
      </c>
      <c r="F839" t="inlineStr">
        <is>
          <t>VÄSTERBOTTENS LÄN</t>
        </is>
      </c>
      <c r="G839" t="inlineStr">
        <is>
          <t>LYCKSELE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33400-2023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45128</v>
      </c>
      <c r="E840" s="1" t="n">
        <v>46229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25039-2026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46174</v>
      </c>
      <c r="E841" s="1" t="n">
        <v>46229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15655-2026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46229</v>
      </c>
      <c r="F842" t="inlineStr">
        <is>
          <t>VÄSTERBOTTENS LÄN</t>
        </is>
      </c>
      <c r="G842" t="inlineStr">
        <is>
          <t>LYCKSELE</t>
        </is>
      </c>
      <c r="I842" t="n">
        <v>5.8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24954-2026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46174</v>
      </c>
      <c r="E843" s="1" t="n">
        <v>46229</v>
      </c>
      <c r="F843" t="inlineStr">
        <is>
          <t>VÄSTERBOTTENS LÄN</t>
        </is>
      </c>
      <c r="G843" t="inlineStr">
        <is>
          <t>LYCKSELE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55456-2022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44887</v>
      </c>
      <c r="E844" s="1" t="n">
        <v>46229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29279-2026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46202</v>
      </c>
      <c r="E845" s="1" t="n">
        <v>46229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25278-2026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46176</v>
      </c>
      <c r="E846" s="1" t="n">
        <v>46229</v>
      </c>
      <c r="F846" t="inlineStr">
        <is>
          <t>VÄSTERBOTTENS LÄN</t>
        </is>
      </c>
      <c r="G846" t="inlineStr">
        <is>
          <t>LYCKSELE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31369-2026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46219</v>
      </c>
      <c r="E847" s="1" t="n">
        <v>46229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31358-2026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46219</v>
      </c>
      <c r="E848" s="1" t="n">
        <v>46229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16.3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29675-2023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45107</v>
      </c>
      <c r="E849" s="1" t="n">
        <v>46229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31289-2026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46218</v>
      </c>
      <c r="E850" s="1" t="n">
        <v>46229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13.4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15696-2026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46107</v>
      </c>
      <c r="E851" s="1" t="n">
        <v>46229</v>
      </c>
      <c r="F851" t="inlineStr">
        <is>
          <t>VÄSTERBOTTENS LÄN</t>
        </is>
      </c>
      <c r="G851" t="inlineStr">
        <is>
          <t>LYCKSELE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41358-2022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44826</v>
      </c>
      <c r="E852" s="1" t="n">
        <v>46229</v>
      </c>
      <c r="F852" t="inlineStr">
        <is>
          <t>VÄSTERBOTTENS LÄN</t>
        </is>
      </c>
      <c r="G852" t="inlineStr">
        <is>
          <t>LYCKSELE</t>
        </is>
      </c>
      <c r="I852" t="n">
        <v>6.2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58594-2022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44902</v>
      </c>
      <c r="E853" s="1" t="n">
        <v>46229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38212-2024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45545</v>
      </c>
      <c r="E854" s="1" t="n">
        <v>46229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16138-2026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46108</v>
      </c>
      <c r="E855" s="1" t="n">
        <v>46229</v>
      </c>
      <c r="F855" t="inlineStr">
        <is>
          <t>VÄSTERBOTTENS LÄN</t>
        </is>
      </c>
      <c r="G855" t="inlineStr">
        <is>
          <t>LYCKSELE</t>
        </is>
      </c>
      <c r="I855" t="n">
        <v>13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53839-2023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45231</v>
      </c>
      <c r="E856" s="1" t="n">
        <v>46229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16642-2026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46112</v>
      </c>
      <c r="E857" s="1" t="n">
        <v>46229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31371-2026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46219</v>
      </c>
      <c r="E858" s="1" t="n">
        <v>46229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25328-2026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46176</v>
      </c>
      <c r="E859" s="1" t="n">
        <v>46229</v>
      </c>
      <c r="F859" t="inlineStr">
        <is>
          <t>VÄSTERBOTTENS LÄN</t>
        </is>
      </c>
      <c r="G859" t="inlineStr">
        <is>
          <t>LYCKSELE</t>
        </is>
      </c>
      <c r="I859" t="n">
        <v>7.4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6943-2025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45701</v>
      </c>
      <c r="E860" s="1" t="n">
        <v>46229</v>
      </c>
      <c r="F860" t="inlineStr">
        <is>
          <t>VÄSTERBOTTENS LÄN</t>
        </is>
      </c>
      <c r="G860" t="inlineStr">
        <is>
          <t>LYCKSELE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16540-2026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46112</v>
      </c>
      <c r="E861" s="1" t="n">
        <v>46229</v>
      </c>
      <c r="F861" t="inlineStr">
        <is>
          <t>VÄSTERBOTTENS LÄN</t>
        </is>
      </c>
      <c r="G861" t="inlineStr">
        <is>
          <t>LYCKSELE</t>
        </is>
      </c>
      <c r="I861" t="n">
        <v>17.1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59559-2022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44900</v>
      </c>
      <c r="E862" s="1" t="n">
        <v>46229</v>
      </c>
      <c r="F862" t="inlineStr">
        <is>
          <t>VÄSTERBOTTENS LÄN</t>
        </is>
      </c>
      <c r="G862" t="inlineStr">
        <is>
          <t>LYCKSELE</t>
        </is>
      </c>
      <c r="I862" t="n">
        <v>0.3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16397-2026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46111</v>
      </c>
      <c r="E863" s="1" t="n">
        <v>46229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31288-2026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46218</v>
      </c>
      <c r="E864" s="1" t="n">
        <v>46229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5.6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16643-2026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46112</v>
      </c>
      <c r="E865" s="1" t="n">
        <v>46229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16.8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16646-2026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46112</v>
      </c>
      <c r="E866" s="1" t="n">
        <v>46229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13.9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16986-2026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46114</v>
      </c>
      <c r="E867" s="1" t="n">
        <v>46229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16733-2026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46113</v>
      </c>
      <c r="E868" s="1" t="n">
        <v>46229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16731-2026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46113</v>
      </c>
      <c r="E869" s="1" t="n">
        <v>46229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13.5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16729-2026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46113</v>
      </c>
      <c r="E870" s="1" t="n">
        <v>46229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19.5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58192-2023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45245</v>
      </c>
      <c r="E871" s="1" t="n">
        <v>46229</v>
      </c>
      <c r="F871" t="inlineStr">
        <is>
          <t>VÄSTERBOTTENS LÄN</t>
        </is>
      </c>
      <c r="G871" t="inlineStr">
        <is>
          <t>LYCKSELE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31408-2026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46220</v>
      </c>
      <c r="E872" s="1" t="n">
        <v>46229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53037-2023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45226</v>
      </c>
      <c r="E873" s="1" t="n">
        <v>46229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7.4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53335-2024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45614</v>
      </c>
      <c r="E874" s="1" t="n">
        <v>46229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5.5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21666-2024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45441</v>
      </c>
      <c r="E875" s="1" t="n">
        <v>46229</v>
      </c>
      <c r="F875" t="inlineStr">
        <is>
          <t>VÄSTERBOTTENS LÄN</t>
        </is>
      </c>
      <c r="G875" t="inlineStr">
        <is>
          <t>LYCKSELE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17329-2026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46119</v>
      </c>
      <c r="E876" s="1" t="n">
        <v>46229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12.1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25453-2026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46177</v>
      </c>
      <c r="E877" s="1" t="n">
        <v>46229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17650-2026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46121</v>
      </c>
      <c r="E878" s="1" t="n">
        <v>46229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24810-2024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45460</v>
      </c>
      <c r="E879" s="1" t="n">
        <v>46229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25746-2026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46178</v>
      </c>
      <c r="E880" s="1" t="n">
        <v>46229</v>
      </c>
      <c r="F880" t="inlineStr">
        <is>
          <t>VÄSTERBOTTENS LÄN</t>
        </is>
      </c>
      <c r="G880" t="inlineStr">
        <is>
          <t>LYCKSELE</t>
        </is>
      </c>
      <c r="I880" t="n">
        <v>22.3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60859-2022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44908</v>
      </c>
      <c r="E881" s="1" t="n">
        <v>46229</v>
      </c>
      <c r="F881" t="inlineStr">
        <is>
          <t>VÄSTERBOTTENS LÄN</t>
        </is>
      </c>
      <c r="G881" t="inlineStr">
        <is>
          <t>LYCKSELE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25492-2026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46177</v>
      </c>
      <c r="E882" s="1" t="n">
        <v>46229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26351-2022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44735</v>
      </c>
      <c r="E883" s="1" t="n">
        <v>46229</v>
      </c>
      <c r="F883" t="inlineStr">
        <is>
          <t>VÄSTERBOTTENS LÄN</t>
        </is>
      </c>
      <c r="G883" t="inlineStr">
        <is>
          <t>LYCKSELE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25718-2026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46178</v>
      </c>
      <c r="E884" s="1" t="n">
        <v>46229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54446-2023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45233</v>
      </c>
      <c r="E885" s="1" t="n">
        <v>46229</v>
      </c>
      <c r="F885" t="inlineStr">
        <is>
          <t>VÄSTERBOTTENS LÄN</t>
        </is>
      </c>
      <c r="G885" t="inlineStr">
        <is>
          <t>LYCKSELE</t>
        </is>
      </c>
      <c r="I885" t="n">
        <v>21.4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38347-2025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45883</v>
      </c>
      <c r="E886" s="1" t="n">
        <v>46229</v>
      </c>
      <c r="F886" t="inlineStr">
        <is>
          <t>VÄSTERBOTTENS LÄN</t>
        </is>
      </c>
      <c r="G886" t="inlineStr">
        <is>
          <t>LYCKSELE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31384-2026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46220</v>
      </c>
      <c r="E887" s="1" t="n">
        <v>46229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3.4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52956-2022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44875</v>
      </c>
      <c r="E888" s="1" t="n">
        <v>46229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6.4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31400-2026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46220</v>
      </c>
      <c r="E889" s="1" t="n">
        <v>46229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Holmen skog AB</t>
        </is>
      </c>
      <c r="I889" t="n">
        <v>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25490-2026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46177</v>
      </c>
      <c r="E890" s="1" t="n">
        <v>46229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25491-2026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46177</v>
      </c>
      <c r="E891" s="1" t="n">
        <v>46229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10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31398-2026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46220</v>
      </c>
      <c r="E892" s="1" t="n">
        <v>46229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25709-2026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46178</v>
      </c>
      <c r="E893" s="1" t="n">
        <v>46229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6.1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25716-2026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46178</v>
      </c>
      <c r="E894" s="1" t="n">
        <v>46229</v>
      </c>
      <c r="F894" t="inlineStr">
        <is>
          <t>VÄSTERBOTTENS LÄN</t>
        </is>
      </c>
      <c r="G894" t="inlineStr">
        <is>
          <t>LYCKSELE</t>
        </is>
      </c>
      <c r="I894" t="n">
        <v>7.7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25727-2026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46178</v>
      </c>
      <c r="E895" s="1" t="n">
        <v>46229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18737-2026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46128</v>
      </c>
      <c r="E896" s="1" t="n">
        <v>46229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5.5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25461-2026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46177</v>
      </c>
      <c r="E897" s="1" t="n">
        <v>46229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38112-2024</t>
        </is>
      </c>
      <c r="B898" t="inlineStr">
        <is>
          <t>avverkningsanmälan</t>
        </is>
      </c>
      <c r="C898" t="inlineStr">
        <is>
          <t>Avverkning för att bevara och utveckla /försöksver</t>
        </is>
      </c>
      <c r="D898" s="1" t="n">
        <v>45545</v>
      </c>
      <c r="E898" s="1" t="n">
        <v>46229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59516-2021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44491</v>
      </c>
      <c r="E899" s="1" t="n">
        <v>46229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56343-2022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44890</v>
      </c>
      <c r="E900" s="1" t="n">
        <v>46229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18789-2026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46128</v>
      </c>
      <c r="E901" s="1" t="n">
        <v>46229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5.1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18581-2026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46127</v>
      </c>
      <c r="E902" s="1" t="n">
        <v>46229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6.4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25946-2026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46181</v>
      </c>
      <c r="E903" s="1" t="n">
        <v>46229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6.6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26175-2026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46182</v>
      </c>
      <c r="E904" s="1" t="n">
        <v>46229</v>
      </c>
      <c r="F904" t="inlineStr">
        <is>
          <t>VÄSTERBOTTENS LÄN</t>
        </is>
      </c>
      <c r="G904" t="inlineStr">
        <is>
          <t>LYCKSELE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19062-2026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46132</v>
      </c>
      <c r="E905" s="1" t="n">
        <v>46229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9.699999999999999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19058-2026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46132</v>
      </c>
      <c r="E906" s="1" t="n">
        <v>46229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26246-2026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46182</v>
      </c>
      <c r="E907" s="1" t="n">
        <v>46229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26276-2026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46182</v>
      </c>
      <c r="E908" s="1" t="n">
        <v>46229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3.7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19325-2026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46229</v>
      </c>
      <c r="F909" t="inlineStr">
        <is>
          <t>VÄSTERBOTTENS LÄN</t>
        </is>
      </c>
      <c r="G909" t="inlineStr">
        <is>
          <t>LYCKSELE</t>
        </is>
      </c>
      <c r="I909" t="n">
        <v>6.5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31653-2026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46225</v>
      </c>
      <c r="E910" s="1" t="n">
        <v>46229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12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4056-2023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44952</v>
      </c>
      <c r="E911" s="1" t="n">
        <v>46229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19701-2026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46229</v>
      </c>
      <c r="F912" t="inlineStr">
        <is>
          <t>VÄSTERBOTTENS LÄN</t>
        </is>
      </c>
      <c r="G912" t="inlineStr">
        <is>
          <t>LYCKSELE</t>
        </is>
      </c>
      <c r="I912" t="n">
        <v>7.1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43770-2025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45912</v>
      </c>
      <c r="E913" s="1" t="n">
        <v>46229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9.5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49175-2023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45210</v>
      </c>
      <c r="E914" s="1" t="n">
        <v>46229</v>
      </c>
      <c r="F914" t="inlineStr">
        <is>
          <t>VÄSTERBOTTENS LÄN</t>
        </is>
      </c>
      <c r="G914" t="inlineStr">
        <is>
          <t>LYCKSELE</t>
        </is>
      </c>
      <c r="I914" t="n">
        <v>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33701-2024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45520</v>
      </c>
      <c r="E915" s="1" t="n">
        <v>46229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67092-2021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44522</v>
      </c>
      <c r="E916" s="1" t="n">
        <v>46229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30425-2024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45491</v>
      </c>
      <c r="E917" s="1" t="n">
        <v>46229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3.9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26988-2026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46185</v>
      </c>
      <c r="E918" s="1" t="n">
        <v>46229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5.6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34111-2025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45845</v>
      </c>
      <c r="E919" s="1" t="n">
        <v>46229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8.4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35284-2023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45145</v>
      </c>
      <c r="E920" s="1" t="n">
        <v>46229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27219-2026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46184</v>
      </c>
      <c r="E921" s="1" t="n">
        <v>46229</v>
      </c>
      <c r="F921" t="inlineStr">
        <is>
          <t>VÄSTERBOTTENS LÄN</t>
        </is>
      </c>
      <c r="G921" t="inlineStr">
        <is>
          <t>LYCKSELE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26435-2026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46183</v>
      </c>
      <c r="E922" s="1" t="n">
        <v>46229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26485-2026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46183</v>
      </c>
      <c r="E923" s="1" t="n">
        <v>46229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5.4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26387-2026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46183</v>
      </c>
      <c r="E924" s="1" t="n">
        <v>46229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9.9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34929-2023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45142</v>
      </c>
      <c r="E925" s="1" t="n">
        <v>46229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26511-2026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46183</v>
      </c>
      <c r="E926" s="1" t="n">
        <v>46229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33.8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35569-2024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45531</v>
      </c>
      <c r="E927" s="1" t="n">
        <v>46229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26980-2026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46185</v>
      </c>
      <c r="E928" s="1" t="n">
        <v>46229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60122-2022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44909</v>
      </c>
      <c r="E929" s="1" t="n">
        <v>46229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31648-2024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45506</v>
      </c>
      <c r="E930" s="1" t="n">
        <v>46229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26916-2026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46185</v>
      </c>
      <c r="E931" s="1" t="n">
        <v>46229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57818-2021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44484</v>
      </c>
      <c r="E932" s="1" t="n">
        <v>46229</v>
      </c>
      <c r="F932" t="inlineStr">
        <is>
          <t>VÄSTERBOTTENS LÄN</t>
        </is>
      </c>
      <c r="G932" t="inlineStr">
        <is>
          <t>LYCKSELE</t>
        </is>
      </c>
      <c r="I932" t="n">
        <v>5.4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34857-2024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45527</v>
      </c>
      <c r="E933" s="1" t="n">
        <v>46229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20344-2025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45775</v>
      </c>
      <c r="E934" s="1" t="n">
        <v>46229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15037-2025</t>
        </is>
      </c>
      <c r="B935" t="inlineStr">
        <is>
          <t>avverkningsanmälan</t>
        </is>
      </c>
      <c r="C935" t="inlineStr">
        <is>
          <t>Avverkning för att bevara och utveckla /försöksver</t>
        </is>
      </c>
      <c r="D935" s="1" t="n">
        <v>45743</v>
      </c>
      <c r="E935" s="1" t="n">
        <v>46229</v>
      </c>
      <c r="F935" t="inlineStr">
        <is>
          <t>VÄSTERBOTTENS LÄN</t>
        </is>
      </c>
      <c r="G935" t="inlineStr">
        <is>
          <t>LYCKSELE</t>
        </is>
      </c>
      <c r="I935" t="n">
        <v>12.1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36150-2024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45534</v>
      </c>
      <c r="E936" s="1" t="n">
        <v>46229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64656-2023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45281</v>
      </c>
      <c r="E937" s="1" t="n">
        <v>46229</v>
      </c>
      <c r="F937" t="inlineStr">
        <is>
          <t>VÄSTERBOTTENS LÄN</t>
        </is>
      </c>
      <c r="G937" t="inlineStr">
        <is>
          <t>LYCKSELE</t>
        </is>
      </c>
      <c r="I937" t="n">
        <v>12.3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70195-2021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44534</v>
      </c>
      <c r="E938" s="1" t="n">
        <v>46229</v>
      </c>
      <c r="F938" t="inlineStr">
        <is>
          <t>VÄSTERBOTTENS LÄN</t>
        </is>
      </c>
      <c r="G938" t="inlineStr">
        <is>
          <t>LYCKSELE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40527-2024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45555</v>
      </c>
      <c r="E939" s="1" t="n">
        <v>46229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8.9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24289-2023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45079</v>
      </c>
      <c r="E940" s="1" t="n">
        <v>46229</v>
      </c>
      <c r="F940" t="inlineStr">
        <is>
          <t>VÄSTERBOTTENS LÄN</t>
        </is>
      </c>
      <c r="G940" t="inlineStr">
        <is>
          <t>LYCKSELE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28893-2024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45479</v>
      </c>
      <c r="E941" s="1" t="n">
        <v>46229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60482-2024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45643</v>
      </c>
      <c r="E942" s="1" t="n">
        <v>46229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7.8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53096-2024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45611</v>
      </c>
      <c r="E943" s="1" t="n">
        <v>46229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8.4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55203-2024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45621</v>
      </c>
      <c r="E944" s="1" t="n">
        <v>46229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3.2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37491-2023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45156</v>
      </c>
      <c r="E945" s="1" t="n">
        <v>46229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11640-2024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45373</v>
      </c>
      <c r="E946" s="1" t="n">
        <v>46229</v>
      </c>
      <c r="F946" t="inlineStr">
        <is>
          <t>VÄSTERBOTTENS LÄN</t>
        </is>
      </c>
      <c r="G946" t="inlineStr">
        <is>
          <t>LYCKSELE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33693-2024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45520</v>
      </c>
      <c r="E947" s="1" t="n">
        <v>46229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957-2023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44934</v>
      </c>
      <c r="E948" s="1" t="n">
        <v>46229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16289-2025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45751</v>
      </c>
      <c r="E949" s="1" t="n">
        <v>46229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5856-2025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45695</v>
      </c>
      <c r="E950" s="1" t="n">
        <v>46229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8915-2025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45713</v>
      </c>
      <c r="E951" s="1" t="n">
        <v>46229</v>
      </c>
      <c r="F951" t="inlineStr">
        <is>
          <t>VÄSTERBOTTENS LÄN</t>
        </is>
      </c>
      <c r="G951" t="inlineStr">
        <is>
          <t>LYCKSELE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33708-2024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45520</v>
      </c>
      <c r="E952" s="1" t="n">
        <v>46229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33714-2024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45520</v>
      </c>
      <c r="E953" s="1" t="n">
        <v>46229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10.4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34273-2024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45524</v>
      </c>
      <c r="E954" s="1" t="n">
        <v>46229</v>
      </c>
      <c r="F954" t="inlineStr">
        <is>
          <t>VÄSTERBOTTENS LÄN</t>
        </is>
      </c>
      <c r="G954" t="inlineStr">
        <is>
          <t>LYCKSELE</t>
        </is>
      </c>
      <c r="I954" t="n">
        <v>6.7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14249-2025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45740</v>
      </c>
      <c r="E955" s="1" t="n">
        <v>46229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9976-2024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45363</v>
      </c>
      <c r="E956" s="1" t="n">
        <v>46229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Holmen skog AB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11604-2023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44994</v>
      </c>
      <c r="E957" s="1" t="n">
        <v>46229</v>
      </c>
      <c r="F957" t="inlineStr">
        <is>
          <t>VÄSTERBOTTENS LÄN</t>
        </is>
      </c>
      <c r="G957" t="inlineStr">
        <is>
          <t>LYCKSELE</t>
        </is>
      </c>
      <c r="I957" t="n">
        <v>4.3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12585-2025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45732</v>
      </c>
      <c r="E958" s="1" t="n">
        <v>46229</v>
      </c>
      <c r="F958" t="inlineStr">
        <is>
          <t>VÄSTERBOTTENS LÄN</t>
        </is>
      </c>
      <c r="G958" t="inlineStr">
        <is>
          <t>LYCKSELE</t>
        </is>
      </c>
      <c r="I958" t="n">
        <v>15.5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28409-2023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45101</v>
      </c>
      <c r="E959" s="1" t="n">
        <v>46229</v>
      </c>
      <c r="F959" t="inlineStr">
        <is>
          <t>VÄSTERBOTTENS LÄN</t>
        </is>
      </c>
      <c r="G959" t="inlineStr">
        <is>
          <t>LYCKSELE</t>
        </is>
      </c>
      <c r="I959" t="n">
        <v>12.9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20034-2025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45772</v>
      </c>
      <c r="E960" s="1" t="n">
        <v>46229</v>
      </c>
      <c r="F960" t="inlineStr">
        <is>
          <t>VÄSTERBOTTENS LÄN</t>
        </is>
      </c>
      <c r="G960" t="inlineStr">
        <is>
          <t>LYCKSELE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4858-2025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45688</v>
      </c>
      <c r="E961" s="1" t="n">
        <v>46229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SCA</t>
        </is>
      </c>
      <c r="I961" t="n">
        <v>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9892-2022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44620</v>
      </c>
      <c r="E962" s="1" t="n">
        <v>46229</v>
      </c>
      <c r="F962" t="inlineStr">
        <is>
          <t>VÄSTERBOTTENS LÄN</t>
        </is>
      </c>
      <c r="G962" t="inlineStr">
        <is>
          <t>LYCKSELE</t>
        </is>
      </c>
      <c r="I962" t="n">
        <v>14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24234-2023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45079</v>
      </c>
      <c r="E963" s="1" t="n">
        <v>46229</v>
      </c>
      <c r="F963" t="inlineStr">
        <is>
          <t>VÄSTERBOTTENS LÄN</t>
        </is>
      </c>
      <c r="G963" t="inlineStr">
        <is>
          <t>LYCKSELE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58975-2022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44903</v>
      </c>
      <c r="E964" s="1" t="n">
        <v>46229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2576-2022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44580</v>
      </c>
      <c r="E965" s="1" t="n">
        <v>46229</v>
      </c>
      <c r="F965" t="inlineStr">
        <is>
          <t>VÄSTERBOTTENS LÄN</t>
        </is>
      </c>
      <c r="G965" t="inlineStr">
        <is>
          <t>LYCKSELE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60272-2022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44910</v>
      </c>
      <c r="E966" s="1" t="n">
        <v>46229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7.4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15221-2025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45744</v>
      </c>
      <c r="E967" s="1" t="n">
        <v>46229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12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39321-2024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45551</v>
      </c>
      <c r="E968" s="1" t="n">
        <v>46229</v>
      </c>
      <c r="F968" t="inlineStr">
        <is>
          <t>VÄSTERBOTTENS LÄN</t>
        </is>
      </c>
      <c r="G968" t="inlineStr">
        <is>
          <t>LYCKSELE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59569-2024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45638</v>
      </c>
      <c r="E969" s="1" t="n">
        <v>46229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48330-2024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45590</v>
      </c>
      <c r="E970" s="1" t="n">
        <v>46229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46541-2022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44847</v>
      </c>
      <c r="E971" s="1" t="n">
        <v>46229</v>
      </c>
      <c r="F971" t="inlineStr">
        <is>
          <t>VÄSTERBOTTENS LÄN</t>
        </is>
      </c>
      <c r="G971" t="inlineStr">
        <is>
          <t>LYCKSELE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52124-2024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45608</v>
      </c>
      <c r="E972" s="1" t="n">
        <v>46229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36357-2024</t>
        </is>
      </c>
      <c r="B973" t="inlineStr">
        <is>
          <t>avverkningsanmälan</t>
        </is>
      </c>
      <c r="C973" t="inlineStr">
        <is>
          <t>Avverkning för att bevara och utveckla /försöksver</t>
        </is>
      </c>
      <c r="D973" s="1" t="n">
        <v>45534</v>
      </c>
      <c r="E973" s="1" t="n">
        <v>46229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4.8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6800-2025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45700</v>
      </c>
      <c r="E974" s="1" t="n">
        <v>46229</v>
      </c>
      <c r="F974" t="inlineStr">
        <is>
          <t>VÄSTERBOTTENS LÄN</t>
        </is>
      </c>
      <c r="G974" t="inlineStr">
        <is>
          <t>LYCKSELE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60143-2022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44909</v>
      </c>
      <c r="E975" s="1" t="n">
        <v>46229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7063-2022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44603</v>
      </c>
      <c r="E976" s="1" t="n">
        <v>46229</v>
      </c>
      <c r="F976" t="inlineStr">
        <is>
          <t>VÄSTERBOTTENS LÄN</t>
        </is>
      </c>
      <c r="G976" t="inlineStr">
        <is>
          <t>LYCKSELE</t>
        </is>
      </c>
      <c r="I976" t="n">
        <v>14.2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41703-2023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45176</v>
      </c>
      <c r="E977" s="1" t="n">
        <v>46229</v>
      </c>
      <c r="F977" t="inlineStr">
        <is>
          <t>VÄSTERBOTTENS LÄN</t>
        </is>
      </c>
      <c r="G977" t="inlineStr">
        <is>
          <t>LYCKSELE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47697-2021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44448</v>
      </c>
      <c r="E978" s="1" t="n">
        <v>46229</v>
      </c>
      <c r="F978" t="inlineStr">
        <is>
          <t>VÄSTERBOTTENS LÄN</t>
        </is>
      </c>
      <c r="G978" t="inlineStr">
        <is>
          <t>LYCKSELE</t>
        </is>
      </c>
      <c r="I978" t="n">
        <v>3.9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34635-2024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45526</v>
      </c>
      <c r="E979" s="1" t="n">
        <v>46229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54680-2024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45618</v>
      </c>
      <c r="E980" s="1" t="n">
        <v>46229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8917-2023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44979</v>
      </c>
      <c r="E981" s="1" t="n">
        <v>46229</v>
      </c>
      <c r="F981" t="inlineStr">
        <is>
          <t>VÄSTERBOTTENS LÄN</t>
        </is>
      </c>
      <c r="G981" t="inlineStr">
        <is>
          <t>LYCKSELE</t>
        </is>
      </c>
      <c r="I981" t="n">
        <v>12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27595-2023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45097</v>
      </c>
      <c r="E982" s="1" t="n">
        <v>46229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37658-2024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45541</v>
      </c>
      <c r="E983" s="1" t="n">
        <v>46229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23295-2023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45075</v>
      </c>
      <c r="E984" s="1" t="n">
        <v>46229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7.4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52370-2022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44874</v>
      </c>
      <c r="E985" s="1" t="n">
        <v>46229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3.1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53788-2024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45615</v>
      </c>
      <c r="E986" s="1" t="n">
        <v>46229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48992-2023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45209</v>
      </c>
      <c r="E987" s="1" t="n">
        <v>46229</v>
      </c>
      <c r="F987" t="inlineStr">
        <is>
          <t>VÄSTERBOTTENS LÄN</t>
        </is>
      </c>
      <c r="G987" t="inlineStr">
        <is>
          <t>LYCKSELE</t>
        </is>
      </c>
      <c r="I987" t="n">
        <v>4.6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28528-2023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45103</v>
      </c>
      <c r="E988" s="1" t="n">
        <v>46229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23164-2022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44719</v>
      </c>
      <c r="E989" s="1" t="n">
        <v>46229</v>
      </c>
      <c r="F989" t="inlineStr">
        <is>
          <t>VÄSTERBOTTENS LÄN</t>
        </is>
      </c>
      <c r="G989" t="inlineStr">
        <is>
          <t>LYCKSELE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41728-2023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45176</v>
      </c>
      <c r="E990" s="1" t="n">
        <v>46229</v>
      </c>
      <c r="F990" t="inlineStr">
        <is>
          <t>VÄSTERBOTTENS LÄN</t>
        </is>
      </c>
      <c r="G990" t="inlineStr">
        <is>
          <t>LYCKSELE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7001-2022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44603</v>
      </c>
      <c r="E991" s="1" t="n">
        <v>46229</v>
      </c>
      <c r="F991" t="inlineStr">
        <is>
          <t>VÄSTERBOTTENS LÄN</t>
        </is>
      </c>
      <c r="G991" t="inlineStr">
        <is>
          <t>LYCKSELE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20287-2022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44698</v>
      </c>
      <c r="E992" s="1" t="n">
        <v>46229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11.5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43566-2024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45569</v>
      </c>
      <c r="E993" s="1" t="n">
        <v>46229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3.7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26358-2023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45091</v>
      </c>
      <c r="E994" s="1" t="n">
        <v>46229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26071-2024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45468</v>
      </c>
      <c r="E995" s="1" t="n">
        <v>46229</v>
      </c>
      <c r="F995" t="inlineStr">
        <is>
          <t>VÄSTERBOTTENS LÄN</t>
        </is>
      </c>
      <c r="G995" t="inlineStr">
        <is>
          <t>LYCKSELE</t>
        </is>
      </c>
      <c r="I995" t="n">
        <v>8.1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61799-2023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45265</v>
      </c>
      <c r="E996" s="1" t="n">
        <v>46229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2109-2025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45672</v>
      </c>
      <c r="E997" s="1" t="n">
        <v>46229</v>
      </c>
      <c r="F997" t="inlineStr">
        <is>
          <t>VÄSTERBOTTENS LÄN</t>
        </is>
      </c>
      <c r="G997" t="inlineStr">
        <is>
          <t>LYCKSELE</t>
        </is>
      </c>
      <c r="I997" t="n">
        <v>5.6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36274-2024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45534</v>
      </c>
      <c r="E998" s="1" t="n">
        <v>46229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57108-2024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45629</v>
      </c>
      <c r="E999" s="1" t="n">
        <v>46229</v>
      </c>
      <c r="F999" t="inlineStr">
        <is>
          <t>VÄSTERBOTTENS LÄN</t>
        </is>
      </c>
      <c r="G999" t="inlineStr">
        <is>
          <t>LYCKSELE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57109-2024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45629</v>
      </c>
      <c r="E1000" s="1" t="n">
        <v>46229</v>
      </c>
      <c r="F1000" t="inlineStr">
        <is>
          <t>VÄSTERBOTTENS LÄN</t>
        </is>
      </c>
      <c r="G1000" t="inlineStr">
        <is>
          <t>LYCKSELE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17393-2023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45035</v>
      </c>
      <c r="E1001" s="1" t="n">
        <v>46229</v>
      </c>
      <c r="F1001" t="inlineStr">
        <is>
          <t>VÄSTERBOTTENS LÄN</t>
        </is>
      </c>
      <c r="G1001" t="inlineStr">
        <is>
          <t>LYCKSELE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16563-2024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45408</v>
      </c>
      <c r="E1002" s="1" t="n">
        <v>46229</v>
      </c>
      <c r="F1002" t="inlineStr">
        <is>
          <t>VÄSTERBOTTENS LÄN</t>
        </is>
      </c>
      <c r="G1002" t="inlineStr">
        <is>
          <t>LYCKSELE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20685-2025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45776</v>
      </c>
      <c r="E1003" s="1" t="n">
        <v>46229</v>
      </c>
      <c r="F1003" t="inlineStr">
        <is>
          <t>VÄSTERBOTTENS LÄN</t>
        </is>
      </c>
      <c r="G1003" t="inlineStr">
        <is>
          <t>LYCKSELE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21046-2025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45777</v>
      </c>
      <c r="E1004" s="1" t="n">
        <v>46229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20979-2025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45777</v>
      </c>
      <c r="E1005" s="1" t="n">
        <v>46229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21266-2025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45779</v>
      </c>
      <c r="E1006" s="1" t="n">
        <v>46229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3.3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21888-2025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45784</v>
      </c>
      <c r="E1007" s="1" t="n">
        <v>46229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4.4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22127-2025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45785</v>
      </c>
      <c r="E1008" s="1" t="n">
        <v>46229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21861-2025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45784</v>
      </c>
      <c r="E1009" s="1" t="n">
        <v>46229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10.5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39165-2021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44412</v>
      </c>
      <c r="E1010" s="1" t="n">
        <v>46229</v>
      </c>
      <c r="F1010" t="inlineStr">
        <is>
          <t>VÄSTERBOTTENS LÄN</t>
        </is>
      </c>
      <c r="G1010" t="inlineStr">
        <is>
          <t>LYCKSELE</t>
        </is>
      </c>
      <c r="I1010" t="n">
        <v>6.2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22759-2025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45789</v>
      </c>
      <c r="E1011" s="1" t="n">
        <v>46229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25.5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22452-2025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45786</v>
      </c>
      <c r="E1012" s="1" t="n">
        <v>46229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11.4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32474-2024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45513</v>
      </c>
      <c r="E1013" s="1" t="n">
        <v>46229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22309-2025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45786</v>
      </c>
      <c r="E1014" s="1" t="n">
        <v>46229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22344-2025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45786</v>
      </c>
      <c r="E1015" s="1" t="n">
        <v>46229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64391-2023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45280</v>
      </c>
      <c r="E1016" s="1" t="n">
        <v>46229</v>
      </c>
      <c r="F1016" t="inlineStr">
        <is>
          <t>VÄSTERBOTTENS LÄN</t>
        </is>
      </c>
      <c r="G1016" t="inlineStr">
        <is>
          <t>LYCKSELE</t>
        </is>
      </c>
      <c r="I1016" t="n">
        <v>5.8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22343-2025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45786</v>
      </c>
      <c r="E1017" s="1" t="n">
        <v>46229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4.7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22453-2025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45786</v>
      </c>
      <c r="E1018" s="1" t="n">
        <v>46229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22456-2025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45786</v>
      </c>
      <c r="E1019" s="1" t="n">
        <v>46229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4.2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23801-2025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45793</v>
      </c>
      <c r="E1020" s="1" t="n">
        <v>46229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4.6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24129-2025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45796</v>
      </c>
      <c r="E1021" s="1" t="n">
        <v>46229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4.9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48997-2021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44453</v>
      </c>
      <c r="E1022" s="1" t="n">
        <v>46229</v>
      </c>
      <c r="F1022" t="inlineStr">
        <is>
          <t>VÄSTERBOTTENS LÄN</t>
        </is>
      </c>
      <c r="G1022" t="inlineStr">
        <is>
          <t>LYCKSELE</t>
        </is>
      </c>
      <c r="I1022" t="n">
        <v>4.6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45503-2021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44440</v>
      </c>
      <c r="E1023" s="1" t="n">
        <v>46229</v>
      </c>
      <c r="F1023" t="inlineStr">
        <is>
          <t>VÄSTERBOTTENS LÄN</t>
        </is>
      </c>
      <c r="G1023" t="inlineStr">
        <is>
          <t>LYCKSELE</t>
        </is>
      </c>
      <c r="I1023" t="n">
        <v>29.1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60226-2022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44910</v>
      </c>
      <c r="E1024" s="1" t="n">
        <v>46229</v>
      </c>
      <c r="F1024" t="inlineStr">
        <is>
          <t>VÄSTERBOTTENS LÄN</t>
        </is>
      </c>
      <c r="G1024" t="inlineStr">
        <is>
          <t>LYCKSELE</t>
        </is>
      </c>
      <c r="I1024" t="n">
        <v>5.4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23315-2024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45453</v>
      </c>
      <c r="E1025" s="1" t="n">
        <v>46229</v>
      </c>
      <c r="F1025" t="inlineStr">
        <is>
          <t>VÄSTERBOTTENS LÄN</t>
        </is>
      </c>
      <c r="G1025" t="inlineStr">
        <is>
          <t>LYCKSELE</t>
        </is>
      </c>
      <c r="I1025" t="n">
        <v>7.3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31848-2024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45509</v>
      </c>
      <c r="E1026" s="1" t="n">
        <v>46229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24514-2025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45798</v>
      </c>
      <c r="E1027" s="1" t="n">
        <v>46229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8.300000000000001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24770-2025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45799</v>
      </c>
      <c r="E1028" s="1" t="n">
        <v>46229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8.5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25061-2025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45799</v>
      </c>
      <c r="E1029" s="1" t="n">
        <v>46229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SCA</t>
        </is>
      </c>
      <c r="I1029" t="n">
        <v>13.7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24729-2025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45799</v>
      </c>
      <c r="E1030" s="1" t="n">
        <v>46229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4.8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24603-2025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45798</v>
      </c>
      <c r="E1031" s="1" t="n">
        <v>46229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54893-2023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45236</v>
      </c>
      <c r="E1032" s="1" t="n">
        <v>46229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6.5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24906-2025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45799</v>
      </c>
      <c r="E1033" s="1" t="n">
        <v>46229</v>
      </c>
      <c r="F1033" t="inlineStr">
        <is>
          <t>VÄSTERBOTTENS LÄN</t>
        </is>
      </c>
      <c r="G1033" t="inlineStr">
        <is>
          <t>LYCKSELE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25590-2025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45803</v>
      </c>
      <c r="E1034" s="1" t="n">
        <v>46229</v>
      </c>
      <c r="F1034" t="inlineStr">
        <is>
          <t>VÄSTERBOTTENS LÄN</t>
        </is>
      </c>
      <c r="G1034" t="inlineStr">
        <is>
          <t>LYCKSELE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25537-2025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45803</v>
      </c>
      <c r="E1035" s="1" t="n">
        <v>46229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25581-2025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45803</v>
      </c>
      <c r="E1036" s="1" t="n">
        <v>46229</v>
      </c>
      <c r="F1036" t="inlineStr">
        <is>
          <t>VÄSTERBOTTENS LÄN</t>
        </is>
      </c>
      <c r="G1036" t="inlineStr">
        <is>
          <t>LYCKSELE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25655-2025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45803</v>
      </c>
      <c r="E1037" s="1" t="n">
        <v>46229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60714-2022</t>
        </is>
      </c>
      <c r="B1038" t="inlineStr">
        <is>
          <t>avverkningsanmälan</t>
        </is>
      </c>
      <c r="C1038" t="inlineStr">
        <is>
          <t>Avverkning för att bevara och utveckla /försöksver</t>
        </is>
      </c>
      <c r="D1038" s="1" t="n">
        <v>44912</v>
      </c>
      <c r="E1038" s="1" t="n">
        <v>46229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26318-2024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45468</v>
      </c>
      <c r="E1039" s="1" t="n">
        <v>46229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26228-2025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45805</v>
      </c>
      <c r="E1040" s="1" t="n">
        <v>46229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26410-2025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45807</v>
      </c>
      <c r="E1041" s="1" t="n">
        <v>46229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26398-2025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45807</v>
      </c>
      <c r="E1042" s="1" t="n">
        <v>46229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27072-2025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45811</v>
      </c>
      <c r="E1043" s="1" t="n">
        <v>46229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4.2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55250-2024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45621</v>
      </c>
      <c r="E1044" s="1" t="n">
        <v>46229</v>
      </c>
      <c r="F1044" t="inlineStr">
        <is>
          <t>VÄSTERBOTTENS LÄN</t>
        </is>
      </c>
      <c r="G1044" t="inlineStr">
        <is>
          <t>LYCKSELE</t>
        </is>
      </c>
      <c r="I1044" t="n">
        <v>2.8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26622-2025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45810</v>
      </c>
      <c r="E1045" s="1" t="n">
        <v>46229</v>
      </c>
      <c r="F1045" t="inlineStr">
        <is>
          <t>VÄSTERBOTTENS LÄN</t>
        </is>
      </c>
      <c r="G1045" t="inlineStr">
        <is>
          <t>LYCKSELE</t>
        </is>
      </c>
      <c r="I1045" t="n">
        <v>3.6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26951-2025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45811</v>
      </c>
      <c r="E1046" s="1" t="n">
        <v>46229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52039-2023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45223</v>
      </c>
      <c r="E1047" s="1" t="n">
        <v>46229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4.4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3303-2024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45316</v>
      </c>
      <c r="E1048" s="1" t="n">
        <v>46229</v>
      </c>
      <c r="F1048" t="inlineStr">
        <is>
          <t>VÄSTERBOTTENS LÄN</t>
        </is>
      </c>
      <c r="G1048" t="inlineStr">
        <is>
          <t>LYCKSELE</t>
        </is>
      </c>
      <c r="I1048" t="n">
        <v>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64334-2023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45279</v>
      </c>
      <c r="E1049" s="1" t="n">
        <v>46229</v>
      </c>
      <c r="F1049" t="inlineStr">
        <is>
          <t>VÄSTERBOTTENS LÄN</t>
        </is>
      </c>
      <c r="G1049" t="inlineStr">
        <is>
          <t>LYCKSELE</t>
        </is>
      </c>
      <c r="I1049" t="n">
        <v>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27471-2025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45813</v>
      </c>
      <c r="E1050" s="1" t="n">
        <v>46229</v>
      </c>
      <c r="F1050" t="inlineStr">
        <is>
          <t>VÄSTERBOTTENS LÄN</t>
        </is>
      </c>
      <c r="G1050" t="inlineStr">
        <is>
          <t>LYCKSELE</t>
        </is>
      </c>
      <c r="I1050" t="n">
        <v>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27595-2025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45813</v>
      </c>
      <c r="E1051" s="1" t="n">
        <v>46229</v>
      </c>
      <c r="F1051" t="inlineStr">
        <is>
          <t>VÄSTERBOTTENS LÄN</t>
        </is>
      </c>
      <c r="G1051" t="inlineStr">
        <is>
          <t>LYCKSELE</t>
        </is>
      </c>
      <c r="I1051" t="n">
        <v>10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27643-2025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45813</v>
      </c>
      <c r="E1052" s="1" t="n">
        <v>46229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6.3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27610-2025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45813</v>
      </c>
      <c r="E1053" s="1" t="n">
        <v>46229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15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13563-2023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45006</v>
      </c>
      <c r="E1054" s="1" t="n">
        <v>46229</v>
      </c>
      <c r="F1054" t="inlineStr">
        <is>
          <t>VÄSTERBOTTENS LÄN</t>
        </is>
      </c>
      <c r="G1054" t="inlineStr">
        <is>
          <t>LYCKSELE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5039-2025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45691</v>
      </c>
      <c r="E1055" s="1" t="n">
        <v>46229</v>
      </c>
      <c r="F1055" t="inlineStr">
        <is>
          <t>VÄSTERBOTTENS LÄN</t>
        </is>
      </c>
      <c r="G1055" t="inlineStr">
        <is>
          <t>LYCKSELE</t>
        </is>
      </c>
      <c r="I1055" t="n">
        <v>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8313-2025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45708</v>
      </c>
      <c r="E1056" s="1" t="n">
        <v>46229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28306-2025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45818</v>
      </c>
      <c r="E1057" s="1" t="n">
        <v>46229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29277-2023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45105</v>
      </c>
      <c r="E1058" s="1" t="n">
        <v>46229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Naturvårdsverket</t>
        </is>
      </c>
      <c r="I1058" t="n">
        <v>6.4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28486-2025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45819</v>
      </c>
      <c r="E1059" s="1" t="n">
        <v>46229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30161-2024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45488</v>
      </c>
      <c r="E1060" s="1" t="n">
        <v>46229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16.1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29088-2025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45821</v>
      </c>
      <c r="E1061" s="1" t="n">
        <v>46229</v>
      </c>
      <c r="F1061" t="inlineStr">
        <is>
          <t>VÄSTERBOTTENS LÄN</t>
        </is>
      </c>
      <c r="G1061" t="inlineStr">
        <is>
          <t>LYCKSELE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28833-2025</t>
        </is>
      </c>
      <c r="B1062" t="inlineStr">
        <is>
          <t>avverkningsanmälan</t>
        </is>
      </c>
      <c r="C1062" t="inlineStr">
        <is>
          <t>Avverkning för att bevara och utveckla /försöksver</t>
        </is>
      </c>
      <c r="D1062" s="1" t="n">
        <v>45820</v>
      </c>
      <c r="E1062" s="1" t="n">
        <v>46229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29123-2025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45821</v>
      </c>
      <c r="E1063" s="1" t="n">
        <v>46229</v>
      </c>
      <c r="F1063" t="inlineStr">
        <is>
          <t>VÄSTERBOTTENS LÄN</t>
        </is>
      </c>
      <c r="G1063" t="inlineStr">
        <is>
          <t>LYCKSELE</t>
        </is>
      </c>
      <c r="I1063" t="n">
        <v>5.2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29784-2025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45825</v>
      </c>
      <c r="E1064" s="1" t="n">
        <v>46229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29236-2025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45824</v>
      </c>
      <c r="E1065" s="1" t="n">
        <v>46229</v>
      </c>
      <c r="F1065" t="inlineStr">
        <is>
          <t>VÄSTERBOTTENS LÄN</t>
        </is>
      </c>
      <c r="G1065" t="inlineStr">
        <is>
          <t>LYCKSELE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29235-2025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45824</v>
      </c>
      <c r="E1066" s="1" t="n">
        <v>46229</v>
      </c>
      <c r="F1066" t="inlineStr">
        <is>
          <t>VÄSTERBOTTENS LÄN</t>
        </is>
      </c>
      <c r="G1066" t="inlineStr">
        <is>
          <t>LYCKSELE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30258-2025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45827</v>
      </c>
      <c r="E1067" s="1" t="n">
        <v>46229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19.5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30154-2025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45827</v>
      </c>
      <c r="E1068" s="1" t="n">
        <v>46229</v>
      </c>
      <c r="F1068" t="inlineStr">
        <is>
          <t>VÄSTERBOTTENS LÄN</t>
        </is>
      </c>
      <c r="G1068" t="inlineStr">
        <is>
          <t>LYCKSELE</t>
        </is>
      </c>
      <c r="I1068" t="n">
        <v>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29866-2025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45826</v>
      </c>
      <c r="E1069" s="1" t="n">
        <v>46229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6.7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30624-2025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45831</v>
      </c>
      <c r="E1070" s="1" t="n">
        <v>46229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30656-2025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45831</v>
      </c>
      <c r="E1071" s="1" t="n">
        <v>46229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30623-2025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45831</v>
      </c>
      <c r="E1072" s="1" t="n">
        <v>46229</v>
      </c>
      <c r="F1072" t="inlineStr">
        <is>
          <t>VÄSTERBOTTENS LÄN</t>
        </is>
      </c>
      <c r="G1072" t="inlineStr">
        <is>
          <t>LYCKSELE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30632-2025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45831</v>
      </c>
      <c r="E1073" s="1" t="n">
        <v>46229</v>
      </c>
      <c r="F1073" t="inlineStr">
        <is>
          <t>VÄSTERBOTTENS LÄN</t>
        </is>
      </c>
      <c r="G1073" t="inlineStr">
        <is>
          <t>LYCKSELE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31022-2025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45832</v>
      </c>
      <c r="E1074" s="1" t="n">
        <v>46229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31693-2025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45834</v>
      </c>
      <c r="E1075" s="1" t="n">
        <v>46229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18.9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31897-2025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45834</v>
      </c>
      <c r="E1076" s="1" t="n">
        <v>46229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32619-2025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45838</v>
      </c>
      <c r="E1077" s="1" t="n">
        <v>46229</v>
      </c>
      <c r="F1077" t="inlineStr">
        <is>
          <t>VÄSTERBOTTENS LÄN</t>
        </is>
      </c>
      <c r="G1077" t="inlineStr">
        <is>
          <t>LYCKSELE</t>
        </is>
      </c>
      <c r="I1077" t="n">
        <v>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32722-2025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45839</v>
      </c>
      <c r="E1078" s="1" t="n">
        <v>46229</v>
      </c>
      <c r="F1078" t="inlineStr">
        <is>
          <t>VÄSTERBOTTENS LÄN</t>
        </is>
      </c>
      <c r="G1078" t="inlineStr">
        <is>
          <t>LYCKSELE</t>
        </is>
      </c>
      <c r="I1078" t="n">
        <v>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32783-2025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45839</v>
      </c>
      <c r="E1079" s="1" t="n">
        <v>46229</v>
      </c>
      <c r="F1079" t="inlineStr">
        <is>
          <t>VÄSTERBOTTENS LÄN</t>
        </is>
      </c>
      <c r="G1079" t="inlineStr">
        <is>
          <t>LYCKSELE</t>
        </is>
      </c>
      <c r="I1079" t="n">
        <v>4.5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33527-2025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45841</v>
      </c>
      <c r="E1080" s="1" t="n">
        <v>46229</v>
      </c>
      <c r="F1080" t="inlineStr">
        <is>
          <t>VÄSTERBOTTENS LÄN</t>
        </is>
      </c>
      <c r="G1080" t="inlineStr">
        <is>
          <t>LYCKSELE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33415-2025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45841</v>
      </c>
      <c r="E1081" s="1" t="n">
        <v>46229</v>
      </c>
      <c r="F1081" t="inlineStr">
        <is>
          <t>VÄSTERBOTTENS LÄN</t>
        </is>
      </c>
      <c r="G1081" t="inlineStr">
        <is>
          <t>LYCKSELE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33067-2025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45840</v>
      </c>
      <c r="E1082" s="1" t="n">
        <v>46229</v>
      </c>
      <c r="F1082" t="inlineStr">
        <is>
          <t>VÄSTERBOTTENS LÄN</t>
        </is>
      </c>
      <c r="G1082" t="inlineStr">
        <is>
          <t>LYCKSELE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33431-2025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45841</v>
      </c>
      <c r="E1083" s="1" t="n">
        <v>46229</v>
      </c>
      <c r="F1083" t="inlineStr">
        <is>
          <t>VÄSTERBOTTENS LÄN</t>
        </is>
      </c>
      <c r="G1083" t="inlineStr">
        <is>
          <t>LYCKSELE</t>
        </is>
      </c>
      <c r="I1083" t="n">
        <v>0.1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33423-2025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45841</v>
      </c>
      <c r="E1084" s="1" t="n">
        <v>46229</v>
      </c>
      <c r="F1084" t="inlineStr">
        <is>
          <t>VÄSTERBOTTENS LÄN</t>
        </is>
      </c>
      <c r="G1084" t="inlineStr">
        <is>
          <t>LYCKSELE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33991-2025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45843</v>
      </c>
      <c r="E1085" s="1" t="n">
        <v>46229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1.7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33966-2025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45842</v>
      </c>
      <c r="E1086" s="1" t="n">
        <v>46229</v>
      </c>
      <c r="F1086" t="inlineStr">
        <is>
          <t>VÄSTERBOTTENS LÄN</t>
        </is>
      </c>
      <c r="G1086" t="inlineStr">
        <is>
          <t>LYCKSELE</t>
        </is>
      </c>
      <c r="I1086" t="n">
        <v>12.5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33992-2025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45843</v>
      </c>
      <c r="E1087" s="1" t="n">
        <v>46229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34110-2025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45845</v>
      </c>
      <c r="E1088" s="1" t="n">
        <v>46229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2.7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34465-2025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45847</v>
      </c>
      <c r="E1089" s="1" t="n">
        <v>46229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26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34918-2025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45849</v>
      </c>
      <c r="E1090" s="1" t="n">
        <v>46229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9.300000000000001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34940-2025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45849</v>
      </c>
      <c r="E1091" s="1" t="n">
        <v>46229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7.2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34954-2025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45849</v>
      </c>
      <c r="E1092" s="1" t="n">
        <v>46229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34915-2025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45849</v>
      </c>
      <c r="E1093" s="1" t="n">
        <v>46229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6.5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34955-2025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45849</v>
      </c>
      <c r="E1094" s="1" t="n">
        <v>46229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9.4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35192-2025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45853</v>
      </c>
      <c r="E1095" s="1" t="n">
        <v>46229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35237-2025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45853</v>
      </c>
      <c r="E1096" s="1" t="n">
        <v>46229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5.9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35130-2025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45852</v>
      </c>
      <c r="E1097" s="1" t="n">
        <v>46229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6.2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35225-2025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45853</v>
      </c>
      <c r="E1098" s="1" t="n">
        <v>46229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35234-2025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45853</v>
      </c>
      <c r="E1099" s="1" t="n">
        <v>46229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35232-2025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45853</v>
      </c>
      <c r="E1100" s="1" t="n">
        <v>46229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35332-2025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45854</v>
      </c>
      <c r="E1101" s="1" t="n">
        <v>46229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SCA</t>
        </is>
      </c>
      <c r="I1101" t="n">
        <v>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35333-2025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45854</v>
      </c>
      <c r="E1102" s="1" t="n">
        <v>46229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35303-2025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45854</v>
      </c>
      <c r="E1103" s="1" t="n">
        <v>46229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35604-2025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45859</v>
      </c>
      <c r="E1104" s="1" t="n">
        <v>46229</v>
      </c>
      <c r="F1104" t="inlineStr">
        <is>
          <t>VÄSTERBOTTENS LÄN</t>
        </is>
      </c>
      <c r="G1104" t="inlineStr">
        <is>
          <t>LYCKSELE</t>
        </is>
      </c>
      <c r="I1104" t="n">
        <v>5.2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35662-2025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45859</v>
      </c>
      <c r="E1105" s="1" t="n">
        <v>46229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20.8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35671-2025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45859</v>
      </c>
      <c r="E1106" s="1" t="n">
        <v>46229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1.7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35833-2025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45861</v>
      </c>
      <c r="E1107" s="1" t="n">
        <v>46229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7.9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35606-2025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45859</v>
      </c>
      <c r="E1108" s="1" t="n">
        <v>46229</v>
      </c>
      <c r="F1108" t="inlineStr">
        <is>
          <t>VÄSTERBOTTENS LÄN</t>
        </is>
      </c>
      <c r="G1108" t="inlineStr">
        <is>
          <t>LYCKSELE</t>
        </is>
      </c>
      <c r="I1108" t="n">
        <v>0.4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35920-2025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45862</v>
      </c>
      <c r="E1109" s="1" t="n">
        <v>46229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4.2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36542-2025</t>
        </is>
      </c>
      <c r="B1110" t="inlineStr">
        <is>
          <t>avverkningsanmälan</t>
        </is>
      </c>
      <c r="C1110" t="inlineStr">
        <is>
          <t>Avverkning för att bevara och utveckla /försöksver</t>
        </is>
      </c>
      <c r="D1110" s="1" t="n">
        <v>45869</v>
      </c>
      <c r="E1110" s="1" t="n">
        <v>46229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36439-2025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45869</v>
      </c>
      <c r="E1111" s="1" t="n">
        <v>46229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14.3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35832-2025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45861</v>
      </c>
      <c r="E1112" s="1" t="n">
        <v>46229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6.5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36689-2025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45873</v>
      </c>
      <c r="E1113" s="1" t="n">
        <v>46229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2.4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919-2021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44314</v>
      </c>
      <c r="E1114" s="1" t="n">
        <v>46229</v>
      </c>
      <c r="F1114" t="inlineStr">
        <is>
          <t>VÄSTERBOTTENS LÄN</t>
        </is>
      </c>
      <c r="G1114" t="inlineStr">
        <is>
          <t>LYCKSELE</t>
        </is>
      </c>
      <c r="I1114" t="n">
        <v>26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1133-2024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45393</v>
      </c>
      <c r="E1115" s="1" t="n">
        <v>46229</v>
      </c>
      <c r="F1115" t="inlineStr">
        <is>
          <t>VÄSTERBOTTENS LÄN</t>
        </is>
      </c>
      <c r="G1115" t="inlineStr">
        <is>
          <t>LYCKSELE</t>
        </is>
      </c>
      <c r="I1115" t="n">
        <v>33.1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6646-2021</t>
        </is>
      </c>
      <c r="B1116" t="inlineStr">
        <is>
          <t>samrådsanmälan</t>
        </is>
      </c>
      <c r="C1116" t="inlineStr">
        <is>
          <t>Basväg</t>
        </is>
      </c>
      <c r="D1116" s="1" t="n">
        <v>44455</v>
      </c>
      <c r="E1116" s="1" t="n">
        <v>46229</v>
      </c>
      <c r="F1116" t="inlineStr">
        <is>
          <t>VÄSTERBOTTENS LÄN</t>
        </is>
      </c>
      <c r="G1116" t="inlineStr">
        <is>
          <t>LYCKSELE</t>
        </is>
      </c>
      <c r="I1116" t="n">
        <v>0.2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4195-2023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45250</v>
      </c>
      <c r="E1117" s="1" t="n">
        <v>46229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Holmen skog AB</t>
        </is>
      </c>
      <c r="I1117" t="n">
        <v>63.8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1398-2023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45040</v>
      </c>
      <c r="E1118" s="1" t="n">
        <v>46229</v>
      </c>
      <c r="F1118" t="inlineStr">
        <is>
          <t>VÄSTERBOTTENS LÄN</t>
        </is>
      </c>
      <c r="G1118" t="inlineStr">
        <is>
          <t>LYCKSELE</t>
        </is>
      </c>
      <c r="I1118" t="n">
        <v>21.5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827-2022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44603</v>
      </c>
      <c r="E1119" s="1" t="n">
        <v>46229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42.7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1378-2023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45040</v>
      </c>
      <c r="E1120" s="1" t="n">
        <v>46229</v>
      </c>
      <c r="F1120" t="inlineStr">
        <is>
          <t>VÄSTERBOTTENS LÄN</t>
        </is>
      </c>
      <c r="G1120" t="inlineStr">
        <is>
          <t>LYCKSELE</t>
        </is>
      </c>
      <c r="I1120" t="n">
        <v>33.1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1656-2024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45426</v>
      </c>
      <c r="E1121" s="1" t="n">
        <v>46229</v>
      </c>
      <c r="F1121" t="inlineStr">
        <is>
          <t>VÄSTERBOTTENS LÄN</t>
        </is>
      </c>
      <c r="G1121" t="inlineStr">
        <is>
          <t>LYCKSELE</t>
        </is>
      </c>
      <c r="I1121" t="n">
        <v>56.6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523-2024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45348</v>
      </c>
      <c r="E1122" s="1" t="n">
        <v>46229</v>
      </c>
      <c r="F1122" t="inlineStr">
        <is>
          <t>VÄSTERBOTTENS LÄN</t>
        </is>
      </c>
      <c r="G1122" t="inlineStr">
        <is>
          <t>LYCKSELE</t>
        </is>
      </c>
      <c r="I1122" t="n">
        <v>19.9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3789-2024</t>
        </is>
      </c>
      <c r="B1123" t="inlineStr">
        <is>
          <t>samrådsanmälan</t>
        </is>
      </c>
      <c r="C1123" t="inlineStr">
        <is>
          <t>Annan skogsbruksåtgärd</t>
        </is>
      </c>
      <c r="D1123" s="1" t="n">
        <v>45558</v>
      </c>
      <c r="E1123" s="1" t="n">
        <v>46229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9.800000000000001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271-2024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45323</v>
      </c>
      <c r="E1124" s="1" t="n">
        <v>46229</v>
      </c>
      <c r="F1124" t="inlineStr">
        <is>
          <t>VÄSTERBOTTENS LÄN</t>
        </is>
      </c>
      <c r="G1124" t="inlineStr">
        <is>
          <t>LYCKSELE</t>
        </is>
      </c>
      <c r="I1124" t="n">
        <v>48.7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165-2022</t>
        </is>
      </c>
      <c r="B1125" t="inlineStr">
        <is>
          <t>samrådsanmälan</t>
        </is>
      </c>
      <c r="C1125" t="inlineStr">
        <is>
          <t>Skogsbilväg</t>
        </is>
      </c>
      <c r="D1125" s="1" t="n">
        <v>44572</v>
      </c>
      <c r="E1125" s="1" t="n">
        <v>46229</v>
      </c>
      <c r="F1125" t="inlineStr">
        <is>
          <t>VÄSTERBOTTENS LÄN</t>
        </is>
      </c>
      <c r="G1125" t="inlineStr">
        <is>
          <t>LYCKSELE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1132-2024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45393</v>
      </c>
      <c r="E1126" s="1" t="n">
        <v>46229</v>
      </c>
      <c r="F1126" t="inlineStr">
        <is>
          <t>VÄSTERBOTTENS LÄN</t>
        </is>
      </c>
      <c r="G1126" t="inlineStr">
        <is>
          <t>LYCKSELE</t>
        </is>
      </c>
      <c r="I1126" t="n">
        <v>19.2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897-2022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44607</v>
      </c>
      <c r="E1127" s="1" t="n">
        <v>46229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264.9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1031-2025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45747</v>
      </c>
      <c r="E1128" s="1" t="n">
        <v>46229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36.8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1037-2025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45747</v>
      </c>
      <c r="E1129" s="1" t="n">
        <v>46229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138.5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1233-2025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45757</v>
      </c>
      <c r="E1130" s="1" t="n">
        <v>46229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1326-2025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45771</v>
      </c>
      <c r="E1131" s="1" t="n">
        <v>46229</v>
      </c>
      <c r="F1131" t="inlineStr">
        <is>
          <t>VÄSTERBOTTENS LÄN</t>
        </is>
      </c>
      <c r="G1131" t="inlineStr">
        <is>
          <t>LYCKSELE</t>
        </is>
      </c>
      <c r="I1131" t="n">
        <v>6.2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1841-2025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45820</v>
      </c>
      <c r="E1132" s="1" t="n">
        <v>46229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447-2026</t>
        </is>
      </c>
      <c r="B1133" t="inlineStr">
        <is>
          <t>samrådsanmälan</t>
        </is>
      </c>
      <c r="C1133" t="inlineStr">
        <is>
          <t>Annan skogsbruksåtgärd</t>
        </is>
      </c>
      <c r="D1133" s="1" t="n">
        <v>46071</v>
      </c>
      <c r="E1133" s="1" t="n">
        <v>46229</v>
      </c>
      <c r="F1133" t="inlineStr">
        <is>
          <t>VÄSTERBOTTENS LÄN</t>
        </is>
      </c>
      <c r="G1133" t="inlineStr">
        <is>
          <t>LYCKSELE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727-2026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46093</v>
      </c>
      <c r="E1134" s="1" t="n">
        <v>46229</v>
      </c>
      <c r="F1134" t="inlineStr">
        <is>
          <t>VÄSTERBOTTENS LÄN</t>
        </is>
      </c>
      <c r="G1134" t="inlineStr">
        <is>
          <t>LYCKSELE</t>
        </is>
      </c>
      <c r="I1134" t="n">
        <v>23.5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1148-2026</t>
        </is>
      </c>
      <c r="B1135" t="inlineStr">
        <is>
          <t>samrådsanmälan</t>
        </is>
      </c>
      <c r="C1135" t="inlineStr">
        <is>
          <t>Askåterföring</t>
        </is>
      </c>
      <c r="D1135" s="1" t="n">
        <v>46135</v>
      </c>
      <c r="E1135" s="1" t="n">
        <v>46229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1358-2026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46152</v>
      </c>
      <c r="E1136" s="1" t="n">
        <v>46229</v>
      </c>
      <c r="F1136" t="inlineStr">
        <is>
          <t>VÄSTERBOTTENS LÄN</t>
        </is>
      </c>
      <c r="G1136" t="inlineStr">
        <is>
          <t>LYCKSELE</t>
        </is>
      </c>
      <c r="I1136" t="n">
        <v>20.5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>
      <c r="A1137" t="inlineStr">
        <is>
          <t>S 1524-2026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46164</v>
      </c>
      <c r="E1137" s="1" t="n">
        <v>46229</v>
      </c>
      <c r="F1137" t="inlineStr">
        <is>
          <t>VÄSTERBOTTENS LÄN</t>
        </is>
      </c>
      <c r="G1137" t="inlineStr">
        <is>
          <t>LYCKSELE</t>
        </is>
      </c>
      <c r="I1137" t="n">
        <v>99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2026-07-26T01:49:52Z</dcterms:created>
  <dcterms:modified xmlns:dcterms="http://purl.org/dc/terms/" xmlns:xsi="http://www.w3.org/2001/XMLSchema-instance" xsi:type="dcterms:W3CDTF">2026-07-26T01:49:53Z</dcterms:modified>
</cp:coreProperties>
</file>