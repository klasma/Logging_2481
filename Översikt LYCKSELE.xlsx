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45294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45294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45294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45294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45294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45294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45294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45294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45294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45294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45294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45294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45294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45294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45294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45294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58205-2023</t>
        </is>
      </c>
      <c r="B18" s="1" t="n">
        <v>45250</v>
      </c>
      <c r="C18" s="1" t="n">
        <v>45294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3.3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Reliktbock
Tallticka
Varglav
Lavskrika</t>
        </is>
      </c>
      <c r="S18">
        <f>HYPERLINK("https://klasma.github.io/Logging_2481/artfynd/A 58205-2023 artfynd.xlsx", "A 58205-2023")</f>
        <v/>
      </c>
      <c r="T18">
        <f>HYPERLINK("https://klasma.github.io/Logging_2481/kartor/A 58205-2023 karta.png", "A 58205-2023")</f>
        <v/>
      </c>
      <c r="V18">
        <f>HYPERLINK("https://klasma.github.io/Logging_2481/klagomål/A 58205-2023 FSC-klagomål.docx", "A 58205-2023")</f>
        <v/>
      </c>
      <c r="W18">
        <f>HYPERLINK("https://klasma.github.io/Logging_2481/klagomålsmail/A 58205-2023 FSC-klagomål mail.docx", "A 58205-2023")</f>
        <v/>
      </c>
      <c r="X18">
        <f>HYPERLINK("https://klasma.github.io/Logging_2481/tillsyn/A 58205-2023 tillsynsbegäran.docx", "A 58205-2023")</f>
        <v/>
      </c>
      <c r="Y18">
        <f>HYPERLINK("https://klasma.github.io/Logging_2481/tillsynsmail/A 58205-2023 tillsynsbegäran mail.docx", "A 58205-2023")</f>
        <v/>
      </c>
    </row>
    <row r="19" ht="15" customHeight="1">
      <c r="A19" t="inlineStr">
        <is>
          <t>A 58366-2023</t>
        </is>
      </c>
      <c r="B19" s="1" t="n">
        <v>45250</v>
      </c>
      <c r="C19" s="1" t="n">
        <v>45294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7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Doftticka
Garnlav
Lunglav
Skrovellav
Stuplav</t>
        </is>
      </c>
      <c r="S19">
        <f>HYPERLINK("https://klasma.github.io/Logging_2481/artfynd/A 58366-2023 artfynd.xlsx", "A 58366-2023")</f>
        <v/>
      </c>
      <c r="T19">
        <f>HYPERLINK("https://klasma.github.io/Logging_2481/kartor/A 58366-2023 karta.png", "A 58366-2023")</f>
        <v/>
      </c>
      <c r="V19">
        <f>HYPERLINK("https://klasma.github.io/Logging_2481/klagomål/A 58366-2023 FSC-klagomål.docx", "A 58366-2023")</f>
        <v/>
      </c>
      <c r="W19">
        <f>HYPERLINK("https://klasma.github.io/Logging_2481/klagomålsmail/A 58366-2023 FSC-klagomål mail.docx", "A 58366-2023")</f>
        <v/>
      </c>
      <c r="X19">
        <f>HYPERLINK("https://klasma.github.io/Logging_2481/tillsyn/A 58366-2023 tillsynsbegäran.docx", "A 58366-2023")</f>
        <v/>
      </c>
      <c r="Y19">
        <f>HYPERLINK("https://klasma.github.io/Logging_2481/tillsynsmail/A 58366-2023 tillsynsbegäran mail.docx", "A 58366-2023")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45294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45294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45294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45294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45294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45294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45294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45294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45294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45294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45294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45294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45294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45294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45294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45294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45294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45294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45294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45294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45294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45294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45294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45294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45294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45294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45294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45294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45294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45294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45294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45294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45294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45294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45294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45294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45294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45294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45294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45294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45294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45294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45294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45294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45294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45294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45294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45294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45294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45294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45294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45294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45294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45294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45294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45294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45294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45294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45294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45294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45294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45294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45294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45294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45294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45294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45294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45294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45294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45294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45294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45294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45294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45294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45294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45294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45294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45294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45294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45294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45294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45294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45294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45294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45294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45294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45294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45294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45294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45294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45294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45294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45294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45294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45294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45294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45294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45294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45294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45294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45294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45294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45294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45294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45294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45294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45294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45294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45294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45294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45294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45294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45294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45294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45294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45294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45294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45294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45294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45294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45294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45294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45294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45294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45294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45294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45294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45294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45294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45294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45294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45294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45294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45294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45294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45294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45294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45294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45294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45294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45294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45294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45294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45294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45294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45294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45294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45294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45294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45294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45294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45294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45294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45294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45294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45294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45294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45294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45294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45294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45294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45294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45294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45294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45294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45294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45294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45294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45294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45294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45294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45294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45294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45294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45294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45294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45294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45294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45294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45294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45294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45294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45294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45294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45294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45294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45294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45294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45294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45294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45294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45294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45294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45294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45294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45294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45294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45294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45294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45294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45294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45294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45294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45294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45294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45294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45294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45294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45294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45294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45294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45294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45294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45294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45294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45294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45294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45294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45294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45294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45294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45294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45294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45294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45294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45294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45294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45294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45294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45294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45294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45294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45294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45294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45294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45294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45294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45294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45294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45294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45294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45294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45294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45294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45294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45294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45294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45294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45294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45294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45294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45294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45294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45294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45294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45294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45294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45294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45294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45294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45294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45294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45294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45294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45294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45294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45294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45294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45294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45294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45294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45294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45294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45294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45294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45294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45294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45294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45294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45294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45294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45294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45294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45294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45294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45294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45294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45294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45294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45294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45294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45294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45294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45294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45294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45294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45294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45294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45294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45294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45294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45294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45294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45294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45294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45294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45294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45294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45294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45294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45294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45294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45294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45294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45294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45294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45294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45294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45294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45294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45294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45294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45294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45294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45294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45294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45294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45294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45294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45294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45294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45294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45294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45294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45294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45294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45294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45294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45294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45294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45294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45294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45294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45294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45294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45294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45294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45294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45294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45294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45294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45294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45294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45294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45294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45294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45294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45294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45294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45294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45294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45294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45294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45294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45294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45294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45294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45294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45294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45294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45294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45294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45294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45294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45294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45294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45294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45294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45294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45294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45294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45294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45294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45294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45294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45294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45294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45294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45294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45294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45294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45294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45294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45294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45294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45294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45294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45294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45294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45294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45294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45294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45294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45294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45294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45294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45294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45294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45294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45294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45294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45294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45294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45294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45294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45294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45294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45294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45294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45294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45294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45294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45294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45294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45294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45294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45294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45294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45294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45294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45294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45294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45294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45294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45294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45294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45294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45294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45294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45294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45294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45294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45294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45294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45294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45294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45294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45294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45294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45294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45294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45294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45294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45294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45294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45294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45294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45294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45294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45294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45294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45294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45294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45294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45294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45294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45294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45294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45294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45294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45294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45294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45294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45294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45294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45294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45294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45294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45294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45294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45294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45294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45294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45294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45294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45294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45294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45294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45294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45294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45294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45294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45294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45294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45294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45294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45294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45294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45294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45294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45294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45294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45294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45294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45294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45294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45294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45294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45294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45294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45294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45294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45294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45294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45294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45294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45294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45294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45294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45294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45294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45294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45294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45294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45294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45294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45294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45294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45294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45294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45294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45294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45294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45294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45294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45294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45294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45294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45294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45294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45294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45294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45294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45294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45294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45294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45294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45294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45294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45294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45294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45294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45294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45294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45294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45294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45294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45294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45294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45294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45294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45294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45294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45294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45294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45294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45294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45294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45294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45294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45294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45294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45294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45294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45294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45294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45294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45294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45294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45294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45294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45294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45294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45294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45294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45294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45294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45294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45294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45294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45294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45294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45294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45294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45294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45294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45294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45294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45294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45294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45294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45294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45294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45294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45294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45294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45294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45294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45294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45294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45294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45294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45294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45294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45294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45294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45294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45294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45294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45294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45294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45294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45294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45294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45294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45294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45294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45294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45294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45294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45294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45294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45294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45294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45294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45294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45294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45294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45294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45294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45294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45294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45294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45294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45294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45294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45294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45294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45294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45294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45294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45294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45294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45294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45294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45294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45294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45294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45294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45294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45294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45294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45294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45294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45294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45294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45294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45294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45294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45294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45294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45294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45294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45294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45294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45294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45294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45294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45294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45294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45294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45294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45294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45294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45294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45294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45294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45294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45294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45294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45294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45294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45294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45294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45294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45294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45294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45294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45294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45294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45294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45294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45294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45294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45294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45294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45294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45294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45294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45294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45294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45294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45294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45294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45294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45294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45294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45294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45294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45294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45294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45294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45294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45294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45294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45294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45294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45294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45294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45294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45294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45294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45294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45294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45294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45294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45294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45294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45294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45294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45294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45294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45294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45294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45294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45294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45294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45294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45294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45294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45294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45294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45294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45294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45294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45294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45294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45294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45294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45294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45294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45294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45294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45294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45294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45294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45294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45294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45294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45294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45294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45294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45294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45294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45294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45294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45294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45294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45294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45294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45294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45294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45294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45294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45294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45294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45294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45294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45294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45294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45294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45294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45294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45294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45294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45294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45294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45294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45294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45294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45294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45294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45294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45294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45294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45294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45294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45294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45294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45294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45294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45294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45294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45294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45294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45294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45294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45294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45294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45294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45294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45294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45294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45294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45294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45294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45294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45294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45294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45294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45294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45294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45294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45294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45294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45294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45294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45294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45294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45294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45294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45294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45294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45294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45294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45294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45294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45294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45294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45294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45294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45294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45294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45294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45294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45294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45294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45294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45294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45294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45294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45294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45294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45294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45294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45294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45294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45294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45294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45294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45294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45294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45294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45294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45294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45294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45294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45294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45294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45294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45294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45294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45294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45294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45294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45294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45294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45294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45294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45294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45294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45294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45294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45294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45294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45294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45294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45294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45294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45294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45294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45294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45294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45294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45294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45294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45294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45294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45294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45294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45294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45294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45294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45294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45294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45294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45294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45294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45294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45294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45294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45294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45294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45294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45294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45294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45294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45294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45294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45294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45294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45294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45294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45294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45294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45294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45294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45294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45294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45294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45294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45294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45294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45294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45294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45294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45294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45294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45294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45294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45294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45294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45294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45294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45294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45294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45294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45294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45294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45294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45294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45294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45294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45294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45294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45294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45294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45294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45294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45294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45294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45294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45294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45294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45294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45294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45294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45294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45294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45294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45294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45294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45294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45294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45294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45294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45294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45294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45294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45294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45294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45294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45294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45294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45294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45294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45294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45294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45294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45294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45294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45294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45294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45294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45294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45294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45294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45294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45294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45294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45294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45294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45294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45294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45294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45294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45294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45294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45294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45294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45294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45294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45294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45294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45294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45294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45294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45294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45294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45294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45294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45294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45294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45294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45294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45294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45294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45294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45294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45294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45294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45294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45294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45294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45294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45294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45294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45294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45294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45294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45294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45294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45294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45294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45294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45294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45294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45294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45294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45294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45294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45294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45294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45294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45294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45294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45294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45294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45294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45294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45294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45294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45294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45294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45294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45294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45294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45294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45294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45294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45294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45294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45294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45294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45294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45294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45294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45294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45294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45294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45294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45294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45294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45294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45294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45294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45294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45294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45294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45294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45294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45294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45294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45294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45294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45294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45294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45294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45294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45294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45294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45294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45294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45294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45294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45294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45294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45294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45294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45294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45294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45294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45294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45294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45294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45294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45294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45294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45294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45294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45294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45294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45294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45294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45294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45294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45294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45294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45294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45294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45294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45294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45294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45294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45294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45294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45294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45294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45294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45294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45294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45294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45294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45294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45294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45294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45294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45294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45294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45294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45294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45294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45294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45294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45294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45294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45294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45294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45294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45294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45294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45294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45294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57462-2023</t>
        </is>
      </c>
      <c r="B1193" s="1" t="n">
        <v>45246</v>
      </c>
      <c r="C1193" s="1" t="n">
        <v>45294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57443-2023</t>
        </is>
      </c>
      <c r="B1194" s="1" t="n">
        <v>45246</v>
      </c>
      <c r="C1194" s="1" t="n">
        <v>45294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10.1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57460-2023</t>
        </is>
      </c>
      <c r="B1195" s="1" t="n">
        <v>45246</v>
      </c>
      <c r="C1195" s="1" t="n">
        <v>45294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57441-2023</t>
        </is>
      </c>
      <c r="B1196" s="1" t="n">
        <v>45246</v>
      </c>
      <c r="C1196" s="1" t="n">
        <v>45294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18.6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57456-2023</t>
        </is>
      </c>
      <c r="B1197" s="1" t="n">
        <v>45246</v>
      </c>
      <c r="C1197" s="1" t="n">
        <v>45294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45294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57848-2023</t>
        </is>
      </c>
      <c r="B1199" s="1" t="n">
        <v>45247</v>
      </c>
      <c r="C1199" s="1" t="n">
        <v>45294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45294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57845-2023</t>
        </is>
      </c>
      <c r="B1201" s="1" t="n">
        <v>45247</v>
      </c>
      <c r="C1201" s="1" t="n">
        <v>45294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45294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58460-2023</t>
        </is>
      </c>
      <c r="B1203" s="1" t="n">
        <v>45251</v>
      </c>
      <c r="C1203" s="1" t="n">
        <v>45294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58249-2023</t>
        </is>
      </c>
      <c r="B1204" s="1" t="n">
        <v>45250</v>
      </c>
      <c r="C1204" s="1" t="n">
        <v>45294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5.4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58553-2023</t>
        </is>
      </c>
      <c r="B1205" s="1" t="n">
        <v>45251</v>
      </c>
      <c r="C1205" s="1" t="n">
        <v>45294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58598-2023</t>
        </is>
      </c>
      <c r="B1206" s="1" t="n">
        <v>45251</v>
      </c>
      <c r="C1206" s="1" t="n">
        <v>45294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59153-2023</t>
        </is>
      </c>
      <c r="B1207" s="1" t="n">
        <v>45253</v>
      </c>
      <c r="C1207" s="1" t="n">
        <v>45294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59150-2023</t>
        </is>
      </c>
      <c r="B1208" s="1" t="n">
        <v>45253</v>
      </c>
      <c r="C1208" s="1" t="n">
        <v>45294</v>
      </c>
      <c r="D1208" t="inlineStr">
        <is>
          <t>VÄSTERBOTTENS LÄN</t>
        </is>
      </c>
      <c r="E1208" t="inlineStr">
        <is>
          <t>LYCKSELE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45294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45294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45294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45294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61496-2023</t>
        </is>
      </c>
      <c r="B1213" s="1" t="n">
        <v>45264</v>
      </c>
      <c r="C1213" s="1" t="n">
        <v>45294</v>
      </c>
      <c r="D1213" t="inlineStr">
        <is>
          <t>VÄSTERBOTTENS LÄN</t>
        </is>
      </c>
      <c r="E1213" t="inlineStr">
        <is>
          <t>LYCKSELE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61495-2023</t>
        </is>
      </c>
      <c r="B1214" s="1" t="n">
        <v>45264</v>
      </c>
      <c r="C1214" s="1" t="n">
        <v>45294</v>
      </c>
      <c r="D1214" t="inlineStr">
        <is>
          <t>VÄSTERBOTTENS LÄN</t>
        </is>
      </c>
      <c r="E1214" t="inlineStr">
        <is>
          <t>LYCKSELE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61693-2023</t>
        </is>
      </c>
      <c r="B1215" s="1" t="n">
        <v>45265</v>
      </c>
      <c r="C1215" s="1" t="n">
        <v>45294</v>
      </c>
      <c r="D1215" t="inlineStr">
        <is>
          <t>VÄSTERBOTTENS LÄN</t>
        </is>
      </c>
      <c r="E1215" t="inlineStr">
        <is>
          <t>LYCKSELE</t>
        </is>
      </c>
      <c r="G1215" t="n">
        <v>13.4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45294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61699-2023</t>
        </is>
      </c>
      <c r="B1217" s="1" t="n">
        <v>45265</v>
      </c>
      <c r="C1217" s="1" t="n">
        <v>45294</v>
      </c>
      <c r="D1217" t="inlineStr">
        <is>
          <t>VÄSTERBOTTENS LÄN</t>
        </is>
      </c>
      <c r="E1217" t="inlineStr">
        <is>
          <t>LYCKSELE</t>
        </is>
      </c>
      <c r="G1217" t="n">
        <v>28.4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61798-2023</t>
        </is>
      </c>
      <c r="B1218" s="1" t="n">
        <v>45266</v>
      </c>
      <c r="C1218" s="1" t="n">
        <v>45294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13.2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61799-2023</t>
        </is>
      </c>
      <c r="B1219" s="1" t="n">
        <v>45266</v>
      </c>
      <c r="C1219" s="1" t="n">
        <v>45294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45294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45294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62879-2023</t>
        </is>
      </c>
      <c r="B1222" s="1" t="n">
        <v>45271</v>
      </c>
      <c r="C1222" s="1" t="n">
        <v>45294</v>
      </c>
      <c r="D1222" t="inlineStr">
        <is>
          <t>VÄSTERBOTTENS LÄN</t>
        </is>
      </c>
      <c r="E1222" t="inlineStr">
        <is>
          <t>LYCKSELE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62877-2023</t>
        </is>
      </c>
      <c r="B1223" s="1" t="n">
        <v>45271</v>
      </c>
      <c r="C1223" s="1" t="n">
        <v>45294</v>
      </c>
      <c r="D1223" t="inlineStr">
        <is>
          <t>VÄSTERBOTTENS LÄN</t>
        </is>
      </c>
      <c r="E1223" t="inlineStr">
        <is>
          <t>LYCKSELE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62870-2023</t>
        </is>
      </c>
      <c r="B1224" s="1" t="n">
        <v>45271</v>
      </c>
      <c r="C1224" s="1" t="n">
        <v>45294</v>
      </c>
      <c r="D1224" t="inlineStr">
        <is>
          <t>VÄSTERBOTTENS LÄN</t>
        </is>
      </c>
      <c r="E1224" t="inlineStr">
        <is>
          <t>LYCKSELE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62882-2023</t>
        </is>
      </c>
      <c r="B1225" s="1" t="n">
        <v>45271</v>
      </c>
      <c r="C1225" s="1" t="n">
        <v>45294</v>
      </c>
      <c r="D1225" t="inlineStr">
        <is>
          <t>VÄSTERBOTTENS LÄN</t>
        </is>
      </c>
      <c r="E1225" t="inlineStr">
        <is>
          <t>LYCKSELE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62874-2023</t>
        </is>
      </c>
      <c r="B1226" s="1" t="n">
        <v>45271</v>
      </c>
      <c r="C1226" s="1" t="n">
        <v>45294</v>
      </c>
      <c r="D1226" t="inlineStr">
        <is>
          <t>VÄSTERBOTTENS LÄN</t>
        </is>
      </c>
      <c r="E1226" t="inlineStr">
        <is>
          <t>LYCKSELE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62984-2023</t>
        </is>
      </c>
      <c r="B1227" s="1" t="n">
        <v>45272</v>
      </c>
      <c r="C1227" s="1" t="n">
        <v>45294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63696-2023</t>
        </is>
      </c>
      <c r="B1228" s="1" t="n">
        <v>45275</v>
      </c>
      <c r="C1228" s="1" t="n">
        <v>45294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64215-2023</t>
        </is>
      </c>
      <c r="B1229" s="1" t="n">
        <v>45279</v>
      </c>
      <c r="C1229" s="1" t="n">
        <v>45294</v>
      </c>
      <c r="D1229" t="inlineStr">
        <is>
          <t>VÄSTERBOTTENS LÄN</t>
        </is>
      </c>
      <c r="E1229" t="inlineStr">
        <is>
          <t>LYCKSELE</t>
        </is>
      </c>
      <c r="G1229" t="n">
        <v>10.6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64281-2023</t>
        </is>
      </c>
      <c r="B1230" s="1" t="n">
        <v>45279</v>
      </c>
      <c r="C1230" s="1" t="n">
        <v>45294</v>
      </c>
      <c r="D1230" t="inlineStr">
        <is>
          <t>VÄSTERBOTTENS LÄN</t>
        </is>
      </c>
      <c r="E1230" t="inlineStr">
        <is>
          <t>LYCKSELE</t>
        </is>
      </c>
      <c r="G1230" t="n">
        <v>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64336-2023</t>
        </is>
      </c>
      <c r="B1231" s="1" t="n">
        <v>45279</v>
      </c>
      <c r="C1231" s="1" t="n">
        <v>45294</v>
      </c>
      <c r="D1231" t="inlineStr">
        <is>
          <t>VÄSTERBOTTENS LÄN</t>
        </is>
      </c>
      <c r="E1231" t="inlineStr">
        <is>
          <t>LYCKSELE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64346-2023</t>
        </is>
      </c>
      <c r="B1232" s="1" t="n">
        <v>45279</v>
      </c>
      <c r="C1232" s="1" t="n">
        <v>45294</v>
      </c>
      <c r="D1232" t="inlineStr">
        <is>
          <t>VÄSTERBOTTENS LÄN</t>
        </is>
      </c>
      <c r="E1232" t="inlineStr">
        <is>
          <t>LYCKSELE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64334-2023</t>
        </is>
      </c>
      <c r="B1233" s="1" t="n">
        <v>45279</v>
      </c>
      <c r="C1233" s="1" t="n">
        <v>45294</v>
      </c>
      <c r="D1233" t="inlineStr">
        <is>
          <t>VÄSTERBOTTENS LÄN</t>
        </is>
      </c>
      <c r="E1233" t="inlineStr">
        <is>
          <t>LYCKSELE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64656-2023</t>
        </is>
      </c>
      <c r="B1234" s="1" t="n">
        <v>45281</v>
      </c>
      <c r="C1234" s="1" t="n">
        <v>45294</v>
      </c>
      <c r="D1234" t="inlineStr">
        <is>
          <t>VÄSTERBOTTENS LÄN</t>
        </is>
      </c>
      <c r="E1234" t="inlineStr">
        <is>
          <t>LYCKSELE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64663-2023</t>
        </is>
      </c>
      <c r="B1235" s="1" t="n">
        <v>45281</v>
      </c>
      <c r="C1235" s="1" t="n">
        <v>45294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64668-2023</t>
        </is>
      </c>
      <c r="B1236" s="1" t="n">
        <v>45281</v>
      </c>
      <c r="C1236" s="1" t="n">
        <v>45294</v>
      </c>
      <c r="D1236" t="inlineStr">
        <is>
          <t>VÄSTERBOTTENS LÄN</t>
        </is>
      </c>
      <c r="E1236" t="inlineStr">
        <is>
          <t>LYCKSELE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2024-01-03T10:03:15Z</dcterms:created>
  <dcterms:modified xmlns:dcterms="http://purl.org/dc/terms/" xmlns:xsi="http://www.w3.org/2001/XMLSchema-instance" xsi:type="dcterms:W3CDTF">2024-01-03T10:03:16Z</dcterms:modified>
</cp:coreProperties>
</file>