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46043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46043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46043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46043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46043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46043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46043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46043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46043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46043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46043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46043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46043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46043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58209-2025</t>
        </is>
      </c>
      <c r="B25" s="1" t="n">
        <v>45985.3278587963</v>
      </c>
      <c r="C25" s="1" t="n">
        <v>46043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58209-2025 artfynd.xlsx", "A 58209-2025")</f>
        <v/>
      </c>
      <c r="T25">
        <f>HYPERLINK("https://klasma.github.io/Logging_2481/kartor/A 58209-2025 karta.png", "A 58209-2025")</f>
        <v/>
      </c>
      <c r="V25">
        <f>HYPERLINK("https://klasma.github.io/Logging_2481/klagomål/A 58209-2025 FSC-klagomål.docx", "A 58209-2025")</f>
        <v/>
      </c>
      <c r="W25">
        <f>HYPERLINK("https://klasma.github.io/Logging_2481/klagomålsmail/A 58209-2025 FSC-klagomål mail.docx", "A 58209-2025")</f>
        <v/>
      </c>
      <c r="X25">
        <f>HYPERLINK("https://klasma.github.io/Logging_2481/tillsyn/A 58209-2025 tillsynsbegäran.docx", "A 58209-2025")</f>
        <v/>
      </c>
      <c r="Y25">
        <f>HYPERLINK("https://klasma.github.io/Logging_2481/tillsynsmail/A 58209-2025 tillsynsbegäran mail.docx", "A 58209-2025")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46043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46043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46043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46043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46043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46043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46043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46043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46043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46043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46043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46043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47977-2024</t>
        </is>
      </c>
      <c r="B40" s="1" t="n">
        <v>45589</v>
      </c>
      <c r="C40" s="1" t="n">
        <v>46043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Orange taggsvamp
Skrovlig taggsvamp</t>
        </is>
      </c>
      <c r="S40">
        <f>HYPERLINK("https://klasma.github.io/Logging_2481/artfynd/A 47977-2024 artfynd.xlsx", "A 47977-2024")</f>
        <v/>
      </c>
      <c r="T40">
        <f>HYPERLINK("https://klasma.github.io/Logging_2481/kartor/A 47977-2024 karta.png", "A 47977-2024")</f>
        <v/>
      </c>
      <c r="V40">
        <f>HYPERLINK("https://klasma.github.io/Logging_2481/klagomål/A 47977-2024 FSC-klagomål.docx", "A 47977-2024")</f>
        <v/>
      </c>
      <c r="W40">
        <f>HYPERLINK("https://klasma.github.io/Logging_2481/klagomålsmail/A 47977-2024 FSC-klagomål mail.docx", "A 47977-2024")</f>
        <v/>
      </c>
      <c r="X40">
        <f>HYPERLINK("https://klasma.github.io/Logging_2481/tillsyn/A 47977-2024 tillsynsbegäran.docx", "A 47977-2024")</f>
        <v/>
      </c>
      <c r="Y40">
        <f>HYPERLINK("https://klasma.github.io/Logging_2481/tillsynsmail/A 47977-2024 tillsynsbegäran mail.docx", "A 47977-2024")</f>
        <v/>
      </c>
    </row>
    <row r="41" ht="15" customHeight="1">
      <c r="A41" t="inlineStr">
        <is>
          <t>A 49793-2025</t>
        </is>
      </c>
      <c r="B41" s="1" t="n">
        <v>45940.40770833333</v>
      </c>
      <c r="C41" s="1" t="n">
        <v>46043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19.8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49793-2025 artfynd.xlsx", "A 49793-2025")</f>
        <v/>
      </c>
      <c r="T41">
        <f>HYPERLINK("https://klasma.github.io/Logging_2481/kartor/A 49793-2025 karta.png", "A 49793-2025")</f>
        <v/>
      </c>
      <c r="V41">
        <f>HYPERLINK("https://klasma.github.io/Logging_2481/klagomål/A 49793-2025 FSC-klagomål.docx", "A 49793-2025")</f>
        <v/>
      </c>
      <c r="W41">
        <f>HYPERLINK("https://klasma.github.io/Logging_2481/klagomålsmail/A 49793-2025 FSC-klagomål mail.docx", "A 49793-2025")</f>
        <v/>
      </c>
      <c r="X41">
        <f>HYPERLINK("https://klasma.github.io/Logging_2481/tillsyn/A 49793-2025 tillsynsbegäran.docx", "A 49793-2025")</f>
        <v/>
      </c>
      <c r="Y41">
        <f>HYPERLINK("https://klasma.github.io/Logging_2481/tillsynsmail/A 49793-2025 tillsynsbegäran mail.docx", "A 49793-2025")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46043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46043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46043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46043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46043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46043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46043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46043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46043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46043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46043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46043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46043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60422-2024</t>
        </is>
      </c>
      <c r="B56" s="1" t="n">
        <v>45643.54054398148</v>
      </c>
      <c r="C56" s="1" t="n">
        <v>46043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60422-2024 artfynd.xlsx", "A 60422-2024")</f>
        <v/>
      </c>
      <c r="T56">
        <f>HYPERLINK("https://klasma.github.io/Logging_2481/kartor/A 60422-2024 karta.png", "A 60422-2024")</f>
        <v/>
      </c>
      <c r="V56">
        <f>HYPERLINK("https://klasma.github.io/Logging_2481/klagomål/A 60422-2024 FSC-klagomål.docx", "A 60422-2024")</f>
        <v/>
      </c>
      <c r="W56">
        <f>HYPERLINK("https://klasma.github.io/Logging_2481/klagomålsmail/A 60422-2024 FSC-klagomål mail.docx", "A 60422-2024")</f>
        <v/>
      </c>
      <c r="X56">
        <f>HYPERLINK("https://klasma.github.io/Logging_2481/tillsyn/A 60422-2024 tillsynsbegäran.docx", "A 60422-2024")</f>
        <v/>
      </c>
      <c r="Y56">
        <f>HYPERLINK("https://klasma.github.io/Logging_2481/tillsynsmail/A 60422-2024 tillsynsbegäran mail.docx", "A 60422-2024")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46043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46043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46043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46043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46043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46043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46043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46043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46043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46043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46043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46043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46043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46043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57179-2025</t>
        </is>
      </c>
      <c r="B74" s="1" t="n">
        <v>45979.55950231481</v>
      </c>
      <c r="C74" s="1" t="n">
        <v>46043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10.1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Strutbräken</t>
        </is>
      </c>
      <c r="S74">
        <f>HYPERLINK("https://klasma.github.io/Logging_2481/artfynd/A 57179-2025 artfynd.xlsx", "A 57179-2025")</f>
        <v/>
      </c>
      <c r="T74">
        <f>HYPERLINK("https://klasma.github.io/Logging_2481/kartor/A 57179-2025 karta.png", "A 57179-2025")</f>
        <v/>
      </c>
      <c r="V74">
        <f>HYPERLINK("https://klasma.github.io/Logging_2481/klagomål/A 57179-2025 FSC-klagomål.docx", "A 57179-2025")</f>
        <v/>
      </c>
      <c r="W74">
        <f>HYPERLINK("https://klasma.github.io/Logging_2481/klagomålsmail/A 57179-2025 FSC-klagomål mail.docx", "A 57179-2025")</f>
        <v/>
      </c>
      <c r="X74">
        <f>HYPERLINK("https://klasma.github.io/Logging_2481/tillsyn/A 57179-2025 tillsynsbegäran.docx", "A 57179-2025")</f>
        <v/>
      </c>
      <c r="Y74">
        <f>HYPERLINK("https://klasma.github.io/Logging_2481/tillsynsmail/A 57179-2025 tillsynsbegäran mail.docx", "A 57179-2025")</f>
        <v/>
      </c>
    </row>
    <row r="75" ht="15" customHeight="1">
      <c r="A75" t="inlineStr">
        <is>
          <t>A 58115-2025</t>
        </is>
      </c>
      <c r="B75" s="1" t="n">
        <v>45982.60415509259</v>
      </c>
      <c r="C75" s="1" t="n">
        <v>46043</v>
      </c>
      <c r="D75" t="inlineStr">
        <is>
          <t>VÄSTERBOTTENS LÄN</t>
        </is>
      </c>
      <c r="E75" t="inlineStr">
        <is>
          <t>LYCKSELE</t>
        </is>
      </c>
      <c r="G75" t="n">
        <v>20.9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HYPERLINK("https://klasma.github.io/Logging_2481/artfynd/A 58115-2025 artfynd.xlsx", "A 58115-2025")</f>
        <v/>
      </c>
      <c r="T75">
        <f>HYPERLINK("https://klasma.github.io/Logging_2481/kartor/A 58115-2025 karta.png", "A 58115-2025")</f>
        <v/>
      </c>
      <c r="V75">
        <f>HYPERLINK("https://klasma.github.io/Logging_2481/klagomål/A 58115-2025 FSC-klagomål.docx", "A 58115-2025")</f>
        <v/>
      </c>
      <c r="W75">
        <f>HYPERLINK("https://klasma.github.io/Logging_2481/klagomålsmail/A 58115-2025 FSC-klagomål mail.docx", "A 58115-2025")</f>
        <v/>
      </c>
      <c r="X75">
        <f>HYPERLINK("https://klasma.github.io/Logging_2481/tillsyn/A 58115-2025 tillsynsbegäran.docx", "A 58115-2025")</f>
        <v/>
      </c>
      <c r="Y75">
        <f>HYPERLINK("https://klasma.github.io/Logging_2481/tillsynsmail/A 58115-2025 tillsynsbegäran mail.docx", "A 58115-2025")</f>
        <v/>
      </c>
    </row>
    <row r="76" ht="15" customHeight="1">
      <c r="A76" t="inlineStr">
        <is>
          <t>A 22360-2025</t>
        </is>
      </c>
      <c r="B76" s="1" t="n">
        <v>45786.46645833334</v>
      </c>
      <c r="C76" s="1" t="n">
        <v>46043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22360-2025 artfynd.xlsx", "A 22360-2025")</f>
        <v/>
      </c>
      <c r="T76">
        <f>HYPERLINK("https://klasma.github.io/Logging_2481/kartor/A 22360-2025 karta.png", "A 22360-2025")</f>
        <v/>
      </c>
      <c r="V76">
        <f>HYPERLINK("https://klasma.github.io/Logging_2481/klagomål/A 22360-2025 FSC-klagomål.docx", "A 22360-2025")</f>
        <v/>
      </c>
      <c r="W76">
        <f>HYPERLINK("https://klasma.github.io/Logging_2481/klagomålsmail/A 22360-2025 FSC-klagomål mail.docx", "A 22360-2025")</f>
        <v/>
      </c>
      <c r="X76">
        <f>HYPERLINK("https://klasma.github.io/Logging_2481/tillsyn/A 22360-2025 tillsynsbegäran.docx", "A 22360-2025")</f>
        <v/>
      </c>
      <c r="Y76">
        <f>HYPERLINK("https://klasma.github.io/Logging_2481/tillsynsmail/A 22360-2025 tillsynsbegäran mail.docx", "A 22360-2025")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46043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38776-2025</t>
        </is>
      </c>
      <c r="B78" s="1" t="n">
        <v>45887.42761574074</v>
      </c>
      <c r="C78" s="1" t="n">
        <v>46043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7.5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Dropptaggsvamp</t>
        </is>
      </c>
      <c r="S78">
        <f>HYPERLINK("https://klasma.github.io/Logging_2481/artfynd/A 38776-2025 artfynd.xlsx", "A 38776-2025")</f>
        <v/>
      </c>
      <c r="T78">
        <f>HYPERLINK("https://klasma.github.io/Logging_2481/kartor/A 38776-2025 karta.png", "A 38776-2025")</f>
        <v/>
      </c>
      <c r="V78">
        <f>HYPERLINK("https://klasma.github.io/Logging_2481/klagomål/A 38776-2025 FSC-klagomål.docx", "A 38776-2025")</f>
        <v/>
      </c>
      <c r="W78">
        <f>HYPERLINK("https://klasma.github.io/Logging_2481/klagomålsmail/A 38776-2025 FSC-klagomål mail.docx", "A 38776-2025")</f>
        <v/>
      </c>
      <c r="X78">
        <f>HYPERLINK("https://klasma.github.io/Logging_2481/tillsyn/A 38776-2025 tillsynsbegäran.docx", "A 38776-2025")</f>
        <v/>
      </c>
      <c r="Y78">
        <f>HYPERLINK("https://klasma.github.io/Logging_2481/tillsynsmail/A 38776-2025 tillsynsbegäran mail.docx", "A 38776-2025")</f>
        <v/>
      </c>
    </row>
    <row r="79" ht="15" customHeight="1">
      <c r="A79" t="inlineStr">
        <is>
          <t>A 22629-2025</t>
        </is>
      </c>
      <c r="B79" s="1" t="n">
        <v>45789.43789351852</v>
      </c>
      <c r="C79" s="1" t="n">
        <v>46043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11.3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22629-2025 artfynd.xlsx", "A 22629-2025")</f>
        <v/>
      </c>
      <c r="T79">
        <f>HYPERLINK("https://klasma.github.io/Logging_2481/kartor/A 22629-2025 karta.png", "A 22629-2025")</f>
        <v/>
      </c>
      <c r="V79">
        <f>HYPERLINK("https://klasma.github.io/Logging_2481/klagomål/A 22629-2025 FSC-klagomål.docx", "A 22629-2025")</f>
        <v/>
      </c>
      <c r="W79">
        <f>HYPERLINK("https://klasma.github.io/Logging_2481/klagomålsmail/A 22629-2025 FSC-klagomål mail.docx", "A 22629-2025")</f>
        <v/>
      </c>
      <c r="X79">
        <f>HYPERLINK("https://klasma.github.io/Logging_2481/tillsyn/A 22629-2025 tillsynsbegäran.docx", "A 22629-2025")</f>
        <v/>
      </c>
      <c r="Y79">
        <f>HYPERLINK("https://klasma.github.io/Logging_2481/tillsynsmail/A 22629-2025 tillsynsbegäran mail.docx", "A 22629-2025")</f>
        <v/>
      </c>
    </row>
    <row r="80" ht="15" customHeight="1">
      <c r="A80" t="inlineStr">
        <is>
          <t>A 23341-2025</t>
        </is>
      </c>
      <c r="B80" s="1" t="n">
        <v>45791.65668981482</v>
      </c>
      <c r="C80" s="1" t="n">
        <v>46043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23341-2025 artfynd.xlsx", "A 23341-2025")</f>
        <v/>
      </c>
      <c r="T80">
        <f>HYPERLINK("https://klasma.github.io/Logging_2481/kartor/A 23341-2025 karta.png", "A 23341-2025")</f>
        <v/>
      </c>
      <c r="V80">
        <f>HYPERLINK("https://klasma.github.io/Logging_2481/klagomål/A 23341-2025 FSC-klagomål.docx", "A 23341-2025")</f>
        <v/>
      </c>
      <c r="W80">
        <f>HYPERLINK("https://klasma.github.io/Logging_2481/klagomålsmail/A 23341-2025 FSC-klagomål mail.docx", "A 23341-2025")</f>
        <v/>
      </c>
      <c r="X80">
        <f>HYPERLINK("https://klasma.github.io/Logging_2481/tillsyn/A 23341-2025 tillsynsbegäran.docx", "A 23341-2025")</f>
        <v/>
      </c>
      <c r="Y80">
        <f>HYPERLINK("https://klasma.github.io/Logging_2481/tillsynsmail/A 23341-2025 tillsynsbegäran mail.docx", "A 23341-2025")</f>
        <v/>
      </c>
    </row>
    <row r="81" ht="15" customHeight="1">
      <c r="A81" t="inlineStr">
        <is>
          <t>A 23328-2025</t>
        </is>
      </c>
      <c r="B81" s="1" t="n">
        <v>45791.63113425926</v>
      </c>
      <c r="C81" s="1" t="n">
        <v>46043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23328-2025 artfynd.xlsx", "A 23328-2025")</f>
        <v/>
      </c>
      <c r="T81">
        <f>HYPERLINK("https://klasma.github.io/Logging_2481/kartor/A 23328-2025 karta.png", "A 23328-2025")</f>
        <v/>
      </c>
      <c r="V81">
        <f>HYPERLINK("https://klasma.github.io/Logging_2481/klagomål/A 23328-2025 FSC-klagomål.docx", "A 23328-2025")</f>
        <v/>
      </c>
      <c r="W81">
        <f>HYPERLINK("https://klasma.github.io/Logging_2481/klagomålsmail/A 23328-2025 FSC-klagomål mail.docx", "A 23328-2025")</f>
        <v/>
      </c>
      <c r="X81">
        <f>HYPERLINK("https://klasma.github.io/Logging_2481/tillsyn/A 23328-2025 tillsynsbegäran.docx", "A 23328-2025")</f>
        <v/>
      </c>
      <c r="Y81">
        <f>HYPERLINK("https://klasma.github.io/Logging_2481/tillsynsmail/A 23328-2025 tillsynsbegäran mail.docx", "A 23328-2025")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46043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46043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58624-2022</t>
        </is>
      </c>
      <c r="B84" s="1" t="n">
        <v>44902</v>
      </c>
      <c r="C84" s="1" t="n">
        <v>46043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Blanksvart spiklav
Vedflamlav</t>
        </is>
      </c>
      <c r="S84">
        <f>HYPERLINK("https://klasma.github.io/Logging_2481/artfynd/A 58624-2022 artfynd.xlsx", "A 58624-2022")</f>
        <v/>
      </c>
      <c r="T84">
        <f>HYPERLINK("https://klasma.github.io/Logging_2481/kartor/A 58624-2022 karta.png", "A 58624-2022")</f>
        <v/>
      </c>
      <c r="V84">
        <f>HYPERLINK("https://klasma.github.io/Logging_2481/klagomål/A 58624-2022 FSC-klagomål.docx", "A 58624-2022")</f>
        <v/>
      </c>
      <c r="W84">
        <f>HYPERLINK("https://klasma.github.io/Logging_2481/klagomålsmail/A 58624-2022 FSC-klagomål mail.docx", "A 58624-2022")</f>
        <v/>
      </c>
      <c r="X84">
        <f>HYPERLINK("https://klasma.github.io/Logging_2481/tillsyn/A 58624-2022 tillsynsbegäran.docx", "A 58624-2022")</f>
        <v/>
      </c>
      <c r="Y84">
        <f>HYPERLINK("https://klasma.github.io/Logging_2481/tillsynsmail/A 58624-2022 tillsynsbegäran mail.docx", "A 58624-2022")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46043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46043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37548-2024</t>
        </is>
      </c>
      <c r="B87" s="1" t="n">
        <v>45541.43171296296</v>
      </c>
      <c r="C87" s="1" t="n">
        <v>46043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Skarp dropptaggsvamp</t>
        </is>
      </c>
      <c r="S87">
        <f>HYPERLINK("https://klasma.github.io/Logging_2481/artfynd/A 37548-2024 artfynd.xlsx", "A 37548-2024")</f>
        <v/>
      </c>
      <c r="T87">
        <f>HYPERLINK("https://klasma.github.io/Logging_2481/kartor/A 37548-2024 karta.png", "A 37548-2024")</f>
        <v/>
      </c>
      <c r="V87">
        <f>HYPERLINK("https://klasma.github.io/Logging_2481/klagomål/A 37548-2024 FSC-klagomål.docx", "A 37548-2024")</f>
        <v/>
      </c>
      <c r="W87">
        <f>HYPERLINK("https://klasma.github.io/Logging_2481/klagomålsmail/A 37548-2024 FSC-klagomål mail.docx", "A 37548-2024")</f>
        <v/>
      </c>
      <c r="X87">
        <f>HYPERLINK("https://klasma.github.io/Logging_2481/tillsyn/A 37548-2024 tillsynsbegäran.docx", "A 37548-2024")</f>
        <v/>
      </c>
      <c r="Y87">
        <f>HYPERLINK("https://klasma.github.io/Logging_2481/tillsynsmail/A 37548-2024 tillsynsbegäran mail.docx", "A 37548-2024")</f>
        <v/>
      </c>
    </row>
    <row r="88" ht="15" customHeight="1">
      <c r="A88" t="inlineStr">
        <is>
          <t>A 2893-2023</t>
        </is>
      </c>
      <c r="B88" s="1" t="n">
        <v>44945.50438657407</v>
      </c>
      <c r="C88" s="1" t="n">
        <v>46043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HYPERLINK("https://klasma.github.io/Logging_2481/artfynd/A 2893-2023 artfynd.xlsx", "A 2893-2023")</f>
        <v/>
      </c>
      <c r="T88">
        <f>HYPERLINK("https://klasma.github.io/Logging_2481/kartor/A 2893-2023 karta.png", "A 2893-2023")</f>
        <v/>
      </c>
      <c r="V88">
        <f>HYPERLINK("https://klasma.github.io/Logging_2481/klagomål/A 2893-2023 FSC-klagomål.docx", "A 2893-2023")</f>
        <v/>
      </c>
      <c r="W88">
        <f>HYPERLINK("https://klasma.github.io/Logging_2481/klagomålsmail/A 2893-2023 FSC-klagomål mail.docx", "A 2893-2023")</f>
        <v/>
      </c>
      <c r="X88">
        <f>HYPERLINK("https://klasma.github.io/Logging_2481/tillsyn/A 2893-2023 tillsynsbegäran.docx", "A 2893-2023")</f>
        <v/>
      </c>
      <c r="Y88">
        <f>HYPERLINK("https://klasma.github.io/Logging_2481/tillsynsmail/A 2893-2023 tillsynsbegäran mail.docx", "A 2893-2023")</f>
        <v/>
      </c>
    </row>
    <row r="89" ht="15" customHeight="1">
      <c r="A89" t="inlineStr">
        <is>
          <t>A 47744-2025</t>
        </is>
      </c>
      <c r="B89" s="1" t="n">
        <v>45931.64844907408</v>
      </c>
      <c r="C89" s="1" t="n">
        <v>46043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47744-2025 artfynd.xlsx", "A 47744-2025")</f>
        <v/>
      </c>
      <c r="T89">
        <f>HYPERLINK("https://klasma.github.io/Logging_2481/kartor/A 47744-2025 karta.png", "A 47744-2025")</f>
        <v/>
      </c>
      <c r="V89">
        <f>HYPERLINK("https://klasma.github.io/Logging_2481/klagomål/A 47744-2025 FSC-klagomål.docx", "A 47744-2025")</f>
        <v/>
      </c>
      <c r="W89">
        <f>HYPERLINK("https://klasma.github.io/Logging_2481/klagomålsmail/A 47744-2025 FSC-klagomål mail.docx", "A 47744-2025")</f>
        <v/>
      </c>
      <c r="X89">
        <f>HYPERLINK("https://klasma.github.io/Logging_2481/tillsyn/A 47744-2025 tillsynsbegäran.docx", "A 47744-2025")</f>
        <v/>
      </c>
      <c r="Y89">
        <f>HYPERLINK("https://klasma.github.io/Logging_2481/tillsynsmail/A 47744-2025 tillsynsbegäran mail.docx", "A 47744-2025")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46043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12760-2022</t>
        </is>
      </c>
      <c r="B91" s="1" t="n">
        <v>44641</v>
      </c>
      <c r="C91" s="1" t="n">
        <v>46043</v>
      </c>
      <c r="D91" t="inlineStr">
        <is>
          <t>VÄSTERBOTTENS LÄN</t>
        </is>
      </c>
      <c r="E91" t="inlineStr">
        <is>
          <t>LYCKSELE</t>
        </is>
      </c>
      <c r="G91" t="n">
        <v>11.6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Järpe</t>
        </is>
      </c>
      <c r="S91">
        <f>HYPERLINK("https://klasma.github.io/Logging_2481/artfynd/A 12760-2022 artfynd.xlsx", "A 12760-2022")</f>
        <v/>
      </c>
      <c r="T91">
        <f>HYPERLINK("https://klasma.github.io/Logging_2481/kartor/A 12760-2022 karta.png", "A 12760-2022")</f>
        <v/>
      </c>
      <c r="V91">
        <f>HYPERLINK("https://klasma.github.io/Logging_2481/klagomål/A 12760-2022 FSC-klagomål.docx", "A 12760-2022")</f>
        <v/>
      </c>
      <c r="W91">
        <f>HYPERLINK("https://klasma.github.io/Logging_2481/klagomålsmail/A 12760-2022 FSC-klagomål mail.docx", "A 12760-2022")</f>
        <v/>
      </c>
      <c r="X91">
        <f>HYPERLINK("https://klasma.github.io/Logging_2481/tillsyn/A 12760-2022 tillsynsbegäran.docx", "A 12760-2022")</f>
        <v/>
      </c>
      <c r="Y91">
        <f>HYPERLINK("https://klasma.github.io/Logging_2481/tillsynsmail/A 12760-2022 tillsynsbegäran mail.docx", "A 12760-2022")</f>
        <v/>
      </c>
      <c r="Z91">
        <f>HYPERLINK("https://klasma.github.io/Logging_2481/fåglar/A 12760-2022 prioriterade fågelarter.docx", "A 12760-2022")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46043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26271-2025</t>
        </is>
      </c>
      <c r="B93" s="1" t="n">
        <v>45805.59424768519</v>
      </c>
      <c r="C93" s="1" t="n">
        <v>46043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Gammelgransskål
Lunglav</t>
        </is>
      </c>
      <c r="S93">
        <f>HYPERLINK("https://klasma.github.io/Logging_2481/artfynd/A 26271-2025 artfynd.xlsx", "A 26271-2025")</f>
        <v/>
      </c>
      <c r="T93">
        <f>HYPERLINK("https://klasma.github.io/Logging_2481/kartor/A 26271-2025 karta.png", "A 26271-2025")</f>
        <v/>
      </c>
      <c r="V93">
        <f>HYPERLINK("https://klasma.github.io/Logging_2481/klagomål/A 26271-2025 FSC-klagomål.docx", "A 26271-2025")</f>
        <v/>
      </c>
      <c r="W93">
        <f>HYPERLINK("https://klasma.github.io/Logging_2481/klagomålsmail/A 26271-2025 FSC-klagomål mail.docx", "A 26271-2025")</f>
        <v/>
      </c>
      <c r="X93">
        <f>HYPERLINK("https://klasma.github.io/Logging_2481/tillsyn/A 26271-2025 tillsynsbegäran.docx", "A 26271-2025")</f>
        <v/>
      </c>
      <c r="Y93">
        <f>HYPERLINK("https://klasma.github.io/Logging_2481/tillsynsmail/A 26271-2025 tillsynsbegäran mail.docx", "A 26271-2025")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46043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49550-2025</t>
        </is>
      </c>
      <c r="B95" s="1" t="n">
        <v>45939.44409722222</v>
      </c>
      <c r="C95" s="1" t="n">
        <v>46043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49550-2025 artfynd.xlsx", "A 49550-2025")</f>
        <v/>
      </c>
      <c r="T95">
        <f>HYPERLINK("https://klasma.github.io/Logging_2481/kartor/A 49550-2025 karta.png", "A 49550-2025")</f>
        <v/>
      </c>
      <c r="V95">
        <f>HYPERLINK("https://klasma.github.io/Logging_2481/klagomål/A 49550-2025 FSC-klagomål.docx", "A 49550-2025")</f>
        <v/>
      </c>
      <c r="W95">
        <f>HYPERLINK("https://klasma.github.io/Logging_2481/klagomålsmail/A 49550-2025 FSC-klagomål mail.docx", "A 49550-2025")</f>
        <v/>
      </c>
      <c r="X95">
        <f>HYPERLINK("https://klasma.github.io/Logging_2481/tillsyn/A 49550-2025 tillsynsbegäran.docx", "A 49550-2025")</f>
        <v/>
      </c>
      <c r="Y95">
        <f>HYPERLINK("https://klasma.github.io/Logging_2481/tillsynsmail/A 49550-2025 tillsynsbegäran mail.docx", "A 49550-2025")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46043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9924-2024</t>
        </is>
      </c>
      <c r="B97" s="1" t="n">
        <v>45363</v>
      </c>
      <c r="C97" s="1" t="n">
        <v>46043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Kolflarnlav</t>
        </is>
      </c>
      <c r="S97">
        <f>HYPERLINK("https://klasma.github.io/Logging_2481/artfynd/A 9924-2024 artfynd.xlsx", "A 9924-2024")</f>
        <v/>
      </c>
      <c r="T97">
        <f>HYPERLINK("https://klasma.github.io/Logging_2481/kartor/A 9924-2024 karta.png", "A 9924-2024")</f>
        <v/>
      </c>
      <c r="V97">
        <f>HYPERLINK("https://klasma.github.io/Logging_2481/klagomål/A 9924-2024 FSC-klagomål.docx", "A 9924-2024")</f>
        <v/>
      </c>
      <c r="W97">
        <f>HYPERLINK("https://klasma.github.io/Logging_2481/klagomålsmail/A 9924-2024 FSC-klagomål mail.docx", "A 9924-2024")</f>
        <v/>
      </c>
      <c r="X97">
        <f>HYPERLINK("https://klasma.github.io/Logging_2481/tillsyn/A 9924-2024 tillsynsbegäran.docx", "A 9924-2024")</f>
        <v/>
      </c>
      <c r="Y97">
        <f>HYPERLINK("https://klasma.github.io/Logging_2481/tillsynsmail/A 9924-2024 tillsynsbegäran mail.docx", "A 9924-2024")</f>
        <v/>
      </c>
    </row>
    <row r="98" ht="15" customHeight="1">
      <c r="A98" t="inlineStr">
        <is>
          <t>A 52285-2025</t>
        </is>
      </c>
      <c r="B98" s="1" t="n">
        <v>45953.57572916667</v>
      </c>
      <c r="C98" s="1" t="n">
        <v>46043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52285-2025 artfynd.xlsx", "A 52285-2025")</f>
        <v/>
      </c>
      <c r="T98">
        <f>HYPERLINK("https://klasma.github.io/Logging_2481/kartor/A 52285-2025 karta.png", "A 52285-2025")</f>
        <v/>
      </c>
      <c r="V98">
        <f>HYPERLINK("https://klasma.github.io/Logging_2481/klagomål/A 52285-2025 FSC-klagomål.docx", "A 52285-2025")</f>
        <v/>
      </c>
      <c r="W98">
        <f>HYPERLINK("https://klasma.github.io/Logging_2481/klagomålsmail/A 52285-2025 FSC-klagomål mail.docx", "A 52285-2025")</f>
        <v/>
      </c>
      <c r="X98">
        <f>HYPERLINK("https://klasma.github.io/Logging_2481/tillsyn/A 52285-2025 tillsynsbegäran.docx", "A 52285-2025")</f>
        <v/>
      </c>
      <c r="Y98">
        <f>HYPERLINK("https://klasma.github.io/Logging_2481/tillsynsmail/A 52285-2025 tillsynsbegäran mail.docx", "A 52285-2025")</f>
        <v/>
      </c>
    </row>
    <row r="99" ht="15" customHeight="1">
      <c r="A99" t="inlineStr">
        <is>
          <t>A 52234-2024</t>
        </is>
      </c>
      <c r="B99" s="1" t="n">
        <v>45608.6122337963</v>
      </c>
      <c r="C99" s="1" t="n">
        <v>46043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Lavskrika</t>
        </is>
      </c>
      <c r="S99">
        <f>HYPERLINK("https://klasma.github.io/Logging_2481/artfynd/A 52234-2024 artfynd.xlsx", "A 52234-2024")</f>
        <v/>
      </c>
      <c r="T99">
        <f>HYPERLINK("https://klasma.github.io/Logging_2481/kartor/A 52234-2024 karta.png", "A 52234-2024")</f>
        <v/>
      </c>
      <c r="V99">
        <f>HYPERLINK("https://klasma.github.io/Logging_2481/klagomål/A 52234-2024 FSC-klagomål.docx", "A 52234-2024")</f>
        <v/>
      </c>
      <c r="W99">
        <f>HYPERLINK("https://klasma.github.io/Logging_2481/klagomålsmail/A 52234-2024 FSC-klagomål mail.docx", "A 52234-2024")</f>
        <v/>
      </c>
      <c r="X99">
        <f>HYPERLINK("https://klasma.github.io/Logging_2481/tillsyn/A 52234-2024 tillsynsbegäran.docx", "A 52234-2024")</f>
        <v/>
      </c>
      <c r="Y99">
        <f>HYPERLINK("https://klasma.github.io/Logging_2481/tillsynsmail/A 52234-2024 tillsynsbegäran mail.docx", "A 52234-2024")</f>
        <v/>
      </c>
      <c r="Z99">
        <f>HYPERLINK("https://klasma.github.io/Logging_2481/fåglar/A 52234-2024 prioriterade fågelarter.docx", "A 52234-2024")</f>
        <v/>
      </c>
    </row>
    <row r="100" ht="15" customHeight="1">
      <c r="A100" t="inlineStr">
        <is>
          <t>A 53650-2025</t>
        </is>
      </c>
      <c r="B100" s="1" t="n">
        <v>45960.5271875</v>
      </c>
      <c r="C100" s="1" t="n">
        <v>46043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19.1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Tretåig hackspett
Luddlav</t>
        </is>
      </c>
      <c r="S100">
        <f>HYPERLINK("https://klasma.github.io/Logging_2481/artfynd/A 53650-2025 artfynd.xlsx", "A 53650-2025")</f>
        <v/>
      </c>
      <c r="T100">
        <f>HYPERLINK("https://klasma.github.io/Logging_2481/kartor/A 53650-2025 karta.png", "A 53650-2025")</f>
        <v/>
      </c>
      <c r="V100">
        <f>HYPERLINK("https://klasma.github.io/Logging_2481/klagomål/A 53650-2025 FSC-klagomål.docx", "A 53650-2025")</f>
        <v/>
      </c>
      <c r="W100">
        <f>HYPERLINK("https://klasma.github.io/Logging_2481/klagomålsmail/A 53650-2025 FSC-klagomål mail.docx", "A 53650-2025")</f>
        <v/>
      </c>
      <c r="X100">
        <f>HYPERLINK("https://klasma.github.io/Logging_2481/tillsyn/A 53650-2025 tillsynsbegäran.docx", "A 53650-2025")</f>
        <v/>
      </c>
      <c r="Y100">
        <f>HYPERLINK("https://klasma.github.io/Logging_2481/tillsynsmail/A 53650-2025 tillsynsbegäran mail.docx", "A 53650-2025")</f>
        <v/>
      </c>
      <c r="Z100">
        <f>HYPERLINK("https://klasma.github.io/Logging_2481/fåglar/A 53650-2025 prioriterade fågelarter.docx", "A 53650-2025")</f>
        <v/>
      </c>
    </row>
    <row r="101" ht="15" customHeight="1">
      <c r="A101" t="inlineStr">
        <is>
          <t>A 54277-2025</t>
        </is>
      </c>
      <c r="B101" s="1" t="n">
        <v>45964.69563657408</v>
      </c>
      <c r="C101" s="1" t="n">
        <v>46043</v>
      </c>
      <c r="D101" t="inlineStr">
        <is>
          <t>VÄSTERBOTTENS LÄN</t>
        </is>
      </c>
      <c r="E101" t="inlineStr">
        <is>
          <t>LYCKSELE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HYPERLINK("https://klasma.github.io/Logging_2481/artfynd/A 54277-2025 artfynd.xlsx", "A 54277-2025")</f>
        <v/>
      </c>
      <c r="T101">
        <f>HYPERLINK("https://klasma.github.io/Logging_2481/kartor/A 54277-2025 karta.png", "A 54277-2025")</f>
        <v/>
      </c>
      <c r="V101">
        <f>HYPERLINK("https://klasma.github.io/Logging_2481/klagomål/A 54277-2025 FSC-klagomål.docx", "A 54277-2025")</f>
        <v/>
      </c>
      <c r="W101">
        <f>HYPERLINK("https://klasma.github.io/Logging_2481/klagomålsmail/A 54277-2025 FSC-klagomål mail.docx", "A 54277-2025")</f>
        <v/>
      </c>
      <c r="X101">
        <f>HYPERLINK("https://klasma.github.io/Logging_2481/tillsyn/A 54277-2025 tillsynsbegäran.docx", "A 54277-2025")</f>
        <v/>
      </c>
      <c r="Y101">
        <f>HYPERLINK("https://klasma.github.io/Logging_2481/tillsynsmail/A 54277-2025 tillsynsbegäran mail.docx", "A 54277-2025")</f>
        <v/>
      </c>
    </row>
    <row r="102" ht="15" customHeight="1">
      <c r="A102" t="inlineStr">
        <is>
          <t>A 30691-2025</t>
        </is>
      </c>
      <c r="B102" s="1" t="n">
        <v>45831.54038194445</v>
      </c>
      <c r="C102" s="1" t="n">
        <v>46043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kolflarnlav
Tretåig hackspett</t>
        </is>
      </c>
      <c r="S102">
        <f>HYPERLINK("https://klasma.github.io/Logging_2481/artfynd/A 30691-2025 artfynd.xlsx", "A 30691-2025")</f>
        <v/>
      </c>
      <c r="T102">
        <f>HYPERLINK("https://klasma.github.io/Logging_2481/kartor/A 30691-2025 karta.png", "A 30691-2025")</f>
        <v/>
      </c>
      <c r="V102">
        <f>HYPERLINK("https://klasma.github.io/Logging_2481/klagomål/A 30691-2025 FSC-klagomål.docx", "A 30691-2025")</f>
        <v/>
      </c>
      <c r="W102">
        <f>HYPERLINK("https://klasma.github.io/Logging_2481/klagomålsmail/A 30691-2025 FSC-klagomål mail.docx", "A 30691-2025")</f>
        <v/>
      </c>
      <c r="X102">
        <f>HYPERLINK("https://klasma.github.io/Logging_2481/tillsyn/A 30691-2025 tillsynsbegäran.docx", "A 30691-2025")</f>
        <v/>
      </c>
      <c r="Y102">
        <f>HYPERLINK("https://klasma.github.io/Logging_2481/tillsynsmail/A 30691-2025 tillsynsbegäran mail.docx", "A 30691-2025")</f>
        <v/>
      </c>
      <c r="Z102">
        <f>HYPERLINK("https://klasma.github.io/Logging_2481/fåglar/A 30691-2025 prioriterade fågelarter.docx", "A 30691-2025")</f>
        <v/>
      </c>
    </row>
    <row r="103" ht="15" customHeight="1">
      <c r="A103" t="inlineStr">
        <is>
          <t>A 30515-2025</t>
        </is>
      </c>
      <c r="B103" s="1" t="n">
        <v>45831.33053240741</v>
      </c>
      <c r="C103" s="1" t="n">
        <v>46043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HYPERLINK("https://klasma.github.io/Logging_2481/artfynd/A 30515-2025 artfynd.xlsx", "A 30515-2025")</f>
        <v/>
      </c>
      <c r="T103">
        <f>HYPERLINK("https://klasma.github.io/Logging_2481/kartor/A 30515-2025 karta.png", "A 30515-2025")</f>
        <v/>
      </c>
      <c r="V103">
        <f>HYPERLINK("https://klasma.github.io/Logging_2481/klagomål/A 30515-2025 FSC-klagomål.docx", "A 30515-2025")</f>
        <v/>
      </c>
      <c r="W103">
        <f>HYPERLINK("https://klasma.github.io/Logging_2481/klagomålsmail/A 30515-2025 FSC-klagomål mail.docx", "A 30515-2025")</f>
        <v/>
      </c>
      <c r="X103">
        <f>HYPERLINK("https://klasma.github.io/Logging_2481/tillsyn/A 30515-2025 tillsynsbegäran.docx", "A 30515-2025")</f>
        <v/>
      </c>
      <c r="Y103">
        <f>HYPERLINK("https://klasma.github.io/Logging_2481/tillsynsmail/A 30515-2025 tillsynsbegäran mail.docx", "A 30515-2025")</f>
        <v/>
      </c>
    </row>
    <row r="104" ht="15" customHeight="1">
      <c r="A104" t="inlineStr">
        <is>
          <t>A 34032-2025</t>
        </is>
      </c>
      <c r="B104" s="1" t="n">
        <v>45845.36605324074</v>
      </c>
      <c r="C104" s="1" t="n">
        <v>46043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Lunglav</t>
        </is>
      </c>
      <c r="S104">
        <f>HYPERLINK("https://klasma.github.io/Logging_2481/artfynd/A 34032-2025 artfynd.xlsx", "A 34032-2025")</f>
        <v/>
      </c>
      <c r="T104">
        <f>HYPERLINK("https://klasma.github.io/Logging_2481/kartor/A 34032-2025 karta.png", "A 34032-2025")</f>
        <v/>
      </c>
      <c r="V104">
        <f>HYPERLINK("https://klasma.github.io/Logging_2481/klagomål/A 34032-2025 FSC-klagomål.docx", "A 34032-2025")</f>
        <v/>
      </c>
      <c r="W104">
        <f>HYPERLINK("https://klasma.github.io/Logging_2481/klagomålsmail/A 34032-2025 FSC-klagomål mail.docx", "A 34032-2025")</f>
        <v/>
      </c>
      <c r="X104">
        <f>HYPERLINK("https://klasma.github.io/Logging_2481/tillsyn/A 34032-2025 tillsynsbegäran.docx", "A 34032-2025")</f>
        <v/>
      </c>
      <c r="Y104">
        <f>HYPERLINK("https://klasma.github.io/Logging_2481/tillsynsmail/A 34032-2025 tillsynsbegäran mail.docx", "A 34032-2025")</f>
        <v/>
      </c>
    </row>
    <row r="105" ht="15" customHeight="1">
      <c r="A105" t="inlineStr">
        <is>
          <t>A 37458-2025</t>
        </is>
      </c>
      <c r="B105" s="1" t="n">
        <v>45877.56935185185</v>
      </c>
      <c r="C105" s="1" t="n">
        <v>46043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Lavskrika</t>
        </is>
      </c>
      <c r="S105">
        <f>HYPERLINK("https://klasma.github.io/Logging_2481/artfynd/A 37458-2025 artfynd.xlsx", "A 37458-2025")</f>
        <v/>
      </c>
      <c r="T105">
        <f>HYPERLINK("https://klasma.github.io/Logging_2481/kartor/A 37458-2025 karta.png", "A 37458-2025")</f>
        <v/>
      </c>
      <c r="V105">
        <f>HYPERLINK("https://klasma.github.io/Logging_2481/klagomål/A 37458-2025 FSC-klagomål.docx", "A 37458-2025")</f>
        <v/>
      </c>
      <c r="W105">
        <f>HYPERLINK("https://klasma.github.io/Logging_2481/klagomålsmail/A 37458-2025 FSC-klagomål mail.docx", "A 37458-2025")</f>
        <v/>
      </c>
      <c r="X105">
        <f>HYPERLINK("https://klasma.github.io/Logging_2481/tillsyn/A 37458-2025 tillsynsbegäran.docx", "A 37458-2025")</f>
        <v/>
      </c>
      <c r="Y105">
        <f>HYPERLINK("https://klasma.github.io/Logging_2481/tillsynsmail/A 37458-2025 tillsynsbegäran mail.docx", "A 37458-2025")</f>
        <v/>
      </c>
      <c r="Z105">
        <f>HYPERLINK("https://klasma.github.io/Logging_2481/fåglar/A 37458-2025 prioriterade fågelarter.docx", "A 37458-2025")</f>
        <v/>
      </c>
    </row>
    <row r="106" ht="15" customHeight="1">
      <c r="A106" t="inlineStr">
        <is>
          <t>A 45935-2024</t>
        </is>
      </c>
      <c r="B106" s="1" t="n">
        <v>45580.5121412037</v>
      </c>
      <c r="C106" s="1" t="n">
        <v>46043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16914-2024</t>
        </is>
      </c>
      <c r="B107" s="1" t="n">
        <v>45411</v>
      </c>
      <c r="C107" s="1" t="n">
        <v>46043</v>
      </c>
      <c r="D107" t="inlineStr">
        <is>
          <t>VÄSTERBOTTENS LÄN</t>
        </is>
      </c>
      <c r="E107" t="inlineStr">
        <is>
          <t>LYCKSELE</t>
        </is>
      </c>
      <c r="G107" t="n">
        <v>24.6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Tretåig hackspett
Lavskrika</t>
        </is>
      </c>
      <c r="S107">
        <f>HYPERLINK("https://klasma.github.io/Logging_2481/artfynd/A 16914-2024 artfynd.xlsx", "A 16914-2024")</f>
        <v/>
      </c>
      <c r="T107">
        <f>HYPERLINK("https://klasma.github.io/Logging_2481/kartor/A 16914-2024 karta.png", "A 16914-2024")</f>
        <v/>
      </c>
      <c r="V107">
        <f>HYPERLINK("https://klasma.github.io/Logging_2481/klagomål/A 16914-2024 FSC-klagomål.docx", "A 16914-2024")</f>
        <v/>
      </c>
      <c r="W107">
        <f>HYPERLINK("https://klasma.github.io/Logging_2481/klagomålsmail/A 16914-2024 FSC-klagomål mail.docx", "A 16914-2024")</f>
        <v/>
      </c>
      <c r="X107">
        <f>HYPERLINK("https://klasma.github.io/Logging_2481/tillsyn/A 16914-2024 tillsynsbegäran.docx", "A 16914-2024")</f>
        <v/>
      </c>
      <c r="Y107">
        <f>HYPERLINK("https://klasma.github.io/Logging_2481/tillsynsmail/A 16914-2024 tillsynsbegäran mail.docx", "A 16914-2024")</f>
        <v/>
      </c>
      <c r="Z107">
        <f>HYPERLINK("https://klasma.github.io/Logging_2481/fåglar/A 16914-2024 prioriterade fågelarter.docx", "A 16914-2024")</f>
        <v/>
      </c>
    </row>
    <row r="108" ht="15" customHeight="1">
      <c r="A108" t="inlineStr">
        <is>
          <t>A 7702-2025</t>
        </is>
      </c>
      <c r="B108" s="1" t="n">
        <v>45706.4094212963</v>
      </c>
      <c r="C108" s="1" t="n">
        <v>46043</v>
      </c>
      <c r="D108" t="inlineStr">
        <is>
          <t>VÄSTERBOTTENS LÄN</t>
        </is>
      </c>
      <c r="E108" t="inlineStr">
        <is>
          <t>LYCKSELE</t>
        </is>
      </c>
      <c r="G108" t="n">
        <v>3.5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Kungsfågel</t>
        </is>
      </c>
      <c r="S108">
        <f>HYPERLINK("https://klasma.github.io/Logging_2481/artfynd/A 7702-2025 artfynd.xlsx", "A 7702-2025")</f>
        <v/>
      </c>
      <c r="T108">
        <f>HYPERLINK("https://klasma.github.io/Logging_2481/kartor/A 7702-2025 karta.png", "A 7702-2025")</f>
        <v/>
      </c>
      <c r="V108">
        <f>HYPERLINK("https://klasma.github.io/Logging_2481/klagomål/A 7702-2025 FSC-klagomål.docx", "A 7702-2025")</f>
        <v/>
      </c>
      <c r="W108">
        <f>HYPERLINK("https://klasma.github.io/Logging_2481/klagomålsmail/A 7702-2025 FSC-klagomål mail.docx", "A 7702-2025")</f>
        <v/>
      </c>
      <c r="X108">
        <f>HYPERLINK("https://klasma.github.io/Logging_2481/tillsyn/A 7702-2025 tillsynsbegäran.docx", "A 7702-2025")</f>
        <v/>
      </c>
      <c r="Y108">
        <f>HYPERLINK("https://klasma.github.io/Logging_2481/tillsynsmail/A 7702-2025 tillsynsbegäran mail.docx", "A 7702-2025")</f>
        <v/>
      </c>
      <c r="Z108">
        <f>HYPERLINK("https://klasma.github.io/Logging_2481/fåglar/A 7702-2025 prioriterade fågelarter.docx", "A 7702-2025")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46043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46043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46043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46043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46043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58071-2025</t>
        </is>
      </c>
      <c r="B118" s="1" t="n">
        <v>45982.5507175926</v>
      </c>
      <c r="C118" s="1" t="n">
        <v>46043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Stuplav</t>
        </is>
      </c>
      <c r="S118">
        <f>HYPERLINK("https://klasma.github.io/Logging_2481/artfynd/A 58071-2025 artfynd.xlsx", "A 58071-2025")</f>
        <v/>
      </c>
      <c r="T118">
        <f>HYPERLINK("https://klasma.github.io/Logging_2481/kartor/A 58071-2025 karta.png", "A 58071-2025")</f>
        <v/>
      </c>
      <c r="V118">
        <f>HYPERLINK("https://klasma.github.io/Logging_2481/klagomål/A 58071-2025 FSC-klagomål.docx", "A 58071-2025")</f>
        <v/>
      </c>
      <c r="W118">
        <f>HYPERLINK("https://klasma.github.io/Logging_2481/klagomålsmail/A 58071-2025 FSC-klagomål mail.docx", "A 58071-2025")</f>
        <v/>
      </c>
      <c r="X118">
        <f>HYPERLINK("https://klasma.github.io/Logging_2481/tillsyn/A 58071-2025 tillsynsbegäran.docx", "A 58071-2025")</f>
        <v/>
      </c>
      <c r="Y118">
        <f>HYPERLINK("https://klasma.github.io/Logging_2481/tillsynsmail/A 58071-2025 tillsynsbegäran mail.docx", "A 58071-2025")</f>
        <v/>
      </c>
    </row>
    <row r="119" ht="15" customHeight="1">
      <c r="A119" t="inlineStr">
        <is>
          <t>A 22373-2025</t>
        </is>
      </c>
      <c r="B119" s="1" t="n">
        <v>45786.47950231482</v>
      </c>
      <c r="C119" s="1" t="n">
        <v>46043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22373-2025 artfynd.xlsx", "A 22373-2025")</f>
        <v/>
      </c>
      <c r="T119">
        <f>HYPERLINK("https://klasma.github.io/Logging_2481/kartor/A 22373-2025 karta.png", "A 22373-2025")</f>
        <v/>
      </c>
      <c r="V119">
        <f>HYPERLINK("https://klasma.github.io/Logging_2481/klagomål/A 22373-2025 FSC-klagomål.docx", "A 22373-2025")</f>
        <v/>
      </c>
      <c r="W119">
        <f>HYPERLINK("https://klasma.github.io/Logging_2481/klagomålsmail/A 22373-2025 FSC-klagomål mail.docx", "A 22373-2025")</f>
        <v/>
      </c>
      <c r="X119">
        <f>HYPERLINK("https://klasma.github.io/Logging_2481/tillsyn/A 22373-2025 tillsynsbegäran.docx", "A 22373-2025")</f>
        <v/>
      </c>
      <c r="Y119">
        <f>HYPERLINK("https://klasma.github.io/Logging_2481/tillsynsmail/A 22373-2025 tillsynsbegäran mail.docx", "A 22373-2025")</f>
        <v/>
      </c>
    </row>
    <row r="120" ht="15" customHeight="1">
      <c r="A120" t="inlineStr">
        <is>
          <t>A 58390-2025</t>
        </is>
      </c>
      <c r="B120" s="1" t="n">
        <v>45985.54884259259</v>
      </c>
      <c r="C120" s="1" t="n">
        <v>46043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58390-2025 artfynd.xlsx", "A 58390-2025")</f>
        <v/>
      </c>
      <c r="T120">
        <f>HYPERLINK("https://klasma.github.io/Logging_2481/kartor/A 58390-2025 karta.png", "A 58390-2025")</f>
        <v/>
      </c>
      <c r="V120">
        <f>HYPERLINK("https://klasma.github.io/Logging_2481/klagomål/A 58390-2025 FSC-klagomål.docx", "A 58390-2025")</f>
        <v/>
      </c>
      <c r="W120">
        <f>HYPERLINK("https://klasma.github.io/Logging_2481/klagomålsmail/A 58390-2025 FSC-klagomål mail.docx", "A 58390-2025")</f>
        <v/>
      </c>
      <c r="X120">
        <f>HYPERLINK("https://klasma.github.io/Logging_2481/tillsyn/A 58390-2025 tillsynsbegäran.docx", "A 58390-2025")</f>
        <v/>
      </c>
      <c r="Y120">
        <f>HYPERLINK("https://klasma.github.io/Logging_2481/tillsynsmail/A 58390-2025 tillsynsbegäran mail.docx", "A 58390-2025")</f>
        <v/>
      </c>
    </row>
    <row r="121" ht="15" customHeight="1">
      <c r="A121" t="inlineStr">
        <is>
          <t>A 23314-2025</t>
        </is>
      </c>
      <c r="B121" s="1" t="n">
        <v>45791.61121527778</v>
      </c>
      <c r="C121" s="1" t="n">
        <v>46043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Orange taggsvamp</t>
        </is>
      </c>
      <c r="S121">
        <f>HYPERLINK("https://klasma.github.io/Logging_2481/artfynd/A 23314-2025 artfynd.xlsx", "A 23314-2025")</f>
        <v/>
      </c>
      <c r="T121">
        <f>HYPERLINK("https://klasma.github.io/Logging_2481/kartor/A 23314-2025 karta.png", "A 23314-2025")</f>
        <v/>
      </c>
      <c r="V121">
        <f>HYPERLINK("https://klasma.github.io/Logging_2481/klagomål/A 23314-2025 FSC-klagomål.docx", "A 23314-2025")</f>
        <v/>
      </c>
      <c r="W121">
        <f>HYPERLINK("https://klasma.github.io/Logging_2481/klagomålsmail/A 23314-2025 FSC-klagomål mail.docx", "A 23314-2025")</f>
        <v/>
      </c>
      <c r="X121">
        <f>HYPERLINK("https://klasma.github.io/Logging_2481/tillsyn/A 23314-2025 tillsynsbegäran.docx", "A 23314-2025")</f>
        <v/>
      </c>
      <c r="Y121">
        <f>HYPERLINK("https://klasma.github.io/Logging_2481/tillsynsmail/A 23314-2025 tillsynsbegäran mail.docx", "A 23314-2025")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46043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46043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35931-2024</t>
        </is>
      </c>
      <c r="B124" s="1" t="n">
        <v>45533.4471875</v>
      </c>
      <c r="C124" s="1" t="n">
        <v>46043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35931-2024 artfynd.xlsx", "A 35931-2024")</f>
        <v/>
      </c>
      <c r="T124">
        <f>HYPERLINK("https://klasma.github.io/Logging_2481/kartor/A 35931-2024 karta.png", "A 35931-2024")</f>
        <v/>
      </c>
      <c r="V124">
        <f>HYPERLINK("https://klasma.github.io/Logging_2481/klagomål/A 35931-2024 FSC-klagomål.docx", "A 35931-2024")</f>
        <v/>
      </c>
      <c r="W124">
        <f>HYPERLINK("https://klasma.github.io/Logging_2481/klagomålsmail/A 35931-2024 FSC-klagomål mail.docx", "A 35931-2024")</f>
        <v/>
      </c>
      <c r="X124">
        <f>HYPERLINK("https://klasma.github.io/Logging_2481/tillsyn/A 35931-2024 tillsynsbegäran.docx", "A 35931-2024")</f>
        <v/>
      </c>
      <c r="Y124">
        <f>HYPERLINK("https://klasma.github.io/Logging_2481/tillsynsmail/A 35931-2024 tillsynsbegäran mail.docx", "A 35931-2024")</f>
        <v/>
      </c>
    </row>
    <row r="125" ht="15" customHeight="1">
      <c r="A125" t="inlineStr">
        <is>
          <t>A 1339-2026</t>
        </is>
      </c>
      <c r="B125" s="1" t="n">
        <v>46031.57552083334</v>
      </c>
      <c r="C125" s="1" t="n">
        <v>46043</v>
      </c>
      <c r="D125" t="inlineStr">
        <is>
          <t>VÄSTERBOTTENS LÄN</t>
        </is>
      </c>
      <c r="E125" t="inlineStr">
        <is>
          <t>LYCKSELE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Norna</t>
        </is>
      </c>
      <c r="S125">
        <f>HYPERLINK("https://klasma.github.io/Logging_2481/artfynd/A 1339-2026 artfynd.xlsx", "A 1339-2026")</f>
        <v/>
      </c>
      <c r="T125">
        <f>HYPERLINK("https://klasma.github.io/Logging_2481/kartor/A 1339-2026 karta.png", "A 1339-2026")</f>
        <v/>
      </c>
      <c r="V125">
        <f>HYPERLINK("https://klasma.github.io/Logging_2481/klagomål/A 1339-2026 FSC-klagomål.docx", "A 1339-2026")</f>
        <v/>
      </c>
      <c r="W125">
        <f>HYPERLINK("https://klasma.github.io/Logging_2481/klagomålsmail/A 1339-2026 FSC-klagomål mail.docx", "A 1339-2026")</f>
        <v/>
      </c>
      <c r="X125">
        <f>HYPERLINK("https://klasma.github.io/Logging_2481/tillsyn/A 1339-2026 tillsynsbegäran.docx", "A 1339-2026")</f>
        <v/>
      </c>
      <c r="Y125">
        <f>HYPERLINK("https://klasma.github.io/Logging_2481/tillsynsmail/A 1339-2026 tillsynsbegäran mail.docx", "A 1339-2026")</f>
        <v/>
      </c>
    </row>
    <row r="126" ht="15" customHeight="1">
      <c r="A126" t="inlineStr">
        <is>
          <t>A 59883-2025</t>
        </is>
      </c>
      <c r="B126" s="1" t="n">
        <v>45993.3181712963</v>
      </c>
      <c r="C126" s="1" t="n">
        <v>46043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59883-2025 artfynd.xlsx", "A 59883-2025")</f>
        <v/>
      </c>
      <c r="T126">
        <f>HYPERLINK("https://klasma.github.io/Logging_2481/kartor/A 59883-2025 karta.png", "A 59883-2025")</f>
        <v/>
      </c>
      <c r="V126">
        <f>HYPERLINK("https://klasma.github.io/Logging_2481/klagomål/A 59883-2025 FSC-klagomål.docx", "A 59883-2025")</f>
        <v/>
      </c>
      <c r="W126">
        <f>HYPERLINK("https://klasma.github.io/Logging_2481/klagomålsmail/A 59883-2025 FSC-klagomål mail.docx", "A 59883-2025")</f>
        <v/>
      </c>
      <c r="X126">
        <f>HYPERLINK("https://klasma.github.io/Logging_2481/tillsyn/A 59883-2025 tillsynsbegäran.docx", "A 59883-2025")</f>
        <v/>
      </c>
      <c r="Y126">
        <f>HYPERLINK("https://klasma.github.io/Logging_2481/tillsynsmail/A 59883-2025 tillsynsbegäran mail.docx", "A 59883-2025")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46043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44331-2025</t>
        </is>
      </c>
      <c r="B128" s="1" t="n">
        <v>45916.42150462963</v>
      </c>
      <c r="C128" s="1" t="n">
        <v>46043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2499-2026</t>
        </is>
      </c>
      <c r="B129" s="1" t="n">
        <v>46037.40584490741</v>
      </c>
      <c r="C129" s="1" t="n">
        <v>46043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19.3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HYPERLINK("https://klasma.github.io/Logging_2481/artfynd/A 2499-2026 artfynd.xlsx", "A 2499-2026")</f>
        <v/>
      </c>
      <c r="T129">
        <f>HYPERLINK("https://klasma.github.io/Logging_2481/kartor/A 2499-2026 karta.png", "A 2499-2026")</f>
        <v/>
      </c>
      <c r="V129">
        <f>HYPERLINK("https://klasma.github.io/Logging_2481/klagomål/A 2499-2026 FSC-klagomål.docx", "A 2499-2026")</f>
        <v/>
      </c>
      <c r="W129">
        <f>HYPERLINK("https://klasma.github.io/Logging_2481/klagomålsmail/A 2499-2026 FSC-klagomål mail.docx", "A 2499-2026")</f>
        <v/>
      </c>
      <c r="X129">
        <f>HYPERLINK("https://klasma.github.io/Logging_2481/tillsyn/A 2499-2026 tillsynsbegäran.docx", "A 2499-2026")</f>
        <v/>
      </c>
      <c r="Y129">
        <f>HYPERLINK("https://klasma.github.io/Logging_2481/tillsynsmail/A 2499-2026 tillsynsbegäran mail.docx", "A 2499-2026")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46043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46043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61910-2024</t>
        </is>
      </c>
      <c r="B132" s="1" t="n">
        <v>45653.36229166666</v>
      </c>
      <c r="C132" s="1" t="n">
        <v>46043</v>
      </c>
      <c r="D132" t="inlineStr">
        <is>
          <t>VÄSTERBOTTENS LÄN</t>
        </is>
      </c>
      <c r="E132" t="inlineStr">
        <is>
          <t>LYCKSELE</t>
        </is>
      </c>
      <c r="G132" t="n">
        <v>5.8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Norna</t>
        </is>
      </c>
      <c r="S132">
        <f>HYPERLINK("https://klasma.github.io/Logging_2481/artfynd/A 61910-2024 artfynd.xlsx", "A 61910-2024")</f>
        <v/>
      </c>
      <c r="T132">
        <f>HYPERLINK("https://klasma.github.io/Logging_2481/kartor/A 61910-2024 karta.png", "A 61910-2024")</f>
        <v/>
      </c>
      <c r="V132">
        <f>HYPERLINK("https://klasma.github.io/Logging_2481/klagomål/A 61910-2024 FSC-klagomål.docx", "A 61910-2024")</f>
        <v/>
      </c>
      <c r="W132">
        <f>HYPERLINK("https://klasma.github.io/Logging_2481/klagomålsmail/A 61910-2024 FSC-klagomål mail.docx", "A 61910-2024")</f>
        <v/>
      </c>
      <c r="X132">
        <f>HYPERLINK("https://klasma.github.io/Logging_2481/tillsyn/A 61910-2024 tillsynsbegäran.docx", "A 61910-2024")</f>
        <v/>
      </c>
      <c r="Y132">
        <f>HYPERLINK("https://klasma.github.io/Logging_2481/tillsynsmail/A 61910-2024 tillsynsbegäran mail.docx", "A 61910-2024")</f>
        <v/>
      </c>
    </row>
    <row r="133" ht="15" customHeight="1">
      <c r="A133" t="inlineStr">
        <is>
          <t>A 49394-2024</t>
        </is>
      </c>
      <c r="B133" s="1" t="n">
        <v>45595</v>
      </c>
      <c r="C133" s="1" t="n">
        <v>46043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49394-2024 artfynd.xlsx", "A 49394-2024")</f>
        <v/>
      </c>
      <c r="T133">
        <f>HYPERLINK("https://klasma.github.io/Logging_2481/kartor/A 49394-2024 karta.png", "A 49394-2024")</f>
        <v/>
      </c>
      <c r="V133">
        <f>HYPERLINK("https://klasma.github.io/Logging_2481/klagomål/A 49394-2024 FSC-klagomål.docx", "A 49394-2024")</f>
        <v/>
      </c>
      <c r="W133">
        <f>HYPERLINK("https://klasma.github.io/Logging_2481/klagomålsmail/A 49394-2024 FSC-klagomål mail.docx", "A 49394-2024")</f>
        <v/>
      </c>
      <c r="X133">
        <f>HYPERLINK("https://klasma.github.io/Logging_2481/tillsyn/A 49394-2024 tillsynsbegäran.docx", "A 49394-2024")</f>
        <v/>
      </c>
      <c r="Y133">
        <f>HYPERLINK("https://klasma.github.io/Logging_2481/tillsynsmail/A 49394-2024 tillsynsbegäran mail.docx", "A 49394-2024")</f>
        <v/>
      </c>
    </row>
    <row r="134" ht="15" customHeight="1">
      <c r="A134" t="inlineStr">
        <is>
          <t>A 37669-2024</t>
        </is>
      </c>
      <c r="B134" s="1" t="n">
        <v>45541.57616898148</v>
      </c>
      <c r="C134" s="1" t="n">
        <v>46043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37669-2024 artfynd.xlsx", "A 37669-2024")</f>
        <v/>
      </c>
      <c r="T134">
        <f>HYPERLINK("https://klasma.github.io/Logging_2481/kartor/A 37669-2024 karta.png", "A 37669-2024")</f>
        <v/>
      </c>
      <c r="V134">
        <f>HYPERLINK("https://klasma.github.io/Logging_2481/klagomål/A 37669-2024 FSC-klagomål.docx", "A 37669-2024")</f>
        <v/>
      </c>
      <c r="W134">
        <f>HYPERLINK("https://klasma.github.io/Logging_2481/klagomålsmail/A 37669-2024 FSC-klagomål mail.docx", "A 37669-2024")</f>
        <v/>
      </c>
      <c r="X134">
        <f>HYPERLINK("https://klasma.github.io/Logging_2481/tillsyn/A 37669-2024 tillsynsbegäran.docx", "A 37669-2024")</f>
        <v/>
      </c>
      <c r="Y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49125-2024</t>
        </is>
      </c>
      <c r="B135" s="1" t="n">
        <v>45594</v>
      </c>
      <c r="C135" s="1" t="n">
        <v>46043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HYPERLINK("https://klasma.github.io/Logging_2481/artfynd/A 49125-2024 artfynd.xlsx", "A 49125-2024")</f>
        <v/>
      </c>
      <c r="T135">
        <f>HYPERLINK("https://klasma.github.io/Logging_2481/kartor/A 49125-2024 karta.png", "A 49125-2024")</f>
        <v/>
      </c>
      <c r="U135">
        <f>HYPERLINK("https://klasma.github.io/Logging_2481/knärot/A 49125-2024 karta knärot.png", "A 49125-2024")</f>
        <v/>
      </c>
      <c r="V135">
        <f>HYPERLINK("https://klasma.github.io/Logging_2481/klagomål/A 49125-2024 FSC-klagomål.docx", "A 49125-2024")</f>
        <v/>
      </c>
      <c r="W135">
        <f>HYPERLINK("https://klasma.github.io/Logging_2481/klagomålsmail/A 49125-2024 FSC-klagomål mail.docx", "A 49125-2024")</f>
        <v/>
      </c>
      <c r="X135">
        <f>HYPERLINK("https://klasma.github.io/Logging_2481/tillsyn/A 49125-2024 tillsynsbegäran.docx", "A 49125-2024")</f>
        <v/>
      </c>
      <c r="Y135">
        <f>HYPERLINK("https://klasma.github.io/Logging_2481/tillsynsmail/A 49125-2024 tillsynsbegäran mail.docx", "A 49125-2024")</f>
        <v/>
      </c>
    </row>
    <row r="136" ht="15" customHeight="1">
      <c r="A136" t="inlineStr">
        <is>
          <t>A 47454-2025</t>
        </is>
      </c>
      <c r="B136" s="1" t="n">
        <v>45930.65238425926</v>
      </c>
      <c r="C136" s="1" t="n">
        <v>46043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HYPERLINK("https://klasma.github.io/Logging_2481/artfynd/A 47454-2025 artfynd.xlsx", "A 47454-2025")</f>
        <v/>
      </c>
      <c r="T136">
        <f>HYPERLINK("https://klasma.github.io/Logging_2481/kartor/A 47454-2025 karta.png", "A 47454-2025")</f>
        <v/>
      </c>
      <c r="V136">
        <f>HYPERLINK("https://klasma.github.io/Logging_2481/klagomål/A 47454-2025 FSC-klagomål.docx", "A 47454-2025")</f>
        <v/>
      </c>
      <c r="W136">
        <f>HYPERLINK("https://klasma.github.io/Logging_2481/klagomålsmail/A 47454-2025 FSC-klagomål mail.docx", "A 47454-2025")</f>
        <v/>
      </c>
      <c r="X136">
        <f>HYPERLINK("https://klasma.github.io/Logging_2481/tillsyn/A 47454-2025 tillsynsbegäran.docx", "A 47454-2025")</f>
        <v/>
      </c>
      <c r="Y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57618-2022</t>
        </is>
      </c>
      <c r="B137" s="1" t="n">
        <v>44897</v>
      </c>
      <c r="C137" s="1" t="n">
        <v>46043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HYPERLINK("https://klasma.github.io/Logging_2481/artfynd/A 57618-2022 artfynd.xlsx", "A 57618-2022")</f>
        <v/>
      </c>
      <c r="T137">
        <f>HYPERLINK("https://klasma.github.io/Logging_2481/kartor/A 57618-2022 karta.png", "A 57618-2022")</f>
        <v/>
      </c>
      <c r="V137">
        <f>HYPERLINK("https://klasma.github.io/Logging_2481/klagomål/A 57618-2022 FSC-klagomål.docx", "A 57618-2022")</f>
        <v/>
      </c>
      <c r="W137">
        <f>HYPERLINK("https://klasma.github.io/Logging_2481/klagomålsmail/A 57618-2022 FSC-klagomål mail.docx", "A 57618-2022")</f>
        <v/>
      </c>
      <c r="X137">
        <f>HYPERLINK("https://klasma.github.io/Logging_2481/tillsyn/A 57618-2022 tillsynsbegäran.docx", "A 57618-2022")</f>
        <v/>
      </c>
      <c r="Y137">
        <f>HYPERLINK("https://klasma.github.io/Logging_2481/tillsynsmail/A 57618-2022 tillsynsbegäran mail.docx", "A 57618-2022")</f>
        <v/>
      </c>
    </row>
    <row r="138" ht="15" customHeight="1">
      <c r="A138" t="inlineStr">
        <is>
          <t>A 49786-2025</t>
        </is>
      </c>
      <c r="B138" s="1" t="n">
        <v>45940.40097222223</v>
      </c>
      <c r="C138" s="1" t="n">
        <v>46043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49786-2025 artfynd.xlsx", "A 49786-2025")</f>
        <v/>
      </c>
      <c r="T138">
        <f>HYPERLINK("https://klasma.github.io/Logging_2481/kartor/A 49786-2025 karta.png", "A 49786-2025")</f>
        <v/>
      </c>
      <c r="V138">
        <f>HYPERLINK("https://klasma.github.io/Logging_2481/klagomål/A 49786-2025 FSC-klagomål.docx", "A 49786-2025")</f>
        <v/>
      </c>
      <c r="W138">
        <f>HYPERLINK("https://klasma.github.io/Logging_2481/klagomålsmail/A 49786-2025 FSC-klagomål mail.docx", "A 49786-2025")</f>
        <v/>
      </c>
      <c r="X138">
        <f>HYPERLINK("https://klasma.github.io/Logging_2481/tillsyn/A 49786-2025 tillsynsbegäran.docx", "A 49786-2025")</f>
        <v/>
      </c>
      <c r="Y138">
        <f>HYPERLINK("https://klasma.github.io/Logging_2481/tillsynsmail/A 49786-2025 tillsynsbegäran mail.docx", "A 49786-2025")</f>
        <v/>
      </c>
    </row>
    <row r="139" ht="15" customHeight="1">
      <c r="A139" t="inlineStr">
        <is>
          <t>A 50463-2025</t>
        </is>
      </c>
      <c r="B139" s="1" t="n">
        <v>45945.34695601852</v>
      </c>
      <c r="C139" s="1" t="n">
        <v>46043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53108-2025</t>
        </is>
      </c>
      <c r="B140" s="1" t="n">
        <v>45958.43690972222</v>
      </c>
      <c r="C140" s="1" t="n">
        <v>46043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HYPERLINK("https://klasma.github.io/Logging_2481/artfynd/A 53108-2025 artfynd.xlsx", "A 53108-2025")</f>
        <v/>
      </c>
      <c r="T140">
        <f>HYPERLINK("https://klasma.github.io/Logging_2481/kartor/A 53108-2025 karta.png", "A 53108-2025")</f>
        <v/>
      </c>
      <c r="V140">
        <f>HYPERLINK("https://klasma.github.io/Logging_2481/klagomål/A 53108-2025 FSC-klagomål.docx", "A 53108-2025")</f>
        <v/>
      </c>
      <c r="W140">
        <f>HYPERLINK("https://klasma.github.io/Logging_2481/klagomålsmail/A 53108-2025 FSC-klagomål mail.docx", "A 53108-2025")</f>
        <v/>
      </c>
      <c r="X140">
        <f>HYPERLINK("https://klasma.github.io/Logging_2481/tillsyn/A 53108-2025 tillsynsbegäran.docx", "A 53108-2025")</f>
        <v/>
      </c>
      <c r="Y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53110-2025</t>
        </is>
      </c>
      <c r="B141" s="1" t="n">
        <v>45958.44224537037</v>
      </c>
      <c r="C141" s="1" t="n">
        <v>46043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16.2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53110-2025 artfynd.xlsx", "A 53110-2025")</f>
        <v/>
      </c>
      <c r="T141">
        <f>HYPERLINK("https://klasma.github.io/Logging_2481/kartor/A 53110-2025 karta.png", "A 53110-2025")</f>
        <v/>
      </c>
      <c r="V141">
        <f>HYPERLINK("https://klasma.github.io/Logging_2481/klagomål/A 53110-2025 FSC-klagomål.docx", "A 53110-2025")</f>
        <v/>
      </c>
      <c r="W141">
        <f>HYPERLINK("https://klasma.github.io/Logging_2481/klagomålsmail/A 53110-2025 FSC-klagomål mail.docx", "A 53110-2025")</f>
        <v/>
      </c>
      <c r="X141">
        <f>HYPERLINK("https://klasma.github.io/Logging_2481/tillsyn/A 53110-2025 tillsynsbegäran.docx", "A 53110-2025")</f>
        <v/>
      </c>
      <c r="Y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53119-2025</t>
        </is>
      </c>
      <c r="B142" s="1" t="n">
        <v>45958.44869212963</v>
      </c>
      <c r="C142" s="1" t="n">
        <v>46043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53119-2025 artfynd.xlsx", "A 53119-2025")</f>
        <v/>
      </c>
      <c r="T142">
        <f>HYPERLINK("https://klasma.github.io/Logging_2481/kartor/A 53119-2025 karta.png", "A 53119-2025")</f>
        <v/>
      </c>
      <c r="V142">
        <f>HYPERLINK("https://klasma.github.io/Logging_2481/klagomål/A 53119-2025 FSC-klagomål.docx", "A 53119-2025")</f>
        <v/>
      </c>
      <c r="W142">
        <f>HYPERLINK("https://klasma.github.io/Logging_2481/klagomålsmail/A 53119-2025 FSC-klagomål mail.docx", "A 53119-2025")</f>
        <v/>
      </c>
      <c r="X142">
        <f>HYPERLINK("https://klasma.github.io/Logging_2481/tillsyn/A 53119-2025 tillsynsbegäran.docx", "A 53119-2025")</f>
        <v/>
      </c>
      <c r="Y142">
        <f>HYPERLINK("https://klasma.github.io/Logging_2481/tillsynsmail/A 53119-2025 tillsynsbegäran mail.docx", "A 53119-2025")</f>
        <v/>
      </c>
    </row>
    <row r="143" ht="15" customHeight="1">
      <c r="A143" t="inlineStr">
        <is>
          <t>A 61854-2025</t>
        </is>
      </c>
      <c r="B143" s="1" t="n">
        <v>46003.38546296296</v>
      </c>
      <c r="C143" s="1" t="n">
        <v>46043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HYPERLINK("https://klasma.github.io/Logging_2481/artfynd/A 61854-2025 artfynd.xlsx", "A 61854-2025")</f>
        <v/>
      </c>
      <c r="T143">
        <f>HYPERLINK("https://klasma.github.io/Logging_2481/kartor/A 61854-2025 karta.png", "A 61854-2025")</f>
        <v/>
      </c>
      <c r="V143">
        <f>HYPERLINK("https://klasma.github.io/Logging_2481/klagomål/A 61854-2025 FSC-klagomål.docx", "A 61854-2025")</f>
        <v/>
      </c>
      <c r="W143">
        <f>HYPERLINK("https://klasma.github.io/Logging_2481/klagomålsmail/A 61854-2025 FSC-klagomål mail.docx", "A 61854-2025")</f>
        <v/>
      </c>
      <c r="X143">
        <f>HYPERLINK("https://klasma.github.io/Logging_2481/tillsyn/A 61854-2025 tillsynsbegäran.docx", "A 61854-2025")</f>
        <v/>
      </c>
      <c r="Y143">
        <f>HYPERLINK("https://klasma.github.io/Logging_2481/tillsynsmail/A 61854-2025 tillsynsbegäran mail.docx", "A 61854-2025")</f>
        <v/>
      </c>
    </row>
    <row r="144" ht="15" customHeight="1">
      <c r="A144" t="inlineStr">
        <is>
          <t>A 5683-2025</t>
        </is>
      </c>
      <c r="B144" s="1" t="n">
        <v>45694.35394675926</v>
      </c>
      <c r="C144" s="1" t="n">
        <v>46043</v>
      </c>
      <c r="D144" t="inlineStr">
        <is>
          <t>VÄSTERBOTTENS LÄN</t>
        </is>
      </c>
      <c r="E144" t="inlineStr">
        <is>
          <t>LYCKSELE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Vitgrynig nållav</t>
        </is>
      </c>
      <c r="S144">
        <f>HYPERLINK("https://klasma.github.io/Logging_2481/artfynd/A 5683-2025 artfynd.xlsx", "A 5683-2025")</f>
        <v/>
      </c>
      <c r="T144">
        <f>HYPERLINK("https://klasma.github.io/Logging_2481/kartor/A 5683-2025 karta.png", "A 5683-2025")</f>
        <v/>
      </c>
      <c r="V144">
        <f>HYPERLINK("https://klasma.github.io/Logging_2481/klagomål/A 5683-2025 FSC-klagomål.docx", "A 5683-2025")</f>
        <v/>
      </c>
      <c r="W144">
        <f>HYPERLINK("https://klasma.github.io/Logging_2481/klagomålsmail/A 5683-2025 FSC-klagomål mail.docx", "A 5683-2025")</f>
        <v/>
      </c>
      <c r="X144">
        <f>HYPERLINK("https://klasma.github.io/Logging_2481/tillsyn/A 5683-2025 tillsynsbegäran.docx", "A 5683-2025")</f>
        <v/>
      </c>
      <c r="Y144">
        <f>HYPERLINK("https://klasma.github.io/Logging_2481/tillsynsmail/A 5683-2025 tillsynsbegäran mail.docx", "A 5683-2025")</f>
        <v/>
      </c>
    </row>
    <row r="145" ht="15" customHeight="1">
      <c r="A145" t="inlineStr">
        <is>
          <t>A 28307-2025</t>
        </is>
      </c>
      <c r="B145" s="1" t="n">
        <v>45818.61664351852</v>
      </c>
      <c r="C145" s="1" t="n">
        <v>46043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28307-2025 artfynd.xlsx", "A 28307-2025")</f>
        <v/>
      </c>
      <c r="T145">
        <f>HYPERLINK("https://klasma.github.io/Logging_2481/kartor/A 28307-2025 karta.png", "A 28307-2025")</f>
        <v/>
      </c>
      <c r="V145">
        <f>HYPERLINK("https://klasma.github.io/Logging_2481/klagomål/A 28307-2025 FSC-klagomål.docx", "A 28307-2025")</f>
        <v/>
      </c>
      <c r="W145">
        <f>HYPERLINK("https://klasma.github.io/Logging_2481/klagomålsmail/A 28307-2025 FSC-klagomål mail.docx", "A 28307-2025")</f>
        <v/>
      </c>
      <c r="X145">
        <f>HYPERLINK("https://klasma.github.io/Logging_2481/tillsyn/A 28307-2025 tillsynsbegäran.docx", "A 28307-2025")</f>
        <v/>
      </c>
      <c r="Y145">
        <f>HYPERLINK("https://klasma.github.io/Logging_2481/tillsynsmail/A 28307-2025 tillsynsbegäran mail.docx", "A 28307-2025")</f>
        <v/>
      </c>
    </row>
    <row r="146" ht="15" customHeight="1">
      <c r="A146" t="inlineStr">
        <is>
          <t>A 28829-2025</t>
        </is>
      </c>
      <c r="B146" s="1" t="n">
        <v>45820.55273148148</v>
      </c>
      <c r="C146" s="1" t="n">
        <v>46043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HYPERLINK("https://klasma.github.io/Logging_2481/artfynd/A 28829-2025 artfynd.xlsx", "A 28829-2025")</f>
        <v/>
      </c>
      <c r="T146">
        <f>HYPERLINK("https://klasma.github.io/Logging_2481/kartor/A 28829-2025 karta.png", "A 28829-2025")</f>
        <v/>
      </c>
      <c r="V146">
        <f>HYPERLINK("https://klasma.github.io/Logging_2481/klagomål/A 28829-2025 FSC-klagomål.docx", "A 28829-2025")</f>
        <v/>
      </c>
      <c r="W146">
        <f>HYPERLINK("https://klasma.github.io/Logging_2481/klagomålsmail/A 28829-2025 FSC-klagomål mail.docx", "A 28829-2025")</f>
        <v/>
      </c>
      <c r="X146">
        <f>HYPERLINK("https://klasma.github.io/Logging_2481/tillsyn/A 28829-2025 tillsynsbegäran.docx", "A 28829-2025")</f>
        <v/>
      </c>
      <c r="Y146">
        <f>HYPERLINK("https://klasma.github.io/Logging_2481/tillsynsmail/A 28829-2025 tillsynsbegäran mail.docx", "A 28829-2025")</f>
        <v/>
      </c>
    </row>
    <row r="147" ht="15" customHeight="1">
      <c r="A147" t="inlineStr">
        <is>
          <t>A 30608-2025</t>
        </is>
      </c>
      <c r="B147" s="1" t="n">
        <v>45831.45858796296</v>
      </c>
      <c r="C147" s="1" t="n">
        <v>46043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30608-2025 artfynd.xlsx", "A 30608-2025")</f>
        <v/>
      </c>
      <c r="T147">
        <f>HYPERLINK("https://klasma.github.io/Logging_2481/kartor/A 30608-2025 karta.png", "A 30608-2025")</f>
        <v/>
      </c>
      <c r="V147">
        <f>HYPERLINK("https://klasma.github.io/Logging_2481/klagomål/A 30608-2025 FSC-klagomål.docx", "A 30608-2025")</f>
        <v/>
      </c>
      <c r="W147">
        <f>HYPERLINK("https://klasma.github.io/Logging_2481/klagomålsmail/A 30608-2025 FSC-klagomål mail.docx", "A 30608-2025")</f>
        <v/>
      </c>
      <c r="X147">
        <f>HYPERLINK("https://klasma.github.io/Logging_2481/tillsyn/A 30608-2025 tillsynsbegäran.docx", "A 30608-2025")</f>
        <v/>
      </c>
      <c r="Y147">
        <f>HYPERLINK("https://klasma.github.io/Logging_2481/tillsynsmail/A 30608-2025 tillsynsbegäran mail.docx", "A 30608-2025")</f>
        <v/>
      </c>
    </row>
    <row r="148" ht="15" customHeight="1">
      <c r="A148" t="inlineStr">
        <is>
          <t>A 30664-2025</t>
        </is>
      </c>
      <c r="B148" s="1" t="n">
        <v>45831.51394675926</v>
      </c>
      <c r="C148" s="1" t="n">
        <v>46043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30664-2025 artfynd.xlsx", "A 30664-2025")</f>
        <v/>
      </c>
      <c r="T148">
        <f>HYPERLINK("https://klasma.github.io/Logging_2481/kartor/A 30664-2025 karta.png", "A 30664-2025")</f>
        <v/>
      </c>
      <c r="V148">
        <f>HYPERLINK("https://klasma.github.io/Logging_2481/klagomål/A 30664-2025 FSC-klagomål.docx", "A 30664-2025")</f>
        <v/>
      </c>
      <c r="W148">
        <f>HYPERLINK("https://klasma.github.io/Logging_2481/klagomålsmail/A 30664-2025 FSC-klagomål mail.docx", "A 30664-2025")</f>
        <v/>
      </c>
      <c r="X148">
        <f>HYPERLINK("https://klasma.github.io/Logging_2481/tillsyn/A 30664-2025 tillsynsbegäran.docx", "A 30664-2025")</f>
        <v/>
      </c>
      <c r="Y148">
        <f>HYPERLINK("https://klasma.github.io/Logging_2481/tillsynsmail/A 30664-2025 tillsynsbegäran mail.docx", "A 30664-2025")</f>
        <v/>
      </c>
    </row>
    <row r="149" ht="15" customHeight="1">
      <c r="A149" t="inlineStr">
        <is>
          <t>A 31266-2025</t>
        </is>
      </c>
      <c r="B149" s="1" t="n">
        <v>45833.32979166666</v>
      </c>
      <c r="C149" s="1" t="n">
        <v>46043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Mörk kolflarnlav</t>
        </is>
      </c>
      <c r="S149">
        <f>HYPERLINK("https://klasma.github.io/Logging_2481/artfynd/A 31266-2025 artfynd.xlsx", "A 31266-2025")</f>
        <v/>
      </c>
      <c r="T149">
        <f>HYPERLINK("https://klasma.github.io/Logging_2481/kartor/A 31266-2025 karta.png", "A 31266-2025")</f>
        <v/>
      </c>
      <c r="V149">
        <f>HYPERLINK("https://klasma.github.io/Logging_2481/klagomål/A 31266-2025 FSC-klagomål.docx", "A 31266-2025")</f>
        <v/>
      </c>
      <c r="W149">
        <f>HYPERLINK("https://klasma.github.io/Logging_2481/klagomålsmail/A 31266-2025 FSC-klagomål mail.docx", "A 31266-2025")</f>
        <v/>
      </c>
      <c r="X149">
        <f>HYPERLINK("https://klasma.github.io/Logging_2481/tillsyn/A 31266-2025 tillsynsbegäran.docx", "A 31266-2025")</f>
        <v/>
      </c>
      <c r="Y149">
        <f>HYPERLINK("https://klasma.github.io/Logging_2481/tillsynsmail/A 31266-2025 tillsynsbegäran mail.docx", "A 31266-2025")</f>
        <v/>
      </c>
    </row>
    <row r="150" ht="15" customHeight="1">
      <c r="A150" t="inlineStr">
        <is>
          <t>A 34958-2025</t>
        </is>
      </c>
      <c r="B150" s="1" t="n">
        <v>45849.61287037037</v>
      </c>
      <c r="C150" s="1" t="n">
        <v>46043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4.1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HYPERLINK("https://klasma.github.io/Logging_2481/artfynd/A 34958-2025 artfynd.xlsx", "A 34958-2025")</f>
        <v/>
      </c>
      <c r="T150">
        <f>HYPERLINK("https://klasma.github.io/Logging_2481/kartor/A 34958-2025 karta.png", "A 34958-2025")</f>
        <v/>
      </c>
      <c r="V150">
        <f>HYPERLINK("https://klasma.github.io/Logging_2481/klagomål/A 34958-2025 FSC-klagomål.docx", "A 34958-2025")</f>
        <v/>
      </c>
      <c r="W150">
        <f>HYPERLINK("https://klasma.github.io/Logging_2481/klagomålsmail/A 34958-2025 FSC-klagomål mail.docx", "A 34958-2025")</f>
        <v/>
      </c>
      <c r="X150">
        <f>HYPERLINK("https://klasma.github.io/Logging_2481/tillsyn/A 34958-2025 tillsynsbegäran.docx", "A 34958-2025")</f>
        <v/>
      </c>
      <c r="Y150">
        <f>HYPERLINK("https://klasma.github.io/Logging_2481/tillsynsmail/A 34958-2025 tillsynsbegäran mail.docx", "A 34958-2025")</f>
        <v/>
      </c>
      <c r="Z150">
        <f>HYPERLINK("https://klasma.github.io/Logging_2481/fåglar/A 34958-2025 prioriterade fågelarter.docx", "A 34958-2025")</f>
        <v/>
      </c>
    </row>
    <row r="151" ht="15" customHeight="1">
      <c r="A151" t="inlineStr">
        <is>
          <t>A 35226-2025</t>
        </is>
      </c>
      <c r="B151" s="1" t="n">
        <v>45853.58109953703</v>
      </c>
      <c r="C151" s="1" t="n">
        <v>46043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35226-2025 artfynd.xlsx", "A 35226-2025")</f>
        <v/>
      </c>
      <c r="T151">
        <f>HYPERLINK("https://klasma.github.io/Logging_2481/kartor/A 35226-2025 karta.png", "A 35226-2025")</f>
        <v/>
      </c>
      <c r="V151">
        <f>HYPERLINK("https://klasma.github.io/Logging_2481/klagomål/A 35226-2025 FSC-klagomål.docx", "A 35226-2025")</f>
        <v/>
      </c>
      <c r="W151">
        <f>HYPERLINK("https://klasma.github.io/Logging_2481/klagomålsmail/A 35226-2025 FSC-klagomål mail.docx", "A 35226-2025")</f>
        <v/>
      </c>
      <c r="X151">
        <f>HYPERLINK("https://klasma.github.io/Logging_2481/tillsyn/A 35226-2025 tillsynsbegäran.docx", "A 35226-2025")</f>
        <v/>
      </c>
      <c r="Y151">
        <f>HYPERLINK("https://klasma.github.io/Logging_2481/tillsynsmail/A 35226-2025 tillsynsbegäran mail.docx", "A 35226-2025")</f>
        <v/>
      </c>
      <c r="Z151">
        <f>HYPERLINK("https://klasma.github.io/Logging_2481/fåglar/A 35226-2025 prioriterade fågelarter.docx", "A 35226-2025")</f>
        <v/>
      </c>
    </row>
    <row r="152" ht="15" customHeight="1">
      <c r="A152" t="inlineStr">
        <is>
          <t>A 35233-2025</t>
        </is>
      </c>
      <c r="B152" s="1" t="n">
        <v>45853.59981481481</v>
      </c>
      <c r="C152" s="1" t="n">
        <v>46043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21.5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35233-2025 artfynd.xlsx", "A 35233-2025")</f>
        <v/>
      </c>
      <c r="T152">
        <f>HYPERLINK("https://klasma.github.io/Logging_2481/kartor/A 35233-2025 karta.png", "A 35233-2025")</f>
        <v/>
      </c>
      <c r="V152">
        <f>HYPERLINK("https://klasma.github.io/Logging_2481/klagomål/A 35233-2025 FSC-klagomål.docx", "A 35233-2025")</f>
        <v/>
      </c>
      <c r="W152">
        <f>HYPERLINK("https://klasma.github.io/Logging_2481/klagomålsmail/A 35233-2025 FSC-klagomål mail.docx", "A 35233-2025")</f>
        <v/>
      </c>
      <c r="X152">
        <f>HYPERLINK("https://klasma.github.io/Logging_2481/tillsyn/A 35233-2025 tillsynsbegäran.docx", "A 35233-2025")</f>
        <v/>
      </c>
      <c r="Y152">
        <f>HYPERLINK("https://klasma.github.io/Logging_2481/tillsynsmail/A 35233-2025 tillsynsbegäran mail.docx", "A 35233-2025")</f>
        <v/>
      </c>
    </row>
    <row r="153" ht="15" customHeight="1">
      <c r="A153" t="inlineStr">
        <is>
          <t>A 61896-2024</t>
        </is>
      </c>
      <c r="B153" s="1" t="n">
        <v>45652.74872685185</v>
      </c>
      <c r="C153" s="1" t="n">
        <v>46043</v>
      </c>
      <c r="D153" t="inlineStr">
        <is>
          <t>VÄSTERBOTTENS LÄN</t>
        </is>
      </c>
      <c r="E153" t="inlineStr">
        <is>
          <t>LYCKSELE</t>
        </is>
      </c>
      <c r="G153" t="n">
        <v>6.6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HYPERLINK("https://klasma.github.io/Logging_2481/artfynd/A 61896-2024 artfynd.xlsx", "A 61896-2024")</f>
        <v/>
      </c>
      <c r="T153">
        <f>HYPERLINK("https://klasma.github.io/Logging_2481/kartor/A 61896-2024 karta.png", "A 61896-2024")</f>
        <v/>
      </c>
      <c r="V153">
        <f>HYPERLINK("https://klasma.github.io/Logging_2481/klagomål/A 61896-2024 FSC-klagomål.docx", "A 61896-2024")</f>
        <v/>
      </c>
      <c r="W153">
        <f>HYPERLINK("https://klasma.github.io/Logging_2481/klagomålsmail/A 61896-2024 FSC-klagomål mail.docx", "A 61896-2024")</f>
        <v/>
      </c>
      <c r="X153">
        <f>HYPERLINK("https://klasma.github.io/Logging_2481/tillsyn/A 61896-2024 tillsynsbegäran.docx", "A 61896-2024")</f>
        <v/>
      </c>
      <c r="Y153">
        <f>HYPERLINK("https://klasma.github.io/Logging_2481/tillsynsmail/A 61896-2024 tillsynsbegäran mail.docx", "A 61896-2024")</f>
        <v/>
      </c>
    </row>
    <row r="154" ht="15" customHeight="1">
      <c r="A154" t="inlineStr">
        <is>
          <t>A 35239-2025</t>
        </is>
      </c>
      <c r="B154" s="1" t="n">
        <v>45853.61649305555</v>
      </c>
      <c r="C154" s="1" t="n">
        <v>46043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8.699999999999999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35239-2025 artfynd.xlsx", "A 35239-2025")</f>
        <v/>
      </c>
      <c r="T154">
        <f>HYPERLINK("https://klasma.github.io/Logging_2481/kartor/A 35239-2025 karta.png", "A 35239-2025")</f>
        <v/>
      </c>
      <c r="V154">
        <f>HYPERLINK("https://klasma.github.io/Logging_2481/klagomål/A 35239-2025 FSC-klagomål.docx", "A 35239-2025")</f>
        <v/>
      </c>
      <c r="W154">
        <f>HYPERLINK("https://klasma.github.io/Logging_2481/klagomålsmail/A 35239-2025 FSC-klagomål mail.docx", "A 35239-2025")</f>
        <v/>
      </c>
      <c r="X154">
        <f>HYPERLINK("https://klasma.github.io/Logging_2481/tillsyn/A 35239-2025 tillsynsbegäran.docx", "A 35239-2025")</f>
        <v/>
      </c>
      <c r="Y154">
        <f>HYPERLINK("https://klasma.github.io/Logging_2481/tillsynsmail/A 35239-2025 tillsynsbegäran mail.docx", "A 35239-2025")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46043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35981-2025</t>
        </is>
      </c>
      <c r="B156" s="1" t="n">
        <v>45863.44873842593</v>
      </c>
      <c r="C156" s="1" t="n">
        <v>46043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35981-2025 artfynd.xlsx", "A 35981-2025")</f>
        <v/>
      </c>
      <c r="T156">
        <f>HYPERLINK("https://klasma.github.io/Logging_2481/kartor/A 35981-2025 karta.png", "A 35981-2025")</f>
        <v/>
      </c>
      <c r="V156">
        <f>HYPERLINK("https://klasma.github.io/Logging_2481/klagomål/A 35981-2025 FSC-klagomål.docx", "A 35981-2025")</f>
        <v/>
      </c>
      <c r="W156">
        <f>HYPERLINK("https://klasma.github.io/Logging_2481/klagomålsmail/A 35981-2025 FSC-klagomål mail.docx", "A 35981-2025")</f>
        <v/>
      </c>
      <c r="X156">
        <f>HYPERLINK("https://klasma.github.io/Logging_2481/tillsyn/A 35981-2025 tillsynsbegäran.docx", "A 35981-2025")</f>
        <v/>
      </c>
      <c r="Y156">
        <f>HYPERLINK("https://klasma.github.io/Logging_2481/tillsynsmail/A 35981-2025 tillsynsbegäran mail.docx", "A 35981-2025")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46043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39572-2024</t>
        </is>
      </c>
      <c r="B158" s="1" t="n">
        <v>45552.36100694445</v>
      </c>
      <c r="C158" s="1" t="n">
        <v>46043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39.2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Grynig filtlav</t>
        </is>
      </c>
      <c r="S158">
        <f>HYPERLINK("https://klasma.github.io/Logging_2481/artfynd/A 39572-2024 artfynd.xlsx", "A 39572-2024")</f>
        <v/>
      </c>
      <c r="T158">
        <f>HYPERLINK("https://klasma.github.io/Logging_2481/kartor/A 39572-2024 karta.png", "A 39572-2024")</f>
        <v/>
      </c>
      <c r="V158">
        <f>HYPERLINK("https://klasma.github.io/Logging_2481/klagomål/A 39572-2024 FSC-klagomål.docx", "A 39572-2024")</f>
        <v/>
      </c>
      <c r="W158">
        <f>HYPERLINK("https://klasma.github.io/Logging_2481/klagomålsmail/A 39572-2024 FSC-klagomål mail.docx", "A 39572-2024")</f>
        <v/>
      </c>
      <c r="X158">
        <f>HYPERLINK("https://klasma.github.io/Logging_2481/tillsyn/A 39572-2024 tillsynsbegäran.docx", "A 39572-2024")</f>
        <v/>
      </c>
      <c r="Y158">
        <f>HYPERLINK("https://klasma.github.io/Logging_2481/tillsynsmail/A 39572-2024 tillsynsbegäran mail.docx", "A 39572-2024")</f>
        <v/>
      </c>
    </row>
    <row r="159" ht="15" customHeight="1">
      <c r="A159" t="inlineStr">
        <is>
          <t>A 36687-2025</t>
        </is>
      </c>
      <c r="B159" s="1" t="n">
        <v>45873.41922453704</v>
      </c>
      <c r="C159" s="1" t="n">
        <v>46043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36687-2025 artfynd.xlsx", "A 36687-2025")</f>
        <v/>
      </c>
      <c r="T159">
        <f>HYPERLINK("https://klasma.github.io/Logging_2481/kartor/A 36687-2025 karta.png", "A 36687-2025")</f>
        <v/>
      </c>
      <c r="V159">
        <f>HYPERLINK("https://klasma.github.io/Logging_2481/klagomål/A 36687-2025 FSC-klagomål.docx", "A 36687-2025")</f>
        <v/>
      </c>
      <c r="W159">
        <f>HYPERLINK("https://klasma.github.io/Logging_2481/klagomålsmail/A 36687-2025 FSC-klagomål mail.docx", "A 36687-2025")</f>
        <v/>
      </c>
      <c r="X159">
        <f>HYPERLINK("https://klasma.github.io/Logging_2481/tillsyn/A 36687-2025 tillsynsbegäran.docx", "A 36687-2025")</f>
        <v/>
      </c>
      <c r="Y159">
        <f>HYPERLINK("https://klasma.github.io/Logging_2481/tillsynsmail/A 36687-2025 tillsynsbegäran mail.docx", "A 36687-2025")</f>
        <v/>
      </c>
    </row>
    <row r="160" ht="15" customHeight="1">
      <c r="A160" t="inlineStr">
        <is>
          <t>A 26857-2024</t>
        </is>
      </c>
      <c r="B160" s="1" t="n">
        <v>45470</v>
      </c>
      <c r="C160" s="1" t="n">
        <v>46043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24.2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26857-2024 artfynd.xlsx", "A 26857-2024")</f>
        <v/>
      </c>
      <c r="T160">
        <f>HYPERLINK("https://klasma.github.io/Logging_2481/kartor/A 26857-2024 karta.png", "A 26857-2024")</f>
        <v/>
      </c>
      <c r="V160">
        <f>HYPERLINK("https://klasma.github.io/Logging_2481/klagomål/A 26857-2024 FSC-klagomål.docx", "A 26857-2024")</f>
        <v/>
      </c>
      <c r="W160">
        <f>HYPERLINK("https://klasma.github.io/Logging_2481/klagomålsmail/A 26857-2024 FSC-klagomål mail.docx", "A 26857-2024")</f>
        <v/>
      </c>
      <c r="X160">
        <f>HYPERLINK("https://klasma.github.io/Logging_2481/tillsyn/A 26857-2024 tillsynsbegäran.docx", "A 26857-2024")</f>
        <v/>
      </c>
      <c r="Y160">
        <f>HYPERLINK("https://klasma.github.io/Logging_2481/tillsynsmail/A 26857-2024 tillsynsbegäran mail.docx", "A 26857-2024")</f>
        <v/>
      </c>
    </row>
    <row r="161" ht="15" customHeight="1">
      <c r="A161" t="inlineStr">
        <is>
          <t>A 37828-2025</t>
        </is>
      </c>
      <c r="B161" s="1" t="n">
        <v>45881.41111111111</v>
      </c>
      <c r="C161" s="1" t="n">
        <v>46043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37828-2025 artfynd.xlsx", "A 37828-2025")</f>
        <v/>
      </c>
      <c r="T161">
        <f>HYPERLINK("https://klasma.github.io/Logging_2481/kartor/A 37828-2025 karta.png", "A 37828-2025")</f>
        <v/>
      </c>
      <c r="V161">
        <f>HYPERLINK("https://klasma.github.io/Logging_2481/klagomål/A 37828-2025 FSC-klagomål.docx", "A 37828-2025")</f>
        <v/>
      </c>
      <c r="W161">
        <f>HYPERLINK("https://klasma.github.io/Logging_2481/klagomålsmail/A 37828-2025 FSC-klagomål mail.docx", "A 37828-2025")</f>
        <v/>
      </c>
      <c r="X161">
        <f>HYPERLINK("https://klasma.github.io/Logging_2481/tillsyn/A 37828-2025 tillsynsbegäran.docx", "A 37828-2025")</f>
        <v/>
      </c>
      <c r="Y161">
        <f>HYPERLINK("https://klasma.github.io/Logging_2481/tillsynsmail/A 37828-2025 tillsynsbegäran mail.docx", "A 37828-2025")</f>
        <v/>
      </c>
    </row>
    <row r="162" ht="15" customHeight="1">
      <c r="A162" t="inlineStr">
        <is>
          <t>A 28838-2024</t>
        </is>
      </c>
      <c r="B162" s="1" t="n">
        <v>45478.68777777778</v>
      </c>
      <c r="C162" s="1" t="n">
        <v>46043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28838-2024 artfynd.xlsx", "A 28838-2024")</f>
        <v/>
      </c>
      <c r="T162">
        <f>HYPERLINK("https://klasma.github.io/Logging_2481/kartor/A 28838-2024 karta.png", "A 28838-2024")</f>
        <v/>
      </c>
      <c r="V162">
        <f>HYPERLINK("https://klasma.github.io/Logging_2481/klagomål/A 28838-2024 FSC-klagomål.docx", "A 28838-2024")</f>
        <v/>
      </c>
      <c r="W162">
        <f>HYPERLINK("https://klasma.github.io/Logging_2481/klagomålsmail/A 28838-2024 FSC-klagomål mail.docx", "A 28838-2024")</f>
        <v/>
      </c>
      <c r="X162">
        <f>HYPERLINK("https://klasma.github.io/Logging_2481/tillsyn/A 28838-2024 tillsynsbegäran.docx", "A 28838-2024")</f>
        <v/>
      </c>
      <c r="Y162">
        <f>HYPERLINK("https://klasma.github.io/Logging_2481/tillsynsmail/A 28838-2024 tillsynsbegäran mail.docx", "A 28838-2024")</f>
        <v/>
      </c>
    </row>
    <row r="163" ht="15" customHeight="1">
      <c r="A163" t="inlineStr">
        <is>
          <t>A 55566-2024</t>
        </is>
      </c>
      <c r="B163" s="1" t="n">
        <v>45622</v>
      </c>
      <c r="C163" s="1" t="n">
        <v>46043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Harticka</t>
        </is>
      </c>
      <c r="S163">
        <f>HYPERLINK("https://klasma.github.io/Logging_2481/artfynd/A 55566-2024 artfynd.xlsx", "A 55566-2024")</f>
        <v/>
      </c>
      <c r="T163">
        <f>HYPERLINK("https://klasma.github.io/Logging_2481/kartor/A 55566-2024 karta.png", "A 55566-2024")</f>
        <v/>
      </c>
      <c r="V163">
        <f>HYPERLINK("https://klasma.github.io/Logging_2481/klagomål/A 55566-2024 FSC-klagomål.docx", "A 55566-2024")</f>
        <v/>
      </c>
      <c r="W163">
        <f>HYPERLINK("https://klasma.github.io/Logging_2481/klagomålsmail/A 55566-2024 FSC-klagomål mail.docx", "A 55566-2024")</f>
        <v/>
      </c>
      <c r="X163">
        <f>HYPERLINK("https://klasma.github.io/Logging_2481/tillsyn/A 55566-2024 tillsynsbegäran.docx", "A 55566-2024")</f>
        <v/>
      </c>
      <c r="Y163">
        <f>HYPERLINK("https://klasma.github.io/Logging_2481/tillsynsmail/A 55566-2024 tillsynsbegäran mail.docx", "A 55566-2024")</f>
        <v/>
      </c>
    </row>
    <row r="164" ht="15" customHeight="1">
      <c r="A164" t="inlineStr">
        <is>
          <t>A 53869-2023</t>
        </is>
      </c>
      <c r="B164" s="1" t="n">
        <v>45231</v>
      </c>
      <c r="C164" s="1" t="n">
        <v>46043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53869-2023 artfynd.xlsx", "A 53869-2023")</f>
        <v/>
      </c>
      <c r="T164">
        <f>HYPERLINK("https://klasma.github.io/Logging_2481/kartor/A 53869-2023 karta.png", "A 53869-2023")</f>
        <v/>
      </c>
      <c r="V164">
        <f>HYPERLINK("https://klasma.github.io/Logging_2481/klagomål/A 53869-2023 FSC-klagomål.docx", "A 53869-2023")</f>
        <v/>
      </c>
      <c r="W164">
        <f>HYPERLINK("https://klasma.github.io/Logging_2481/klagomålsmail/A 53869-2023 FSC-klagomål mail.docx", "A 53869-2023")</f>
        <v/>
      </c>
      <c r="X164">
        <f>HYPERLINK("https://klasma.github.io/Logging_2481/tillsyn/A 53869-2023 tillsynsbegäran.docx", "A 53869-2023")</f>
        <v/>
      </c>
      <c r="Y164">
        <f>HYPERLINK("https://klasma.github.io/Logging_2481/tillsynsmail/A 53869-2023 tillsynsbegäran mail.docx", "A 53869-2023")</f>
        <v/>
      </c>
    </row>
    <row r="165" ht="15" customHeight="1">
      <c r="A165" t="inlineStr">
        <is>
          <t>A 59283-2024</t>
        </is>
      </c>
      <c r="B165" s="1" t="n">
        <v>45637.64248842592</v>
      </c>
      <c r="C165" s="1" t="n">
        <v>46043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59283-2024 artfynd.xlsx", "A 59283-2024")</f>
        <v/>
      </c>
      <c r="T165">
        <f>HYPERLINK("https://klasma.github.io/Logging_2481/kartor/A 59283-2024 karta.png", "A 59283-2024")</f>
        <v/>
      </c>
      <c r="V165">
        <f>HYPERLINK("https://klasma.github.io/Logging_2481/klagomål/A 59283-2024 FSC-klagomål.docx", "A 59283-2024")</f>
        <v/>
      </c>
      <c r="W165">
        <f>HYPERLINK("https://klasma.github.io/Logging_2481/klagomålsmail/A 59283-2024 FSC-klagomål mail.docx", "A 59283-2024")</f>
        <v/>
      </c>
      <c r="X165">
        <f>HYPERLINK("https://klasma.github.io/Logging_2481/tillsyn/A 59283-2024 tillsynsbegäran.docx", "A 59283-2024")</f>
        <v/>
      </c>
      <c r="Y165">
        <f>HYPERLINK("https://klasma.github.io/Logging_2481/tillsynsmail/A 59283-2024 tillsynsbegäran mail.docx", "A 59283-2024")</f>
        <v/>
      </c>
    </row>
    <row r="166" ht="15" customHeight="1">
      <c r="A166" t="inlineStr">
        <is>
          <t>A 38507-2023</t>
        </is>
      </c>
      <c r="B166" s="1" t="n">
        <v>45162.50637731481</v>
      </c>
      <c r="C166" s="1" t="n">
        <v>46043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58657-2023</t>
        </is>
      </c>
      <c r="B167" s="1" t="n">
        <v>45251</v>
      </c>
      <c r="C167" s="1" t="n">
        <v>46043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Bollvitmossa</t>
        </is>
      </c>
      <c r="S167">
        <f>HYPERLINK("https://klasma.github.io/Logging_2481/artfynd/A 58657-2023 artfynd.xlsx", "A 58657-2023")</f>
        <v/>
      </c>
      <c r="T167">
        <f>HYPERLINK("https://klasma.github.io/Logging_2481/kartor/A 58657-2023 karta.png", "A 58657-2023")</f>
        <v/>
      </c>
      <c r="V167">
        <f>HYPERLINK("https://klasma.github.io/Logging_2481/klagomål/A 58657-2023 FSC-klagomål.docx", "A 58657-2023")</f>
        <v/>
      </c>
      <c r="W167">
        <f>HYPERLINK("https://klasma.github.io/Logging_2481/klagomålsmail/A 58657-2023 FSC-klagomål mail.docx", "A 58657-2023")</f>
        <v/>
      </c>
      <c r="X167">
        <f>HYPERLINK("https://klasma.github.io/Logging_2481/tillsyn/A 58657-2023 tillsynsbegäran.docx", "A 58657-2023")</f>
        <v/>
      </c>
      <c r="Y167">
        <f>HYPERLINK("https://klasma.github.io/Logging_2481/tillsynsmail/A 58657-2023 tillsynsbegäran mail.docx", "A 58657-2023")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46043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46043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41776-2024</t>
        </is>
      </c>
      <c r="B170" s="1" t="n">
        <v>45561.34743055556</v>
      </c>
      <c r="C170" s="1" t="n">
        <v>46043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41776-2024 artfynd.xlsx", "A 41776-2024")</f>
        <v/>
      </c>
      <c r="T170">
        <f>HYPERLINK("https://klasma.github.io/Logging_2481/kartor/A 41776-2024 karta.png", "A 41776-2024")</f>
        <v/>
      </c>
      <c r="V170">
        <f>HYPERLINK("https://klasma.github.io/Logging_2481/klagomål/A 41776-2024 FSC-klagomål.docx", "A 41776-2024")</f>
        <v/>
      </c>
      <c r="W170">
        <f>HYPERLINK("https://klasma.github.io/Logging_2481/klagomålsmail/A 41776-2024 FSC-klagomål mail.docx", "A 41776-2024")</f>
        <v/>
      </c>
      <c r="X170">
        <f>HYPERLINK("https://klasma.github.io/Logging_2481/tillsyn/A 41776-2024 tillsynsbegäran.docx", "A 41776-2024")</f>
        <v/>
      </c>
      <c r="Y170">
        <f>HYPERLINK("https://klasma.github.io/Logging_2481/tillsynsmail/A 41776-2024 tillsynsbegäran mail.docx", "A 41776-2024")</f>
        <v/>
      </c>
    </row>
    <row r="171" ht="15" customHeight="1">
      <c r="A171" t="inlineStr">
        <is>
          <t>A 45774-2024</t>
        </is>
      </c>
      <c r="B171" s="1" t="n">
        <v>45579</v>
      </c>
      <c r="C171" s="1" t="n">
        <v>46043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4.3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Barkticka</t>
        </is>
      </c>
      <c r="S171">
        <f>HYPERLINK("https://klasma.github.io/Logging_2481/artfynd/A 45774-2024 artfynd.xlsx", "A 45774-2024")</f>
        <v/>
      </c>
      <c r="T171">
        <f>HYPERLINK("https://klasma.github.io/Logging_2481/kartor/A 45774-2024 karta.png", "A 45774-2024")</f>
        <v/>
      </c>
      <c r="V171">
        <f>HYPERLINK("https://klasma.github.io/Logging_2481/klagomål/A 45774-2024 FSC-klagomål.docx", "A 45774-2024")</f>
        <v/>
      </c>
      <c r="W171">
        <f>HYPERLINK("https://klasma.github.io/Logging_2481/klagomålsmail/A 45774-2024 FSC-klagomål mail.docx", "A 45774-2024")</f>
        <v/>
      </c>
      <c r="X171">
        <f>HYPERLINK("https://klasma.github.io/Logging_2481/tillsyn/A 45774-2024 tillsynsbegäran.docx", "A 45774-2024")</f>
        <v/>
      </c>
      <c r="Y171">
        <f>HYPERLINK("https://klasma.github.io/Logging_2481/tillsynsmail/A 45774-2024 tillsynsbegäran mail.docx", "A 45774-2024")</f>
        <v/>
      </c>
    </row>
    <row r="172" ht="15" customHeight="1">
      <c r="A172" t="inlineStr">
        <is>
          <t>A 24824-2024</t>
        </is>
      </c>
      <c r="B172" s="1" t="n">
        <v>45461.35597222222</v>
      </c>
      <c r="C172" s="1" t="n">
        <v>46043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HYPERLINK("https://klasma.github.io/Logging_2481/artfynd/A 24824-2024 artfynd.xlsx", "A 24824-2024")</f>
        <v/>
      </c>
      <c r="T172">
        <f>HYPERLINK("https://klasma.github.io/Logging_2481/kartor/A 24824-2024 karta.png", "A 24824-2024")</f>
        <v/>
      </c>
      <c r="V172">
        <f>HYPERLINK("https://klasma.github.io/Logging_2481/klagomål/A 24824-2024 FSC-klagomål.docx", "A 24824-2024")</f>
        <v/>
      </c>
      <c r="W172">
        <f>HYPERLINK("https://klasma.github.io/Logging_2481/klagomålsmail/A 24824-2024 FSC-klagomål mail.docx", "A 24824-2024")</f>
        <v/>
      </c>
      <c r="X172">
        <f>HYPERLINK("https://klasma.github.io/Logging_2481/tillsyn/A 24824-2024 tillsynsbegäran.docx", "A 24824-2024")</f>
        <v/>
      </c>
      <c r="Y172">
        <f>HYPERLINK("https://klasma.github.io/Logging_2481/tillsynsmail/A 24824-2024 tillsynsbegäran mail.docx", "A 24824-2024")</f>
        <v/>
      </c>
      <c r="Z172">
        <f>HYPERLINK("https://klasma.github.io/Logging_2481/fåglar/A 24824-2024 prioriterade fågelarter.docx", "A 24824-2024")</f>
        <v/>
      </c>
    </row>
    <row r="173" ht="15" customHeight="1">
      <c r="A173" t="inlineStr">
        <is>
          <t>A 46004-2024</t>
        </is>
      </c>
      <c r="B173" s="1" t="n">
        <v>45580.65900462963</v>
      </c>
      <c r="C173" s="1" t="n">
        <v>46043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46004-2024 artfynd.xlsx", "A 46004-2024")</f>
        <v/>
      </c>
      <c r="T173">
        <f>HYPERLINK("https://klasma.github.io/Logging_2481/kartor/A 46004-2024 karta.png", "A 46004-2024")</f>
        <v/>
      </c>
      <c r="V173">
        <f>HYPERLINK("https://klasma.github.io/Logging_2481/klagomål/A 46004-2024 FSC-klagomål.docx", "A 46004-2024")</f>
        <v/>
      </c>
      <c r="W173">
        <f>HYPERLINK("https://klasma.github.io/Logging_2481/klagomålsmail/A 46004-2024 FSC-klagomål mail.docx", "A 46004-2024")</f>
        <v/>
      </c>
      <c r="X173">
        <f>HYPERLINK("https://klasma.github.io/Logging_2481/tillsyn/A 46004-2024 tillsynsbegäran.docx", "A 46004-2024")</f>
        <v/>
      </c>
      <c r="Y173">
        <f>HYPERLINK("https://klasma.github.io/Logging_2481/tillsynsmail/A 46004-2024 tillsynsbegäran mail.docx", "A 46004-2024")</f>
        <v/>
      </c>
    </row>
    <row r="174" ht="15" customHeight="1">
      <c r="A174" t="inlineStr">
        <is>
          <t>A 742-2025</t>
        </is>
      </c>
      <c r="B174" s="1" t="n">
        <v>45665.42216435185</v>
      </c>
      <c r="C174" s="1" t="n">
        <v>46043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HYPERLINK("https://klasma.github.io/Logging_2481/artfynd/A 742-2025 artfynd.xlsx", "A 742-2025")</f>
        <v/>
      </c>
      <c r="T174">
        <f>HYPERLINK("https://klasma.github.io/Logging_2481/kartor/A 742-2025 karta.png", "A 742-2025")</f>
        <v/>
      </c>
      <c r="V174">
        <f>HYPERLINK("https://klasma.github.io/Logging_2481/klagomål/A 742-2025 FSC-klagomål.docx", "A 742-2025")</f>
        <v/>
      </c>
      <c r="W174">
        <f>HYPERLINK("https://klasma.github.io/Logging_2481/klagomålsmail/A 742-2025 FSC-klagomål mail.docx", "A 742-2025")</f>
        <v/>
      </c>
      <c r="X174">
        <f>HYPERLINK("https://klasma.github.io/Logging_2481/tillsyn/A 742-2025 tillsynsbegäran.docx", "A 742-2025")</f>
        <v/>
      </c>
      <c r="Y174">
        <f>HYPERLINK("https://klasma.github.io/Logging_2481/tillsynsmail/A 742-2025 tillsynsbegäran mail.docx", "A 742-2025")</f>
        <v/>
      </c>
    </row>
    <row r="175" ht="15" customHeight="1">
      <c r="A175" t="inlineStr">
        <is>
          <t>A 219-2025</t>
        </is>
      </c>
      <c r="B175" s="1" t="n">
        <v>45660.34533564815</v>
      </c>
      <c r="C175" s="1" t="n">
        <v>46043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219-2025 artfynd.xlsx", "A 219-2025")</f>
        <v/>
      </c>
      <c r="T175">
        <f>HYPERLINK("https://klasma.github.io/Logging_2481/kartor/A 219-2025 karta.png", "A 219-2025")</f>
        <v/>
      </c>
      <c r="V175">
        <f>HYPERLINK("https://klasma.github.io/Logging_2481/klagomål/A 219-2025 FSC-klagomål.docx", "A 219-2025")</f>
        <v/>
      </c>
      <c r="W175">
        <f>HYPERLINK("https://klasma.github.io/Logging_2481/klagomålsmail/A 219-2025 FSC-klagomål mail.docx", "A 219-2025")</f>
        <v/>
      </c>
      <c r="X175">
        <f>HYPERLINK("https://klasma.github.io/Logging_2481/tillsyn/A 219-2025 tillsynsbegäran.docx", "A 219-2025")</f>
        <v/>
      </c>
      <c r="Y175">
        <f>HYPERLINK("https://klasma.github.io/Logging_2481/tillsynsmail/A 219-2025 tillsynsbegäran mail.docx", "A 219-2025")</f>
        <v/>
      </c>
    </row>
    <row r="176" ht="15" customHeight="1">
      <c r="A176" t="inlineStr">
        <is>
          <t>A 20940-2025</t>
        </is>
      </c>
      <c r="B176" s="1" t="n">
        <v>45777.4309375</v>
      </c>
      <c r="C176" s="1" t="n">
        <v>46043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20940-2025 artfynd.xlsx", "A 20940-2025")</f>
        <v/>
      </c>
      <c r="T176">
        <f>HYPERLINK("https://klasma.github.io/Logging_2481/kartor/A 20940-2025 karta.png", "A 20940-2025")</f>
        <v/>
      </c>
      <c r="V176">
        <f>HYPERLINK("https://klasma.github.io/Logging_2481/klagomål/A 20940-2025 FSC-klagomål.docx", "A 20940-2025")</f>
        <v/>
      </c>
      <c r="W176">
        <f>HYPERLINK("https://klasma.github.io/Logging_2481/klagomålsmail/A 20940-2025 FSC-klagomål mail.docx", "A 20940-2025")</f>
        <v/>
      </c>
      <c r="X176">
        <f>HYPERLINK("https://klasma.github.io/Logging_2481/tillsyn/A 20940-2025 tillsynsbegäran.docx", "A 20940-2025")</f>
        <v/>
      </c>
      <c r="Y176">
        <f>HYPERLINK("https://klasma.github.io/Logging_2481/tillsynsmail/A 20940-2025 tillsynsbegäran mail.docx", "A 20940-2025")</f>
        <v/>
      </c>
    </row>
    <row r="177" ht="15" customHeight="1">
      <c r="A177" t="inlineStr">
        <is>
          <t>A 20929-2025</t>
        </is>
      </c>
      <c r="B177" s="1" t="n">
        <v>45777.42574074074</v>
      </c>
      <c r="C177" s="1" t="n">
        <v>46043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496-2024</t>
        </is>
      </c>
      <c r="B178" s="1" t="n">
        <v>45299</v>
      </c>
      <c r="C178" s="1" t="n">
        <v>46043</v>
      </c>
      <c r="D178" t="inlineStr">
        <is>
          <t>VÄSTERBOTTENS LÄN</t>
        </is>
      </c>
      <c r="E178" t="inlineStr">
        <is>
          <t>LYCKSELE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496-2024 artfynd.xlsx", "A 496-2024")</f>
        <v/>
      </c>
      <c r="T178">
        <f>HYPERLINK("https://klasma.github.io/Logging_2481/kartor/A 496-2024 karta.png", "A 496-2024")</f>
        <v/>
      </c>
      <c r="V178">
        <f>HYPERLINK("https://klasma.github.io/Logging_2481/klagomål/A 496-2024 FSC-klagomål.docx", "A 496-2024")</f>
        <v/>
      </c>
      <c r="W178">
        <f>HYPERLINK("https://klasma.github.io/Logging_2481/klagomålsmail/A 496-2024 FSC-klagomål mail.docx", "A 496-2024")</f>
        <v/>
      </c>
      <c r="X178">
        <f>HYPERLINK("https://klasma.github.io/Logging_2481/tillsyn/A 496-2024 tillsynsbegäran.docx", "A 496-2024")</f>
        <v/>
      </c>
      <c r="Y178">
        <f>HYPERLINK("https://klasma.github.io/Logging_2481/tillsynsmail/A 496-2024 tillsynsbegäran mail.docx", "A 496-2024")</f>
        <v/>
      </c>
      <c r="Z178">
        <f>HYPERLINK("https://klasma.github.io/Logging_2481/fåglar/A 496-2024 prioriterade fågelarter.docx", "A 496-2024")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46043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46043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46043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46043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46043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46043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46043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46043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46043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46043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46043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46043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46043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46043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46043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46043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46043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46043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46043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46043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46043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46043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46043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46043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46043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46043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46043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46043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46043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46043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46043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46043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46043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46043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46043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46043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46043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46043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46043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46043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46043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46043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46043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46043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46043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46043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46043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46043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46043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46043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46043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46043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46043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46043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46043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46043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46043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46043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46043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46043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46043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46043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46043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46043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46043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46043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46043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46043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46043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46043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46043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46043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46043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46043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46043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46043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46043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46043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46043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41256-2022</t>
        </is>
      </c>
      <c r="B270" s="1" t="n">
        <v>44826</v>
      </c>
      <c r="C270" s="1" t="n">
        <v>46043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41101-2022</t>
        </is>
      </c>
      <c r="B271" s="1" t="n">
        <v>44820</v>
      </c>
      <c r="C271" s="1" t="n">
        <v>46043</v>
      </c>
      <c r="D271" t="inlineStr">
        <is>
          <t>VÄSTERBOTTENS LÄN</t>
        </is>
      </c>
      <c r="E271" t="inlineStr">
        <is>
          <t>LYCKSELE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46043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46043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46043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46043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46043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46043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30899-2024</t>
        </is>
      </c>
      <c r="B278" s="1" t="n">
        <v>45498.47368055556</v>
      </c>
      <c r="C278" s="1" t="n">
        <v>46043</v>
      </c>
      <c r="D278" t="inlineStr">
        <is>
          <t>VÄSTERBOTTENS LÄN</t>
        </is>
      </c>
      <c r="E278" t="inlineStr">
        <is>
          <t>LYCKSELE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20161-2025</t>
        </is>
      </c>
      <c r="B279" s="1" t="n">
        <v>45772.56854166667</v>
      </c>
      <c r="C279" s="1" t="n">
        <v>46043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10253-2024</t>
        </is>
      </c>
      <c r="B280" s="1" t="n">
        <v>45365.3941550926</v>
      </c>
      <c r="C280" s="1" t="n">
        <v>46043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34043-2023</t>
        </is>
      </c>
      <c r="B281" s="1" t="n">
        <v>45135</v>
      </c>
      <c r="C281" s="1" t="n">
        <v>46043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51048-2023</t>
        </is>
      </c>
      <c r="B282" s="1" t="n">
        <v>45218.63373842592</v>
      </c>
      <c r="C282" s="1" t="n">
        <v>46043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8727-2024</t>
        </is>
      </c>
      <c r="B283" s="1" t="n">
        <v>45356.42712962963</v>
      </c>
      <c r="C283" s="1" t="n">
        <v>46043</v>
      </c>
      <c r="D283" t="inlineStr">
        <is>
          <t>VÄSTERBOTTENS LÄN</t>
        </is>
      </c>
      <c r="E283" t="inlineStr">
        <is>
          <t>LYCKSELE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16183-2025</t>
        </is>
      </c>
      <c r="B284" s="1" t="n">
        <v>45750.57883101852</v>
      </c>
      <c r="C284" s="1" t="n">
        <v>46043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11626-2024</t>
        </is>
      </c>
      <c r="B285" s="1" t="n">
        <v>45373</v>
      </c>
      <c r="C285" s="1" t="n">
        <v>46043</v>
      </c>
      <c r="D285" t="inlineStr">
        <is>
          <t>VÄSTERBOTTENS LÄN</t>
        </is>
      </c>
      <c r="E285" t="inlineStr">
        <is>
          <t>LYCKSELE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24810-2024</t>
        </is>
      </c>
      <c r="B286" s="1" t="n">
        <v>45460.95396990741</v>
      </c>
      <c r="C286" s="1" t="n">
        <v>46043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58440-2022</t>
        </is>
      </c>
      <c r="B287" s="1" t="n">
        <v>44901</v>
      </c>
      <c r="C287" s="1" t="n">
        <v>46043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22452-2025</t>
        </is>
      </c>
      <c r="B288" s="1" t="n">
        <v>45786.60216435185</v>
      </c>
      <c r="C288" s="1" t="n">
        <v>46043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22343-2025</t>
        </is>
      </c>
      <c r="B289" s="1" t="n">
        <v>45786.44841435185</v>
      </c>
      <c r="C289" s="1" t="n">
        <v>46043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48601-2025</t>
        </is>
      </c>
      <c r="B290" s="1" t="n">
        <v>45936</v>
      </c>
      <c r="C290" s="1" t="n">
        <v>46043</v>
      </c>
      <c r="D290" t="inlineStr">
        <is>
          <t>VÄSTERBOTTENS LÄN</t>
        </is>
      </c>
      <c r="E290" t="inlineStr">
        <is>
          <t>LYCKSELE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56744-2025</t>
        </is>
      </c>
      <c r="B291" s="1" t="n">
        <v>45978.36097222222</v>
      </c>
      <c r="C291" s="1" t="n">
        <v>46043</v>
      </c>
      <c r="D291" t="inlineStr">
        <is>
          <t>VÄSTERBOTTENS LÄN</t>
        </is>
      </c>
      <c r="E291" t="inlineStr">
        <is>
          <t>LYCKSELE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22127-2025</t>
        </is>
      </c>
      <c r="B292" s="1" t="n">
        <v>45785.53003472222</v>
      </c>
      <c r="C292" s="1" t="n">
        <v>46043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61281-2022</t>
        </is>
      </c>
      <c r="B293" s="1" t="n">
        <v>44909</v>
      </c>
      <c r="C293" s="1" t="n">
        <v>46043</v>
      </c>
      <c r="D293" t="inlineStr">
        <is>
          <t>VÄSTERBOTTENS LÄN</t>
        </is>
      </c>
      <c r="E293" t="inlineStr">
        <is>
          <t>LYCKSELE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12333-2024</t>
        </is>
      </c>
      <c r="B294" s="1" t="n">
        <v>45378</v>
      </c>
      <c r="C294" s="1" t="n">
        <v>46043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57330-2025</t>
        </is>
      </c>
      <c r="B295" s="1" t="n">
        <v>45980.34450231482</v>
      </c>
      <c r="C295" s="1" t="n">
        <v>46043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57531-2025</t>
        </is>
      </c>
      <c r="B296" s="1" t="n">
        <v>45980.63579861111</v>
      </c>
      <c r="C296" s="1" t="n">
        <v>46043</v>
      </c>
      <c r="D296" t="inlineStr">
        <is>
          <t>VÄSTERBOTTENS LÄN</t>
        </is>
      </c>
      <c r="E296" t="inlineStr">
        <is>
          <t>LYCKSELE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38325-2025</t>
        </is>
      </c>
      <c r="B297" s="1" t="n">
        <v>45883.49055555555</v>
      </c>
      <c r="C297" s="1" t="n">
        <v>46043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22408-2025</t>
        </is>
      </c>
      <c r="B298" s="1" t="n">
        <v>45786</v>
      </c>
      <c r="C298" s="1" t="n">
        <v>46043</v>
      </c>
      <c r="D298" t="inlineStr">
        <is>
          <t>VÄSTERBOTTENS LÄN</t>
        </is>
      </c>
      <c r="E298" t="inlineStr">
        <is>
          <t>LYCKSELE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57295-2025</t>
        </is>
      </c>
      <c r="B299" s="1" t="n">
        <v>45979</v>
      </c>
      <c r="C299" s="1" t="n">
        <v>46043</v>
      </c>
      <c r="D299" t="inlineStr">
        <is>
          <t>VÄSTERBOTTENS LÄN</t>
        </is>
      </c>
      <c r="E299" t="inlineStr">
        <is>
          <t>LYCKSELE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57297-2025</t>
        </is>
      </c>
      <c r="B300" s="1" t="n">
        <v>45979</v>
      </c>
      <c r="C300" s="1" t="n">
        <v>46043</v>
      </c>
      <c r="D300" t="inlineStr">
        <is>
          <t>VÄSTERBOTTENS LÄN</t>
        </is>
      </c>
      <c r="E300" t="inlineStr">
        <is>
          <t>LYCKSELE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57298-2025</t>
        </is>
      </c>
      <c r="B301" s="1" t="n">
        <v>45979</v>
      </c>
      <c r="C301" s="1" t="n">
        <v>46043</v>
      </c>
      <c r="D301" t="inlineStr">
        <is>
          <t>VÄSTERBOTTENS LÄN</t>
        </is>
      </c>
      <c r="E301" t="inlineStr">
        <is>
          <t>LYCKSELE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57238-2025</t>
        </is>
      </c>
      <c r="B302" s="1" t="n">
        <v>45979</v>
      </c>
      <c r="C302" s="1" t="n">
        <v>46043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57243-2025</t>
        </is>
      </c>
      <c r="B303" s="1" t="n">
        <v>45979</v>
      </c>
      <c r="C303" s="1" t="n">
        <v>46043</v>
      </c>
      <c r="D303" t="inlineStr">
        <is>
          <t>VÄSTERBOTTENS LÄN</t>
        </is>
      </c>
      <c r="E303" t="inlineStr">
        <is>
          <t>LYCKSELE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57189-2025</t>
        </is>
      </c>
      <c r="B304" s="1" t="n">
        <v>45979.57579861111</v>
      </c>
      <c r="C304" s="1" t="n">
        <v>46043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22456-2025</t>
        </is>
      </c>
      <c r="B305" s="1" t="n">
        <v>45786.6059837963</v>
      </c>
      <c r="C305" s="1" t="n">
        <v>46043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57227-2025</t>
        </is>
      </c>
      <c r="B306" s="1" t="n">
        <v>45979</v>
      </c>
      <c r="C306" s="1" t="n">
        <v>46043</v>
      </c>
      <c r="D306" t="inlineStr">
        <is>
          <t>VÄSTERBOTTENS LÄN</t>
        </is>
      </c>
      <c r="E306" t="inlineStr">
        <is>
          <t>LYCKSELE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57197-2025</t>
        </is>
      </c>
      <c r="B307" s="1" t="n">
        <v>45979.58075231482</v>
      </c>
      <c r="C307" s="1" t="n">
        <v>46043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57241-2025</t>
        </is>
      </c>
      <c r="B308" s="1" t="n">
        <v>45979.62626157407</v>
      </c>
      <c r="C308" s="1" t="n">
        <v>46043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57385-2025</t>
        </is>
      </c>
      <c r="B309" s="1" t="n">
        <v>45980.41197916667</v>
      </c>
      <c r="C309" s="1" t="n">
        <v>46043</v>
      </c>
      <c r="D309" t="inlineStr">
        <is>
          <t>VÄSTERBOTTENS LÄN</t>
        </is>
      </c>
      <c r="E309" t="inlineStr">
        <is>
          <t>LYCKSELE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32474-2024</t>
        </is>
      </c>
      <c r="B310" s="1" t="n">
        <v>45513.31015046296</v>
      </c>
      <c r="C310" s="1" t="n">
        <v>46043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38347-2025</t>
        </is>
      </c>
      <c r="B311" s="1" t="n">
        <v>45883.51207175926</v>
      </c>
      <c r="C311" s="1" t="n">
        <v>46043</v>
      </c>
      <c r="D311" t="inlineStr">
        <is>
          <t>VÄSTERBOTTENS LÄN</t>
        </is>
      </c>
      <c r="E311" t="inlineStr">
        <is>
          <t>LYCKSELE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39165-2021</t>
        </is>
      </c>
      <c r="B312" s="1" t="n">
        <v>44412</v>
      </c>
      <c r="C312" s="1" t="n">
        <v>46043</v>
      </c>
      <c r="D312" t="inlineStr">
        <is>
          <t>VÄSTERBOTTENS LÄN</t>
        </is>
      </c>
      <c r="E312" t="inlineStr">
        <is>
          <t>LYCKSELE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41749-2024</t>
        </is>
      </c>
      <c r="B313" s="1" t="n">
        <v>45561.3359375</v>
      </c>
      <c r="C313" s="1" t="n">
        <v>46043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57669-2025</t>
        </is>
      </c>
      <c r="B314" s="1" t="n">
        <v>45981.42792824074</v>
      </c>
      <c r="C314" s="1" t="n">
        <v>46043</v>
      </c>
      <c r="D314" t="inlineStr">
        <is>
          <t>VÄSTERBOTTENS LÄN</t>
        </is>
      </c>
      <c r="E314" t="inlineStr">
        <is>
          <t>LYCKSELE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58094-2025</t>
        </is>
      </c>
      <c r="B315" s="1" t="n">
        <v>45982.57611111111</v>
      </c>
      <c r="C315" s="1" t="n">
        <v>46043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57668-2025</t>
        </is>
      </c>
      <c r="B316" s="1" t="n">
        <v>45981.42790509259</v>
      </c>
      <c r="C316" s="1" t="n">
        <v>46043</v>
      </c>
      <c r="D316" t="inlineStr">
        <is>
          <t>VÄSTERBOTTENS LÄN</t>
        </is>
      </c>
      <c r="E316" t="inlineStr">
        <is>
          <t>LYCKSELE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57653-2025</t>
        </is>
      </c>
      <c r="B317" s="1" t="n">
        <v>45981.39643518518</v>
      </c>
      <c r="C317" s="1" t="n">
        <v>46043</v>
      </c>
      <c r="D317" t="inlineStr">
        <is>
          <t>VÄSTERBOTTENS LÄN</t>
        </is>
      </c>
      <c r="E317" t="inlineStr">
        <is>
          <t>LYCKSELE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57735-2025</t>
        </is>
      </c>
      <c r="B318" s="1" t="n">
        <v>45981.51204861111</v>
      </c>
      <c r="C318" s="1" t="n">
        <v>46043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58171-2025</t>
        </is>
      </c>
      <c r="B319" s="1" t="n">
        <v>45982.7372337963</v>
      </c>
      <c r="C319" s="1" t="n">
        <v>46043</v>
      </c>
      <c r="D319" t="inlineStr">
        <is>
          <t>VÄSTERBOTTENS LÄN</t>
        </is>
      </c>
      <c r="E319" t="inlineStr">
        <is>
          <t>LYCKSELE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19765-2024</t>
        </is>
      </c>
      <c r="B320" s="1" t="n">
        <v>45432.70289351852</v>
      </c>
      <c r="C320" s="1" t="n">
        <v>46043</v>
      </c>
      <c r="D320" t="inlineStr">
        <is>
          <t>VÄSTERBOTTENS LÄN</t>
        </is>
      </c>
      <c r="E320" t="inlineStr">
        <is>
          <t>LYCKSELE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53320-2021</t>
        </is>
      </c>
      <c r="B321" s="1" t="n">
        <v>44468.55635416666</v>
      </c>
      <c r="C321" s="1" t="n">
        <v>46043</v>
      </c>
      <c r="D321" t="inlineStr">
        <is>
          <t>VÄSTERBOTTENS LÄN</t>
        </is>
      </c>
      <c r="E321" t="inlineStr">
        <is>
          <t>LYCKSELE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22423-2025</t>
        </is>
      </c>
      <c r="B322" s="1" t="n">
        <v>45786.5633912037</v>
      </c>
      <c r="C322" s="1" t="n">
        <v>46043</v>
      </c>
      <c r="D322" t="inlineStr">
        <is>
          <t>VÄSTERBOTTENS LÄN</t>
        </is>
      </c>
      <c r="E322" t="inlineStr">
        <is>
          <t>LYCKSELE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24361-2024</t>
        </is>
      </c>
      <c r="B323" s="1" t="n">
        <v>45457.60049768518</v>
      </c>
      <c r="C323" s="1" t="n">
        <v>46043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58097-2025</t>
        </is>
      </c>
      <c r="B324" s="1" t="n">
        <v>45982.58362268518</v>
      </c>
      <c r="C324" s="1" t="n">
        <v>46043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22732-2025</t>
        </is>
      </c>
      <c r="B325" s="1" t="n">
        <v>45789.58261574074</v>
      </c>
      <c r="C325" s="1" t="n">
        <v>46043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58140-2025</t>
        </is>
      </c>
      <c r="B326" s="1" t="n">
        <v>45981</v>
      </c>
      <c r="C326" s="1" t="n">
        <v>46043</v>
      </c>
      <c r="D326" t="inlineStr">
        <is>
          <t>VÄSTERBOTTENS LÄN</t>
        </is>
      </c>
      <c r="E326" t="inlineStr">
        <is>
          <t>LYCKSELE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58920-2022</t>
        </is>
      </c>
      <c r="B327" s="1" t="n">
        <v>44896</v>
      </c>
      <c r="C327" s="1" t="n">
        <v>46043</v>
      </c>
      <c r="D327" t="inlineStr">
        <is>
          <t>VÄSTERBOTTENS LÄN</t>
        </is>
      </c>
      <c r="E327" t="inlineStr">
        <is>
          <t>LYCKSELE</t>
        </is>
      </c>
      <c r="G327" t="n">
        <v>20.5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37823-2025</t>
        </is>
      </c>
      <c r="B328" s="1" t="n">
        <v>45881.40667824074</v>
      </c>
      <c r="C328" s="1" t="n">
        <v>46043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57984-2025</t>
        </is>
      </c>
      <c r="B329" s="1" t="n">
        <v>45982.41556712963</v>
      </c>
      <c r="C329" s="1" t="n">
        <v>46043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39135-2025</t>
        </is>
      </c>
      <c r="B330" s="1" t="n">
        <v>45888.59356481482</v>
      </c>
      <c r="C330" s="1" t="n">
        <v>46043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39143-2025</t>
        </is>
      </c>
      <c r="B331" s="1" t="n">
        <v>45888.59829861111</v>
      </c>
      <c r="C331" s="1" t="n">
        <v>46043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39162-2025</t>
        </is>
      </c>
      <c r="B332" s="1" t="n">
        <v>45888.63608796296</v>
      </c>
      <c r="C332" s="1" t="n">
        <v>46043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58975-2022</t>
        </is>
      </c>
      <c r="B333" s="1" t="n">
        <v>44903</v>
      </c>
      <c r="C333" s="1" t="n">
        <v>46043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38925-2025</t>
        </is>
      </c>
      <c r="B334" s="1" t="n">
        <v>45887.6322337963</v>
      </c>
      <c r="C334" s="1" t="n">
        <v>46043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38988-2025</t>
        </is>
      </c>
      <c r="B335" s="1" t="n">
        <v>45888.31405092592</v>
      </c>
      <c r="C335" s="1" t="n">
        <v>46043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22759-2025</t>
        </is>
      </c>
      <c r="B336" s="1" t="n">
        <v>45789.61988425926</v>
      </c>
      <c r="C336" s="1" t="n">
        <v>46043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32854-2024</t>
        </is>
      </c>
      <c r="B337" s="1" t="n">
        <v>45516.63974537037</v>
      </c>
      <c r="C337" s="1" t="n">
        <v>46043</v>
      </c>
      <c r="D337" t="inlineStr">
        <is>
          <t>VÄSTERBOTTENS LÄN</t>
        </is>
      </c>
      <c r="E337" t="inlineStr">
        <is>
          <t>LYCKSELE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38777-2025</t>
        </is>
      </c>
      <c r="B338" s="1" t="n">
        <v>45887.43675925926</v>
      </c>
      <c r="C338" s="1" t="n">
        <v>46043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26531-2024</t>
        </is>
      </c>
      <c r="B339" s="1" t="n">
        <v>45469</v>
      </c>
      <c r="C339" s="1" t="n">
        <v>46043</v>
      </c>
      <c r="D339" t="inlineStr">
        <is>
          <t>VÄSTERBOTTENS LÄN</t>
        </is>
      </c>
      <c r="E339" t="inlineStr">
        <is>
          <t>LYCKSELE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39151-2025</t>
        </is>
      </c>
      <c r="B340" s="1" t="n">
        <v>45888.60806712963</v>
      </c>
      <c r="C340" s="1" t="n">
        <v>46043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22584-2025</t>
        </is>
      </c>
      <c r="B341" s="1" t="n">
        <v>45789</v>
      </c>
      <c r="C341" s="1" t="n">
        <v>46043</v>
      </c>
      <c r="D341" t="inlineStr">
        <is>
          <t>VÄSTERBOTTENS LÄN</t>
        </is>
      </c>
      <c r="E341" t="inlineStr">
        <is>
          <t>LYCKSELE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8596-2025</t>
        </is>
      </c>
      <c r="B342" s="1" t="n">
        <v>45709.73266203704</v>
      </c>
      <c r="C342" s="1" t="n">
        <v>46043</v>
      </c>
      <c r="D342" t="inlineStr">
        <is>
          <t>VÄSTERBOTTENS LÄN</t>
        </is>
      </c>
      <c r="E342" t="inlineStr">
        <is>
          <t>LYCKSELE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43770-2025</t>
        </is>
      </c>
      <c r="B343" s="1" t="n">
        <v>45912</v>
      </c>
      <c r="C343" s="1" t="n">
        <v>46043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38922-2025</t>
        </is>
      </c>
      <c r="B344" s="1" t="n">
        <v>45887.62902777778</v>
      </c>
      <c r="C344" s="1" t="n">
        <v>46043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38774-2025</t>
        </is>
      </c>
      <c r="B345" s="1" t="n">
        <v>45887.42543981481</v>
      </c>
      <c r="C345" s="1" t="n">
        <v>46043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58223-2025</t>
        </is>
      </c>
      <c r="B346" s="1" t="n">
        <v>45985.36523148148</v>
      </c>
      <c r="C346" s="1" t="n">
        <v>46043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58261-2025</t>
        </is>
      </c>
      <c r="B347" s="1" t="n">
        <v>45985.41515046296</v>
      </c>
      <c r="C347" s="1" t="n">
        <v>46043</v>
      </c>
      <c r="D347" t="inlineStr">
        <is>
          <t>VÄSTERBOTTENS LÄN</t>
        </is>
      </c>
      <c r="E347" t="inlineStr">
        <is>
          <t>LYCKSELE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22720-2025</t>
        </is>
      </c>
      <c r="B348" s="1" t="n">
        <v>45789.5709375</v>
      </c>
      <c r="C348" s="1" t="n">
        <v>46043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58631-2025</t>
        </is>
      </c>
      <c r="B349" s="1" t="n">
        <v>45986.48609953704</v>
      </c>
      <c r="C349" s="1" t="n">
        <v>46043</v>
      </c>
      <c r="D349" t="inlineStr">
        <is>
          <t>VÄSTERBOTTENS LÄN</t>
        </is>
      </c>
      <c r="E349" t="inlineStr">
        <is>
          <t>LYCKSELE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31965-2025</t>
        </is>
      </c>
      <c r="B350" s="1" t="n">
        <v>45835.34505787037</v>
      </c>
      <c r="C350" s="1" t="n">
        <v>46043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58263-2025</t>
        </is>
      </c>
      <c r="B351" s="1" t="n">
        <v>45985.41804398148</v>
      </c>
      <c r="C351" s="1" t="n">
        <v>46043</v>
      </c>
      <c r="D351" t="inlineStr">
        <is>
          <t>VÄSTERBOTTENS LÄN</t>
        </is>
      </c>
      <c r="E351" t="inlineStr">
        <is>
          <t>LYCKSELE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8941-2025</t>
        </is>
      </c>
      <c r="B352" s="1" t="n">
        <v>45713.44863425926</v>
      </c>
      <c r="C352" s="1" t="n">
        <v>46043</v>
      </c>
      <c r="D352" t="inlineStr">
        <is>
          <t>VÄSTERBOTTENS LÄN</t>
        </is>
      </c>
      <c r="E352" t="inlineStr">
        <is>
          <t>LYCKSELE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22344-2025</t>
        </is>
      </c>
      <c r="B353" s="1" t="n">
        <v>45786.44856481482</v>
      </c>
      <c r="C353" s="1" t="n">
        <v>46043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16563-2024</t>
        </is>
      </c>
      <c r="B354" s="1" t="n">
        <v>45408</v>
      </c>
      <c r="C354" s="1" t="n">
        <v>46043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32690-2024</t>
        </is>
      </c>
      <c r="B355" s="1" t="n">
        <v>45515.85923611111</v>
      </c>
      <c r="C355" s="1" t="n">
        <v>46043</v>
      </c>
      <c r="D355" t="inlineStr">
        <is>
          <t>VÄSTERBOTTENS LÄN</t>
        </is>
      </c>
      <c r="E355" t="inlineStr">
        <is>
          <t>LYCKSELE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58462-2025</t>
        </is>
      </c>
      <c r="B356" s="1" t="n">
        <v>45985.63643518519</v>
      </c>
      <c r="C356" s="1" t="n">
        <v>46043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34111-2025</t>
        </is>
      </c>
      <c r="B357" s="1" t="n">
        <v>45845.50052083333</v>
      </c>
      <c r="C357" s="1" t="n">
        <v>46043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58666-2025</t>
        </is>
      </c>
      <c r="B358" s="1" t="n">
        <v>45986.54143518519</v>
      </c>
      <c r="C358" s="1" t="n">
        <v>46043</v>
      </c>
      <c r="D358" t="inlineStr">
        <is>
          <t>VÄSTERBOTTENS LÄN</t>
        </is>
      </c>
      <c r="E358" t="inlineStr">
        <is>
          <t>LYCKSELE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27553-2024</t>
        </is>
      </c>
      <c r="B359" s="1" t="n">
        <v>45474.61927083333</v>
      </c>
      <c r="C359" s="1" t="n">
        <v>46043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38960-2025</t>
        </is>
      </c>
      <c r="B360" s="1" t="n">
        <v>45887.67797453704</v>
      </c>
      <c r="C360" s="1" t="n">
        <v>46043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58610-2025</t>
        </is>
      </c>
      <c r="B361" s="1" t="n">
        <v>45986.45059027777</v>
      </c>
      <c r="C361" s="1" t="n">
        <v>46043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60267-2022</t>
        </is>
      </c>
      <c r="B362" s="1" t="n">
        <v>44910</v>
      </c>
      <c r="C362" s="1" t="n">
        <v>46043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47182-2024</t>
        </is>
      </c>
      <c r="B363" s="1" t="n">
        <v>45586</v>
      </c>
      <c r="C363" s="1" t="n">
        <v>46043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21803-2024</t>
        </is>
      </c>
      <c r="B364" s="1" t="n">
        <v>45442</v>
      </c>
      <c r="C364" s="1" t="n">
        <v>46043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39500-2025</t>
        </is>
      </c>
      <c r="B365" s="1" t="n">
        <v>45890</v>
      </c>
      <c r="C365" s="1" t="n">
        <v>46043</v>
      </c>
      <c r="D365" t="inlineStr">
        <is>
          <t>VÄSTERBOTTENS LÄN</t>
        </is>
      </c>
      <c r="E365" t="inlineStr">
        <is>
          <t>LYCKSELE</t>
        </is>
      </c>
      <c r="G365" t="n">
        <v>22.6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39517-2025</t>
        </is>
      </c>
      <c r="B366" s="1" t="n">
        <v>45890.42685185185</v>
      </c>
      <c r="C366" s="1" t="n">
        <v>46043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39543-2025</t>
        </is>
      </c>
      <c r="B367" s="1" t="n">
        <v>45890.45545138889</v>
      </c>
      <c r="C367" s="1" t="n">
        <v>46043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3546-2024</t>
        </is>
      </c>
      <c r="B368" s="1" t="n">
        <v>45320</v>
      </c>
      <c r="C368" s="1" t="n">
        <v>46043</v>
      </c>
      <c r="D368" t="inlineStr">
        <is>
          <t>VÄSTERBOTTENS LÄN</t>
        </is>
      </c>
      <c r="E368" t="inlineStr">
        <is>
          <t>LYCKSELE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39562-2025</t>
        </is>
      </c>
      <c r="B369" s="1" t="n">
        <v>45890.47592592592</v>
      </c>
      <c r="C369" s="1" t="n">
        <v>46043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23554-2025</t>
        </is>
      </c>
      <c r="B370" s="1" t="n">
        <v>45792.57557870371</v>
      </c>
      <c r="C370" s="1" t="n">
        <v>46043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39239-2025</t>
        </is>
      </c>
      <c r="B371" s="1" t="n">
        <v>45889.33643518519</v>
      </c>
      <c r="C371" s="1" t="n">
        <v>46043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58368-2025</t>
        </is>
      </c>
      <c r="B372" s="1" t="n">
        <v>45985.5278125</v>
      </c>
      <c r="C372" s="1" t="n">
        <v>46043</v>
      </c>
      <c r="D372" t="inlineStr">
        <is>
          <t>VÄSTERBOTTENS LÄN</t>
        </is>
      </c>
      <c r="E372" t="inlineStr">
        <is>
          <t>LYCKSELE</t>
        </is>
      </c>
      <c r="G372" t="n">
        <v>23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39432-2025</t>
        </is>
      </c>
      <c r="B373" s="1" t="n">
        <v>45889.67777777778</v>
      </c>
      <c r="C373" s="1" t="n">
        <v>46043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39436-2025</t>
        </is>
      </c>
      <c r="B374" s="1" t="n">
        <v>45889.67865740741</v>
      </c>
      <c r="C374" s="1" t="n">
        <v>46043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31251-2024</t>
        </is>
      </c>
      <c r="B375" s="1" t="n">
        <v>45503.65972222222</v>
      </c>
      <c r="C375" s="1" t="n">
        <v>46043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39435-2025</t>
        </is>
      </c>
      <c r="B376" s="1" t="n">
        <v>45889.67834490741</v>
      </c>
      <c r="C376" s="1" t="n">
        <v>46043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39458-2025</t>
        </is>
      </c>
      <c r="B377" s="1" t="n">
        <v>45889.82722222222</v>
      </c>
      <c r="C377" s="1" t="n">
        <v>46043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39521-2025</t>
        </is>
      </c>
      <c r="B378" s="1" t="n">
        <v>45890.43667824074</v>
      </c>
      <c r="C378" s="1" t="n">
        <v>46043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39242-2025</t>
        </is>
      </c>
      <c r="B379" s="1" t="n">
        <v>45889.34109953704</v>
      </c>
      <c r="C379" s="1" t="n">
        <v>46043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26071-2024</t>
        </is>
      </c>
      <c r="B380" s="1" t="n">
        <v>45468.36027777778</v>
      </c>
      <c r="C380" s="1" t="n">
        <v>46043</v>
      </c>
      <c r="D380" t="inlineStr">
        <is>
          <t>VÄSTERBOTTENS LÄN</t>
        </is>
      </c>
      <c r="E380" t="inlineStr">
        <is>
          <t>LYCKSELE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39648-2025</t>
        </is>
      </c>
      <c r="B381" s="1" t="n">
        <v>45890.61520833334</v>
      </c>
      <c r="C381" s="1" t="n">
        <v>46043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19.3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39527-2025</t>
        </is>
      </c>
      <c r="B382" s="1" t="n">
        <v>45890</v>
      </c>
      <c r="C382" s="1" t="n">
        <v>46043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39342-2025</t>
        </is>
      </c>
      <c r="B383" s="1" t="n">
        <v>45889.52583333333</v>
      </c>
      <c r="C383" s="1" t="n">
        <v>46043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39552-2025</t>
        </is>
      </c>
      <c r="B384" s="1" t="n">
        <v>45890.46518518519</v>
      </c>
      <c r="C384" s="1" t="n">
        <v>46043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54539-2023</t>
        </is>
      </c>
      <c r="B385" s="1" t="n">
        <v>45226</v>
      </c>
      <c r="C385" s="1" t="n">
        <v>46043</v>
      </c>
      <c r="D385" t="inlineStr">
        <is>
          <t>VÄSTERBOTTENS LÄN</t>
        </is>
      </c>
      <c r="E385" t="inlineStr">
        <is>
          <t>LYCKSELE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60117-2022</t>
        </is>
      </c>
      <c r="B386" s="1" t="n">
        <v>44909</v>
      </c>
      <c r="C386" s="1" t="n">
        <v>46043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60122-2022</t>
        </is>
      </c>
      <c r="B387" s="1" t="n">
        <v>44909</v>
      </c>
      <c r="C387" s="1" t="n">
        <v>46043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39482-2025</t>
        </is>
      </c>
      <c r="B388" s="1" t="n">
        <v>45890.35861111111</v>
      </c>
      <c r="C388" s="1" t="n">
        <v>46043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23645-2025</t>
        </is>
      </c>
      <c r="B389" s="1" t="n">
        <v>45792.69283564815</v>
      </c>
      <c r="C389" s="1" t="n">
        <v>46043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1103-2026</t>
        </is>
      </c>
      <c r="B390" s="1" t="n">
        <v>46030.6678587963</v>
      </c>
      <c r="C390" s="1" t="n">
        <v>46043</v>
      </c>
      <c r="D390" t="inlineStr">
        <is>
          <t>VÄSTERBOTTENS LÄN</t>
        </is>
      </c>
      <c r="E390" t="inlineStr">
        <is>
          <t>LYCKSELE</t>
        </is>
      </c>
      <c r="G390" t="n">
        <v>16.3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34567-2023</t>
        </is>
      </c>
      <c r="B391" s="1" t="n">
        <v>45140</v>
      </c>
      <c r="C391" s="1" t="n">
        <v>46043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40238-2025</t>
        </is>
      </c>
      <c r="B392" s="1" t="n">
        <v>45894</v>
      </c>
      <c r="C392" s="1" t="n">
        <v>46043</v>
      </c>
      <c r="D392" t="inlineStr">
        <is>
          <t>VÄSTERBOTTENS LÄN</t>
        </is>
      </c>
      <c r="E392" t="inlineStr">
        <is>
          <t>LYCKSELE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36900-2023</t>
        </is>
      </c>
      <c r="B393" s="1" t="n">
        <v>45154.64055555555</v>
      </c>
      <c r="C393" s="1" t="n">
        <v>46043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1085-2026</t>
        </is>
      </c>
      <c r="B394" s="1" t="n">
        <v>46030.65726851852</v>
      </c>
      <c r="C394" s="1" t="n">
        <v>46043</v>
      </c>
      <c r="D394" t="inlineStr">
        <is>
          <t>VÄSTERBOTTENS LÄN</t>
        </is>
      </c>
      <c r="E394" t="inlineStr">
        <is>
          <t>LYCKSELE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33689-2024</t>
        </is>
      </c>
      <c r="B395" s="1" t="n">
        <v>45520.51114583333</v>
      </c>
      <c r="C395" s="1" t="n">
        <v>46043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33701-2024</t>
        </is>
      </c>
      <c r="B396" s="1" t="n">
        <v>45520.52251157408</v>
      </c>
      <c r="C396" s="1" t="n">
        <v>46043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23297-2023</t>
        </is>
      </c>
      <c r="B397" s="1" t="n">
        <v>45075</v>
      </c>
      <c r="C397" s="1" t="n">
        <v>46043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40079-2025</t>
        </is>
      </c>
      <c r="B398" s="1" t="n">
        <v>45894.4565162037</v>
      </c>
      <c r="C398" s="1" t="n">
        <v>46043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39936-2025</t>
        </is>
      </c>
      <c r="B399" s="1" t="n">
        <v>45891</v>
      </c>
      <c r="C399" s="1" t="n">
        <v>46043</v>
      </c>
      <c r="D399" t="inlineStr">
        <is>
          <t>VÄSTERBOTTENS LÄN</t>
        </is>
      </c>
      <c r="E399" t="inlineStr">
        <is>
          <t>LYCKSELE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58192-2023</t>
        </is>
      </c>
      <c r="B400" s="1" t="n">
        <v>45245</v>
      </c>
      <c r="C400" s="1" t="n">
        <v>46043</v>
      </c>
      <c r="D400" t="inlineStr">
        <is>
          <t>VÄSTERBOTTENS LÄN</t>
        </is>
      </c>
      <c r="E400" t="inlineStr">
        <is>
          <t>LYCKSELE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17393-2023</t>
        </is>
      </c>
      <c r="B401" s="1" t="n">
        <v>45035</v>
      </c>
      <c r="C401" s="1" t="n">
        <v>46043</v>
      </c>
      <c r="D401" t="inlineStr">
        <is>
          <t>VÄSTERBOTTENS LÄN</t>
        </is>
      </c>
      <c r="E401" t="inlineStr">
        <is>
          <t>LYCKSELE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59080-2025</t>
        </is>
      </c>
      <c r="B402" s="1" t="n">
        <v>45988.43402777778</v>
      </c>
      <c r="C402" s="1" t="n">
        <v>46043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58776-2025</t>
        </is>
      </c>
      <c r="B403" s="1" t="n">
        <v>45986.69864583333</v>
      </c>
      <c r="C403" s="1" t="n">
        <v>46043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19270-2024</t>
        </is>
      </c>
      <c r="B404" s="1" t="n">
        <v>45428</v>
      </c>
      <c r="C404" s="1" t="n">
        <v>46043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40342-2025</t>
        </is>
      </c>
      <c r="B405" s="1" t="n">
        <v>45895.46971064815</v>
      </c>
      <c r="C405" s="1" t="n">
        <v>46043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40635-2025</t>
        </is>
      </c>
      <c r="B406" s="1" t="n">
        <v>45896.60385416666</v>
      </c>
      <c r="C406" s="1" t="n">
        <v>46043</v>
      </c>
      <c r="D406" t="inlineStr">
        <is>
          <t>VÄSTERBOTTENS LÄN</t>
        </is>
      </c>
      <c r="E406" t="inlineStr">
        <is>
          <t>LYCKSELE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40657-2025</t>
        </is>
      </c>
      <c r="B407" s="1" t="n">
        <v>45896.63950231481</v>
      </c>
      <c r="C407" s="1" t="n">
        <v>46043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70195-2021</t>
        </is>
      </c>
      <c r="B408" s="1" t="n">
        <v>44534.49537037037</v>
      </c>
      <c r="C408" s="1" t="n">
        <v>46043</v>
      </c>
      <c r="D408" t="inlineStr">
        <is>
          <t>VÄSTERBOTTENS LÄN</t>
        </is>
      </c>
      <c r="E408" t="inlineStr">
        <is>
          <t>LYCKSELE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40746-2025</t>
        </is>
      </c>
      <c r="B409" s="1" t="n">
        <v>45897.37753472223</v>
      </c>
      <c r="C409" s="1" t="n">
        <v>46043</v>
      </c>
      <c r="D409" t="inlineStr">
        <is>
          <t>VÄSTERBOTTENS LÄN</t>
        </is>
      </c>
      <c r="E409" t="inlineStr">
        <is>
          <t>LYCKSELE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40751-2025</t>
        </is>
      </c>
      <c r="B410" s="1" t="n">
        <v>45897.38390046296</v>
      </c>
      <c r="C410" s="1" t="n">
        <v>46043</v>
      </c>
      <c r="D410" t="inlineStr">
        <is>
          <t>VÄSTERBOTTENS LÄN</t>
        </is>
      </c>
      <c r="E410" t="inlineStr">
        <is>
          <t>LYCKSELE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53226-2022</t>
        </is>
      </c>
      <c r="B411" s="1" t="n">
        <v>44876.63155092593</v>
      </c>
      <c r="C411" s="1" t="n">
        <v>46043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29449-2024</t>
        </is>
      </c>
      <c r="B412" s="1" t="n">
        <v>45483.93377314815</v>
      </c>
      <c r="C412" s="1" t="n">
        <v>46043</v>
      </c>
      <c r="D412" t="inlineStr">
        <is>
          <t>VÄSTERBOTTENS LÄN</t>
        </is>
      </c>
      <c r="E412" t="inlineStr">
        <is>
          <t>LYCKSELE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59736-2025</t>
        </is>
      </c>
      <c r="B413" s="1" t="n">
        <v>45992.57357638889</v>
      </c>
      <c r="C413" s="1" t="n">
        <v>46043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23551-2025</t>
        </is>
      </c>
      <c r="B414" s="1" t="n">
        <v>45792.57373842593</v>
      </c>
      <c r="C414" s="1" t="n">
        <v>46043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26483-2024</t>
        </is>
      </c>
      <c r="B415" s="1" t="n">
        <v>45469.55527777778</v>
      </c>
      <c r="C415" s="1" t="n">
        <v>46043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66460-2021</t>
        </is>
      </c>
      <c r="B416" s="1" t="n">
        <v>44518.92194444445</v>
      </c>
      <c r="C416" s="1" t="n">
        <v>46043</v>
      </c>
      <c r="D416" t="inlineStr">
        <is>
          <t>VÄSTERBOTTENS LÄN</t>
        </is>
      </c>
      <c r="E416" t="inlineStr">
        <is>
          <t>LYCKSELE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23801-2025</t>
        </is>
      </c>
      <c r="B417" s="1" t="n">
        <v>45793.55439814815</v>
      </c>
      <c r="C417" s="1" t="n">
        <v>46043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59816-2025</t>
        </is>
      </c>
      <c r="B418" s="1" t="n">
        <v>45992</v>
      </c>
      <c r="C418" s="1" t="n">
        <v>46043</v>
      </c>
      <c r="D418" t="inlineStr">
        <is>
          <t>VÄSTERBOTTENS LÄN</t>
        </is>
      </c>
      <c r="E418" t="inlineStr">
        <is>
          <t>LYCKSELE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59818-2025</t>
        </is>
      </c>
      <c r="B419" s="1" t="n">
        <v>45992.63871527778</v>
      </c>
      <c r="C419" s="1" t="n">
        <v>46043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51669-2024</t>
        </is>
      </c>
      <c r="B420" s="1" t="n">
        <v>45606.8803587963</v>
      </c>
      <c r="C420" s="1" t="n">
        <v>46043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41711-2023</t>
        </is>
      </c>
      <c r="B421" s="1" t="n">
        <v>45176.39111111111</v>
      </c>
      <c r="C421" s="1" t="n">
        <v>46043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41087-2025</t>
        </is>
      </c>
      <c r="B422" s="1" t="n">
        <v>45898.43600694444</v>
      </c>
      <c r="C422" s="1" t="n">
        <v>46043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42023-2024</t>
        </is>
      </c>
      <c r="B423" s="1" t="n">
        <v>45561</v>
      </c>
      <c r="C423" s="1" t="n">
        <v>46043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1561-2026</t>
        </is>
      </c>
      <c r="B424" s="1" t="n">
        <v>46034.39422453703</v>
      </c>
      <c r="C424" s="1" t="n">
        <v>46043</v>
      </c>
      <c r="D424" t="inlineStr">
        <is>
          <t>VÄSTERBOTTENS LÄN</t>
        </is>
      </c>
      <c r="E424" t="inlineStr">
        <is>
          <t>LYCKSELE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58777-2025</t>
        </is>
      </c>
      <c r="B425" s="1" t="n">
        <v>45986.69869212963</v>
      </c>
      <c r="C425" s="1" t="n">
        <v>46043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14343-2024</t>
        </is>
      </c>
      <c r="B426" s="1" t="n">
        <v>45393</v>
      </c>
      <c r="C426" s="1" t="n">
        <v>46043</v>
      </c>
      <c r="D426" t="inlineStr">
        <is>
          <t>VÄSTERBOTTENS LÄN</t>
        </is>
      </c>
      <c r="E426" t="inlineStr">
        <is>
          <t>LYCKSELE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59458-2025</t>
        </is>
      </c>
      <c r="B427" s="1" t="n">
        <v>45989.5778125</v>
      </c>
      <c r="C427" s="1" t="n">
        <v>46043</v>
      </c>
      <c r="D427" t="inlineStr">
        <is>
          <t>VÄSTERBOTTENS LÄN</t>
        </is>
      </c>
      <c r="E427" t="inlineStr">
        <is>
          <t>LYCKSELE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48997-2021</t>
        </is>
      </c>
      <c r="B428" s="1" t="n">
        <v>44453.44574074074</v>
      </c>
      <c r="C428" s="1" t="n">
        <v>46043</v>
      </c>
      <c r="D428" t="inlineStr">
        <is>
          <t>VÄSTERBOTTENS LÄN</t>
        </is>
      </c>
      <c r="E428" t="inlineStr">
        <is>
          <t>LYCKSELE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59821-2025</t>
        </is>
      </c>
      <c r="B429" s="1" t="n">
        <v>45992.64299768519</v>
      </c>
      <c r="C429" s="1" t="n">
        <v>46043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59825-2025</t>
        </is>
      </c>
      <c r="B430" s="1" t="n">
        <v>45992.65414351852</v>
      </c>
      <c r="C430" s="1" t="n">
        <v>46043</v>
      </c>
      <c r="D430" t="inlineStr">
        <is>
          <t>VÄSTERBOTTENS LÄN</t>
        </is>
      </c>
      <c r="E430" t="inlineStr">
        <is>
          <t>LYCKSELE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60226-2022</t>
        </is>
      </c>
      <c r="B431" s="1" t="n">
        <v>44910</v>
      </c>
      <c r="C431" s="1" t="n">
        <v>46043</v>
      </c>
      <c r="D431" t="inlineStr">
        <is>
          <t>VÄSTERBOTTENS LÄN</t>
        </is>
      </c>
      <c r="E431" t="inlineStr">
        <is>
          <t>LYCKSELE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24129-2025</t>
        </is>
      </c>
      <c r="B432" s="1" t="n">
        <v>45796</v>
      </c>
      <c r="C432" s="1" t="n">
        <v>46043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41031-2025</t>
        </is>
      </c>
      <c r="B433" s="1" t="n">
        <v>45898.37825231482</v>
      </c>
      <c r="C433" s="1" t="n">
        <v>46043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24063-2025</t>
        </is>
      </c>
      <c r="B434" s="1" t="n">
        <v>45796.53043981481</v>
      </c>
      <c r="C434" s="1" t="n">
        <v>46043</v>
      </c>
      <c r="D434" t="inlineStr">
        <is>
          <t>VÄSTERBOTTENS LÄN</t>
        </is>
      </c>
      <c r="E434" t="inlineStr">
        <is>
          <t>LYCKSELE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45503-2021</t>
        </is>
      </c>
      <c r="B435" s="1" t="n">
        <v>44440</v>
      </c>
      <c r="C435" s="1" t="n">
        <v>46043</v>
      </c>
      <c r="D435" t="inlineStr">
        <is>
          <t>VÄSTERBOTTENS LÄN</t>
        </is>
      </c>
      <c r="E435" t="inlineStr">
        <is>
          <t>LYCKSELE</t>
        </is>
      </c>
      <c r="G435" t="n">
        <v>29.1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59467-2025</t>
        </is>
      </c>
      <c r="B436" s="1" t="n">
        <v>45989.58118055556</v>
      </c>
      <c r="C436" s="1" t="n">
        <v>46043</v>
      </c>
      <c r="D436" t="inlineStr">
        <is>
          <t>VÄSTERBOTTENS LÄN</t>
        </is>
      </c>
      <c r="E436" t="inlineStr">
        <is>
          <t>LYCKSELE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23679-2025</t>
        </is>
      </c>
      <c r="B437" s="1" t="n">
        <v>45793.32454861111</v>
      </c>
      <c r="C437" s="1" t="n">
        <v>46043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23827-2025</t>
        </is>
      </c>
      <c r="B438" s="1" t="n">
        <v>45793.59476851852</v>
      </c>
      <c r="C438" s="1" t="n">
        <v>46043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1751-2026</t>
        </is>
      </c>
      <c r="B439" s="1" t="n">
        <v>46034.65690972222</v>
      </c>
      <c r="C439" s="1" t="n">
        <v>46043</v>
      </c>
      <c r="D439" t="inlineStr">
        <is>
          <t>VÄSTERBOTTENS LÄN</t>
        </is>
      </c>
      <c r="E439" t="inlineStr">
        <is>
          <t>LYCKSELE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28893-2024</t>
        </is>
      </c>
      <c r="B440" s="1" t="n">
        <v>45479.949375</v>
      </c>
      <c r="C440" s="1" t="n">
        <v>46043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24346-2024</t>
        </is>
      </c>
      <c r="B441" s="1" t="n">
        <v>45457</v>
      </c>
      <c r="C441" s="1" t="n">
        <v>46043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17982-2025</t>
        </is>
      </c>
      <c r="B442" s="1" t="n">
        <v>45761.38211805555</v>
      </c>
      <c r="C442" s="1" t="n">
        <v>46043</v>
      </c>
      <c r="D442" t="inlineStr">
        <is>
          <t>VÄSTERBOTTENS LÄN</t>
        </is>
      </c>
      <c r="E442" t="inlineStr">
        <is>
          <t>LYCKSELE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59473-2025</t>
        </is>
      </c>
      <c r="B443" s="1" t="n">
        <v>45989.5844212963</v>
      </c>
      <c r="C443" s="1" t="n">
        <v>46043</v>
      </c>
      <c r="D443" t="inlineStr">
        <is>
          <t>VÄSTERBOTTENS LÄN</t>
        </is>
      </c>
      <c r="E443" t="inlineStr">
        <is>
          <t>LYCKSELE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1613-2026</t>
        </is>
      </c>
      <c r="B444" s="1" t="n">
        <v>46034.46943287037</v>
      </c>
      <c r="C444" s="1" t="n">
        <v>46043</v>
      </c>
      <c r="D444" t="inlineStr">
        <is>
          <t>VÄSTERBOTTENS LÄN</t>
        </is>
      </c>
      <c r="E444" t="inlineStr">
        <is>
          <t>LYCKSELE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47016-2022</t>
        </is>
      </c>
      <c r="B445" s="1" t="n">
        <v>44851</v>
      </c>
      <c r="C445" s="1" t="n">
        <v>46043</v>
      </c>
      <c r="D445" t="inlineStr">
        <is>
          <t>VÄSTERBOTTENS LÄN</t>
        </is>
      </c>
      <c r="E445" t="inlineStr">
        <is>
          <t>LYCKSELE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59812-2025</t>
        </is>
      </c>
      <c r="B446" s="1" t="n">
        <v>45992.63262731482</v>
      </c>
      <c r="C446" s="1" t="n">
        <v>46043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1746-2026</t>
        </is>
      </c>
      <c r="B447" s="1" t="n">
        <v>46034.65533564815</v>
      </c>
      <c r="C447" s="1" t="n">
        <v>46043</v>
      </c>
      <c r="D447" t="inlineStr">
        <is>
          <t>VÄSTERBOTTENS LÄN</t>
        </is>
      </c>
      <c r="E447" t="inlineStr">
        <is>
          <t>LYCKSELE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42075-2025</t>
        </is>
      </c>
      <c r="B448" s="1" t="n">
        <v>45902</v>
      </c>
      <c r="C448" s="1" t="n">
        <v>46043</v>
      </c>
      <c r="D448" t="inlineStr">
        <is>
          <t>VÄSTERBOTTENS LÄN</t>
        </is>
      </c>
      <c r="E448" t="inlineStr">
        <is>
          <t>LYCKSELE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57571-2025</t>
        </is>
      </c>
      <c r="B449" s="1" t="n">
        <v>45980.7933912037</v>
      </c>
      <c r="C449" s="1" t="n">
        <v>46043</v>
      </c>
      <c r="D449" t="inlineStr">
        <is>
          <t>VÄSTERBOTTENS LÄN</t>
        </is>
      </c>
      <c r="E449" t="inlineStr">
        <is>
          <t>LYCKSELE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2758-2023</t>
        </is>
      </c>
      <c r="B450" s="1" t="n">
        <v>44943</v>
      </c>
      <c r="C450" s="1" t="n">
        <v>46043</v>
      </c>
      <c r="D450" t="inlineStr">
        <is>
          <t>VÄSTERBOTTENS LÄN</t>
        </is>
      </c>
      <c r="E450" t="inlineStr">
        <is>
          <t>LYCKSELE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23798-2025</t>
        </is>
      </c>
      <c r="B451" s="1" t="n">
        <v>45793.55248842593</v>
      </c>
      <c r="C451" s="1" t="n">
        <v>46043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41604-2025</t>
        </is>
      </c>
      <c r="B452" s="1" t="n">
        <v>45901.66380787037</v>
      </c>
      <c r="C452" s="1" t="n">
        <v>46043</v>
      </c>
      <c r="D452" t="inlineStr">
        <is>
          <t>VÄSTERBOTTENS LÄN</t>
        </is>
      </c>
      <c r="E452" t="inlineStr">
        <is>
          <t>LYCKSELE</t>
        </is>
      </c>
      <c r="G452" t="n">
        <v>16.6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23315-2024</t>
        </is>
      </c>
      <c r="B453" s="1" t="n">
        <v>45453</v>
      </c>
      <c r="C453" s="1" t="n">
        <v>46043</v>
      </c>
      <c r="D453" t="inlineStr">
        <is>
          <t>VÄSTERBOTTENS LÄN</t>
        </is>
      </c>
      <c r="E453" t="inlineStr">
        <is>
          <t>LYCKSELE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59962-2025</t>
        </is>
      </c>
      <c r="B454" s="1" t="n">
        <v>45993.47164351852</v>
      </c>
      <c r="C454" s="1" t="n">
        <v>46043</v>
      </c>
      <c r="D454" t="inlineStr">
        <is>
          <t>VÄSTERBOTTENS LÄN</t>
        </is>
      </c>
      <c r="E454" t="inlineStr">
        <is>
          <t>LYCKSELE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60081-2025</t>
        </is>
      </c>
      <c r="B455" s="1" t="n">
        <v>45993.69276620371</v>
      </c>
      <c r="C455" s="1" t="n">
        <v>46043</v>
      </c>
      <c r="D455" t="inlineStr">
        <is>
          <t>VÄSTERBOTTENS LÄN</t>
        </is>
      </c>
      <c r="E455" t="inlineStr">
        <is>
          <t>LYCKSELE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14773-2025</t>
        </is>
      </c>
      <c r="B456" s="1" t="n">
        <v>45742.69009259259</v>
      </c>
      <c r="C456" s="1" t="n">
        <v>46043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50.1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14794-2025</t>
        </is>
      </c>
      <c r="B457" s="1" t="n">
        <v>45742.87457175926</v>
      </c>
      <c r="C457" s="1" t="n">
        <v>46043</v>
      </c>
      <c r="D457" t="inlineStr">
        <is>
          <t>VÄSTERBOTTENS LÄN</t>
        </is>
      </c>
      <c r="E457" t="inlineStr">
        <is>
          <t>LYCKSELE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31848-2024</t>
        </is>
      </c>
      <c r="B458" s="1" t="n">
        <v>45509.67273148148</v>
      </c>
      <c r="C458" s="1" t="n">
        <v>46043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42051-2025</t>
        </is>
      </c>
      <c r="B459" s="1" t="n">
        <v>45903.63274305555</v>
      </c>
      <c r="C459" s="1" t="n">
        <v>46043</v>
      </c>
      <c r="D459" t="inlineStr">
        <is>
          <t>VÄSTERBOTTENS LÄN</t>
        </is>
      </c>
      <c r="E459" t="inlineStr">
        <is>
          <t>LYCKSELE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41906-2025</t>
        </is>
      </c>
      <c r="B460" s="1" t="n">
        <v>45903.40400462963</v>
      </c>
      <c r="C460" s="1" t="n">
        <v>46043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41911-2025</t>
        </is>
      </c>
      <c r="B461" s="1" t="n">
        <v>45903.40899305556</v>
      </c>
      <c r="C461" s="1" t="n">
        <v>46043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64893-2021</t>
        </is>
      </c>
      <c r="B462" s="1" t="n">
        <v>44512.6299537037</v>
      </c>
      <c r="C462" s="1" t="n">
        <v>46043</v>
      </c>
      <c r="D462" t="inlineStr">
        <is>
          <t>VÄSTERBOTTENS LÄN</t>
        </is>
      </c>
      <c r="E462" t="inlineStr">
        <is>
          <t>LYCKSELE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24679-2025</t>
        </is>
      </c>
      <c r="B463" s="1" t="n">
        <v>45798</v>
      </c>
      <c r="C463" s="1" t="n">
        <v>46043</v>
      </c>
      <c r="D463" t="inlineStr">
        <is>
          <t>VÄSTERBOTTENS LÄN</t>
        </is>
      </c>
      <c r="E463" t="inlineStr">
        <is>
          <t>LYCKSELE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24511-2025</t>
        </is>
      </c>
      <c r="B464" s="1" t="n">
        <v>45798.40518518518</v>
      </c>
      <c r="C464" s="1" t="n">
        <v>46043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1812-2024</t>
        </is>
      </c>
      <c r="B465" s="1" t="n">
        <v>45307</v>
      </c>
      <c r="C465" s="1" t="n">
        <v>46043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42019-2025</t>
        </is>
      </c>
      <c r="B466" s="1" t="n">
        <v>45903.58563657408</v>
      </c>
      <c r="C466" s="1" t="n">
        <v>46043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42028-2025</t>
        </is>
      </c>
      <c r="B467" s="1" t="n">
        <v>45903.59854166667</v>
      </c>
      <c r="C467" s="1" t="n">
        <v>46043</v>
      </c>
      <c r="D467" t="inlineStr">
        <is>
          <t>VÄSTERBOTTENS LÄN</t>
        </is>
      </c>
      <c r="E467" t="inlineStr">
        <is>
          <t>LYCKSELE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54778-2024</t>
        </is>
      </c>
      <c r="B468" s="1" t="n">
        <v>45618</v>
      </c>
      <c r="C468" s="1" t="n">
        <v>46043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42057-2025</t>
        </is>
      </c>
      <c r="B469" s="1" t="n">
        <v>45903.64262731482</v>
      </c>
      <c r="C469" s="1" t="n">
        <v>46043</v>
      </c>
      <c r="D469" t="inlineStr">
        <is>
          <t>VÄSTERBOTTENS LÄN</t>
        </is>
      </c>
      <c r="E469" t="inlineStr">
        <is>
          <t>LYCKSELE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73113-2021</t>
        </is>
      </c>
      <c r="B470" s="1" t="n">
        <v>44550</v>
      </c>
      <c r="C470" s="1" t="n">
        <v>46043</v>
      </c>
      <c r="D470" t="inlineStr">
        <is>
          <t>VÄSTERBOTTENS LÄN</t>
        </is>
      </c>
      <c r="E470" t="inlineStr">
        <is>
          <t>LYCKSELE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24680-2025</t>
        </is>
      </c>
      <c r="B471" s="1" t="n">
        <v>45798</v>
      </c>
      <c r="C471" s="1" t="n">
        <v>46043</v>
      </c>
      <c r="D471" t="inlineStr">
        <is>
          <t>VÄSTERBOTTENS LÄN</t>
        </is>
      </c>
      <c r="E471" t="inlineStr">
        <is>
          <t>LYCKSELE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24603-2025</t>
        </is>
      </c>
      <c r="B472" s="1" t="n">
        <v>45798.57329861111</v>
      </c>
      <c r="C472" s="1" t="n">
        <v>46043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42500-2025</t>
        </is>
      </c>
      <c r="B473" s="1" t="n">
        <v>45905.52245370371</v>
      </c>
      <c r="C473" s="1" t="n">
        <v>46043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57108-2024</t>
        </is>
      </c>
      <c r="B474" s="1" t="n">
        <v>45629.36464120371</v>
      </c>
      <c r="C474" s="1" t="n">
        <v>46043</v>
      </c>
      <c r="D474" t="inlineStr">
        <is>
          <t>VÄSTERBOTTENS LÄN</t>
        </is>
      </c>
      <c r="E474" t="inlineStr">
        <is>
          <t>LYCKSELE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12261-2022</t>
        </is>
      </c>
      <c r="B475" s="1" t="n">
        <v>44637</v>
      </c>
      <c r="C475" s="1" t="n">
        <v>46043</v>
      </c>
      <c r="D475" t="inlineStr">
        <is>
          <t>VÄSTERBOTTENS LÄN</t>
        </is>
      </c>
      <c r="E475" t="inlineStr">
        <is>
          <t>LYCKSELE</t>
        </is>
      </c>
      <c r="G475" t="n">
        <v>30.8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60309-2025</t>
        </is>
      </c>
      <c r="B476" s="1" t="n">
        <v>45994.68822916667</v>
      </c>
      <c r="C476" s="1" t="n">
        <v>46043</v>
      </c>
      <c r="D476" t="inlineStr">
        <is>
          <t>VÄSTERBOTTENS LÄN</t>
        </is>
      </c>
      <c r="E476" t="inlineStr">
        <is>
          <t>LYCKSELE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25565-2025</t>
        </is>
      </c>
      <c r="B477" s="1" t="n">
        <v>45803.45731481481</v>
      </c>
      <c r="C477" s="1" t="n">
        <v>46043</v>
      </c>
      <c r="D477" t="inlineStr">
        <is>
          <t>VÄSTERBOTTENS LÄN</t>
        </is>
      </c>
      <c r="E477" t="inlineStr">
        <is>
          <t>LYCKSELE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42616-2025</t>
        </is>
      </c>
      <c r="B478" s="1" t="n">
        <v>45905.71912037037</v>
      </c>
      <c r="C478" s="1" t="n">
        <v>46043</v>
      </c>
      <c r="D478" t="inlineStr">
        <is>
          <t>VÄSTERBOTTENS LÄN</t>
        </is>
      </c>
      <c r="E478" t="inlineStr">
        <is>
          <t>LYCKSELE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62094-2023</t>
        </is>
      </c>
      <c r="B479" s="1" t="n">
        <v>45266</v>
      </c>
      <c r="C479" s="1" t="n">
        <v>46043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28170-2025</t>
        </is>
      </c>
      <c r="B480" s="1" t="n">
        <v>45818.37524305555</v>
      </c>
      <c r="C480" s="1" t="n">
        <v>46043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62906-2025</t>
        </is>
      </c>
      <c r="B481" s="1" t="n">
        <v>46009</v>
      </c>
      <c r="C481" s="1" t="n">
        <v>46043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32585-2024</t>
        </is>
      </c>
      <c r="B482" s="1" t="n">
        <v>45513.58017361111</v>
      </c>
      <c r="C482" s="1" t="n">
        <v>46043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24509-2025</t>
        </is>
      </c>
      <c r="B483" s="1" t="n">
        <v>45798.40288194444</v>
      </c>
      <c r="C483" s="1" t="n">
        <v>46043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48377-2024</t>
        </is>
      </c>
      <c r="B484" s="1" t="n">
        <v>45590.58260416667</v>
      </c>
      <c r="C484" s="1" t="n">
        <v>46043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60685-2022</t>
        </is>
      </c>
      <c r="B485" s="1" t="n">
        <v>44911</v>
      </c>
      <c r="C485" s="1" t="n">
        <v>46043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59927-2025</t>
        </is>
      </c>
      <c r="B486" s="1" t="n">
        <v>45993.39420138889</v>
      </c>
      <c r="C486" s="1" t="n">
        <v>46043</v>
      </c>
      <c r="D486" t="inlineStr">
        <is>
          <t>VÄSTERBOTTENS LÄN</t>
        </is>
      </c>
      <c r="E486" t="inlineStr">
        <is>
          <t>LYCKSELE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23596-2024</t>
        </is>
      </c>
      <c r="B487" s="1" t="n">
        <v>45454.38533564815</v>
      </c>
      <c r="C487" s="1" t="n">
        <v>46043</v>
      </c>
      <c r="D487" t="inlineStr">
        <is>
          <t>VÄSTERBOTTENS LÄN</t>
        </is>
      </c>
      <c r="E487" t="inlineStr">
        <is>
          <t>LYCKSELE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59928-2025</t>
        </is>
      </c>
      <c r="B488" s="1" t="n">
        <v>45993.39608796296</v>
      </c>
      <c r="C488" s="1" t="n">
        <v>46043</v>
      </c>
      <c r="D488" t="inlineStr">
        <is>
          <t>VÄSTERBOTTENS LÄN</t>
        </is>
      </c>
      <c r="E488" t="inlineStr">
        <is>
          <t>LYCKSELE</t>
        </is>
      </c>
      <c r="G488" t="n">
        <v>18.7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42405-2025</t>
        </is>
      </c>
      <c r="B489" s="1" t="n">
        <v>45905.37756944444</v>
      </c>
      <c r="C489" s="1" t="n">
        <v>46043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48405-2024</t>
        </is>
      </c>
      <c r="B490" s="1" t="n">
        <v>45590.62112268519</v>
      </c>
      <c r="C490" s="1" t="n">
        <v>46043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61390-2022</t>
        </is>
      </c>
      <c r="B491" s="1" t="n">
        <v>44915</v>
      </c>
      <c r="C491" s="1" t="n">
        <v>46043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38212-2024</t>
        </is>
      </c>
      <c r="B492" s="1" t="n">
        <v>45545.52331018518</v>
      </c>
      <c r="C492" s="1" t="n">
        <v>46043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42984-2025</t>
        </is>
      </c>
      <c r="B493" s="1" t="n">
        <v>45909.44195601852</v>
      </c>
      <c r="C493" s="1" t="n">
        <v>46043</v>
      </c>
      <c r="D493" t="inlineStr">
        <is>
          <t>VÄSTERBOTTENS LÄN</t>
        </is>
      </c>
      <c r="E493" t="inlineStr">
        <is>
          <t>LYCKSELE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57818-2021</t>
        </is>
      </c>
      <c r="B494" s="1" t="n">
        <v>44484.64653935185</v>
      </c>
      <c r="C494" s="1" t="n">
        <v>46043</v>
      </c>
      <c r="D494" t="inlineStr">
        <is>
          <t>VÄSTERBOTTENS LÄN</t>
        </is>
      </c>
      <c r="E494" t="inlineStr">
        <is>
          <t>LYCKSELE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38114-2024</t>
        </is>
      </c>
      <c r="B495" s="1" t="n">
        <v>45545</v>
      </c>
      <c r="C495" s="1" t="n">
        <v>46043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42986-2025</t>
        </is>
      </c>
      <c r="B496" s="1" t="n">
        <v>45909.44497685185</v>
      </c>
      <c r="C496" s="1" t="n">
        <v>46043</v>
      </c>
      <c r="D496" t="inlineStr">
        <is>
          <t>VÄSTERBOTTENS LÄN</t>
        </is>
      </c>
      <c r="E496" t="inlineStr">
        <is>
          <t>LYCKSELE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8964-2024</t>
        </is>
      </c>
      <c r="B497" s="1" t="n">
        <v>45357.47782407407</v>
      </c>
      <c r="C497" s="1" t="n">
        <v>46043</v>
      </c>
      <c r="D497" t="inlineStr">
        <is>
          <t>VÄSTERBOTTENS LÄN</t>
        </is>
      </c>
      <c r="E497" t="inlineStr">
        <is>
          <t>LYCKSELE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30421-2024</t>
        </is>
      </c>
      <c r="B498" s="1" t="n">
        <v>45491.66295138889</v>
      </c>
      <c r="C498" s="1" t="n">
        <v>46043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43583-2025</t>
        </is>
      </c>
      <c r="B499" s="1" t="n">
        <v>45911.6499537037</v>
      </c>
      <c r="C499" s="1" t="n">
        <v>46043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59287-2022</t>
        </is>
      </c>
      <c r="B500" s="1" t="n">
        <v>44904.60694444444</v>
      </c>
      <c r="C500" s="1" t="n">
        <v>46043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43660-2025</t>
        </is>
      </c>
      <c r="B501" s="1" t="n">
        <v>45912</v>
      </c>
      <c r="C501" s="1" t="n">
        <v>46043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42887-2024</t>
        </is>
      </c>
      <c r="B502" s="1" t="n">
        <v>45566.73494212963</v>
      </c>
      <c r="C502" s="1" t="n">
        <v>46043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43793-2025</t>
        </is>
      </c>
      <c r="B503" s="1" t="n">
        <v>45912</v>
      </c>
      <c r="C503" s="1" t="n">
        <v>46043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34897-2024</t>
        </is>
      </c>
      <c r="B504" s="1" t="n">
        <v>45527.36991898148</v>
      </c>
      <c r="C504" s="1" t="n">
        <v>46043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43788-2025</t>
        </is>
      </c>
      <c r="B505" s="1" t="n">
        <v>45912</v>
      </c>
      <c r="C505" s="1" t="n">
        <v>46043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60594-2025</t>
        </is>
      </c>
      <c r="B506" s="1" t="n">
        <v>45996.34412037037</v>
      </c>
      <c r="C506" s="1" t="n">
        <v>46043</v>
      </c>
      <c r="D506" t="inlineStr">
        <is>
          <t>VÄSTERBOTTENS LÄN</t>
        </is>
      </c>
      <c r="E506" t="inlineStr">
        <is>
          <t>LYCKSELE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60563-2025</t>
        </is>
      </c>
      <c r="B507" s="1" t="n">
        <v>45994</v>
      </c>
      <c r="C507" s="1" t="n">
        <v>46043</v>
      </c>
      <c r="D507" t="inlineStr">
        <is>
          <t>VÄSTERBOTTENS LÄN</t>
        </is>
      </c>
      <c r="E507" t="inlineStr">
        <is>
          <t>LYCKSELE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60726-2025</t>
        </is>
      </c>
      <c r="B508" s="1" t="n">
        <v>45996.66350694445</v>
      </c>
      <c r="C508" s="1" t="n">
        <v>46043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21668-2024</t>
        </is>
      </c>
      <c r="B509" s="1" t="n">
        <v>45441.85773148148</v>
      </c>
      <c r="C509" s="1" t="n">
        <v>46043</v>
      </c>
      <c r="D509" t="inlineStr">
        <is>
          <t>VÄSTERBOTTENS LÄN</t>
        </is>
      </c>
      <c r="E509" t="inlineStr">
        <is>
          <t>LYCKSELE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59031-2022</t>
        </is>
      </c>
      <c r="B510" s="1" t="n">
        <v>44903.92716435185</v>
      </c>
      <c r="C510" s="1" t="n">
        <v>46043</v>
      </c>
      <c r="D510" t="inlineStr">
        <is>
          <t>VÄSTERBOTTENS LÄN</t>
        </is>
      </c>
      <c r="E510" t="inlineStr">
        <is>
          <t>LYCKSELE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43409-2025</t>
        </is>
      </c>
      <c r="B511" s="1" t="n">
        <v>45911.39513888889</v>
      </c>
      <c r="C511" s="1" t="n">
        <v>46043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62547-2022</t>
        </is>
      </c>
      <c r="B512" s="1" t="n">
        <v>44924.71886574074</v>
      </c>
      <c r="C512" s="1" t="n">
        <v>46043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44340-2025</t>
        </is>
      </c>
      <c r="B513" s="1" t="n">
        <v>45916.43275462963</v>
      </c>
      <c r="C513" s="1" t="n">
        <v>46043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24514-2025</t>
        </is>
      </c>
      <c r="B514" s="1" t="n">
        <v>45798.40986111111</v>
      </c>
      <c r="C514" s="1" t="n">
        <v>46043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43931-2025</t>
        </is>
      </c>
      <c r="B515" s="1" t="n">
        <v>45915.33216435185</v>
      </c>
      <c r="C515" s="1" t="n">
        <v>46043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44360-2025</t>
        </is>
      </c>
      <c r="B516" s="1" t="n">
        <v>45916.45126157408</v>
      </c>
      <c r="C516" s="1" t="n">
        <v>46043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44299-2025</t>
        </is>
      </c>
      <c r="B517" s="1" t="n">
        <v>45916.36753472222</v>
      </c>
      <c r="C517" s="1" t="n">
        <v>46043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44337-2025</t>
        </is>
      </c>
      <c r="B518" s="1" t="n">
        <v>45916.42528935185</v>
      </c>
      <c r="C518" s="1" t="n">
        <v>46043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44345-2025</t>
        </is>
      </c>
      <c r="B519" s="1" t="n">
        <v>45916.43665509259</v>
      </c>
      <c r="C519" s="1" t="n">
        <v>46043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44076-2025</t>
        </is>
      </c>
      <c r="B520" s="1" t="n">
        <v>45915</v>
      </c>
      <c r="C520" s="1" t="n">
        <v>46043</v>
      </c>
      <c r="D520" t="inlineStr">
        <is>
          <t>VÄSTERBOTTENS LÄN</t>
        </is>
      </c>
      <c r="E520" t="inlineStr">
        <is>
          <t>LYCKSELE</t>
        </is>
      </c>
      <c r="G520" t="n">
        <v>25.1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54893-2023</t>
        </is>
      </c>
      <c r="B521" s="1" t="n">
        <v>45236.63934027778</v>
      </c>
      <c r="C521" s="1" t="n">
        <v>46043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24518-2025</t>
        </is>
      </c>
      <c r="B522" s="1" t="n">
        <v>45798.41498842592</v>
      </c>
      <c r="C522" s="1" t="n">
        <v>46043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43924-2025</t>
        </is>
      </c>
      <c r="B523" s="1" t="n">
        <v>45915.30688657407</v>
      </c>
      <c r="C523" s="1" t="n">
        <v>46043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37950-2024</t>
        </is>
      </c>
      <c r="B524" s="1" t="n">
        <v>45544.51636574074</v>
      </c>
      <c r="C524" s="1" t="n">
        <v>46043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44351-2025</t>
        </is>
      </c>
      <c r="B525" s="1" t="n">
        <v>45916.44199074074</v>
      </c>
      <c r="C525" s="1" t="n">
        <v>46043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43928-2025</t>
        </is>
      </c>
      <c r="B526" s="1" t="n">
        <v>45915.32159722222</v>
      </c>
      <c r="C526" s="1" t="n">
        <v>46043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43929-2025</t>
        </is>
      </c>
      <c r="B527" s="1" t="n">
        <v>45915.32696759259</v>
      </c>
      <c r="C527" s="1" t="n">
        <v>46043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44092-2025</t>
        </is>
      </c>
      <c r="B528" s="1" t="n">
        <v>45915</v>
      </c>
      <c r="C528" s="1" t="n">
        <v>46043</v>
      </c>
      <c r="D528" t="inlineStr">
        <is>
          <t>VÄSTERBOTTENS LÄN</t>
        </is>
      </c>
      <c r="E528" t="inlineStr">
        <is>
          <t>LYCKSELE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44342-2025</t>
        </is>
      </c>
      <c r="B529" s="1" t="n">
        <v>45916.43309027778</v>
      </c>
      <c r="C529" s="1" t="n">
        <v>46043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44346-2025</t>
        </is>
      </c>
      <c r="B530" s="1" t="n">
        <v>45916.43722222222</v>
      </c>
      <c r="C530" s="1" t="n">
        <v>46043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38623-2024</t>
        </is>
      </c>
      <c r="B531" s="1" t="n">
        <v>45546.73186342593</v>
      </c>
      <c r="C531" s="1" t="n">
        <v>46043</v>
      </c>
      <c r="D531" t="inlineStr">
        <is>
          <t>VÄSTERBOTTENS LÄN</t>
        </is>
      </c>
      <c r="E531" t="inlineStr">
        <is>
          <t>LYCKSELE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44098-2025</t>
        </is>
      </c>
      <c r="B532" s="1" t="n">
        <v>45915</v>
      </c>
      <c r="C532" s="1" t="n">
        <v>46043</v>
      </c>
      <c r="D532" t="inlineStr">
        <is>
          <t>VÄSTERBOTTENS LÄN</t>
        </is>
      </c>
      <c r="E532" t="inlineStr">
        <is>
          <t>LYCKSELE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61088-2025</t>
        </is>
      </c>
      <c r="B533" s="1" t="n">
        <v>46000.42715277777</v>
      </c>
      <c r="C533" s="1" t="n">
        <v>46043</v>
      </c>
      <c r="D533" t="inlineStr">
        <is>
          <t>VÄSTERBOTTENS LÄN</t>
        </is>
      </c>
      <c r="E533" t="inlineStr">
        <is>
          <t>LYCKSELE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61096-2025</t>
        </is>
      </c>
      <c r="B534" s="1" t="n">
        <v>46000.43636574074</v>
      </c>
      <c r="C534" s="1" t="n">
        <v>46043</v>
      </c>
      <c r="D534" t="inlineStr">
        <is>
          <t>VÄSTERBOTTENS LÄN</t>
        </is>
      </c>
      <c r="E534" t="inlineStr">
        <is>
          <t>LYCKSELE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44087-2025</t>
        </is>
      </c>
      <c r="B535" s="1" t="n">
        <v>45915</v>
      </c>
      <c r="C535" s="1" t="n">
        <v>46043</v>
      </c>
      <c r="D535" t="inlineStr">
        <is>
          <t>VÄSTERBOTTENS LÄN</t>
        </is>
      </c>
      <c r="E535" t="inlineStr">
        <is>
          <t>LYCKSELE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44596-2025</t>
        </is>
      </c>
      <c r="B536" s="1" t="n">
        <v>45917.42873842592</v>
      </c>
      <c r="C536" s="1" t="n">
        <v>46043</v>
      </c>
      <c r="D536" t="inlineStr">
        <is>
          <t>VÄSTERBOTTENS LÄN</t>
        </is>
      </c>
      <c r="E536" t="inlineStr">
        <is>
          <t>LYCKSELE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39605-2024</t>
        </is>
      </c>
      <c r="B537" s="1" t="n">
        <v>45552.38758101852</v>
      </c>
      <c r="C537" s="1" t="n">
        <v>46043</v>
      </c>
      <c r="D537" t="inlineStr">
        <is>
          <t>VÄSTERBOTTENS LÄN</t>
        </is>
      </c>
      <c r="E537" t="inlineStr">
        <is>
          <t>LYCKSELE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62584-2022</t>
        </is>
      </c>
      <c r="B538" s="1" t="n">
        <v>44924</v>
      </c>
      <c r="C538" s="1" t="n">
        <v>46043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44107-2025</t>
        </is>
      </c>
      <c r="B539" s="1" t="n">
        <v>45915</v>
      </c>
      <c r="C539" s="1" t="n">
        <v>46043</v>
      </c>
      <c r="D539" t="inlineStr">
        <is>
          <t>VÄSTERBOTTENS LÄN</t>
        </is>
      </c>
      <c r="E539" t="inlineStr">
        <is>
          <t>LYCKSELE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32800-2024</t>
        </is>
      </c>
      <c r="B540" s="1" t="n">
        <v>45516.56430555556</v>
      </c>
      <c r="C540" s="1" t="n">
        <v>46043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44998-2025</t>
        </is>
      </c>
      <c r="B541" s="1" t="n">
        <v>45918.65956018519</v>
      </c>
      <c r="C541" s="1" t="n">
        <v>46043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61115-2025</t>
        </is>
      </c>
      <c r="B542" s="1" t="n">
        <v>46000.45931712963</v>
      </c>
      <c r="C542" s="1" t="n">
        <v>46043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40548-2024</t>
        </is>
      </c>
      <c r="B543" s="1" t="n">
        <v>45555.64177083333</v>
      </c>
      <c r="C543" s="1" t="n">
        <v>46043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44094-2025</t>
        </is>
      </c>
      <c r="B544" s="1" t="n">
        <v>45915</v>
      </c>
      <c r="C544" s="1" t="n">
        <v>46043</v>
      </c>
      <c r="D544" t="inlineStr">
        <is>
          <t>VÄSTERBOTTENS LÄN</t>
        </is>
      </c>
      <c r="E544" t="inlineStr">
        <is>
          <t>LYCKSELE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44547-2025</t>
        </is>
      </c>
      <c r="B545" s="1" t="n">
        <v>45917.3320949074</v>
      </c>
      <c r="C545" s="1" t="n">
        <v>46043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16292-2025</t>
        </is>
      </c>
      <c r="B546" s="1" t="n">
        <v>45751.33399305555</v>
      </c>
      <c r="C546" s="1" t="n">
        <v>46043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43134-2023</t>
        </is>
      </c>
      <c r="B547" s="1" t="n">
        <v>45182</v>
      </c>
      <c r="C547" s="1" t="n">
        <v>46043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45139-2025</t>
        </is>
      </c>
      <c r="B548" s="1" t="n">
        <v>45919.45460648148</v>
      </c>
      <c r="C548" s="1" t="n">
        <v>46043</v>
      </c>
      <c r="D548" t="inlineStr">
        <is>
          <t>VÄSTERBOTTENS LÄN</t>
        </is>
      </c>
      <c r="E548" t="inlineStr">
        <is>
          <t>LYCKSELE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45092-2025</t>
        </is>
      </c>
      <c r="B549" s="1" t="n">
        <v>45919.38167824074</v>
      </c>
      <c r="C549" s="1" t="n">
        <v>46043</v>
      </c>
      <c r="D549" t="inlineStr">
        <is>
          <t>VÄSTERBOTTENS LÄN</t>
        </is>
      </c>
      <c r="E549" t="inlineStr">
        <is>
          <t>LYCKSELE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61091-2025</t>
        </is>
      </c>
      <c r="B550" s="1" t="n">
        <v>46000.43297453703</v>
      </c>
      <c r="C550" s="1" t="n">
        <v>46043</v>
      </c>
      <c r="D550" t="inlineStr">
        <is>
          <t>VÄSTERBOTTENS LÄN</t>
        </is>
      </c>
      <c r="E550" t="inlineStr">
        <is>
          <t>LYCKSELE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45077-2025</t>
        </is>
      </c>
      <c r="B551" s="1" t="n">
        <v>45919.36490740741</v>
      </c>
      <c r="C551" s="1" t="n">
        <v>46043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45174-2025</t>
        </is>
      </c>
      <c r="B552" s="1" t="n">
        <v>45919.52239583333</v>
      </c>
      <c r="C552" s="1" t="n">
        <v>46043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18587-2023</t>
        </is>
      </c>
      <c r="B553" s="1" t="n">
        <v>45041</v>
      </c>
      <c r="C553" s="1" t="n">
        <v>46043</v>
      </c>
      <c r="D553" t="inlineStr">
        <is>
          <t>VÄSTERBOTTENS LÄN</t>
        </is>
      </c>
      <c r="E553" t="inlineStr">
        <is>
          <t>LYCKSELE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61593-2025</t>
        </is>
      </c>
      <c r="B554" s="1" t="n">
        <v>46002</v>
      </c>
      <c r="C554" s="1" t="n">
        <v>46043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61128-2025</t>
        </is>
      </c>
      <c r="B555" s="1" t="n">
        <v>46000.48476851852</v>
      </c>
      <c r="C555" s="1" t="n">
        <v>46043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61590-2025</t>
        </is>
      </c>
      <c r="B556" s="1" t="n">
        <v>46002.34627314815</v>
      </c>
      <c r="C556" s="1" t="n">
        <v>46043</v>
      </c>
      <c r="D556" t="inlineStr">
        <is>
          <t>VÄSTERBOTTENS LÄN</t>
        </is>
      </c>
      <c r="E556" t="inlineStr">
        <is>
          <t>LYCKSELE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24729-2025</t>
        </is>
      </c>
      <c r="B557" s="1" t="n">
        <v>45799.34076388889</v>
      </c>
      <c r="C557" s="1" t="n">
        <v>46043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45837-2025</t>
        </is>
      </c>
      <c r="B558" s="1" t="n">
        <v>45923.61178240741</v>
      </c>
      <c r="C558" s="1" t="n">
        <v>46043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36150-2024</t>
        </is>
      </c>
      <c r="B559" s="1" t="n">
        <v>45534.36832175926</v>
      </c>
      <c r="C559" s="1" t="n">
        <v>46043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25061-2025</t>
        </is>
      </c>
      <c r="B560" s="1" t="n">
        <v>45799.69825231482</v>
      </c>
      <c r="C560" s="1" t="n">
        <v>46043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24906-2025</t>
        </is>
      </c>
      <c r="B561" s="1" t="n">
        <v>45799.5315162037</v>
      </c>
      <c r="C561" s="1" t="n">
        <v>46043</v>
      </c>
      <c r="D561" t="inlineStr">
        <is>
          <t>VÄSTERBOTTENS LÄN</t>
        </is>
      </c>
      <c r="E561" t="inlineStr">
        <is>
          <t>LYCKSELE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37817-2024</t>
        </is>
      </c>
      <c r="B562" s="1" t="n">
        <v>45544</v>
      </c>
      <c r="C562" s="1" t="n">
        <v>46043</v>
      </c>
      <c r="D562" t="inlineStr">
        <is>
          <t>VÄSTERBOTTENS LÄN</t>
        </is>
      </c>
      <c r="E562" t="inlineStr">
        <is>
          <t>LYCKSELE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61086-2025</t>
        </is>
      </c>
      <c r="B563" s="1" t="n">
        <v>46000.42480324074</v>
      </c>
      <c r="C563" s="1" t="n">
        <v>46043</v>
      </c>
      <c r="D563" t="inlineStr">
        <is>
          <t>VÄSTERBOTTENS LÄN</t>
        </is>
      </c>
      <c r="E563" t="inlineStr">
        <is>
          <t>LYCKSELE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45447-2024</t>
        </is>
      </c>
      <c r="B564" s="1" t="n">
        <v>45576.64849537037</v>
      </c>
      <c r="C564" s="1" t="n">
        <v>46043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Naturvårdsverket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46074-2025</t>
        </is>
      </c>
      <c r="B565" s="1" t="n">
        <v>45924.50053240741</v>
      </c>
      <c r="C565" s="1" t="n">
        <v>46043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46189-2025</t>
        </is>
      </c>
      <c r="B566" s="1" t="n">
        <v>45924.66530092592</v>
      </c>
      <c r="C566" s="1" t="n">
        <v>46043</v>
      </c>
      <c r="D566" t="inlineStr">
        <is>
          <t>VÄSTERBOTTENS LÄN</t>
        </is>
      </c>
      <c r="E566" t="inlineStr">
        <is>
          <t>LYCKSELE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61895-2024</t>
        </is>
      </c>
      <c r="B567" s="1" t="n">
        <v>45652.74261574074</v>
      </c>
      <c r="C567" s="1" t="n">
        <v>46043</v>
      </c>
      <c r="D567" t="inlineStr">
        <is>
          <t>VÄSTERBOTTENS LÄN</t>
        </is>
      </c>
      <c r="E567" t="inlineStr">
        <is>
          <t>LYCKSELE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46181-2025</t>
        </is>
      </c>
      <c r="B568" s="1" t="n">
        <v>45924.65697916667</v>
      </c>
      <c r="C568" s="1" t="n">
        <v>46043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31689-2023</t>
        </is>
      </c>
      <c r="B569" s="1" t="n">
        <v>45117</v>
      </c>
      <c r="C569" s="1" t="n">
        <v>46043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46077-2025</t>
        </is>
      </c>
      <c r="B570" s="1" t="n">
        <v>45924.50491898148</v>
      </c>
      <c r="C570" s="1" t="n">
        <v>46043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45963-2025</t>
        </is>
      </c>
      <c r="B571" s="1" t="n">
        <v>45924.35145833333</v>
      </c>
      <c r="C571" s="1" t="n">
        <v>46043</v>
      </c>
      <c r="D571" t="inlineStr">
        <is>
          <t>VÄSTERBOTTENS LÄN</t>
        </is>
      </c>
      <c r="E571" t="inlineStr">
        <is>
          <t>LYCKSELE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35021-2021</t>
        </is>
      </c>
      <c r="B572" s="1" t="n">
        <v>44383</v>
      </c>
      <c r="C572" s="1" t="n">
        <v>46043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4673-2023</t>
        </is>
      </c>
      <c r="B573" s="1" t="n">
        <v>44952</v>
      </c>
      <c r="C573" s="1" t="n">
        <v>46043</v>
      </c>
      <c r="D573" t="inlineStr">
        <is>
          <t>VÄSTERBOTTENS LÄN</t>
        </is>
      </c>
      <c r="E573" t="inlineStr">
        <is>
          <t>LYCKSELE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24770-2025</t>
        </is>
      </c>
      <c r="B574" s="1" t="n">
        <v>45799.39927083333</v>
      </c>
      <c r="C574" s="1" t="n">
        <v>46043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37508-2024</t>
        </is>
      </c>
      <c r="B575" s="1" t="n">
        <v>45541.38083333334</v>
      </c>
      <c r="C575" s="1" t="n">
        <v>46043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46286-2025</t>
        </is>
      </c>
      <c r="B576" s="1" t="n">
        <v>45925.38423611111</v>
      </c>
      <c r="C576" s="1" t="n">
        <v>46043</v>
      </c>
      <c r="D576" t="inlineStr">
        <is>
          <t>VÄSTERBOTTENS LÄN</t>
        </is>
      </c>
      <c r="E576" t="inlineStr">
        <is>
          <t>LYCKSELE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24951-2025</t>
        </is>
      </c>
      <c r="B577" s="1" t="n">
        <v>45799.56951388889</v>
      </c>
      <c r="C577" s="1" t="n">
        <v>46043</v>
      </c>
      <c r="D577" t="inlineStr">
        <is>
          <t>VÄSTERBOTTENS LÄN</t>
        </is>
      </c>
      <c r="E577" t="inlineStr">
        <is>
          <t>LYCKSELE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36274-2024</t>
        </is>
      </c>
      <c r="B578" s="1" t="n">
        <v>45534.57965277778</v>
      </c>
      <c r="C578" s="1" t="n">
        <v>46043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34635-2024</t>
        </is>
      </c>
      <c r="B579" s="1" t="n">
        <v>45526.47052083333</v>
      </c>
      <c r="C579" s="1" t="n">
        <v>46043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51406-2024</t>
        </is>
      </c>
      <c r="B580" s="1" t="n">
        <v>45604.42814814814</v>
      </c>
      <c r="C580" s="1" t="n">
        <v>46043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47461-2025</t>
        </is>
      </c>
      <c r="B581" s="1" t="n">
        <v>45930.66153935185</v>
      </c>
      <c r="C581" s="1" t="n">
        <v>46043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47093-2025</t>
        </is>
      </c>
      <c r="B582" s="1" t="n">
        <v>45929.65231481481</v>
      </c>
      <c r="C582" s="1" t="n">
        <v>46043</v>
      </c>
      <c r="D582" t="inlineStr">
        <is>
          <t>VÄSTERBOTTENS LÄN</t>
        </is>
      </c>
      <c r="E582" t="inlineStr">
        <is>
          <t>LYCKSELE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47456-2025</t>
        </is>
      </c>
      <c r="B583" s="1" t="n">
        <v>45930.65547453704</v>
      </c>
      <c r="C583" s="1" t="n">
        <v>46043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47113-2025</t>
        </is>
      </c>
      <c r="B584" s="1" t="n">
        <v>45929.67430555556</v>
      </c>
      <c r="C584" s="1" t="n">
        <v>46043</v>
      </c>
      <c r="D584" t="inlineStr">
        <is>
          <t>VÄSTERBOTTENS LÄN</t>
        </is>
      </c>
      <c r="E584" t="inlineStr">
        <is>
          <t>LYCKSELE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47459-2025</t>
        </is>
      </c>
      <c r="B585" s="1" t="n">
        <v>45930.65832175926</v>
      </c>
      <c r="C585" s="1" t="n">
        <v>46043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25581-2025</t>
        </is>
      </c>
      <c r="B586" s="1" t="n">
        <v>45803.4812962963</v>
      </c>
      <c r="C586" s="1" t="n">
        <v>46043</v>
      </c>
      <c r="D586" t="inlineStr">
        <is>
          <t>VÄSTERBOTTENS LÄN</t>
        </is>
      </c>
      <c r="E586" t="inlineStr">
        <is>
          <t>LYCKSELE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46945-2025</t>
        </is>
      </c>
      <c r="B587" s="1" t="n">
        <v>45929.46075231482</v>
      </c>
      <c r="C587" s="1" t="n">
        <v>46043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25590-2025</t>
        </is>
      </c>
      <c r="B588" s="1" t="n">
        <v>45803.49502314815</v>
      </c>
      <c r="C588" s="1" t="n">
        <v>46043</v>
      </c>
      <c r="D588" t="inlineStr">
        <is>
          <t>VÄSTERBOTTENS LÄN</t>
        </is>
      </c>
      <c r="E588" t="inlineStr">
        <is>
          <t>LYCKSELE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71407-2021</t>
        </is>
      </c>
      <c r="B589" s="1" t="n">
        <v>44540.38878472222</v>
      </c>
      <c r="C589" s="1" t="n">
        <v>46043</v>
      </c>
      <c r="D589" t="inlineStr">
        <is>
          <t>VÄSTERBOTTENS LÄN</t>
        </is>
      </c>
      <c r="E589" t="inlineStr">
        <is>
          <t>LYCKSELE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26396-2022</t>
        </is>
      </c>
      <c r="B590" s="1" t="n">
        <v>44735</v>
      </c>
      <c r="C590" s="1" t="n">
        <v>46043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25537-2025</t>
        </is>
      </c>
      <c r="B591" s="1" t="n">
        <v>45803.41887731481</v>
      </c>
      <c r="C591" s="1" t="n">
        <v>46043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47700-2025</t>
        </is>
      </c>
      <c r="B592" s="1" t="n">
        <v>45931</v>
      </c>
      <c r="C592" s="1" t="n">
        <v>46043</v>
      </c>
      <c r="D592" t="inlineStr">
        <is>
          <t>VÄSTERBOTTENS LÄN</t>
        </is>
      </c>
      <c r="E592" t="inlineStr">
        <is>
          <t>LYCKSELE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20148-2025</t>
        </is>
      </c>
      <c r="B593" s="1" t="n">
        <v>45772</v>
      </c>
      <c r="C593" s="1" t="n">
        <v>46043</v>
      </c>
      <c r="D593" t="inlineStr">
        <is>
          <t>VÄSTERBOTTENS LÄN</t>
        </is>
      </c>
      <c r="E593" t="inlineStr">
        <is>
          <t>LYCKSELE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41523-2024</t>
        </is>
      </c>
      <c r="B594" s="1" t="n">
        <v>45560.48015046296</v>
      </c>
      <c r="C594" s="1" t="n">
        <v>46043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1289-2022</t>
        </is>
      </c>
      <c r="B595" s="1" t="n">
        <v>44572.68023148148</v>
      </c>
      <c r="C595" s="1" t="n">
        <v>46043</v>
      </c>
      <c r="D595" t="inlineStr">
        <is>
          <t>VÄSTERBOTTENS LÄN</t>
        </is>
      </c>
      <c r="E595" t="inlineStr">
        <is>
          <t>LYCKSELE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25616-2025</t>
        </is>
      </c>
      <c r="B596" s="1" t="n">
        <v>45803.56601851852</v>
      </c>
      <c r="C596" s="1" t="n">
        <v>46043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47930-2025</t>
        </is>
      </c>
      <c r="B597" s="1" t="n">
        <v>45932.55251157407</v>
      </c>
      <c r="C597" s="1" t="n">
        <v>46043</v>
      </c>
      <c r="D597" t="inlineStr">
        <is>
          <t>VÄSTERBOTTENS LÄN</t>
        </is>
      </c>
      <c r="E597" t="inlineStr">
        <is>
          <t>LYCKSELE</t>
        </is>
      </c>
      <c r="G597" t="n">
        <v>17.8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55315-2024</t>
        </is>
      </c>
      <c r="B598" s="1" t="n">
        <v>45621.6587037037</v>
      </c>
      <c r="C598" s="1" t="n">
        <v>46043</v>
      </c>
      <c r="D598" t="inlineStr">
        <is>
          <t>VÄSTERBOTTENS LÄN</t>
        </is>
      </c>
      <c r="E598" t="inlineStr">
        <is>
          <t>LYCKSELE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25573-2025</t>
        </is>
      </c>
      <c r="B599" s="1" t="n">
        <v>45803.47020833333</v>
      </c>
      <c r="C599" s="1" t="n">
        <v>46043</v>
      </c>
      <c r="D599" t="inlineStr">
        <is>
          <t>VÄSTERBOTTENS LÄN</t>
        </is>
      </c>
      <c r="E599" t="inlineStr">
        <is>
          <t>LYCKSELE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25618-2025</t>
        </is>
      </c>
      <c r="B600" s="1" t="n">
        <v>45803.57362268519</v>
      </c>
      <c r="C600" s="1" t="n">
        <v>46043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43302-2024</t>
        </is>
      </c>
      <c r="B601" s="1" t="n">
        <v>45568.43364583333</v>
      </c>
      <c r="C601" s="1" t="n">
        <v>46043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58.3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48137-2025</t>
        </is>
      </c>
      <c r="B602" s="1" t="n">
        <v>45933.3787037037</v>
      </c>
      <c r="C602" s="1" t="n">
        <v>46043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3632-2024</t>
        </is>
      </c>
      <c r="B603" s="1" t="n">
        <v>45320</v>
      </c>
      <c r="C603" s="1" t="n">
        <v>46043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25655-2025</t>
        </is>
      </c>
      <c r="B604" s="1" t="n">
        <v>45803.61508101852</v>
      </c>
      <c r="C604" s="1" t="n">
        <v>46043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60714-2022</t>
        </is>
      </c>
      <c r="B605" s="1" t="n">
        <v>44912.69100694444</v>
      </c>
      <c r="C605" s="1" t="n">
        <v>46043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12335-2024</t>
        </is>
      </c>
      <c r="B606" s="1" t="n">
        <v>45378.71258101852</v>
      </c>
      <c r="C606" s="1" t="n">
        <v>46043</v>
      </c>
      <c r="D606" t="inlineStr">
        <is>
          <t>VÄSTERBOTTENS LÄN</t>
        </is>
      </c>
      <c r="E606" t="inlineStr">
        <is>
          <t>LYCKSELE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34903-2023</t>
        </is>
      </c>
      <c r="B607" s="1" t="n">
        <v>45142</v>
      </c>
      <c r="C607" s="1" t="n">
        <v>46043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7623-2025</t>
        </is>
      </c>
      <c r="B608" s="1" t="n">
        <v>45705.72366898148</v>
      </c>
      <c r="C608" s="1" t="n">
        <v>46043</v>
      </c>
      <c r="D608" t="inlineStr">
        <is>
          <t>VÄSTERBOTTENS LÄN</t>
        </is>
      </c>
      <c r="E608" t="inlineStr">
        <is>
          <t>LYCKSELE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48165-2025</t>
        </is>
      </c>
      <c r="B609" s="1" t="n">
        <v>45933.42789351852</v>
      </c>
      <c r="C609" s="1" t="n">
        <v>46043</v>
      </c>
      <c r="D609" t="inlineStr">
        <is>
          <t>VÄSTERBOTTENS LÄN</t>
        </is>
      </c>
      <c r="E609" t="inlineStr">
        <is>
          <t>LYCKSELE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48493-2025</t>
        </is>
      </c>
      <c r="B610" s="1" t="n">
        <v>45936.36915509259</v>
      </c>
      <c r="C610" s="1" t="n">
        <v>46043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48498-2025</t>
        </is>
      </c>
      <c r="B611" s="1" t="n">
        <v>45936.37527777778</v>
      </c>
      <c r="C611" s="1" t="n">
        <v>46043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48208-2025</t>
        </is>
      </c>
      <c r="B612" s="1" t="n">
        <v>45933.48914351852</v>
      </c>
      <c r="C612" s="1" t="n">
        <v>46043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34849-2025</t>
        </is>
      </c>
      <c r="B613" s="1" t="n">
        <v>45849</v>
      </c>
      <c r="C613" s="1" t="n">
        <v>46043</v>
      </c>
      <c r="D613" t="inlineStr">
        <is>
          <t>VÄSTERBOTTENS LÄN</t>
        </is>
      </c>
      <c r="E613" t="inlineStr">
        <is>
          <t>LYCKSELE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48230-2023</t>
        </is>
      </c>
      <c r="B614" s="1" t="n">
        <v>45205</v>
      </c>
      <c r="C614" s="1" t="n">
        <v>46043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48140-2025</t>
        </is>
      </c>
      <c r="B615" s="1" t="n">
        <v>45933.38341435185</v>
      </c>
      <c r="C615" s="1" t="n">
        <v>46043</v>
      </c>
      <c r="D615" t="inlineStr">
        <is>
          <t>VÄSTERBOTTENS LÄN</t>
        </is>
      </c>
      <c r="E615" t="inlineStr">
        <is>
          <t>LYCKSELE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48205-2025</t>
        </is>
      </c>
      <c r="B616" s="1" t="n">
        <v>45933.48515046296</v>
      </c>
      <c r="C616" s="1" t="n">
        <v>46043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48585-2025</t>
        </is>
      </c>
      <c r="B617" s="1" t="n">
        <v>45936.45859953704</v>
      </c>
      <c r="C617" s="1" t="n">
        <v>46043</v>
      </c>
      <c r="D617" t="inlineStr">
        <is>
          <t>VÄSTERBOTTENS LÄN</t>
        </is>
      </c>
      <c r="E617" t="inlineStr">
        <is>
          <t>LYCKSELE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4625-2024</t>
        </is>
      </c>
      <c r="B618" s="1" t="n">
        <v>45328</v>
      </c>
      <c r="C618" s="1" t="n">
        <v>46043</v>
      </c>
      <c r="D618" t="inlineStr">
        <is>
          <t>VÄSTERBOTTENS LÄN</t>
        </is>
      </c>
      <c r="E618" t="inlineStr">
        <is>
          <t>LYCKSELE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11743-2023</t>
        </is>
      </c>
      <c r="B619" s="1" t="n">
        <v>44994.59267361111</v>
      </c>
      <c r="C619" s="1" t="n">
        <v>46043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45444-2024</t>
        </is>
      </c>
      <c r="B620" s="1" t="n">
        <v>45576.64476851852</v>
      </c>
      <c r="C620" s="1" t="n">
        <v>46043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49196-2025</t>
        </is>
      </c>
      <c r="B621" s="1" t="n">
        <v>45938.40989583333</v>
      </c>
      <c r="C621" s="1" t="n">
        <v>46043</v>
      </c>
      <c r="D621" t="inlineStr">
        <is>
          <t>VÄSTERBOTTENS LÄN</t>
        </is>
      </c>
      <c r="E621" t="inlineStr">
        <is>
          <t>LYCKSELE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49187-2025</t>
        </is>
      </c>
      <c r="B622" s="1" t="n">
        <v>45938.40701388889</v>
      </c>
      <c r="C622" s="1" t="n">
        <v>46043</v>
      </c>
      <c r="D622" t="inlineStr">
        <is>
          <t>VÄSTERBOTTENS LÄN</t>
        </is>
      </c>
      <c r="E622" t="inlineStr">
        <is>
          <t>LYCKSELE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26151-2025</t>
        </is>
      </c>
      <c r="B623" s="1" t="n">
        <v>45805.43233796296</v>
      </c>
      <c r="C623" s="1" t="n">
        <v>46043</v>
      </c>
      <c r="D623" t="inlineStr">
        <is>
          <t>VÄSTERBOTTENS LÄN</t>
        </is>
      </c>
      <c r="E623" t="inlineStr">
        <is>
          <t>LYCKSELE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49366-2025</t>
        </is>
      </c>
      <c r="B624" s="1" t="n">
        <v>45938.62356481481</v>
      </c>
      <c r="C624" s="1" t="n">
        <v>46043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13566-2023</t>
        </is>
      </c>
      <c r="B625" s="1" t="n">
        <v>45006.49</v>
      </c>
      <c r="C625" s="1" t="n">
        <v>46043</v>
      </c>
      <c r="D625" t="inlineStr">
        <is>
          <t>VÄSTERBOTTENS LÄN</t>
        </is>
      </c>
      <c r="E625" t="inlineStr">
        <is>
          <t>LYCKSELE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26227-2025</t>
        </is>
      </c>
      <c r="B626" s="1" t="n">
        <v>45805</v>
      </c>
      <c r="C626" s="1" t="n">
        <v>46043</v>
      </c>
      <c r="D626" t="inlineStr">
        <is>
          <t>VÄSTERBOTTENS LÄN</t>
        </is>
      </c>
      <c r="E626" t="inlineStr">
        <is>
          <t>LYCKSELE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26234-2025</t>
        </is>
      </c>
      <c r="B627" s="1" t="n">
        <v>45805</v>
      </c>
      <c r="C627" s="1" t="n">
        <v>46043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26295-2025</t>
        </is>
      </c>
      <c r="B628" s="1" t="n">
        <v>45805.63583333333</v>
      </c>
      <c r="C628" s="1" t="n">
        <v>46043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26199-2025</t>
        </is>
      </c>
      <c r="B629" s="1" t="n">
        <v>45805.50157407407</v>
      </c>
      <c r="C629" s="1" t="n">
        <v>46043</v>
      </c>
      <c r="D629" t="inlineStr">
        <is>
          <t>VÄSTERBOTTENS LÄN</t>
        </is>
      </c>
      <c r="E629" t="inlineStr">
        <is>
          <t>LYCKSELE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49686-2025</t>
        </is>
      </c>
      <c r="B630" s="1" t="n">
        <v>45939</v>
      </c>
      <c r="C630" s="1" t="n">
        <v>46043</v>
      </c>
      <c r="D630" t="inlineStr">
        <is>
          <t>VÄSTERBOTTENS LÄN</t>
        </is>
      </c>
      <c r="E630" t="inlineStr">
        <is>
          <t>LYCKSELE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28345-2025</t>
        </is>
      </c>
      <c r="B631" s="1" t="n">
        <v>45818</v>
      </c>
      <c r="C631" s="1" t="n">
        <v>46043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16.9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49783-2025</t>
        </is>
      </c>
      <c r="B632" s="1" t="n">
        <v>45940.39555555556</v>
      </c>
      <c r="C632" s="1" t="n">
        <v>46043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26318-2024</t>
        </is>
      </c>
      <c r="B633" s="1" t="n">
        <v>45468.97400462963</v>
      </c>
      <c r="C633" s="1" t="n">
        <v>46043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26228-2025</t>
        </is>
      </c>
      <c r="B634" s="1" t="n">
        <v>45805.56206018518</v>
      </c>
      <c r="C634" s="1" t="n">
        <v>46043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55250-2024</t>
        </is>
      </c>
      <c r="B635" s="1" t="n">
        <v>45621.595</v>
      </c>
      <c r="C635" s="1" t="n">
        <v>46043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26622-2025</t>
        </is>
      </c>
      <c r="B636" s="1" t="n">
        <v>45810.32515046297</v>
      </c>
      <c r="C636" s="1" t="n">
        <v>46043</v>
      </c>
      <c r="D636" t="inlineStr">
        <is>
          <t>VÄSTERBOTTENS LÄN</t>
        </is>
      </c>
      <c r="E636" t="inlineStr">
        <is>
          <t>LYCKSELE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46654-2025</t>
        </is>
      </c>
      <c r="B637" s="1" t="n">
        <v>45926</v>
      </c>
      <c r="C637" s="1" t="n">
        <v>46043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7768-2023</t>
        </is>
      </c>
      <c r="B638" s="1" t="n">
        <v>44973.39023148148</v>
      </c>
      <c r="C638" s="1" t="n">
        <v>46043</v>
      </c>
      <c r="D638" t="inlineStr">
        <is>
          <t>VÄSTERBOTTENS LÄN</t>
        </is>
      </c>
      <c r="E638" t="inlineStr">
        <is>
          <t>LYCKSELE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HYPERLINK("https://klasma.github.io/Logging_2481/knärot/A 7768-2023 karta knärot.png", "A 7768-2023")</f>
        <v/>
      </c>
      <c r="V638">
        <f>HYPERLINK("https://klasma.github.io/Logging_2481/klagomål/A 7768-2023 FSC-klagomål.docx", "A 7768-2023")</f>
        <v/>
      </c>
      <c r="W638">
        <f>HYPERLINK("https://klasma.github.io/Logging_2481/klagomålsmail/A 7768-2023 FSC-klagomål mail.docx", "A 7768-2023")</f>
        <v/>
      </c>
      <c r="X638">
        <f>HYPERLINK("https://klasma.github.io/Logging_2481/tillsyn/A 7768-2023 tillsynsbegäran.docx", "A 7768-2023")</f>
        <v/>
      </c>
      <c r="Y638">
        <f>HYPERLINK("https://klasma.github.io/Logging_2481/tillsynsmail/A 7768-2023 tillsynsbegäran mail.docx", "A 7768-2023")</f>
        <v/>
      </c>
    </row>
    <row r="639" ht="15" customHeight="1">
      <c r="A639" t="inlineStr">
        <is>
          <t>A 49803-2025</t>
        </is>
      </c>
      <c r="B639" s="1" t="n">
        <v>45940.41320601852</v>
      </c>
      <c r="C639" s="1" t="n">
        <v>46043</v>
      </c>
      <c r="D639" t="inlineStr">
        <is>
          <t>VÄSTERBOTTENS LÄN</t>
        </is>
      </c>
      <c r="E639" t="inlineStr">
        <is>
          <t>LYCKSELE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14195-2024</t>
        </is>
      </c>
      <c r="B640" s="1" t="n">
        <v>45393</v>
      </c>
      <c r="C640" s="1" t="n">
        <v>46043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49859-2025</t>
        </is>
      </c>
      <c r="B641" s="1" t="n">
        <v>45940.51138888889</v>
      </c>
      <c r="C641" s="1" t="n">
        <v>46043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3303-2024</t>
        </is>
      </c>
      <c r="B642" s="1" t="n">
        <v>45316</v>
      </c>
      <c r="C642" s="1" t="n">
        <v>46043</v>
      </c>
      <c r="D642" t="inlineStr">
        <is>
          <t>VÄSTERBOTTENS LÄN</t>
        </is>
      </c>
      <c r="E642" t="inlineStr">
        <is>
          <t>LYCKSELE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29709-2025</t>
        </is>
      </c>
      <c r="B643" s="1" t="n">
        <v>45825.56317129629</v>
      </c>
      <c r="C643" s="1" t="n">
        <v>46043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52.4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53037-2023</t>
        </is>
      </c>
      <c r="B644" s="1" t="n">
        <v>45226</v>
      </c>
      <c r="C644" s="1" t="n">
        <v>46043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46562-2025</t>
        </is>
      </c>
      <c r="B645" s="1" t="n">
        <v>45926</v>
      </c>
      <c r="C645" s="1" t="n">
        <v>46043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10485-2023</t>
        </is>
      </c>
      <c r="B646" s="1" t="n">
        <v>44981</v>
      </c>
      <c r="C646" s="1" t="n">
        <v>46043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26397-2022</t>
        </is>
      </c>
      <c r="B647" s="1" t="n">
        <v>44735</v>
      </c>
      <c r="C647" s="1" t="n">
        <v>46043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64663-2023</t>
        </is>
      </c>
      <c r="B648" s="1" t="n">
        <v>45281</v>
      </c>
      <c r="C648" s="1" t="n">
        <v>46043</v>
      </c>
      <c r="D648" t="inlineStr">
        <is>
          <t>VÄSTERBOTTENS LÄN</t>
        </is>
      </c>
      <c r="E648" t="inlineStr">
        <is>
          <t>LYCKSELE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61799-2023</t>
        </is>
      </c>
      <c r="B649" s="1" t="n">
        <v>45265.95865740741</v>
      </c>
      <c r="C649" s="1" t="n">
        <v>46043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31648-2024</t>
        </is>
      </c>
      <c r="B650" s="1" t="n">
        <v>45506.61575231481</v>
      </c>
      <c r="C650" s="1" t="n">
        <v>46043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5687-2025</t>
        </is>
      </c>
      <c r="B651" s="1" t="n">
        <v>45694</v>
      </c>
      <c r="C651" s="1" t="n">
        <v>46043</v>
      </c>
      <c r="D651" t="inlineStr">
        <is>
          <t>VÄSTERBOTTENS LÄN</t>
        </is>
      </c>
      <c r="E651" t="inlineStr">
        <is>
          <t>LYCKSELE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12424-2025</t>
        </is>
      </c>
      <c r="B652" s="1" t="n">
        <v>45730.45533564815</v>
      </c>
      <c r="C652" s="1" t="n">
        <v>46043</v>
      </c>
      <c r="D652" t="inlineStr">
        <is>
          <t>VÄSTERBOTTENS LÄN</t>
        </is>
      </c>
      <c r="E652" t="inlineStr">
        <is>
          <t>LYCKSELE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59516-2021</t>
        </is>
      </c>
      <c r="B653" s="1" t="n">
        <v>44491</v>
      </c>
      <c r="C653" s="1" t="n">
        <v>46043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49968-2025</t>
        </is>
      </c>
      <c r="B654" s="1" t="n">
        <v>45941.80741898148</v>
      </c>
      <c r="C654" s="1" t="n">
        <v>46043</v>
      </c>
      <c r="D654" t="inlineStr">
        <is>
          <t>VÄSTERBOTTENS LÄN</t>
        </is>
      </c>
      <c r="E654" t="inlineStr">
        <is>
          <t>LYCKSELE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18339-2025</t>
        </is>
      </c>
      <c r="B655" s="1" t="n">
        <v>45762.51096064815</v>
      </c>
      <c r="C655" s="1" t="n">
        <v>46043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58775-2025</t>
        </is>
      </c>
      <c r="B656" s="1" t="n">
        <v>45986.69836805556</v>
      </c>
      <c r="C656" s="1" t="n">
        <v>46043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50367-2025</t>
        </is>
      </c>
      <c r="B657" s="1" t="n">
        <v>45944.57620370371</v>
      </c>
      <c r="C657" s="1" t="n">
        <v>46043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49977-2025</t>
        </is>
      </c>
      <c r="B658" s="1" t="n">
        <v>45942.61509259259</v>
      </c>
      <c r="C658" s="1" t="n">
        <v>46043</v>
      </c>
      <c r="D658" t="inlineStr">
        <is>
          <t>VÄSTERBOTTENS LÄN</t>
        </is>
      </c>
      <c r="E658" t="inlineStr">
        <is>
          <t>LYCKSELE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23295-2023</t>
        </is>
      </c>
      <c r="B659" s="1" t="n">
        <v>45075</v>
      </c>
      <c r="C659" s="1" t="n">
        <v>46043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50021-2025</t>
        </is>
      </c>
      <c r="B660" s="1" t="n">
        <v>45943.37326388889</v>
      </c>
      <c r="C660" s="1" t="n">
        <v>46043</v>
      </c>
      <c r="D660" t="inlineStr">
        <is>
          <t>VÄSTERBOTTENS LÄN</t>
        </is>
      </c>
      <c r="E660" t="inlineStr">
        <is>
          <t>LYCKSELE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26419-2025</t>
        </is>
      </c>
      <c r="B661" s="1" t="n">
        <v>45807.36931712963</v>
      </c>
      <c r="C661" s="1" t="n">
        <v>46043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50523-2025</t>
        </is>
      </c>
      <c r="B662" s="1" t="n">
        <v>45945.46711805555</v>
      </c>
      <c r="C662" s="1" t="n">
        <v>46043</v>
      </c>
      <c r="D662" t="inlineStr">
        <is>
          <t>VÄSTERBOTTENS LÄN</t>
        </is>
      </c>
      <c r="E662" t="inlineStr">
        <is>
          <t>LYCKSELE</t>
        </is>
      </c>
      <c r="G662" t="n">
        <v>22.4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936-2023</t>
        </is>
      </c>
      <c r="B663" s="1" t="n">
        <v>44933</v>
      </c>
      <c r="C663" s="1" t="n">
        <v>46043</v>
      </c>
      <c r="D663" t="inlineStr">
        <is>
          <t>VÄSTERBOTTENS LÄN</t>
        </is>
      </c>
      <c r="E663" t="inlineStr">
        <is>
          <t>LYCKSELE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26398-2025</t>
        </is>
      </c>
      <c r="B664" s="1" t="n">
        <v>45807.31575231482</v>
      </c>
      <c r="C664" s="1" t="n">
        <v>46043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52039-2023</t>
        </is>
      </c>
      <c r="B665" s="1" t="n">
        <v>45223</v>
      </c>
      <c r="C665" s="1" t="n">
        <v>46043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54697-2024</t>
        </is>
      </c>
      <c r="B666" s="1" t="n">
        <v>45618.40399305556</v>
      </c>
      <c r="C666" s="1" t="n">
        <v>46043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51207-2025</t>
        </is>
      </c>
      <c r="B667" s="1" t="n">
        <v>45947.6377199074</v>
      </c>
      <c r="C667" s="1" t="n">
        <v>46043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53096-2024</t>
        </is>
      </c>
      <c r="B668" s="1" t="n">
        <v>45611.53107638889</v>
      </c>
      <c r="C668" s="1" t="n">
        <v>46043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53233-2024</t>
        </is>
      </c>
      <c r="B669" s="1" t="n">
        <v>45613.74923611111</v>
      </c>
      <c r="C669" s="1" t="n">
        <v>46043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53335-2024</t>
        </is>
      </c>
      <c r="B670" s="1" t="n">
        <v>45614.42590277778</v>
      </c>
      <c r="C670" s="1" t="n">
        <v>46043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49667-2024</t>
        </is>
      </c>
      <c r="B671" s="1" t="n">
        <v>45596.64743055555</v>
      </c>
      <c r="C671" s="1" t="n">
        <v>46043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2193-2023</t>
        </is>
      </c>
      <c r="B672" s="1" t="n">
        <v>44942.36244212963</v>
      </c>
      <c r="C672" s="1" t="n">
        <v>46043</v>
      </c>
      <c r="D672" t="inlineStr">
        <is>
          <t>VÄSTERBOTTENS LÄN</t>
        </is>
      </c>
      <c r="E672" t="inlineStr">
        <is>
          <t>LYCKSELE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11604-2023</t>
        </is>
      </c>
      <c r="B673" s="1" t="n">
        <v>44994</v>
      </c>
      <c r="C673" s="1" t="n">
        <v>46043</v>
      </c>
      <c r="D673" t="inlineStr">
        <is>
          <t>VÄSTERBOTTENS LÄN</t>
        </is>
      </c>
      <c r="E673" t="inlineStr">
        <is>
          <t>LYCKSELE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4056-2023</t>
        </is>
      </c>
      <c r="B674" s="1" t="n">
        <v>44952</v>
      </c>
      <c r="C674" s="1" t="n">
        <v>46043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51473-2025</t>
        </is>
      </c>
      <c r="B675" s="1" t="n">
        <v>45950.61760416667</v>
      </c>
      <c r="C675" s="1" t="n">
        <v>46043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51295-2025</t>
        </is>
      </c>
      <c r="B676" s="1" t="n">
        <v>45950.35725694444</v>
      </c>
      <c r="C676" s="1" t="n">
        <v>46043</v>
      </c>
      <c r="D676" t="inlineStr">
        <is>
          <t>VÄSTERBOTTENS LÄN</t>
        </is>
      </c>
      <c r="E676" t="inlineStr">
        <is>
          <t>LYCKSELE</t>
        </is>
      </c>
      <c r="G676" t="n">
        <v>22.8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26422-2025</t>
        </is>
      </c>
      <c r="B677" s="1" t="n">
        <v>45807.37386574074</v>
      </c>
      <c r="C677" s="1" t="n">
        <v>46043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26410-2025</t>
        </is>
      </c>
      <c r="B678" s="1" t="n">
        <v>45807.34731481481</v>
      </c>
      <c r="C678" s="1" t="n">
        <v>46043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59209-2024</t>
        </is>
      </c>
      <c r="B679" s="1" t="n">
        <v>45637.55984953704</v>
      </c>
      <c r="C679" s="1" t="n">
        <v>46043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27306-2025</t>
        </is>
      </c>
      <c r="B680" s="1" t="n">
        <v>45812.57329861111</v>
      </c>
      <c r="C680" s="1" t="n">
        <v>46043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51859-2025</t>
        </is>
      </c>
      <c r="B681" s="1" t="n">
        <v>45952.3653587963</v>
      </c>
      <c r="C681" s="1" t="n">
        <v>46043</v>
      </c>
      <c r="D681" t="inlineStr">
        <is>
          <t>VÄSTERBOTTENS LÄN</t>
        </is>
      </c>
      <c r="E681" t="inlineStr">
        <is>
          <t>LYCKSELE</t>
        </is>
      </c>
      <c r="G681" t="n">
        <v>13.5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51748-2025</t>
        </is>
      </c>
      <c r="B682" s="1" t="n">
        <v>45951.61508101852</v>
      </c>
      <c r="C682" s="1" t="n">
        <v>46043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19.8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35765-2023</t>
        </is>
      </c>
      <c r="B683" s="1" t="n">
        <v>45147.95506944445</v>
      </c>
      <c r="C683" s="1" t="n">
        <v>46043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24257-2024</t>
        </is>
      </c>
      <c r="B684" s="1" t="n">
        <v>45457</v>
      </c>
      <c r="C684" s="1" t="n">
        <v>46043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24338-2024</t>
        </is>
      </c>
      <c r="B685" s="1" t="n">
        <v>45457</v>
      </c>
      <c r="C685" s="1" t="n">
        <v>46043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24340-2024</t>
        </is>
      </c>
      <c r="B686" s="1" t="n">
        <v>45457.57278935185</v>
      </c>
      <c r="C686" s="1" t="n">
        <v>46043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26951-2025</t>
        </is>
      </c>
      <c r="B687" s="1" t="n">
        <v>45811.44082175926</v>
      </c>
      <c r="C687" s="1" t="n">
        <v>46043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57084-2024</t>
        </is>
      </c>
      <c r="B688" s="1" t="n">
        <v>45629.35606481481</v>
      </c>
      <c r="C688" s="1" t="n">
        <v>46043</v>
      </c>
      <c r="D688" t="inlineStr">
        <is>
          <t>VÄSTERBOTTENS LÄN</t>
        </is>
      </c>
      <c r="E688" t="inlineStr">
        <is>
          <t>LYCKSELE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51842-2025</t>
        </is>
      </c>
      <c r="B689" s="1" t="n">
        <v>45952.34488425926</v>
      </c>
      <c r="C689" s="1" t="n">
        <v>46043</v>
      </c>
      <c r="D689" t="inlineStr">
        <is>
          <t>VÄSTERBOTTENS LÄN</t>
        </is>
      </c>
      <c r="E689" t="inlineStr">
        <is>
          <t>LYCKSELE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8917-2023</t>
        </is>
      </c>
      <c r="B690" s="1" t="n">
        <v>44979.3956712963</v>
      </c>
      <c r="C690" s="1" t="n">
        <v>46043</v>
      </c>
      <c r="D690" t="inlineStr">
        <is>
          <t>VÄSTERBOTTENS LÄN</t>
        </is>
      </c>
      <c r="E690" t="inlineStr">
        <is>
          <t>LYCKSELE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27495-2024</t>
        </is>
      </c>
      <c r="B691" s="1" t="n">
        <v>45474.4971875</v>
      </c>
      <c r="C691" s="1" t="n">
        <v>46043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62715-2022</t>
        </is>
      </c>
      <c r="B692" s="1" t="n">
        <v>44925.63133101852</v>
      </c>
      <c r="C692" s="1" t="n">
        <v>46043</v>
      </c>
      <c r="D692" t="inlineStr">
        <is>
          <t>VÄSTERBOTTENS LÄN</t>
        </is>
      </c>
      <c r="E692" t="inlineStr">
        <is>
          <t>LYCKSELE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64334-2023</t>
        </is>
      </c>
      <c r="B693" s="1" t="n">
        <v>45279</v>
      </c>
      <c r="C693" s="1" t="n">
        <v>46043</v>
      </c>
      <c r="D693" t="inlineStr">
        <is>
          <t>VÄSTERBOTTENS LÄN</t>
        </is>
      </c>
      <c r="E693" t="inlineStr">
        <is>
          <t>LYCKSELE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59559-2022</t>
        </is>
      </c>
      <c r="B694" s="1" t="n">
        <v>44900</v>
      </c>
      <c r="C694" s="1" t="n">
        <v>46043</v>
      </c>
      <c r="D694" t="inlineStr">
        <is>
          <t>VÄSTERBOTTENS LÄN</t>
        </is>
      </c>
      <c r="E694" t="inlineStr">
        <is>
          <t>LYCKSELE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24377-2024</t>
        </is>
      </c>
      <c r="B695" s="1" t="n">
        <v>45457.61990740741</v>
      </c>
      <c r="C695" s="1" t="n">
        <v>46043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29937-2024</t>
        </is>
      </c>
      <c r="B696" s="1" t="n">
        <v>45488.41469907408</v>
      </c>
      <c r="C696" s="1" t="n">
        <v>46043</v>
      </c>
      <c r="D696" t="inlineStr">
        <is>
          <t>VÄSTERBOTTENS LÄN</t>
        </is>
      </c>
      <c r="E696" t="inlineStr">
        <is>
          <t>LYCKSELE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30725-2024</t>
        </is>
      </c>
      <c r="B697" s="1" t="n">
        <v>45496.53711805555</v>
      </c>
      <c r="C697" s="1" t="n">
        <v>46043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48330-2024</t>
        </is>
      </c>
      <c r="B698" s="1" t="n">
        <v>45590.52324074074</v>
      </c>
      <c r="C698" s="1" t="n">
        <v>46043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28525-2023</t>
        </is>
      </c>
      <c r="B699" s="1" t="n">
        <v>45103</v>
      </c>
      <c r="C699" s="1" t="n">
        <v>46043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28528-2023</t>
        </is>
      </c>
      <c r="B700" s="1" t="n">
        <v>45103</v>
      </c>
      <c r="C700" s="1" t="n">
        <v>46043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28545-2023</t>
        </is>
      </c>
      <c r="B701" s="1" t="n">
        <v>45103.50075231482</v>
      </c>
      <c r="C701" s="1" t="n">
        <v>46043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34929-2023</t>
        </is>
      </c>
      <c r="B702" s="1" t="n">
        <v>45142</v>
      </c>
      <c r="C702" s="1" t="n">
        <v>46043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27080-2025</t>
        </is>
      </c>
      <c r="B703" s="1" t="n">
        <v>45811.65400462963</v>
      </c>
      <c r="C703" s="1" t="n">
        <v>46043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52592-2025</t>
        </is>
      </c>
      <c r="B704" s="1" t="n">
        <v>45954.63608796296</v>
      </c>
      <c r="C704" s="1" t="n">
        <v>46043</v>
      </c>
      <c r="D704" t="inlineStr">
        <is>
          <t>VÄSTERBOTTENS LÄN</t>
        </is>
      </c>
      <c r="E704" t="inlineStr">
        <is>
          <t>LYCKSELE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52124-2024</t>
        </is>
      </c>
      <c r="B705" s="1" t="n">
        <v>45608.46447916667</v>
      </c>
      <c r="C705" s="1" t="n">
        <v>46043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53101-2025</t>
        </is>
      </c>
      <c r="B706" s="1" t="n">
        <v>45958.42988425926</v>
      </c>
      <c r="C706" s="1" t="n">
        <v>46043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52941-2025</t>
        </is>
      </c>
      <c r="B707" s="1" t="n">
        <v>45957.64256944445</v>
      </c>
      <c r="C707" s="1" t="n">
        <v>46043</v>
      </c>
      <c r="D707" t="inlineStr">
        <is>
          <t>VÄSTERBOTTENS LÄN</t>
        </is>
      </c>
      <c r="E707" t="inlineStr">
        <is>
          <t>LYCKSELE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53095-2025</t>
        </is>
      </c>
      <c r="B708" s="1" t="n">
        <v>45958.42641203704</v>
      </c>
      <c r="C708" s="1" t="n">
        <v>46043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52791-2025</t>
        </is>
      </c>
      <c r="B709" s="1" t="n">
        <v>45957</v>
      </c>
      <c r="C709" s="1" t="n">
        <v>46043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26893-2025</t>
        </is>
      </c>
      <c r="B710" s="1" t="n">
        <v>45811.33413194444</v>
      </c>
      <c r="C710" s="1" t="n">
        <v>46043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52901-2025</t>
        </is>
      </c>
      <c r="B711" s="1" t="n">
        <v>45957.5896875</v>
      </c>
      <c r="C711" s="1" t="n">
        <v>46043</v>
      </c>
      <c r="D711" t="inlineStr">
        <is>
          <t>VÄSTERBOTTENS LÄN</t>
        </is>
      </c>
      <c r="E711" t="inlineStr">
        <is>
          <t>LYCKSELE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52144-2024</t>
        </is>
      </c>
      <c r="B712" s="1" t="n">
        <v>45608.51774305556</v>
      </c>
      <c r="C712" s="1" t="n">
        <v>46043</v>
      </c>
      <c r="D712" t="inlineStr">
        <is>
          <t>VÄSTERBOTTENS LÄN</t>
        </is>
      </c>
      <c r="E712" t="inlineStr">
        <is>
          <t>LYCKSELE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27072-2025</t>
        </is>
      </c>
      <c r="B713" s="1" t="n">
        <v>45811.64100694445</v>
      </c>
      <c r="C713" s="1" t="n">
        <v>46043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27588-2025</t>
        </is>
      </c>
      <c r="B714" s="1" t="n">
        <v>45813.50950231482</v>
      </c>
      <c r="C714" s="1" t="n">
        <v>46043</v>
      </c>
      <c r="D714" t="inlineStr">
        <is>
          <t>VÄSTERBOTTENS LÄN</t>
        </is>
      </c>
      <c r="E714" t="inlineStr">
        <is>
          <t>LYCKSELE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61366-2024</t>
        </is>
      </c>
      <c r="B715" s="1" t="n">
        <v>45646.3871412037</v>
      </c>
      <c r="C715" s="1" t="n">
        <v>46043</v>
      </c>
      <c r="D715" t="inlineStr">
        <is>
          <t>VÄSTERBOTTENS LÄN</t>
        </is>
      </c>
      <c r="E715" t="inlineStr">
        <is>
          <t>LYCKSELE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61367-2024</t>
        </is>
      </c>
      <c r="B716" s="1" t="n">
        <v>45646.38721064815</v>
      </c>
      <c r="C716" s="1" t="n">
        <v>46043</v>
      </c>
      <c r="D716" t="inlineStr">
        <is>
          <t>VÄSTERBOTTENS LÄN</t>
        </is>
      </c>
      <c r="E716" t="inlineStr">
        <is>
          <t>LYCKSELE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61382-2024</t>
        </is>
      </c>
      <c r="B717" s="1" t="n">
        <v>45646.40891203703</v>
      </c>
      <c r="C717" s="1" t="n">
        <v>46043</v>
      </c>
      <c r="D717" t="inlineStr">
        <is>
          <t>VÄSTERBOTTENS LÄN</t>
        </is>
      </c>
      <c r="E717" t="inlineStr">
        <is>
          <t>LYCKSELE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2109-2025</t>
        </is>
      </c>
      <c r="B718" s="1" t="n">
        <v>45672</v>
      </c>
      <c r="C718" s="1" t="n">
        <v>46043</v>
      </c>
      <c r="D718" t="inlineStr">
        <is>
          <t>VÄSTERBOTTENS LÄN</t>
        </is>
      </c>
      <c r="E718" t="inlineStr">
        <is>
          <t>LYCKSELE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9090-2025</t>
        </is>
      </c>
      <c r="B719" s="1" t="n">
        <v>45713.67753472222</v>
      </c>
      <c r="C719" s="1" t="n">
        <v>46043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13563-2023</t>
        </is>
      </c>
      <c r="B720" s="1" t="n">
        <v>45006.48116898148</v>
      </c>
      <c r="C720" s="1" t="n">
        <v>46043</v>
      </c>
      <c r="D720" t="inlineStr">
        <is>
          <t>VÄSTERBOTTENS LÄN</t>
        </is>
      </c>
      <c r="E720" t="inlineStr">
        <is>
          <t>LYCKSELE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52945-2025</t>
        </is>
      </c>
      <c r="B721" s="1" t="n">
        <v>45957.64722222222</v>
      </c>
      <c r="C721" s="1" t="n">
        <v>46043</v>
      </c>
      <c r="D721" t="inlineStr">
        <is>
          <t>VÄSTERBOTTENS LÄN</t>
        </is>
      </c>
      <c r="E721" t="inlineStr">
        <is>
          <t>LYCKSELE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27471-2025</t>
        </is>
      </c>
      <c r="B722" s="1" t="n">
        <v>45813.36581018518</v>
      </c>
      <c r="C722" s="1" t="n">
        <v>46043</v>
      </c>
      <c r="D722" t="inlineStr">
        <is>
          <t>VÄSTERBOTTENS LÄN</t>
        </is>
      </c>
      <c r="E722" t="inlineStr">
        <is>
          <t>LYCKSELE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27564-2025</t>
        </is>
      </c>
      <c r="B723" s="1" t="n">
        <v>45813.48702546296</v>
      </c>
      <c r="C723" s="1" t="n">
        <v>46043</v>
      </c>
      <c r="D723" t="inlineStr">
        <is>
          <t>VÄSTERBOTTENS LÄN</t>
        </is>
      </c>
      <c r="E723" t="inlineStr">
        <is>
          <t>LYCKSELE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27595-2025</t>
        </is>
      </c>
      <c r="B724" s="1" t="n">
        <v>45813.52065972222</v>
      </c>
      <c r="C724" s="1" t="n">
        <v>46043</v>
      </c>
      <c r="D724" t="inlineStr">
        <is>
          <t>VÄSTERBOTTENS LÄN</t>
        </is>
      </c>
      <c r="E724" t="inlineStr">
        <is>
          <t>LYCKSELE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52950-2025</t>
        </is>
      </c>
      <c r="B725" s="1" t="n">
        <v>45957.65315972222</v>
      </c>
      <c r="C725" s="1" t="n">
        <v>46043</v>
      </c>
      <c r="D725" t="inlineStr">
        <is>
          <t>VÄSTERBOTTENS LÄN</t>
        </is>
      </c>
      <c r="E725" t="inlineStr">
        <is>
          <t>LYCKSELE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27610-2025</t>
        </is>
      </c>
      <c r="B726" s="1" t="n">
        <v>45813.53611111111</v>
      </c>
      <c r="C726" s="1" t="n">
        <v>46043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62870-2023</t>
        </is>
      </c>
      <c r="B727" s="1" t="n">
        <v>45271</v>
      </c>
      <c r="C727" s="1" t="n">
        <v>46043</v>
      </c>
      <c r="D727" t="inlineStr">
        <is>
          <t>VÄSTERBOTTENS LÄN</t>
        </is>
      </c>
      <c r="E727" t="inlineStr">
        <is>
          <t>LYCKSELE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61334-2025</t>
        </is>
      </c>
      <c r="B728" s="1" t="n">
        <v>46001.34428240741</v>
      </c>
      <c r="C728" s="1" t="n">
        <v>46043</v>
      </c>
      <c r="D728" t="inlineStr">
        <is>
          <t>VÄSTERBOTTENS LÄN</t>
        </is>
      </c>
      <c r="E728" t="inlineStr">
        <is>
          <t>LYCKSELE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61335-2025</t>
        </is>
      </c>
      <c r="B729" s="1" t="n">
        <v>46001.3443287037</v>
      </c>
      <c r="C729" s="1" t="n">
        <v>46043</v>
      </c>
      <c r="D729" t="inlineStr">
        <is>
          <t>VÄSTERBOTTENS LÄN</t>
        </is>
      </c>
      <c r="E729" t="inlineStr">
        <is>
          <t>LYCKSELE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53461-2025</t>
        </is>
      </c>
      <c r="B730" s="1" t="n">
        <v>45959.67452546296</v>
      </c>
      <c r="C730" s="1" t="n">
        <v>46043</v>
      </c>
      <c r="D730" t="inlineStr">
        <is>
          <t>VÄSTERBOTTENS LÄN</t>
        </is>
      </c>
      <c r="E730" t="inlineStr">
        <is>
          <t>LYCKSELE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25902-2022</t>
        </is>
      </c>
      <c r="B731" s="1" t="n">
        <v>44733</v>
      </c>
      <c r="C731" s="1" t="n">
        <v>46043</v>
      </c>
      <c r="D731" t="inlineStr">
        <is>
          <t>VÄSTERBOTTENS LÄN</t>
        </is>
      </c>
      <c r="E731" t="inlineStr">
        <is>
          <t>LYCKSELE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53401-2025</t>
        </is>
      </c>
      <c r="B732" s="1" t="n">
        <v>45959.56778935185</v>
      </c>
      <c r="C732" s="1" t="n">
        <v>46043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58534-2024</t>
        </is>
      </c>
      <c r="B733" s="1" t="n">
        <v>45635.44981481481</v>
      </c>
      <c r="C733" s="1" t="n">
        <v>46043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61353-2025</t>
        </is>
      </c>
      <c r="B734" s="1" t="n">
        <v>46001.38703703704</v>
      </c>
      <c r="C734" s="1" t="n">
        <v>46043</v>
      </c>
      <c r="D734" t="inlineStr">
        <is>
          <t>VÄSTERBOTTENS LÄN</t>
        </is>
      </c>
      <c r="E734" t="inlineStr">
        <is>
          <t>LYCKSELE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3791-2025</t>
        </is>
      </c>
      <c r="B735" s="1" t="n">
        <v>45681</v>
      </c>
      <c r="C735" s="1" t="n">
        <v>46043</v>
      </c>
      <c r="D735" t="inlineStr">
        <is>
          <t>VÄSTERBOTTENS LÄN</t>
        </is>
      </c>
      <c r="E735" t="inlineStr">
        <is>
          <t>LYCKSELE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44289-2024</t>
        </is>
      </c>
      <c r="B736" s="1" t="n">
        <v>45573.51078703703</v>
      </c>
      <c r="C736" s="1" t="n">
        <v>46043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27643-2025</t>
        </is>
      </c>
      <c r="B737" s="1" t="n">
        <v>45813.59416666667</v>
      </c>
      <c r="C737" s="1" t="n">
        <v>46043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58684-2024</t>
        </is>
      </c>
      <c r="B738" s="1" t="n">
        <v>45635.61909722222</v>
      </c>
      <c r="C738" s="1" t="n">
        <v>46043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58716-2024</t>
        </is>
      </c>
      <c r="B739" s="1" t="n">
        <v>45635.65770833333</v>
      </c>
      <c r="C739" s="1" t="n">
        <v>46043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61472-2025</t>
        </is>
      </c>
      <c r="B740" s="1" t="n">
        <v>46001.61549768518</v>
      </c>
      <c r="C740" s="1" t="n">
        <v>46043</v>
      </c>
      <c r="D740" t="inlineStr">
        <is>
          <t>VÄSTERBOTTENS LÄN</t>
        </is>
      </c>
      <c r="E740" t="inlineStr">
        <is>
          <t>LYCKSELE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53451-2025</t>
        </is>
      </c>
      <c r="B741" s="1" t="n">
        <v>45959.656875</v>
      </c>
      <c r="C741" s="1" t="n">
        <v>46043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61610-2025</t>
        </is>
      </c>
      <c r="B742" s="1" t="n">
        <v>46002.38136574074</v>
      </c>
      <c r="C742" s="1" t="n">
        <v>46043</v>
      </c>
      <c r="D742" t="inlineStr">
        <is>
          <t>VÄSTERBOTTENS LÄN</t>
        </is>
      </c>
      <c r="E742" t="inlineStr">
        <is>
          <t>LYCKSELE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53465-2025</t>
        </is>
      </c>
      <c r="B743" s="1" t="n">
        <v>45959.68450231481</v>
      </c>
      <c r="C743" s="1" t="n">
        <v>46043</v>
      </c>
      <c r="D743" t="inlineStr">
        <is>
          <t>VÄSTERBOTTENS LÄN</t>
        </is>
      </c>
      <c r="E743" t="inlineStr">
        <is>
          <t>LYCKSELE</t>
        </is>
      </c>
      <c r="G743" t="n">
        <v>12.2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36875-2023</t>
        </is>
      </c>
      <c r="B744" s="1" t="n">
        <v>45154</v>
      </c>
      <c r="C744" s="1" t="n">
        <v>46043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53470-2025</t>
        </is>
      </c>
      <c r="B745" s="1" t="n">
        <v>45959.7108912037</v>
      </c>
      <c r="C745" s="1" t="n">
        <v>46043</v>
      </c>
      <c r="D745" t="inlineStr">
        <is>
          <t>VÄSTERBOTTENS LÄN</t>
        </is>
      </c>
      <c r="E745" t="inlineStr">
        <is>
          <t>LYCKSELE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57263-2024</t>
        </is>
      </c>
      <c r="B746" s="1" t="n">
        <v>45629.56875</v>
      </c>
      <c r="C746" s="1" t="n">
        <v>46043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26351-2022</t>
        </is>
      </c>
      <c r="B747" s="1" t="n">
        <v>44735</v>
      </c>
      <c r="C747" s="1" t="n">
        <v>46043</v>
      </c>
      <c r="D747" t="inlineStr">
        <is>
          <t>VÄSTERBOTTENS LÄN</t>
        </is>
      </c>
      <c r="E747" t="inlineStr">
        <is>
          <t>LYCKSELE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6943-2025</t>
        </is>
      </c>
      <c r="B748" s="1" t="n">
        <v>45701</v>
      </c>
      <c r="C748" s="1" t="n">
        <v>46043</v>
      </c>
      <c r="D748" t="inlineStr">
        <is>
          <t>VÄSTERBOTTENS LÄN</t>
        </is>
      </c>
      <c r="E748" t="inlineStr">
        <is>
          <t>LYCKSELE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27735-2025</t>
        </is>
      </c>
      <c r="B749" s="1" t="n">
        <v>45815</v>
      </c>
      <c r="C749" s="1" t="n">
        <v>46043</v>
      </c>
      <c r="D749" t="inlineStr">
        <is>
          <t>VÄSTERBOTTENS LÄN</t>
        </is>
      </c>
      <c r="E749" t="inlineStr">
        <is>
          <t>LYCKSELE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27736-2025</t>
        </is>
      </c>
      <c r="B750" s="1" t="n">
        <v>45815.323125</v>
      </c>
      <c r="C750" s="1" t="n">
        <v>46043</v>
      </c>
      <c r="D750" t="inlineStr">
        <is>
          <t>VÄSTERBOTTENS LÄN</t>
        </is>
      </c>
      <c r="E750" t="inlineStr">
        <is>
          <t>LYCKSELE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36132-2023</t>
        </is>
      </c>
      <c r="B751" s="1" t="n">
        <v>45149</v>
      </c>
      <c r="C751" s="1" t="n">
        <v>46043</v>
      </c>
      <c r="D751" t="inlineStr">
        <is>
          <t>VÄSTERBOTTENS LÄN</t>
        </is>
      </c>
      <c r="E751" t="inlineStr">
        <is>
          <t>LYCKSELE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61975-2025</t>
        </is>
      </c>
      <c r="B752" s="1" t="n">
        <v>46003</v>
      </c>
      <c r="C752" s="1" t="n">
        <v>46043</v>
      </c>
      <c r="D752" t="inlineStr">
        <is>
          <t>VÄSTERBOTTENS LÄN</t>
        </is>
      </c>
      <c r="E752" t="inlineStr">
        <is>
          <t>LYCKSELE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29277-2023</t>
        </is>
      </c>
      <c r="B753" s="1" t="n">
        <v>45105.70230324074</v>
      </c>
      <c r="C753" s="1" t="n">
        <v>46043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Naturvårdsverket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53937-2025</t>
        </is>
      </c>
      <c r="B754" s="1" t="n">
        <v>45960</v>
      </c>
      <c r="C754" s="1" t="n">
        <v>46043</v>
      </c>
      <c r="D754" t="inlineStr">
        <is>
          <t>VÄSTERBOTTENS LÄN</t>
        </is>
      </c>
      <c r="E754" t="inlineStr">
        <is>
          <t>LYCKSELE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57471-2024</t>
        </is>
      </c>
      <c r="B755" s="1" t="n">
        <v>45630.34428240741</v>
      </c>
      <c r="C755" s="1" t="n">
        <v>46043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62317-2025</t>
        </is>
      </c>
      <c r="B756" s="1" t="n">
        <v>46006.69200231481</v>
      </c>
      <c r="C756" s="1" t="n">
        <v>46043</v>
      </c>
      <c r="D756" t="inlineStr">
        <is>
          <t>VÄSTERBOTTENS LÄN</t>
        </is>
      </c>
      <c r="E756" t="inlineStr">
        <is>
          <t>LYCKSELE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61876-2025</t>
        </is>
      </c>
      <c r="B757" s="1" t="n">
        <v>46003.41054398148</v>
      </c>
      <c r="C757" s="1" t="n">
        <v>46043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30161-2024</t>
        </is>
      </c>
      <c r="B758" s="1" t="n">
        <v>45488</v>
      </c>
      <c r="C758" s="1" t="n">
        <v>46043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28306-2025</t>
        </is>
      </c>
      <c r="B759" s="1" t="n">
        <v>45818.61637731481</v>
      </c>
      <c r="C759" s="1" t="n">
        <v>46043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46826-2023</t>
        </is>
      </c>
      <c r="B760" s="1" t="n">
        <v>45198.93778935185</v>
      </c>
      <c r="C760" s="1" t="n">
        <v>46043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31413-2023</t>
        </is>
      </c>
      <c r="B761" s="1" t="n">
        <v>45114.58961805556</v>
      </c>
      <c r="C761" s="1" t="n">
        <v>46043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11090-2025</t>
        </is>
      </c>
      <c r="B762" s="1" t="n">
        <v>45723.57395833333</v>
      </c>
      <c r="C762" s="1" t="n">
        <v>46043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6769-2025</t>
        </is>
      </c>
      <c r="B763" s="1" t="n">
        <v>45700.63939814815</v>
      </c>
      <c r="C763" s="1" t="n">
        <v>46043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53994-2025</t>
        </is>
      </c>
      <c r="B764" s="1" t="n">
        <v>45961.5853125</v>
      </c>
      <c r="C764" s="1" t="n">
        <v>46043</v>
      </c>
      <c r="D764" t="inlineStr">
        <is>
          <t>VÄSTERBOTTENS LÄN</t>
        </is>
      </c>
      <c r="E764" t="inlineStr">
        <is>
          <t>LYCKSELE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62062-2025</t>
        </is>
      </c>
      <c r="B765" s="1" t="n">
        <v>46006.34454861111</v>
      </c>
      <c r="C765" s="1" t="n">
        <v>46043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43973-2023</t>
        </is>
      </c>
      <c r="B766" s="1" t="n">
        <v>45187</v>
      </c>
      <c r="C766" s="1" t="n">
        <v>46043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46692-2025</t>
        </is>
      </c>
      <c r="B767" s="1" t="n">
        <v>45926</v>
      </c>
      <c r="C767" s="1" t="n">
        <v>46043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5039-2025</t>
        </is>
      </c>
      <c r="B768" s="1" t="n">
        <v>45691</v>
      </c>
      <c r="C768" s="1" t="n">
        <v>46043</v>
      </c>
      <c r="D768" t="inlineStr">
        <is>
          <t>VÄSTERBOTTENS LÄN</t>
        </is>
      </c>
      <c r="E768" t="inlineStr">
        <is>
          <t>LYCKSELE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21666-2024</t>
        </is>
      </c>
      <c r="B769" s="1" t="n">
        <v>45441.85204861111</v>
      </c>
      <c r="C769" s="1" t="n">
        <v>46043</v>
      </c>
      <c r="D769" t="inlineStr">
        <is>
          <t>VÄSTERBOTTENS LÄN</t>
        </is>
      </c>
      <c r="E769" t="inlineStr">
        <is>
          <t>LYCKSELE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62476-2025</t>
        </is>
      </c>
      <c r="B770" s="1" t="n">
        <v>46007.55145833334</v>
      </c>
      <c r="C770" s="1" t="n">
        <v>46043</v>
      </c>
      <c r="D770" t="inlineStr">
        <is>
          <t>VÄSTERBOTTENS LÄN</t>
        </is>
      </c>
      <c r="E770" t="inlineStr">
        <is>
          <t>LYCKSELE</t>
        </is>
      </c>
      <c r="G770" t="n">
        <v>36.8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57845-2023</t>
        </is>
      </c>
      <c r="B771" s="1" t="n">
        <v>45247</v>
      </c>
      <c r="C771" s="1" t="n">
        <v>46043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8313-2025</t>
        </is>
      </c>
      <c r="B772" s="1" t="n">
        <v>45708.61552083334</v>
      </c>
      <c r="C772" s="1" t="n">
        <v>46043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38178-2022</t>
        </is>
      </c>
      <c r="B773" s="1" t="n">
        <v>44812</v>
      </c>
      <c r="C773" s="1" t="n">
        <v>46043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28486-2025</t>
        </is>
      </c>
      <c r="B774" s="1" t="n">
        <v>45819</v>
      </c>
      <c r="C774" s="1" t="n">
        <v>46043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28833-2025</t>
        </is>
      </c>
      <c r="B775" s="1" t="n">
        <v>45820.55636574074</v>
      </c>
      <c r="C775" s="1" t="n">
        <v>46043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28726-2025</t>
        </is>
      </c>
      <c r="B776" s="1" t="n">
        <v>45820</v>
      </c>
      <c r="C776" s="1" t="n">
        <v>46043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55278-2024</t>
        </is>
      </c>
      <c r="B777" s="1" t="n">
        <v>45621.62319444444</v>
      </c>
      <c r="C777" s="1" t="n">
        <v>46043</v>
      </c>
      <c r="D777" t="inlineStr">
        <is>
          <t>VÄSTERBOTTENS LÄN</t>
        </is>
      </c>
      <c r="E777" t="inlineStr">
        <is>
          <t>LYCKSELE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51957-2023</t>
        </is>
      </c>
      <c r="B778" s="1" t="n">
        <v>45223</v>
      </c>
      <c r="C778" s="1" t="n">
        <v>46043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28825-2025</t>
        </is>
      </c>
      <c r="B779" s="1" t="n">
        <v>45820.54582175926</v>
      </c>
      <c r="C779" s="1" t="n">
        <v>46043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28826-2025</t>
        </is>
      </c>
      <c r="B780" s="1" t="n">
        <v>45820.54883101852</v>
      </c>
      <c r="C780" s="1" t="n">
        <v>46043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987-2025</t>
        </is>
      </c>
      <c r="B781" s="1" t="n">
        <v>45666</v>
      </c>
      <c r="C781" s="1" t="n">
        <v>46043</v>
      </c>
      <c r="D781" t="inlineStr">
        <is>
          <t>VÄSTERBOTTENS LÄN</t>
        </is>
      </c>
      <c r="E781" t="inlineStr">
        <is>
          <t>LYCKSELE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9019-2025</t>
        </is>
      </c>
      <c r="B782" s="1" t="n">
        <v>45713.59445601852</v>
      </c>
      <c r="C782" s="1" t="n">
        <v>46043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37984-2021</t>
        </is>
      </c>
      <c r="B783" s="1" t="n">
        <v>44403</v>
      </c>
      <c r="C783" s="1" t="n">
        <v>46043</v>
      </c>
      <c r="D783" t="inlineStr">
        <is>
          <t>VÄSTERBOTTENS LÄN</t>
        </is>
      </c>
      <c r="E783" t="inlineStr">
        <is>
          <t>LYCKSELE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15037-2025</t>
        </is>
      </c>
      <c r="B784" s="1" t="n">
        <v>45743.68226851852</v>
      </c>
      <c r="C784" s="1" t="n">
        <v>46043</v>
      </c>
      <c r="D784" t="inlineStr">
        <is>
          <t>VÄSTERBOTTENS LÄN</t>
        </is>
      </c>
      <c r="E784" t="inlineStr">
        <is>
          <t>LYCKSELE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54906-2025</t>
        </is>
      </c>
      <c r="B785" s="1" t="n">
        <v>45967.37105324074</v>
      </c>
      <c r="C785" s="1" t="n">
        <v>46043</v>
      </c>
      <c r="D785" t="inlineStr">
        <is>
          <t>VÄSTERBOTTENS LÄN</t>
        </is>
      </c>
      <c r="E785" t="inlineStr">
        <is>
          <t>LYCKSELE</t>
        </is>
      </c>
      <c r="G785" t="n">
        <v>24.9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29235-2025</t>
        </is>
      </c>
      <c r="B786" s="1" t="n">
        <v>45824.34488425926</v>
      </c>
      <c r="C786" s="1" t="n">
        <v>46043</v>
      </c>
      <c r="D786" t="inlineStr">
        <is>
          <t>VÄSTERBOTTENS LÄN</t>
        </is>
      </c>
      <c r="E786" t="inlineStr">
        <is>
          <t>LYCKSELE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29438-2025</t>
        </is>
      </c>
      <c r="B787" s="1" t="n">
        <v>45824.65788194445</v>
      </c>
      <c r="C787" s="1" t="n">
        <v>46043</v>
      </c>
      <c r="D787" t="inlineStr">
        <is>
          <t>VÄSTERBOTTENS LÄN</t>
        </is>
      </c>
      <c r="E787" t="inlineStr">
        <is>
          <t>LYCKSELE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40262-2022</t>
        </is>
      </c>
      <c r="B788" s="1" t="n">
        <v>44820</v>
      </c>
      <c r="C788" s="1" t="n">
        <v>46043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29236-2025</t>
        </is>
      </c>
      <c r="B789" s="1" t="n">
        <v>45824.34488425926</v>
      </c>
      <c r="C789" s="1" t="n">
        <v>46043</v>
      </c>
      <c r="D789" t="inlineStr">
        <is>
          <t>VÄSTERBOTTENS LÄN</t>
        </is>
      </c>
      <c r="E789" t="inlineStr">
        <is>
          <t>LYCKSELE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56566-2025</t>
        </is>
      </c>
      <c r="B790" s="1" t="n">
        <v>45974</v>
      </c>
      <c r="C790" s="1" t="n">
        <v>46043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63223-2025</t>
        </is>
      </c>
      <c r="B791" s="1" t="n">
        <v>46010.49422453704</v>
      </c>
      <c r="C791" s="1" t="n">
        <v>46043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29088-2025</t>
        </is>
      </c>
      <c r="B792" s="1" t="n">
        <v>45821.54648148148</v>
      </c>
      <c r="C792" s="1" t="n">
        <v>46043</v>
      </c>
      <c r="D792" t="inlineStr">
        <is>
          <t>VÄSTERBOTTENS LÄN</t>
        </is>
      </c>
      <c r="E792" t="inlineStr">
        <is>
          <t>LYCKSELE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63315-2025</t>
        </is>
      </c>
      <c r="B793" s="1" t="n">
        <v>46010.63096064814</v>
      </c>
      <c r="C793" s="1" t="n">
        <v>46043</v>
      </c>
      <c r="D793" t="inlineStr">
        <is>
          <t>VÄSTERBOTTENS LÄN</t>
        </is>
      </c>
      <c r="E793" t="inlineStr">
        <is>
          <t>LYCKSELE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29034-2025</t>
        </is>
      </c>
      <c r="B794" s="1" t="n">
        <v>45821.44274305556</v>
      </c>
      <c r="C794" s="1" t="n">
        <v>46043</v>
      </c>
      <c r="D794" t="inlineStr">
        <is>
          <t>VÄSTERBOTTENS LÄN</t>
        </is>
      </c>
      <c r="E794" t="inlineStr">
        <is>
          <t>LYCKSELE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54943-2025</t>
        </is>
      </c>
      <c r="B795" s="1" t="n">
        <v>45967.44447916667</v>
      </c>
      <c r="C795" s="1" t="n">
        <v>46043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59653-2022</t>
        </is>
      </c>
      <c r="B796" s="1" t="n">
        <v>44907</v>
      </c>
      <c r="C796" s="1" t="n">
        <v>46043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29045-2025</t>
        </is>
      </c>
      <c r="B797" s="1" t="n">
        <v>45821.45783564815</v>
      </c>
      <c r="C797" s="1" t="n">
        <v>46043</v>
      </c>
      <c r="D797" t="inlineStr">
        <is>
          <t>VÄSTERBOTTENS LÄN</t>
        </is>
      </c>
      <c r="E797" t="inlineStr">
        <is>
          <t>LYCKSELE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54993-2025</t>
        </is>
      </c>
      <c r="B798" s="1" t="n">
        <v>45967</v>
      </c>
      <c r="C798" s="1" t="n">
        <v>46043</v>
      </c>
      <c r="D798" t="inlineStr">
        <is>
          <t>VÄSTERBOTTENS LÄN</t>
        </is>
      </c>
      <c r="E798" t="inlineStr">
        <is>
          <t>LYCKSELE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55216-2025</t>
        </is>
      </c>
      <c r="B799" s="1" t="n">
        <v>45968.58465277778</v>
      </c>
      <c r="C799" s="1" t="n">
        <v>46043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Naturvårdsverket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54942-2025</t>
        </is>
      </c>
      <c r="B800" s="1" t="n">
        <v>45967.44127314815</v>
      </c>
      <c r="C800" s="1" t="n">
        <v>46043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61351-2025</t>
        </is>
      </c>
      <c r="B801" s="1" t="n">
        <v>46001.38690972222</v>
      </c>
      <c r="C801" s="1" t="n">
        <v>46043</v>
      </c>
      <c r="D801" t="inlineStr">
        <is>
          <t>VÄSTERBOTTENS LÄN</t>
        </is>
      </c>
      <c r="E801" t="inlineStr">
        <is>
          <t>LYCKSELE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55187-2025</t>
        </is>
      </c>
      <c r="B802" s="1" t="n">
        <v>45968.53877314815</v>
      </c>
      <c r="C802" s="1" t="n">
        <v>46043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29195-2025</t>
        </is>
      </c>
      <c r="B803" s="1" t="n">
        <v>45822.96603009259</v>
      </c>
      <c r="C803" s="1" t="n">
        <v>46043</v>
      </c>
      <c r="D803" t="inlineStr">
        <is>
          <t>VÄSTERBOTTENS LÄN</t>
        </is>
      </c>
      <c r="E803" t="inlineStr">
        <is>
          <t>LYCKSELE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29123-2025</t>
        </is>
      </c>
      <c r="B804" s="1" t="n">
        <v>45821.59451388889</v>
      </c>
      <c r="C804" s="1" t="n">
        <v>46043</v>
      </c>
      <c r="D804" t="inlineStr">
        <is>
          <t>VÄSTERBOTTENS LÄN</t>
        </is>
      </c>
      <c r="E804" t="inlineStr">
        <is>
          <t>LYCKSELE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29095-2025</t>
        </is>
      </c>
      <c r="B805" s="1" t="n">
        <v>45821.56167824074</v>
      </c>
      <c r="C805" s="1" t="n">
        <v>46043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63096-2025</t>
        </is>
      </c>
      <c r="B806" s="1" t="n">
        <v>46009.69010416666</v>
      </c>
      <c r="C806" s="1" t="n">
        <v>46043</v>
      </c>
      <c r="D806" t="inlineStr">
        <is>
          <t>VÄSTERBOTTENS LÄN</t>
        </is>
      </c>
      <c r="E806" t="inlineStr">
        <is>
          <t>LYCKSELE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41419-2022</t>
        </is>
      </c>
      <c r="B807" s="1" t="n">
        <v>44826</v>
      </c>
      <c r="C807" s="1" t="n">
        <v>46043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Naturvårdsverket</t>
        </is>
      </c>
      <c r="G807" t="n">
        <v>32.1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63100-2025</t>
        </is>
      </c>
      <c r="B808" s="1" t="n">
        <v>46009.69855324074</v>
      </c>
      <c r="C808" s="1" t="n">
        <v>46043</v>
      </c>
      <c r="D808" t="inlineStr">
        <is>
          <t>VÄSTERBOTTENS LÄN</t>
        </is>
      </c>
      <c r="E808" t="inlineStr">
        <is>
          <t>LYCKSELE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55031-2025</t>
        </is>
      </c>
      <c r="B809" s="1" t="n">
        <v>45967.64045138889</v>
      </c>
      <c r="C809" s="1" t="n">
        <v>46043</v>
      </c>
      <c r="D809" t="inlineStr">
        <is>
          <t>VÄSTERBOTTENS LÄN</t>
        </is>
      </c>
      <c r="E809" t="inlineStr">
        <is>
          <t>LYCKSELE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41703-2023</t>
        </is>
      </c>
      <c r="B810" s="1" t="n">
        <v>45176</v>
      </c>
      <c r="C810" s="1" t="n">
        <v>46043</v>
      </c>
      <c r="D810" t="inlineStr">
        <is>
          <t>VÄSTERBOTTENS LÄN</t>
        </is>
      </c>
      <c r="E810" t="inlineStr">
        <is>
          <t>LYCKSELE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55677-2025</t>
        </is>
      </c>
      <c r="B811" s="1" t="n">
        <v>45972.41859953704</v>
      </c>
      <c r="C811" s="1" t="n">
        <v>46043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55738-2025</t>
        </is>
      </c>
      <c r="B812" s="1" t="n">
        <v>45972.56696759259</v>
      </c>
      <c r="C812" s="1" t="n">
        <v>46043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5856-2025</t>
        </is>
      </c>
      <c r="B813" s="1" t="n">
        <v>45695.34431712963</v>
      </c>
      <c r="C813" s="1" t="n">
        <v>46043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55627-2025</t>
        </is>
      </c>
      <c r="B814" s="1" t="n">
        <v>45972.33012731482</v>
      </c>
      <c r="C814" s="1" t="n">
        <v>46043</v>
      </c>
      <c r="D814" t="inlineStr">
        <is>
          <t>VÄSTERBOTTENS LÄN</t>
        </is>
      </c>
      <c r="E814" t="inlineStr">
        <is>
          <t>LYCKSELE</t>
        </is>
      </c>
      <c r="G814" t="n">
        <v>14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64346-2023</t>
        </is>
      </c>
      <c r="B815" s="1" t="n">
        <v>45279</v>
      </c>
      <c r="C815" s="1" t="n">
        <v>46043</v>
      </c>
      <c r="D815" t="inlineStr">
        <is>
          <t>VÄSTERBOTTENS LÄN</t>
        </is>
      </c>
      <c r="E815" t="inlineStr">
        <is>
          <t>LYCKSELE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55545-2025</t>
        </is>
      </c>
      <c r="B816" s="1" t="n">
        <v>45971.63599537037</v>
      </c>
      <c r="C816" s="1" t="n">
        <v>46043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55666-2025</t>
        </is>
      </c>
      <c r="B817" s="1" t="n">
        <v>45972.40097222223</v>
      </c>
      <c r="C817" s="1" t="n">
        <v>46043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63639-2025</t>
        </is>
      </c>
      <c r="B818" s="1" t="n">
        <v>46014.39515046297</v>
      </c>
      <c r="C818" s="1" t="n">
        <v>46043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52370-2022</t>
        </is>
      </c>
      <c r="B819" s="1" t="n">
        <v>44874</v>
      </c>
      <c r="C819" s="1" t="n">
        <v>46043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55721-2025</t>
        </is>
      </c>
      <c r="B820" s="1" t="n">
        <v>45972.51114583333</v>
      </c>
      <c r="C820" s="1" t="n">
        <v>46043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55674-2025</t>
        </is>
      </c>
      <c r="B821" s="1" t="n">
        <v>45972.41671296296</v>
      </c>
      <c r="C821" s="1" t="n">
        <v>46043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20508-2025</t>
        </is>
      </c>
      <c r="B822" s="1" t="n">
        <v>45775</v>
      </c>
      <c r="C822" s="1" t="n">
        <v>46043</v>
      </c>
      <c r="D822" t="inlineStr">
        <is>
          <t>VÄSTERBOTTENS LÄN</t>
        </is>
      </c>
      <c r="E822" t="inlineStr">
        <is>
          <t>LYCKSELE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55541-2025</t>
        </is>
      </c>
      <c r="B823" s="1" t="n">
        <v>45971.63456018519</v>
      </c>
      <c r="C823" s="1" t="n">
        <v>46043</v>
      </c>
      <c r="D823" t="inlineStr">
        <is>
          <t>VÄSTERBOTTENS LÄN</t>
        </is>
      </c>
      <c r="E823" t="inlineStr">
        <is>
          <t>LYCKSELE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2761-2025</t>
        </is>
      </c>
      <c r="B824" s="1" t="n">
        <v>45677.48184027777</v>
      </c>
      <c r="C824" s="1" t="n">
        <v>46043</v>
      </c>
      <c r="D824" t="inlineStr">
        <is>
          <t>VÄSTERBOTTENS LÄN</t>
        </is>
      </c>
      <c r="E824" t="inlineStr">
        <is>
          <t>LYCKSELE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29866-2025</t>
        </is>
      </c>
      <c r="B825" s="1" t="n">
        <v>45826.35212962963</v>
      </c>
      <c r="C825" s="1" t="n">
        <v>46043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55536-2025</t>
        </is>
      </c>
      <c r="B826" s="1" t="n">
        <v>45971.63290509259</v>
      </c>
      <c r="C826" s="1" t="n">
        <v>46043</v>
      </c>
      <c r="D826" t="inlineStr">
        <is>
          <t>VÄSTERBOTTENS LÄN</t>
        </is>
      </c>
      <c r="E826" t="inlineStr">
        <is>
          <t>LYCKSELE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55741-2025</t>
        </is>
      </c>
      <c r="B827" s="1" t="n">
        <v>45972.56950231481</v>
      </c>
      <c r="C827" s="1" t="n">
        <v>46043</v>
      </c>
      <c r="D827" t="inlineStr">
        <is>
          <t>VÄSTERBOTTENS LÄN</t>
        </is>
      </c>
      <c r="E827" t="inlineStr">
        <is>
          <t>LYCKSELE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29784-2025</t>
        </is>
      </c>
      <c r="B828" s="1" t="n">
        <v>45825.65462962963</v>
      </c>
      <c r="C828" s="1" t="n">
        <v>46043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55508-2025</t>
        </is>
      </c>
      <c r="B829" s="1" t="n">
        <v>45971.59414351852</v>
      </c>
      <c r="C829" s="1" t="n">
        <v>46043</v>
      </c>
      <c r="D829" t="inlineStr">
        <is>
          <t>VÄSTERBOTTENS LÄN</t>
        </is>
      </c>
      <c r="E829" t="inlineStr">
        <is>
          <t>LYCKSELE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55551-2025</t>
        </is>
      </c>
      <c r="B830" s="1" t="n">
        <v>45971.63873842593</v>
      </c>
      <c r="C830" s="1" t="n">
        <v>46043</v>
      </c>
      <c r="D830" t="inlineStr">
        <is>
          <t>VÄSTERBOTTENS LÄN</t>
        </is>
      </c>
      <c r="E830" t="inlineStr">
        <is>
          <t>LYCKSELE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55333-2025</t>
        </is>
      </c>
      <c r="B831" s="1" t="n">
        <v>45971.34361111111</v>
      </c>
      <c r="C831" s="1" t="n">
        <v>46043</v>
      </c>
      <c r="D831" t="inlineStr">
        <is>
          <t>VÄSTERBOTTENS LÄN</t>
        </is>
      </c>
      <c r="E831" t="inlineStr">
        <is>
          <t>LYCKSELE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30101-2025</t>
        </is>
      </c>
      <c r="B832" s="1" t="n">
        <v>45826.68275462963</v>
      </c>
      <c r="C832" s="1" t="n">
        <v>46043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16274-2022</t>
        </is>
      </c>
      <c r="B833" s="1" t="n">
        <v>44670</v>
      </c>
      <c r="C833" s="1" t="n">
        <v>46043</v>
      </c>
      <c r="D833" t="inlineStr">
        <is>
          <t>VÄSTERBOTTENS LÄN</t>
        </is>
      </c>
      <c r="E833" t="inlineStr">
        <is>
          <t>LYCKSELE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56172-2025</t>
        </is>
      </c>
      <c r="B834" s="1" t="n">
        <v>45974.39545138889</v>
      </c>
      <c r="C834" s="1" t="n">
        <v>46043</v>
      </c>
      <c r="D834" t="inlineStr">
        <is>
          <t>VÄSTERBOTTENS LÄN</t>
        </is>
      </c>
      <c r="E834" t="inlineStr">
        <is>
          <t>LYCKSELE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31453-2024</t>
        </is>
      </c>
      <c r="B835" s="1" t="n">
        <v>45505.9484837963</v>
      </c>
      <c r="C835" s="1" t="n">
        <v>46043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55921-2025</t>
        </is>
      </c>
      <c r="B836" s="1" t="n">
        <v>45973.42172453704</v>
      </c>
      <c r="C836" s="1" t="n">
        <v>46043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19531-2025</t>
        </is>
      </c>
      <c r="B837" s="1" t="n">
        <v>45770.46910879629</v>
      </c>
      <c r="C837" s="1" t="n">
        <v>46043</v>
      </c>
      <c r="D837" t="inlineStr">
        <is>
          <t>VÄSTERBOTTENS LÄN</t>
        </is>
      </c>
      <c r="E837" t="inlineStr">
        <is>
          <t>LYCKSELE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4215-2025</t>
        </is>
      </c>
      <c r="B838" s="1" t="n">
        <v>45685.49891203704</v>
      </c>
      <c r="C838" s="1" t="n">
        <v>46043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30336-2025</t>
        </is>
      </c>
      <c r="B839" s="1" t="n">
        <v>45827.51121527778</v>
      </c>
      <c r="C839" s="1" t="n">
        <v>46043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55679-2025</t>
        </is>
      </c>
      <c r="B840" s="1" t="n">
        <v>45972.4197337963</v>
      </c>
      <c r="C840" s="1" t="n">
        <v>46043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30426-2025</t>
        </is>
      </c>
      <c r="B841" s="1" t="n">
        <v>45827.61538194444</v>
      </c>
      <c r="C841" s="1" t="n">
        <v>46043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30385-2025</t>
        </is>
      </c>
      <c r="B842" s="1" t="n">
        <v>45827.5730787037</v>
      </c>
      <c r="C842" s="1" t="n">
        <v>46043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29675-2023</t>
        </is>
      </c>
      <c r="B843" s="1" t="n">
        <v>45107</v>
      </c>
      <c r="C843" s="1" t="n">
        <v>46043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55922-2025</t>
        </is>
      </c>
      <c r="B844" s="1" t="n">
        <v>45973.4247800926</v>
      </c>
      <c r="C844" s="1" t="n">
        <v>46043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30154-2025</t>
        </is>
      </c>
      <c r="B845" s="1" t="n">
        <v>45827.31850694444</v>
      </c>
      <c r="C845" s="1" t="n">
        <v>46043</v>
      </c>
      <c r="D845" t="inlineStr">
        <is>
          <t>VÄSTERBOTTENS LÄN</t>
        </is>
      </c>
      <c r="E845" t="inlineStr">
        <is>
          <t>LYCKSELE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30258-2025</t>
        </is>
      </c>
      <c r="B846" s="1" t="n">
        <v>45827.42743055556</v>
      </c>
      <c r="C846" s="1" t="n">
        <v>46043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53614-2021</t>
        </is>
      </c>
      <c r="B847" s="1" t="n">
        <v>44469.38017361111</v>
      </c>
      <c r="C847" s="1" t="n">
        <v>46043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30578-2025</t>
        </is>
      </c>
      <c r="B848" s="1" t="n">
        <v>45831.41945601852</v>
      </c>
      <c r="C848" s="1" t="n">
        <v>46043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30573-2025</t>
        </is>
      </c>
      <c r="B849" s="1" t="n">
        <v>45831.41046296297</v>
      </c>
      <c r="C849" s="1" t="n">
        <v>46043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47697-2021</t>
        </is>
      </c>
      <c r="B850" s="1" t="n">
        <v>44448.47038194445</v>
      </c>
      <c r="C850" s="1" t="n">
        <v>46043</v>
      </c>
      <c r="D850" t="inlineStr">
        <is>
          <t>VÄSTERBOTTENS LÄN</t>
        </is>
      </c>
      <c r="E850" t="inlineStr">
        <is>
          <t>LYCKSELE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30865-2025</t>
        </is>
      </c>
      <c r="B851" s="1" t="n">
        <v>45832.3215162037</v>
      </c>
      <c r="C851" s="1" t="n">
        <v>46043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8600-2025</t>
        </is>
      </c>
      <c r="B852" s="1" t="n">
        <v>45709</v>
      </c>
      <c r="C852" s="1" t="n">
        <v>46043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30632-2025</t>
        </is>
      </c>
      <c r="B853" s="1" t="n">
        <v>45831.4783912037</v>
      </c>
      <c r="C853" s="1" t="n">
        <v>46043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9892-2022</t>
        </is>
      </c>
      <c r="B854" s="1" t="n">
        <v>44620</v>
      </c>
      <c r="C854" s="1" t="n">
        <v>46043</v>
      </c>
      <c r="D854" t="inlineStr">
        <is>
          <t>VÄSTERBOTTENS LÄN</t>
        </is>
      </c>
      <c r="E854" t="inlineStr">
        <is>
          <t>LYCKSELE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31022-2025</t>
        </is>
      </c>
      <c r="B855" s="1" t="n">
        <v>45832.51869212963</v>
      </c>
      <c r="C855" s="1" t="n">
        <v>46043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30906-2025</t>
        </is>
      </c>
      <c r="B856" s="1" t="n">
        <v>45832.36453703704</v>
      </c>
      <c r="C856" s="1" t="n">
        <v>46043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12839-2022</t>
        </is>
      </c>
      <c r="B857" s="1" t="n">
        <v>44642</v>
      </c>
      <c r="C857" s="1" t="n">
        <v>46043</v>
      </c>
      <c r="D857" t="inlineStr">
        <is>
          <t>VÄSTERBOTTENS LÄN</t>
        </is>
      </c>
      <c r="E857" t="inlineStr">
        <is>
          <t>LYCKSELE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30864-2025</t>
        </is>
      </c>
      <c r="B858" s="1" t="n">
        <v>45832.31803240741</v>
      </c>
      <c r="C858" s="1" t="n">
        <v>46043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30623-2025</t>
        </is>
      </c>
      <c r="B859" s="1" t="n">
        <v>45831.47189814815</v>
      </c>
      <c r="C859" s="1" t="n">
        <v>46043</v>
      </c>
      <c r="D859" t="inlineStr">
        <is>
          <t>VÄSTERBOTTENS LÄN</t>
        </is>
      </c>
      <c r="E859" t="inlineStr">
        <is>
          <t>LYCKSELE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6684-2023</t>
        </is>
      </c>
      <c r="B860" s="1" t="n">
        <v>44963</v>
      </c>
      <c r="C860" s="1" t="n">
        <v>46043</v>
      </c>
      <c r="D860" t="inlineStr">
        <is>
          <t>VÄSTERBOTTENS LÄN</t>
        </is>
      </c>
      <c r="E860" t="inlineStr">
        <is>
          <t>LYCKSELE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27964-2023</t>
        </is>
      </c>
      <c r="B861" s="1" t="n">
        <v>45098</v>
      </c>
      <c r="C861" s="1" t="n">
        <v>46043</v>
      </c>
      <c r="D861" t="inlineStr">
        <is>
          <t>VÄSTERBOTTENS LÄN</t>
        </is>
      </c>
      <c r="E861" t="inlineStr">
        <is>
          <t>LYCKSELE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30624-2025</t>
        </is>
      </c>
      <c r="B862" s="1" t="n">
        <v>45831.4724074074</v>
      </c>
      <c r="C862" s="1" t="n">
        <v>46043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30656-2025</t>
        </is>
      </c>
      <c r="B863" s="1" t="n">
        <v>45831.50633101852</v>
      </c>
      <c r="C863" s="1" t="n">
        <v>46043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31044-2025</t>
        </is>
      </c>
      <c r="B864" s="1" t="n">
        <v>45832.55402777778</v>
      </c>
      <c r="C864" s="1" t="n">
        <v>46043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60272-2022</t>
        </is>
      </c>
      <c r="B865" s="1" t="n">
        <v>44910.49471064815</v>
      </c>
      <c r="C865" s="1" t="n">
        <v>46043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6700-2025</t>
        </is>
      </c>
      <c r="B866" s="1" t="n">
        <v>45700.54133101852</v>
      </c>
      <c r="C866" s="1" t="n">
        <v>46043</v>
      </c>
      <c r="D866" t="inlineStr">
        <is>
          <t>VÄSTERBOTTENS LÄN</t>
        </is>
      </c>
      <c r="E866" t="inlineStr">
        <is>
          <t>LYCKSELE</t>
        </is>
      </c>
      <c r="G866" t="n">
        <v>18.1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30901-2025</t>
        </is>
      </c>
      <c r="B867" s="1" t="n">
        <v>45832.35980324074</v>
      </c>
      <c r="C867" s="1" t="n">
        <v>46043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18810-2025</t>
        </is>
      </c>
      <c r="B868" s="1" t="n">
        <v>45764.360625</v>
      </c>
      <c r="C868" s="1" t="n">
        <v>46043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31693-2025</t>
        </is>
      </c>
      <c r="B869" s="1" t="n">
        <v>45834.40671296296</v>
      </c>
      <c r="C869" s="1" t="n">
        <v>46043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14343-2025</t>
        </is>
      </c>
      <c r="B870" s="1" t="n">
        <v>45741.32619212963</v>
      </c>
      <c r="C870" s="1" t="n">
        <v>46043</v>
      </c>
      <c r="D870" t="inlineStr">
        <is>
          <t>VÄSTERBOTTENS LÄN</t>
        </is>
      </c>
      <c r="E870" t="inlineStr">
        <is>
          <t>LYCKSELE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31800-2025</t>
        </is>
      </c>
      <c r="B871" s="1" t="n">
        <v>45834.55274305555</v>
      </c>
      <c r="C871" s="1" t="n">
        <v>46043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29543-2023</t>
        </is>
      </c>
      <c r="B872" s="1" t="n">
        <v>45106.64143518519</v>
      </c>
      <c r="C872" s="1" t="n">
        <v>46043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849-2022</t>
        </is>
      </c>
      <c r="B873" s="1" t="n">
        <v>44571.42083333333</v>
      </c>
      <c r="C873" s="1" t="n">
        <v>46043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26357-2023</t>
        </is>
      </c>
      <c r="B874" s="1" t="n">
        <v>45091</v>
      </c>
      <c r="C874" s="1" t="n">
        <v>46043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31897-2025</t>
        </is>
      </c>
      <c r="B875" s="1" t="n">
        <v>45834.67758101852</v>
      </c>
      <c r="C875" s="1" t="n">
        <v>46043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40497-2022</t>
        </is>
      </c>
      <c r="B876" s="1" t="n">
        <v>44823</v>
      </c>
      <c r="C876" s="1" t="n">
        <v>46043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Naturvårdsverket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49175-2023</t>
        </is>
      </c>
      <c r="B877" s="1" t="n">
        <v>45210.55800925926</v>
      </c>
      <c r="C877" s="1" t="n">
        <v>46043</v>
      </c>
      <c r="D877" t="inlineStr">
        <is>
          <t>VÄSTERBOTTENS LÄN</t>
        </is>
      </c>
      <c r="E877" t="inlineStr">
        <is>
          <t>LYCKSELE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30401-2023</t>
        </is>
      </c>
      <c r="B878" s="1" t="n">
        <v>45103</v>
      </c>
      <c r="C878" s="1" t="n">
        <v>46043</v>
      </c>
      <c r="D878" t="inlineStr">
        <is>
          <t>VÄSTERBOTTENS LÄN</t>
        </is>
      </c>
      <c r="E878" t="inlineStr">
        <is>
          <t>LYCKSELE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36325-2024</t>
        </is>
      </c>
      <c r="B879" s="1" t="n">
        <v>45534.63637731481</v>
      </c>
      <c r="C879" s="1" t="n">
        <v>46043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31970-2025</t>
        </is>
      </c>
      <c r="B880" s="1" t="n">
        <v>45835.34858796297</v>
      </c>
      <c r="C880" s="1" t="n">
        <v>46043</v>
      </c>
      <c r="D880" t="inlineStr">
        <is>
          <t>VÄSTERBOTTENS LÄN</t>
        </is>
      </c>
      <c r="E880" t="inlineStr">
        <is>
          <t>LYCKSELE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53241-2022</t>
        </is>
      </c>
      <c r="B881" s="1" t="n">
        <v>44876</v>
      </c>
      <c r="C881" s="1" t="n">
        <v>46043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32229-2025</t>
        </is>
      </c>
      <c r="B882" s="1" t="n">
        <v>45835.59662037037</v>
      </c>
      <c r="C882" s="1" t="n">
        <v>46043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32239-2025</t>
        </is>
      </c>
      <c r="B883" s="1" t="n">
        <v>45835.61503472222</v>
      </c>
      <c r="C883" s="1" t="n">
        <v>46043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56401-2021</t>
        </is>
      </c>
      <c r="B884" s="1" t="n">
        <v>44477</v>
      </c>
      <c r="C884" s="1" t="n">
        <v>46043</v>
      </c>
      <c r="D884" t="inlineStr">
        <is>
          <t>VÄSTERBOTTENS LÄN</t>
        </is>
      </c>
      <c r="E884" t="inlineStr">
        <is>
          <t>LYCKSELE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32454-2025</t>
        </is>
      </c>
      <c r="B885" s="1" t="n">
        <v>45838.40033564815</v>
      </c>
      <c r="C885" s="1" t="n">
        <v>46043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32614-2025</t>
        </is>
      </c>
      <c r="B886" s="1" t="n">
        <v>45838.64195601852</v>
      </c>
      <c r="C886" s="1" t="n">
        <v>46043</v>
      </c>
      <c r="D886" t="inlineStr">
        <is>
          <t>VÄSTERBOTTENS LÄN</t>
        </is>
      </c>
      <c r="E886" t="inlineStr">
        <is>
          <t>LYCKSELE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53323-2021</t>
        </is>
      </c>
      <c r="B887" s="1" t="n">
        <v>44468.56100694444</v>
      </c>
      <c r="C887" s="1" t="n">
        <v>46043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32108-2025</t>
        </is>
      </c>
      <c r="B888" s="1" t="n">
        <v>45835.47898148148</v>
      </c>
      <c r="C888" s="1" t="n">
        <v>46043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32487-2025</t>
        </is>
      </c>
      <c r="B889" s="1" t="n">
        <v>45838.44355324074</v>
      </c>
      <c r="C889" s="1" t="n">
        <v>46043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32619-2025</t>
        </is>
      </c>
      <c r="B890" s="1" t="n">
        <v>45838.64458333333</v>
      </c>
      <c r="C890" s="1" t="n">
        <v>46043</v>
      </c>
      <c r="D890" t="inlineStr">
        <is>
          <t>VÄSTERBOTTENS LÄN</t>
        </is>
      </c>
      <c r="E890" t="inlineStr">
        <is>
          <t>LYCKSELE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4858-2025</t>
        </is>
      </c>
      <c r="B891" s="1" t="n">
        <v>45688.67435185185</v>
      </c>
      <c r="C891" s="1" t="n">
        <v>46043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32431-2025</t>
        </is>
      </c>
      <c r="B892" s="1" t="n">
        <v>45838.36606481481</v>
      </c>
      <c r="C892" s="1" t="n">
        <v>46043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32409-2025</t>
        </is>
      </c>
      <c r="B893" s="1" t="n">
        <v>45838.33060185185</v>
      </c>
      <c r="C893" s="1" t="n">
        <v>46043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32783-2025</t>
        </is>
      </c>
      <c r="B894" s="1" t="n">
        <v>45839.47989583333</v>
      </c>
      <c r="C894" s="1" t="n">
        <v>46043</v>
      </c>
      <c r="D894" t="inlineStr">
        <is>
          <t>VÄSTERBOTTENS LÄN</t>
        </is>
      </c>
      <c r="E894" t="inlineStr">
        <is>
          <t>LYCKSELE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33052-2025</t>
        </is>
      </c>
      <c r="B895" s="1" t="n">
        <v>45840.42515046296</v>
      </c>
      <c r="C895" s="1" t="n">
        <v>46043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6942-2025</t>
        </is>
      </c>
      <c r="B896" s="1" t="n">
        <v>45701</v>
      </c>
      <c r="C896" s="1" t="n">
        <v>46043</v>
      </c>
      <c r="D896" t="inlineStr">
        <is>
          <t>VÄSTERBOTTENS LÄN</t>
        </is>
      </c>
      <c r="E896" t="inlineStr">
        <is>
          <t>LYCKSELE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32752-2025</t>
        </is>
      </c>
      <c r="B897" s="1" t="n">
        <v>45839.42896990741</v>
      </c>
      <c r="C897" s="1" t="n">
        <v>46043</v>
      </c>
      <c r="D897" t="inlineStr">
        <is>
          <t>VÄSTERBOTTENS LÄN</t>
        </is>
      </c>
      <c r="E897" t="inlineStr">
        <is>
          <t>LYCKSELE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52699-2021</t>
        </is>
      </c>
      <c r="B898" s="1" t="n">
        <v>44466</v>
      </c>
      <c r="C898" s="1" t="n">
        <v>46043</v>
      </c>
      <c r="D898" t="inlineStr">
        <is>
          <t>VÄSTERBOTTENS LÄN</t>
        </is>
      </c>
      <c r="E898" t="inlineStr">
        <is>
          <t>LYCKSELE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16192-2024</t>
        </is>
      </c>
      <c r="B899" s="1" t="n">
        <v>45406</v>
      </c>
      <c r="C899" s="1" t="n">
        <v>46043</v>
      </c>
      <c r="D899" t="inlineStr">
        <is>
          <t>VÄSTERBOTTENS LÄN</t>
        </is>
      </c>
      <c r="E899" t="inlineStr">
        <is>
          <t>LYCKSELE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58594-2022</t>
        </is>
      </c>
      <c r="B900" s="1" t="n">
        <v>44902.54416666667</v>
      </c>
      <c r="C900" s="1" t="n">
        <v>46043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32722-2025</t>
        </is>
      </c>
      <c r="B901" s="1" t="n">
        <v>45839.38622685185</v>
      </c>
      <c r="C901" s="1" t="n">
        <v>46043</v>
      </c>
      <c r="D901" t="inlineStr">
        <is>
          <t>VÄSTERBOTTENS LÄN</t>
        </is>
      </c>
      <c r="E901" t="inlineStr">
        <is>
          <t>LYCKSELE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32941-2025</t>
        </is>
      </c>
      <c r="B902" s="1" t="n">
        <v>45839.67783564814</v>
      </c>
      <c r="C902" s="1" t="n">
        <v>46043</v>
      </c>
      <c r="D902" t="inlineStr">
        <is>
          <t>VÄSTERBOTTENS LÄN</t>
        </is>
      </c>
      <c r="E902" t="inlineStr">
        <is>
          <t>LYCKSELE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53036-2023</t>
        </is>
      </c>
      <c r="B903" s="1" t="n">
        <v>45226.96280092592</v>
      </c>
      <c r="C903" s="1" t="n">
        <v>46043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46176-2023</t>
        </is>
      </c>
      <c r="B904" s="1" t="n">
        <v>45196.60607638889</v>
      </c>
      <c r="C904" s="1" t="n">
        <v>46043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33067-2025</t>
        </is>
      </c>
      <c r="B905" s="1" t="n">
        <v>45840.44748842593</v>
      </c>
      <c r="C905" s="1" t="n">
        <v>46043</v>
      </c>
      <c r="D905" t="inlineStr">
        <is>
          <t>VÄSTERBOTTENS LÄN</t>
        </is>
      </c>
      <c r="E905" t="inlineStr">
        <is>
          <t>LYCKSELE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12585-2025</t>
        </is>
      </c>
      <c r="B906" s="1" t="n">
        <v>45732</v>
      </c>
      <c r="C906" s="1" t="n">
        <v>46043</v>
      </c>
      <c r="D906" t="inlineStr">
        <is>
          <t>VÄSTERBOTTENS LÄN</t>
        </is>
      </c>
      <c r="E906" t="inlineStr">
        <is>
          <t>LYCKSELE</t>
        </is>
      </c>
      <c r="G906" t="n">
        <v>15.5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33966-2025</t>
        </is>
      </c>
      <c r="B907" s="1" t="n">
        <v>45842.75030092592</v>
      </c>
      <c r="C907" s="1" t="n">
        <v>46043</v>
      </c>
      <c r="D907" t="inlineStr">
        <is>
          <t>VÄSTERBOTTENS LÄN</t>
        </is>
      </c>
      <c r="E907" t="inlineStr">
        <is>
          <t>LYCKSELE</t>
        </is>
      </c>
      <c r="G907" t="n">
        <v>12.5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33527-2025</t>
        </is>
      </c>
      <c r="B908" s="1" t="n">
        <v>45841.54920138889</v>
      </c>
      <c r="C908" s="1" t="n">
        <v>46043</v>
      </c>
      <c r="D908" t="inlineStr">
        <is>
          <t>VÄSTERBOTTENS LÄN</t>
        </is>
      </c>
      <c r="E908" t="inlineStr">
        <is>
          <t>LYCKSELE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33346-2025</t>
        </is>
      </c>
      <c r="B909" s="1" t="n">
        <v>45841.36670138889</v>
      </c>
      <c r="C909" s="1" t="n">
        <v>46043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40445-2024</t>
        </is>
      </c>
      <c r="B910" s="1" t="n">
        <v>45555</v>
      </c>
      <c r="C910" s="1" t="n">
        <v>46043</v>
      </c>
      <c r="D910" t="inlineStr">
        <is>
          <t>VÄSTERBOTTENS LÄN</t>
        </is>
      </c>
      <c r="E910" t="inlineStr">
        <is>
          <t>LYCKSELE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59330-2022</t>
        </is>
      </c>
      <c r="B911" s="1" t="n">
        <v>44904.64789351852</v>
      </c>
      <c r="C911" s="1" t="n">
        <v>46043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58961-2022</t>
        </is>
      </c>
      <c r="B912" s="1" t="n">
        <v>44903</v>
      </c>
      <c r="C912" s="1" t="n">
        <v>46043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33467-2025</t>
        </is>
      </c>
      <c r="B913" s="1" t="n">
        <v>45841.48503472222</v>
      </c>
      <c r="C913" s="1" t="n">
        <v>46043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40488-2024</t>
        </is>
      </c>
      <c r="B914" s="1" t="n">
        <v>45555.55739583333</v>
      </c>
      <c r="C914" s="1" t="n">
        <v>46043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33381-2025</t>
        </is>
      </c>
      <c r="B915" s="1" t="n">
        <v>45841.40428240741</v>
      </c>
      <c r="C915" s="1" t="n">
        <v>46043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33431-2025</t>
        </is>
      </c>
      <c r="B916" s="1" t="n">
        <v>45841.44836805556</v>
      </c>
      <c r="C916" s="1" t="n">
        <v>46043</v>
      </c>
      <c r="D916" t="inlineStr">
        <is>
          <t>VÄSTERBOTTENS LÄN</t>
        </is>
      </c>
      <c r="E916" t="inlineStr">
        <is>
          <t>LYCKSELE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33415-2025</t>
        </is>
      </c>
      <c r="B917" s="1" t="n">
        <v>45841.4374537037</v>
      </c>
      <c r="C917" s="1" t="n">
        <v>46043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14276-2025</t>
        </is>
      </c>
      <c r="B918" s="1" t="n">
        <v>45740.64665509259</v>
      </c>
      <c r="C918" s="1" t="n">
        <v>46043</v>
      </c>
      <c r="D918" t="inlineStr">
        <is>
          <t>VÄSTERBOTTENS LÄN</t>
        </is>
      </c>
      <c r="E918" t="inlineStr">
        <is>
          <t>LYCKSELE</t>
        </is>
      </c>
      <c r="G918" t="n">
        <v>34.9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957-2023</t>
        </is>
      </c>
      <c r="B919" s="1" t="n">
        <v>44934.85548611111</v>
      </c>
      <c r="C919" s="1" t="n">
        <v>46043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15221-2025</t>
        </is>
      </c>
      <c r="B920" s="1" t="n">
        <v>45744.58421296296</v>
      </c>
      <c r="C920" s="1" t="n">
        <v>46043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12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33453-2025</t>
        </is>
      </c>
      <c r="B921" s="1" t="n">
        <v>45841.46954861111</v>
      </c>
      <c r="C921" s="1" t="n">
        <v>46043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33423-2025</t>
        </is>
      </c>
      <c r="B922" s="1" t="n">
        <v>45841.44326388889</v>
      </c>
      <c r="C922" s="1" t="n">
        <v>46043</v>
      </c>
      <c r="D922" t="inlineStr">
        <is>
          <t>VÄSTERBOTTENS LÄN</t>
        </is>
      </c>
      <c r="E922" t="inlineStr">
        <is>
          <t>LYCKSELE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55170-2022</t>
        </is>
      </c>
      <c r="B923" s="1" t="n">
        <v>44886</v>
      </c>
      <c r="C923" s="1" t="n">
        <v>46043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33992-2025</t>
        </is>
      </c>
      <c r="B924" s="1" t="n">
        <v>45843.61037037037</v>
      </c>
      <c r="C924" s="1" t="n">
        <v>46043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62874-2023</t>
        </is>
      </c>
      <c r="B925" s="1" t="n">
        <v>45271</v>
      </c>
      <c r="C925" s="1" t="n">
        <v>46043</v>
      </c>
      <c r="D925" t="inlineStr">
        <is>
          <t>VÄSTERBOTTENS LÄN</t>
        </is>
      </c>
      <c r="E925" t="inlineStr">
        <is>
          <t>LYCKSELE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41977-2024</t>
        </is>
      </c>
      <c r="B926" s="1" t="n">
        <v>45561.62664351852</v>
      </c>
      <c r="C926" s="1" t="n">
        <v>46043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41982-2024</t>
        </is>
      </c>
      <c r="B927" s="1" t="n">
        <v>45561.63295138889</v>
      </c>
      <c r="C927" s="1" t="n">
        <v>46043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28408-2023</t>
        </is>
      </c>
      <c r="B928" s="1" t="n">
        <v>45101</v>
      </c>
      <c r="C928" s="1" t="n">
        <v>46043</v>
      </c>
      <c r="D928" t="inlineStr">
        <is>
          <t>VÄSTERBOTTENS LÄN</t>
        </is>
      </c>
      <c r="E928" t="inlineStr">
        <is>
          <t>LYCKSELE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34110-2025</t>
        </is>
      </c>
      <c r="B929" s="1" t="n">
        <v>45845.49877314815</v>
      </c>
      <c r="C929" s="1" t="n">
        <v>46043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53839-2023</t>
        </is>
      </c>
      <c r="B930" s="1" t="n">
        <v>45231.43283564815</v>
      </c>
      <c r="C930" s="1" t="n">
        <v>46043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33715-2024</t>
        </is>
      </c>
      <c r="B931" s="1" t="n">
        <v>45520.53451388889</v>
      </c>
      <c r="C931" s="1" t="n">
        <v>46043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11822-2023</t>
        </is>
      </c>
      <c r="B932" s="1" t="n">
        <v>44994.94163194444</v>
      </c>
      <c r="C932" s="1" t="n">
        <v>46043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28550-2023</t>
        </is>
      </c>
      <c r="B933" s="1" t="n">
        <v>45103.50481481481</v>
      </c>
      <c r="C933" s="1" t="n">
        <v>46043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34017-2025</t>
        </is>
      </c>
      <c r="B934" s="1" t="n">
        <v>45845.33821759259</v>
      </c>
      <c r="C934" s="1" t="n">
        <v>46043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14795-2025</t>
        </is>
      </c>
      <c r="B935" s="1" t="n">
        <v>45742.87837962963</v>
      </c>
      <c r="C935" s="1" t="n">
        <v>46043</v>
      </c>
      <c r="D935" t="inlineStr">
        <is>
          <t>VÄSTERBOTTENS LÄN</t>
        </is>
      </c>
      <c r="E935" t="inlineStr">
        <is>
          <t>LYCKSELE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41105-2024</t>
        </is>
      </c>
      <c r="B936" s="1" t="n">
        <v>45559.44234953704</v>
      </c>
      <c r="C936" s="1" t="n">
        <v>46043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33991-2025</t>
        </is>
      </c>
      <c r="B937" s="1" t="n">
        <v>45843.60467592593</v>
      </c>
      <c r="C937" s="1" t="n">
        <v>46043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34465-2025</t>
        </is>
      </c>
      <c r="B938" s="1" t="n">
        <v>45847.34548611111</v>
      </c>
      <c r="C938" s="1" t="n">
        <v>46043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34504-2025</t>
        </is>
      </c>
      <c r="B939" s="1" t="n">
        <v>45847.43788194445</v>
      </c>
      <c r="C939" s="1" t="n">
        <v>46043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50652-2021</t>
        </is>
      </c>
      <c r="B940" s="1" t="n">
        <v>44459.92047453704</v>
      </c>
      <c r="C940" s="1" t="n">
        <v>46043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34918-2025</t>
        </is>
      </c>
      <c r="B941" s="1" t="n">
        <v>45849.54935185185</v>
      </c>
      <c r="C941" s="1" t="n">
        <v>46043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34940-2025</t>
        </is>
      </c>
      <c r="B942" s="1" t="n">
        <v>45849.58274305556</v>
      </c>
      <c r="C942" s="1" t="n">
        <v>46043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34961-2025</t>
        </is>
      </c>
      <c r="B943" s="1" t="n">
        <v>45849.62559027778</v>
      </c>
      <c r="C943" s="1" t="n">
        <v>46043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34955-2025</t>
        </is>
      </c>
      <c r="B944" s="1" t="n">
        <v>45849.60534722222</v>
      </c>
      <c r="C944" s="1" t="n">
        <v>46043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34863-2025</t>
        </is>
      </c>
      <c r="B945" s="1" t="n">
        <v>45849</v>
      </c>
      <c r="C945" s="1" t="n">
        <v>46043</v>
      </c>
      <c r="D945" t="inlineStr">
        <is>
          <t>VÄSTERBOTTENS LÄN</t>
        </is>
      </c>
      <c r="E945" t="inlineStr">
        <is>
          <t>LYCKSELE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34915-2025</t>
        </is>
      </c>
      <c r="B946" s="1" t="n">
        <v>45849.54143518519</v>
      </c>
      <c r="C946" s="1" t="n">
        <v>46043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34896-2025</t>
        </is>
      </c>
      <c r="B947" s="1" t="n">
        <v>45849.49472222223</v>
      </c>
      <c r="C947" s="1" t="n">
        <v>46043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45128.64351851852</v>
      </c>
      <c r="C948" s="1" t="n">
        <v>46043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34905-2025</t>
        </is>
      </c>
      <c r="B949" s="1" t="n">
        <v>45849.51625</v>
      </c>
      <c r="C949" s="1" t="n">
        <v>46043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34924-2025</t>
        </is>
      </c>
      <c r="B950" s="1" t="n">
        <v>45849.55733796296</v>
      </c>
      <c r="C950" s="1" t="n">
        <v>46043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14070-2024</t>
        </is>
      </c>
      <c r="B951" s="1" t="n">
        <v>45392.57258101852</v>
      </c>
      <c r="C951" s="1" t="n">
        <v>46043</v>
      </c>
      <c r="D951" t="inlineStr">
        <is>
          <t>VÄSTERBOTTENS LÄN</t>
        </is>
      </c>
      <c r="E951" t="inlineStr">
        <is>
          <t>LYCKSELE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34946-2025</t>
        </is>
      </c>
      <c r="B952" s="1" t="n">
        <v>45849.59119212963</v>
      </c>
      <c r="C952" s="1" t="n">
        <v>46043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34954-2025</t>
        </is>
      </c>
      <c r="B953" s="1" t="n">
        <v>45849.60525462963</v>
      </c>
      <c r="C953" s="1" t="n">
        <v>46043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34926-2025</t>
        </is>
      </c>
      <c r="B954" s="1" t="n">
        <v>45849.55927083334</v>
      </c>
      <c r="C954" s="1" t="n">
        <v>46043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35130-2025</t>
        </is>
      </c>
      <c r="B955" s="1" t="n">
        <v>45852.63579861111</v>
      </c>
      <c r="C955" s="1" t="n">
        <v>46043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33706-2024</t>
        </is>
      </c>
      <c r="B956" s="1" t="n">
        <v>45520.52563657407</v>
      </c>
      <c r="C956" s="1" t="n">
        <v>46043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33713-2024</t>
        </is>
      </c>
      <c r="B957" s="1" t="n">
        <v>45520.53105324074</v>
      </c>
      <c r="C957" s="1" t="n">
        <v>46043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35303-2025</t>
        </is>
      </c>
      <c r="B958" s="1" t="n">
        <v>45854.42938657408</v>
      </c>
      <c r="C958" s="1" t="n">
        <v>46043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61161-2024</t>
        </is>
      </c>
      <c r="B959" s="1" t="n">
        <v>45645.59473379629</v>
      </c>
      <c r="C959" s="1" t="n">
        <v>46043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35242-2025</t>
        </is>
      </c>
      <c r="B960" s="1" t="n">
        <v>45853.62052083333</v>
      </c>
      <c r="C960" s="1" t="n">
        <v>46043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35333-2025</t>
        </is>
      </c>
      <c r="B961" s="1" t="n">
        <v>45854.57376157407</v>
      </c>
      <c r="C961" s="1" t="n">
        <v>46043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7398-2025</t>
        </is>
      </c>
      <c r="B962" s="1" t="n">
        <v>45705</v>
      </c>
      <c r="C962" s="1" t="n">
        <v>46043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50044-2021</t>
        </is>
      </c>
      <c r="B963" s="1" t="n">
        <v>44456.50484953704</v>
      </c>
      <c r="C963" s="1" t="n">
        <v>46043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35225-2025</t>
        </is>
      </c>
      <c r="B964" s="1" t="n">
        <v>45853.57862268519</v>
      </c>
      <c r="C964" s="1" t="n">
        <v>46043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35227-2025</t>
        </is>
      </c>
      <c r="B965" s="1" t="n">
        <v>45853.58521990741</v>
      </c>
      <c r="C965" s="1" t="n">
        <v>46043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35234-2025</t>
        </is>
      </c>
      <c r="B966" s="1" t="n">
        <v>45853.6025</v>
      </c>
      <c r="C966" s="1" t="n">
        <v>46043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35192-2025</t>
        </is>
      </c>
      <c r="B967" s="1" t="n">
        <v>45853.35604166667</v>
      </c>
      <c r="C967" s="1" t="n">
        <v>46043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35236-2025</t>
        </is>
      </c>
      <c r="B968" s="1" t="n">
        <v>45853.60569444444</v>
      </c>
      <c r="C968" s="1" t="n">
        <v>46043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35232-2025</t>
        </is>
      </c>
      <c r="B969" s="1" t="n">
        <v>45853.59733796296</v>
      </c>
      <c r="C969" s="1" t="n">
        <v>46043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35237-2025</t>
        </is>
      </c>
      <c r="B970" s="1" t="n">
        <v>45853.61248842593</v>
      </c>
      <c r="C970" s="1" t="n">
        <v>46043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35332-2025</t>
        </is>
      </c>
      <c r="B971" s="1" t="n">
        <v>45854.57362268519</v>
      </c>
      <c r="C971" s="1" t="n">
        <v>46043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35566-2025</t>
        </is>
      </c>
      <c r="B972" s="1" t="n">
        <v>45856.55252314815</v>
      </c>
      <c r="C972" s="1" t="n">
        <v>46043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27688-2025</t>
        </is>
      </c>
      <c r="B973" s="1" t="n">
        <v>45813</v>
      </c>
      <c r="C973" s="1" t="n">
        <v>46043</v>
      </c>
      <c r="D973" t="inlineStr">
        <is>
          <t>VÄSTERBOTTENS LÄN</t>
        </is>
      </c>
      <c r="E973" t="inlineStr">
        <is>
          <t>LYCKSELE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35604-2025</t>
        </is>
      </c>
      <c r="B974" s="1" t="n">
        <v>45859.32412037037</v>
      </c>
      <c r="C974" s="1" t="n">
        <v>46043</v>
      </c>
      <c r="D974" t="inlineStr">
        <is>
          <t>VÄSTERBOTTENS LÄN</t>
        </is>
      </c>
      <c r="E974" t="inlineStr">
        <is>
          <t>LYCKSELE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23971-2024</t>
        </is>
      </c>
      <c r="B975" s="1" t="n">
        <v>45455</v>
      </c>
      <c r="C975" s="1" t="n">
        <v>46043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35662-2025</t>
        </is>
      </c>
      <c r="B976" s="1" t="n">
        <v>45859.61498842593</v>
      </c>
      <c r="C976" s="1" t="n">
        <v>46043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20.8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35606-2025</t>
        </is>
      </c>
      <c r="B977" s="1" t="n">
        <v>45859.32984953704</v>
      </c>
      <c r="C977" s="1" t="n">
        <v>46043</v>
      </c>
      <c r="D977" t="inlineStr">
        <is>
          <t>VÄSTERBOTTENS LÄN</t>
        </is>
      </c>
      <c r="E977" t="inlineStr">
        <is>
          <t>LYCKSELE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44375-2023</t>
        </is>
      </c>
      <c r="B978" s="1" t="n">
        <v>45188.9247800926</v>
      </c>
      <c r="C978" s="1" t="n">
        <v>46043</v>
      </c>
      <c r="D978" t="inlineStr">
        <is>
          <t>VÄSTERBOTTENS LÄN</t>
        </is>
      </c>
      <c r="E978" t="inlineStr">
        <is>
          <t>LYCKSELE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35671-2025</t>
        </is>
      </c>
      <c r="B979" s="1" t="n">
        <v>45859.62431712963</v>
      </c>
      <c r="C979" s="1" t="n">
        <v>46043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35841-2025</t>
        </is>
      </c>
      <c r="B980" s="1" t="n">
        <v>45861.55245370371</v>
      </c>
      <c r="C980" s="1" t="n">
        <v>46043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35833-2025</t>
        </is>
      </c>
      <c r="B981" s="1" t="n">
        <v>45861.51261574074</v>
      </c>
      <c r="C981" s="1" t="n">
        <v>46043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58439-2022</t>
        </is>
      </c>
      <c r="B982" s="1" t="n">
        <v>44901</v>
      </c>
      <c r="C982" s="1" t="n">
        <v>46043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35860-2025</t>
        </is>
      </c>
      <c r="B983" s="1" t="n">
        <v>45861.63883101852</v>
      </c>
      <c r="C983" s="1" t="n">
        <v>46043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35920-2025</t>
        </is>
      </c>
      <c r="B984" s="1" t="n">
        <v>45862.56438657407</v>
      </c>
      <c r="C984" s="1" t="n">
        <v>46043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20560-2025</t>
        </is>
      </c>
      <c r="B985" s="1" t="n">
        <v>45775.65394675926</v>
      </c>
      <c r="C985" s="1" t="n">
        <v>46043</v>
      </c>
      <c r="D985" t="inlineStr">
        <is>
          <t>VÄSTERBOTTENS LÄN</t>
        </is>
      </c>
      <c r="E985" t="inlineStr">
        <is>
          <t>LYCKSELE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64668-2023</t>
        </is>
      </c>
      <c r="B986" s="1" t="n">
        <v>45281</v>
      </c>
      <c r="C986" s="1" t="n">
        <v>46043</v>
      </c>
      <c r="D986" t="inlineStr">
        <is>
          <t>VÄSTERBOTTENS LÄN</t>
        </is>
      </c>
      <c r="E986" t="inlineStr">
        <is>
          <t>LYCKSELE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36124-2025</t>
        </is>
      </c>
      <c r="B987" s="1" t="n">
        <v>45866.61493055556</v>
      </c>
      <c r="C987" s="1" t="n">
        <v>46043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35990-2025</t>
        </is>
      </c>
      <c r="B988" s="1" t="n">
        <v>45863.47090277778</v>
      </c>
      <c r="C988" s="1" t="n">
        <v>46043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60859-2022</t>
        </is>
      </c>
      <c r="B989" s="1" t="n">
        <v>44908</v>
      </c>
      <c r="C989" s="1" t="n">
        <v>46043</v>
      </c>
      <c r="D989" t="inlineStr">
        <is>
          <t>VÄSTERBOTTENS LÄN</t>
        </is>
      </c>
      <c r="E989" t="inlineStr">
        <is>
          <t>LYCKSELE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16289-2025</t>
        </is>
      </c>
      <c r="B990" s="1" t="n">
        <v>45751.32021990741</v>
      </c>
      <c r="C990" s="1" t="n">
        <v>46043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35832-2025</t>
        </is>
      </c>
      <c r="B991" s="1" t="n">
        <v>45861.50935185186</v>
      </c>
      <c r="C991" s="1" t="n">
        <v>46043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36398-2025</t>
        </is>
      </c>
      <c r="B992" s="1" t="n">
        <v>45868.63600694444</v>
      </c>
      <c r="C992" s="1" t="n">
        <v>46043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70197-2021</t>
        </is>
      </c>
      <c r="B993" s="1" t="n">
        <v>44534.51119212963</v>
      </c>
      <c r="C993" s="1" t="n">
        <v>46043</v>
      </c>
      <c r="D993" t="inlineStr">
        <is>
          <t>VÄSTERBOTTENS LÄN</t>
        </is>
      </c>
      <c r="E993" t="inlineStr">
        <is>
          <t>LYCKSELE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53740-2022</t>
        </is>
      </c>
      <c r="B994" s="1" t="n">
        <v>44880</v>
      </c>
      <c r="C994" s="1" t="n">
        <v>46043</v>
      </c>
      <c r="D994" t="inlineStr">
        <is>
          <t>VÄSTERBOTTENS LÄN</t>
        </is>
      </c>
      <c r="E994" t="inlineStr">
        <is>
          <t>LYCKSELE</t>
        </is>
      </c>
      <c r="G994" t="n">
        <v>10.5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16887-2024</t>
        </is>
      </c>
      <c r="B995" s="1" t="n">
        <v>45411.60519675926</v>
      </c>
      <c r="C995" s="1" t="n">
        <v>46043</v>
      </c>
      <c r="D995" t="inlineStr">
        <is>
          <t>VÄSTERBOTTENS LÄN</t>
        </is>
      </c>
      <c r="E995" t="inlineStr">
        <is>
          <t>LYCKSELE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22050-2024</t>
        </is>
      </c>
      <c r="B996" s="1" t="n">
        <v>45443.61378472222</v>
      </c>
      <c r="C996" s="1" t="n">
        <v>46043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36542-2025</t>
        </is>
      </c>
      <c r="B997" s="1" t="n">
        <v>45869.6568287037</v>
      </c>
      <c r="C997" s="1" t="n">
        <v>46043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36439-2025</t>
        </is>
      </c>
      <c r="B998" s="1" t="n">
        <v>45869.38572916666</v>
      </c>
      <c r="C998" s="1" t="n">
        <v>46043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44588-2024</t>
        </is>
      </c>
      <c r="B999" s="1" t="n">
        <v>45574.5038425926</v>
      </c>
      <c r="C999" s="1" t="n">
        <v>46043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15809-2023</t>
        </is>
      </c>
      <c r="B1000" s="1" t="n">
        <v>45021</v>
      </c>
      <c r="C1000" s="1" t="n">
        <v>46043</v>
      </c>
      <c r="D1000" t="inlineStr">
        <is>
          <t>VÄSTERBOTTENS LÄN</t>
        </is>
      </c>
      <c r="E1000" t="inlineStr">
        <is>
          <t>LYCKSELE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64656-2023</t>
        </is>
      </c>
      <c r="B1001" s="1" t="n">
        <v>45281</v>
      </c>
      <c r="C1001" s="1" t="n">
        <v>46043</v>
      </c>
      <c r="D1001" t="inlineStr">
        <is>
          <t>VÄSTERBOTTENS LÄN</t>
        </is>
      </c>
      <c r="E1001" t="inlineStr">
        <is>
          <t>LYCKSELE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30581-2024</t>
        </is>
      </c>
      <c r="B1002" s="1" t="n">
        <v>45492.96038194445</v>
      </c>
      <c r="C1002" s="1" t="n">
        <v>46043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29524-2023</t>
        </is>
      </c>
      <c r="B1003" s="1" t="n">
        <v>45106.62175925926</v>
      </c>
      <c r="C1003" s="1" t="n">
        <v>46043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27818-2024</t>
        </is>
      </c>
      <c r="B1004" s="1" t="n">
        <v>45475.60128472222</v>
      </c>
      <c r="C1004" s="1" t="n">
        <v>46043</v>
      </c>
      <c r="D1004" t="inlineStr">
        <is>
          <t>VÄSTERBOTTENS LÄN</t>
        </is>
      </c>
      <c r="E1004" t="inlineStr">
        <is>
          <t>LYCKSELE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27671-2024</t>
        </is>
      </c>
      <c r="B1005" s="1" t="n">
        <v>45474.95578703703</v>
      </c>
      <c r="C1005" s="1" t="n">
        <v>46043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Naturvårdsverket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35569-2024</t>
        </is>
      </c>
      <c r="B1006" s="1" t="n">
        <v>45531.6409375</v>
      </c>
      <c r="C1006" s="1" t="n">
        <v>46043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18156-2023</t>
        </is>
      </c>
      <c r="B1007" s="1" t="n">
        <v>45040</v>
      </c>
      <c r="C1007" s="1" t="n">
        <v>46043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22.9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36689-2025</t>
        </is>
      </c>
      <c r="B1008" s="1" t="n">
        <v>45873.42712962963</v>
      </c>
      <c r="C1008" s="1" t="n">
        <v>46043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36709-2025</t>
        </is>
      </c>
      <c r="B1009" s="1" t="n">
        <v>45873.46443287037</v>
      </c>
      <c r="C1009" s="1" t="n">
        <v>46043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14857-2023</t>
        </is>
      </c>
      <c r="B1010" s="1" t="n">
        <v>45014</v>
      </c>
      <c r="C1010" s="1" t="n">
        <v>46043</v>
      </c>
      <c r="D1010" t="inlineStr">
        <is>
          <t>VÄSTERBOTTENS LÄN</t>
        </is>
      </c>
      <c r="E1010" t="inlineStr">
        <is>
          <t>LYCKSELE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36702-2025</t>
        </is>
      </c>
      <c r="B1011" s="1" t="n">
        <v>45873.44997685185</v>
      </c>
      <c r="C1011" s="1" t="n">
        <v>46043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45141.96019675926</v>
      </c>
      <c r="C1012" s="1" t="n">
        <v>46043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36787-2025</t>
        </is>
      </c>
      <c r="B1013" s="1" t="n">
        <v>45873.6340162037</v>
      </c>
      <c r="C1013" s="1" t="n">
        <v>46043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36736-2025</t>
        </is>
      </c>
      <c r="B1014" s="1" t="n">
        <v>45873.52534722222</v>
      </c>
      <c r="C1014" s="1" t="n">
        <v>46043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37105-2025</t>
        </is>
      </c>
      <c r="B1015" s="1" t="n">
        <v>45875.47822916666</v>
      </c>
      <c r="C1015" s="1" t="n">
        <v>46043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28890-2024</t>
        </is>
      </c>
      <c r="B1016" s="1" t="n">
        <v>45479.94907407407</v>
      </c>
      <c r="C1016" s="1" t="n">
        <v>46043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28892-2024</t>
        </is>
      </c>
      <c r="B1017" s="1" t="n">
        <v>45479.94927083333</v>
      </c>
      <c r="C1017" s="1" t="n">
        <v>46043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54277-2024</t>
        </is>
      </c>
      <c r="B1018" s="1" t="n">
        <v>45616.8405324074</v>
      </c>
      <c r="C1018" s="1" t="n">
        <v>46043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37078-2025</t>
        </is>
      </c>
      <c r="B1019" s="1" t="n">
        <v>45875.42446759259</v>
      </c>
      <c r="C1019" s="1" t="n">
        <v>46043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37905-2025</t>
        </is>
      </c>
      <c r="B1020" s="1" t="n">
        <v>45880</v>
      </c>
      <c r="C1020" s="1" t="n">
        <v>46043</v>
      </c>
      <c r="D1020" t="inlineStr">
        <is>
          <t>VÄSTERBOTTENS LÄN</t>
        </is>
      </c>
      <c r="E1020" t="inlineStr">
        <is>
          <t>LYCKSELE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59376-2024</t>
        </is>
      </c>
      <c r="B1021" s="1" t="n">
        <v>45638.34984953704</v>
      </c>
      <c r="C1021" s="1" t="n">
        <v>46043</v>
      </c>
      <c r="D1021" t="inlineStr">
        <is>
          <t>VÄSTERBOTTENS LÄN</t>
        </is>
      </c>
      <c r="E1021" t="inlineStr">
        <is>
          <t>LYCKSELE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60425-2021</t>
        </is>
      </c>
      <c r="B1022" s="1" t="n">
        <v>44496</v>
      </c>
      <c r="C1022" s="1" t="n">
        <v>46043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35284-2023</t>
        </is>
      </c>
      <c r="B1023" s="1" t="n">
        <v>45145</v>
      </c>
      <c r="C1023" s="1" t="n">
        <v>46043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20026-2025</t>
        </is>
      </c>
      <c r="B1024" s="1" t="n">
        <v>45772.34459490741</v>
      </c>
      <c r="C1024" s="1" t="n">
        <v>46043</v>
      </c>
      <c r="D1024" t="inlineStr">
        <is>
          <t>VÄSTERBOTTENS LÄN</t>
        </is>
      </c>
      <c r="E1024" t="inlineStr">
        <is>
          <t>LYCKSELE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20034-2025</t>
        </is>
      </c>
      <c r="B1025" s="1" t="n">
        <v>45772.36483796296</v>
      </c>
      <c r="C1025" s="1" t="n">
        <v>46043</v>
      </c>
      <c r="D1025" t="inlineStr">
        <is>
          <t>VÄSTERBOTTENS LÄN</t>
        </is>
      </c>
      <c r="E1025" t="inlineStr">
        <is>
          <t>LYCKSELE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50072-2024</t>
        </is>
      </c>
      <c r="B1026" s="1" t="n">
        <v>45600.36332175926</v>
      </c>
      <c r="C1026" s="1" t="n">
        <v>46043</v>
      </c>
      <c r="D1026" t="inlineStr">
        <is>
          <t>VÄSTERBOTTENS LÄN</t>
        </is>
      </c>
      <c r="E1026" t="inlineStr">
        <is>
          <t>LYCKSELE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37970-2025</t>
        </is>
      </c>
      <c r="B1027" s="1" t="n">
        <v>45881.6677199074</v>
      </c>
      <c r="C1027" s="1" t="n">
        <v>46043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37977-2025</t>
        </is>
      </c>
      <c r="B1028" s="1" t="n">
        <v>45881.67791666667</v>
      </c>
      <c r="C1028" s="1" t="n">
        <v>46043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37952-2025</t>
        </is>
      </c>
      <c r="B1029" s="1" t="n">
        <v>45881.63590277778</v>
      </c>
      <c r="C1029" s="1" t="n">
        <v>46043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41285-2024</t>
        </is>
      </c>
      <c r="B1030" s="1" t="n">
        <v>45559.5952662037</v>
      </c>
      <c r="C1030" s="1" t="n">
        <v>46043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45361-2024</t>
        </is>
      </c>
      <c r="B1031" s="1" t="n">
        <v>45576.48423611111</v>
      </c>
      <c r="C1031" s="1" t="n">
        <v>46043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2859-2022</t>
        </is>
      </c>
      <c r="B1032" s="1" t="n">
        <v>44581</v>
      </c>
      <c r="C1032" s="1" t="n">
        <v>46043</v>
      </c>
      <c r="D1032" t="inlineStr">
        <is>
          <t>VÄSTERBOTTENS LÄN</t>
        </is>
      </c>
      <c r="E1032" t="inlineStr">
        <is>
          <t>LYCKSELE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34857-2024</t>
        </is>
      </c>
      <c r="B1033" s="1" t="n">
        <v>45527.32915509259</v>
      </c>
      <c r="C1033" s="1" t="n">
        <v>46043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18566-2025</t>
        </is>
      </c>
      <c r="B1034" s="1" t="n">
        <v>45763.45278935185</v>
      </c>
      <c r="C1034" s="1" t="n">
        <v>46043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45312-2024</t>
        </is>
      </c>
      <c r="B1035" s="1" t="n">
        <v>45576.4328587963</v>
      </c>
      <c r="C1035" s="1" t="n">
        <v>46043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45352-2024</t>
        </is>
      </c>
      <c r="B1036" s="1" t="n">
        <v>45576</v>
      </c>
      <c r="C1036" s="1" t="n">
        <v>46043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38012-2025</t>
        </is>
      </c>
      <c r="B1037" s="1" t="n">
        <v>45882.30746527778</v>
      </c>
      <c r="C1037" s="1" t="n">
        <v>46043</v>
      </c>
      <c r="D1037" t="inlineStr">
        <is>
          <t>VÄSTERBOTTENS LÄN</t>
        </is>
      </c>
      <c r="E1037" t="inlineStr">
        <is>
          <t>LYCKSELE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18674-2025</t>
        </is>
      </c>
      <c r="B1038" s="1" t="n">
        <v>45763.59829861111</v>
      </c>
      <c r="C1038" s="1" t="n">
        <v>46043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19390-2024</t>
        </is>
      </c>
      <c r="B1039" s="1" t="n">
        <v>45429.37934027778</v>
      </c>
      <c r="C1039" s="1" t="n">
        <v>46043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54680-2024</t>
        </is>
      </c>
      <c r="B1040" s="1" t="n">
        <v>45618.3540162037</v>
      </c>
      <c r="C1040" s="1" t="n">
        <v>46043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28833-2024</t>
        </is>
      </c>
      <c r="B1041" s="1" t="n">
        <v>45478.6802662037</v>
      </c>
      <c r="C1041" s="1" t="n">
        <v>46043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51466-2024</t>
        </is>
      </c>
      <c r="B1042" s="1" t="n">
        <v>45604</v>
      </c>
      <c r="C1042" s="1" t="n">
        <v>46043</v>
      </c>
      <c r="D1042" t="inlineStr">
        <is>
          <t>VÄSTERBOTTENS LÄN</t>
        </is>
      </c>
      <c r="E1042" t="inlineStr">
        <is>
          <t>LYCKSELE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39047-2023</t>
        </is>
      </c>
      <c r="B1043" s="1" t="n">
        <v>45163.92709490741</v>
      </c>
      <c r="C1043" s="1" t="n">
        <v>46043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57109-2024</t>
        </is>
      </c>
      <c r="B1044" s="1" t="n">
        <v>45629.36469907407</v>
      </c>
      <c r="C1044" s="1" t="n">
        <v>46043</v>
      </c>
      <c r="D1044" t="inlineStr">
        <is>
          <t>VÄSTERBOTTENS LÄN</t>
        </is>
      </c>
      <c r="E1044" t="inlineStr">
        <is>
          <t>LYCKSELE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17460-2024</t>
        </is>
      </c>
      <c r="B1045" s="1" t="n">
        <v>45415</v>
      </c>
      <c r="C1045" s="1" t="n">
        <v>46043</v>
      </c>
      <c r="D1045" t="inlineStr">
        <is>
          <t>VÄSTERBOTTENS LÄN</t>
        </is>
      </c>
      <c r="E1045" t="inlineStr">
        <is>
          <t>LYCKSELE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26717-2024</t>
        </is>
      </c>
      <c r="B1046" s="1" t="n">
        <v>45470.40854166666</v>
      </c>
      <c r="C1046" s="1" t="n">
        <v>46043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56603-2024</t>
        </is>
      </c>
      <c r="B1047" s="1" t="n">
        <v>45625.63980324074</v>
      </c>
      <c r="C1047" s="1" t="n">
        <v>46043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17.1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526-2022</t>
        </is>
      </c>
      <c r="B1048" s="1" t="n">
        <v>44566</v>
      </c>
      <c r="C1048" s="1" t="n">
        <v>46043</v>
      </c>
      <c r="D1048" t="inlineStr">
        <is>
          <t>VÄSTERBOTTENS LÄN</t>
        </is>
      </c>
      <c r="E1048" t="inlineStr">
        <is>
          <t>LYCKSELE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35559-2023</t>
        </is>
      </c>
      <c r="B1049" s="1" t="n">
        <v>45147</v>
      </c>
      <c r="C1049" s="1" t="n">
        <v>46043</v>
      </c>
      <c r="D1049" t="inlineStr">
        <is>
          <t>VÄSTERBOTTENS LÄN</t>
        </is>
      </c>
      <c r="E1049" t="inlineStr">
        <is>
          <t>LYCKSELE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23769-2023</t>
        </is>
      </c>
      <c r="B1050" s="1" t="n">
        <v>45077.94409722222</v>
      </c>
      <c r="C1050" s="1" t="n">
        <v>46043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11199-2024</t>
        </is>
      </c>
      <c r="B1051" s="1" t="n">
        <v>45371.55444444445</v>
      </c>
      <c r="C1051" s="1" t="n">
        <v>46043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51152-2024</t>
        </is>
      </c>
      <c r="B1052" s="1" t="n">
        <v>45603</v>
      </c>
      <c r="C1052" s="1" t="n">
        <v>46043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50468-2024</t>
        </is>
      </c>
      <c r="B1053" s="1" t="n">
        <v>45601</v>
      </c>
      <c r="C1053" s="1" t="n">
        <v>46043</v>
      </c>
      <c r="D1053" t="inlineStr">
        <is>
          <t>VÄSTERBOTTENS LÄN</t>
        </is>
      </c>
      <c r="E1053" t="inlineStr">
        <is>
          <t>LYCKSELE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54287-2024</t>
        </is>
      </c>
      <c r="B1054" s="1" t="n">
        <v>45617.26189814815</v>
      </c>
      <c r="C1054" s="1" t="n">
        <v>46043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40908-2024</t>
        </is>
      </c>
      <c r="B1055" s="1" t="n">
        <v>45558.62386574074</v>
      </c>
      <c r="C1055" s="1" t="n">
        <v>46043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40912-2024</t>
        </is>
      </c>
      <c r="B1056" s="1" t="n">
        <v>45558.62707175926</v>
      </c>
      <c r="C1056" s="1" t="n">
        <v>46043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26999-2023</t>
        </is>
      </c>
      <c r="B1057" s="1" t="n">
        <v>45093</v>
      </c>
      <c r="C1057" s="1" t="n">
        <v>46043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53011-2024</t>
        </is>
      </c>
      <c r="B1058" s="1" t="n">
        <v>45611.40226851852</v>
      </c>
      <c r="C1058" s="1" t="n">
        <v>46043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2552-2024</t>
        </is>
      </c>
      <c r="B1059" s="1" t="n">
        <v>45313</v>
      </c>
      <c r="C1059" s="1" t="n">
        <v>46043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Naturvårdsverket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20287-2022</t>
        </is>
      </c>
      <c r="B1060" s="1" t="n">
        <v>44698</v>
      </c>
      <c r="C1060" s="1" t="n">
        <v>46043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9670-2025</t>
        </is>
      </c>
      <c r="B1061" s="1" t="n">
        <v>45716</v>
      </c>
      <c r="C1061" s="1" t="n">
        <v>46043</v>
      </c>
      <c r="D1061" t="inlineStr">
        <is>
          <t>VÄSTERBOTTENS LÄN</t>
        </is>
      </c>
      <c r="E1061" t="inlineStr">
        <is>
          <t>LYCKSELE</t>
        </is>
      </c>
      <c r="G1061" t="n">
        <v>16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53788-2024</t>
        </is>
      </c>
      <c r="B1062" s="1" t="n">
        <v>45615.57329861111</v>
      </c>
      <c r="C1062" s="1" t="n">
        <v>46043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53790-2024</t>
        </is>
      </c>
      <c r="B1063" s="1" t="n">
        <v>45615.5746412037</v>
      </c>
      <c r="C1063" s="1" t="n">
        <v>46043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53791-2024</t>
        </is>
      </c>
      <c r="B1064" s="1" t="n">
        <v>45615.57478009259</v>
      </c>
      <c r="C1064" s="1" t="n">
        <v>46043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932-2022</t>
        </is>
      </c>
      <c r="B1065" s="1" t="n">
        <v>44571</v>
      </c>
      <c r="C1065" s="1" t="n">
        <v>46043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48542-2023</t>
        </is>
      </c>
      <c r="B1066" s="1" t="n">
        <v>45208.3863425926</v>
      </c>
      <c r="C1066" s="1" t="n">
        <v>46043</v>
      </c>
      <c r="D1066" t="inlineStr">
        <is>
          <t>VÄSTERBOTTENS LÄN</t>
        </is>
      </c>
      <c r="E1066" t="inlineStr">
        <is>
          <t>LYCKSELE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55087-2024</t>
        </is>
      </c>
      <c r="B1067" s="1" t="n">
        <v>45621.43199074074</v>
      </c>
      <c r="C1067" s="1" t="n">
        <v>46043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33726-2022</t>
        </is>
      </c>
      <c r="B1068" s="1" t="n">
        <v>44789</v>
      </c>
      <c r="C1068" s="1" t="n">
        <v>46043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61891-2024</t>
        </is>
      </c>
      <c r="B1069" s="1" t="n">
        <v>45652.73207175926</v>
      </c>
      <c r="C1069" s="1" t="n">
        <v>46043</v>
      </c>
      <c r="D1069" t="inlineStr">
        <is>
          <t>VÄSTERBOTTENS LÄN</t>
        </is>
      </c>
      <c r="E1069" t="inlineStr">
        <is>
          <t>LYCKSELE</t>
        </is>
      </c>
      <c r="G1069" t="n">
        <v>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31698-2023</t>
        </is>
      </c>
      <c r="B1070" s="1" t="n">
        <v>45117</v>
      </c>
      <c r="C1070" s="1" t="n">
        <v>46043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8035-2024</t>
        </is>
      </c>
      <c r="B1071" s="1" t="n">
        <v>45350.95329861111</v>
      </c>
      <c r="C1071" s="1" t="n">
        <v>46043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29861-2023</t>
        </is>
      </c>
      <c r="B1072" s="1" t="n">
        <v>45107</v>
      </c>
      <c r="C1072" s="1" t="n">
        <v>46043</v>
      </c>
      <c r="D1072" t="inlineStr">
        <is>
          <t>VÄSTERBOTTENS LÄN</t>
        </is>
      </c>
      <c r="E1072" t="inlineStr">
        <is>
          <t>LYCKSELE</t>
        </is>
      </c>
      <c r="G1072" t="n">
        <v>10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14248-2025</t>
        </is>
      </c>
      <c r="B1073" s="1" t="n">
        <v>45740</v>
      </c>
      <c r="C1073" s="1" t="n">
        <v>46043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4671-2025</t>
        </is>
      </c>
      <c r="B1074" s="1" t="n">
        <v>45687</v>
      </c>
      <c r="C1074" s="1" t="n">
        <v>46043</v>
      </c>
      <c r="D1074" t="inlineStr">
        <is>
          <t>VÄSTERBOTTENS LÄN</t>
        </is>
      </c>
      <c r="E1074" t="inlineStr">
        <is>
          <t>LYCKSELE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38250-2023</t>
        </is>
      </c>
      <c r="B1075" s="1" t="n">
        <v>45161.58166666667</v>
      </c>
      <c r="C1075" s="1" t="n">
        <v>46043</v>
      </c>
      <c r="D1075" t="inlineStr">
        <is>
          <t>VÄSTERBOTTENS LÄN</t>
        </is>
      </c>
      <c r="E1075" t="inlineStr">
        <is>
          <t>LYCKSELE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23973-2024</t>
        </is>
      </c>
      <c r="B1076" s="1" t="n">
        <v>45455.9684837963</v>
      </c>
      <c r="C1076" s="1" t="n">
        <v>46043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55938-2023</t>
        </is>
      </c>
      <c r="B1077" s="1" t="n">
        <v>45240.28634259259</v>
      </c>
      <c r="C1077" s="1" t="n">
        <v>46043</v>
      </c>
      <c r="D1077" t="inlineStr">
        <is>
          <t>VÄSTERBOTTENS LÄN</t>
        </is>
      </c>
      <c r="E1077" t="inlineStr">
        <is>
          <t>LYCKSELE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61094-2023</t>
        </is>
      </c>
      <c r="B1078" s="1" t="n">
        <v>45261</v>
      </c>
      <c r="C1078" s="1" t="n">
        <v>46043</v>
      </c>
      <c r="D1078" t="inlineStr">
        <is>
          <t>VÄSTERBOTTENS LÄN</t>
        </is>
      </c>
      <c r="E1078" t="inlineStr">
        <is>
          <t>LYCKSELE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19246-2025</t>
        </is>
      </c>
      <c r="B1079" s="1" t="n">
        <v>45769.48415509259</v>
      </c>
      <c r="C1079" s="1" t="n">
        <v>46043</v>
      </c>
      <c r="D1079" t="inlineStr">
        <is>
          <t>VÄSTERBOTTENS LÄN</t>
        </is>
      </c>
      <c r="E1079" t="inlineStr">
        <is>
          <t>LYCKSELE</t>
        </is>
      </c>
      <c r="G1079" t="n">
        <v>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23164-2022</t>
        </is>
      </c>
      <c r="B1080" s="1" t="n">
        <v>44719</v>
      </c>
      <c r="C1080" s="1" t="n">
        <v>46043</v>
      </c>
      <c r="D1080" t="inlineStr">
        <is>
          <t>VÄSTERBOTTENS LÄN</t>
        </is>
      </c>
      <c r="E1080" t="inlineStr">
        <is>
          <t>LYCKSELE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9550-2025</t>
        </is>
      </c>
      <c r="B1081" s="1" t="n">
        <v>45715.59436342592</v>
      </c>
      <c r="C1081" s="1" t="n">
        <v>46043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58553-2023</t>
        </is>
      </c>
      <c r="B1082" s="1" t="n">
        <v>45251</v>
      </c>
      <c r="C1082" s="1" t="n">
        <v>46043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886-2025</t>
        </is>
      </c>
      <c r="B1083" s="1" t="n">
        <v>45665.64759259259</v>
      </c>
      <c r="C1083" s="1" t="n">
        <v>46043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Naturvårdsverket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47096-2023</t>
        </is>
      </c>
      <c r="B1084" s="1" t="n">
        <v>45201.64815972222</v>
      </c>
      <c r="C1084" s="1" t="n">
        <v>46043</v>
      </c>
      <c r="D1084" t="inlineStr">
        <is>
          <t>VÄSTERBOTTENS LÄN</t>
        </is>
      </c>
      <c r="E1084" t="inlineStr">
        <is>
          <t>LYCKSELE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32863-2023</t>
        </is>
      </c>
      <c r="B1085" s="1" t="n">
        <v>45124</v>
      </c>
      <c r="C1085" s="1" t="n">
        <v>46043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36146-2023</t>
        </is>
      </c>
      <c r="B1086" s="1" t="n">
        <v>45149.59932870371</v>
      </c>
      <c r="C1086" s="1" t="n">
        <v>46043</v>
      </c>
      <c r="D1086" t="inlineStr">
        <is>
          <t>VÄSTERBOTTENS LÄN</t>
        </is>
      </c>
      <c r="E1086" t="inlineStr">
        <is>
          <t>LYCKSELE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42208-2022</t>
        </is>
      </c>
      <c r="B1087" s="1" t="n">
        <v>44830</v>
      </c>
      <c r="C1087" s="1" t="n">
        <v>46043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34060-2023</t>
        </is>
      </c>
      <c r="B1088" s="1" t="n">
        <v>45135</v>
      </c>
      <c r="C1088" s="1" t="n">
        <v>46043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29185-2022</t>
        </is>
      </c>
      <c r="B1089" s="1" t="n">
        <v>44750.54626157408</v>
      </c>
      <c r="C1089" s="1" t="n">
        <v>46043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59554-2022</t>
        </is>
      </c>
      <c r="B1090" s="1" t="n">
        <v>44900</v>
      </c>
      <c r="C1090" s="1" t="n">
        <v>46043</v>
      </c>
      <c r="D1090" t="inlineStr">
        <is>
          <t>VÄSTERBOTTENS LÄN</t>
        </is>
      </c>
      <c r="E1090" t="inlineStr">
        <is>
          <t>LYCKSELE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40930-2023</t>
        </is>
      </c>
      <c r="B1091" s="1" t="n">
        <v>45173.4409375</v>
      </c>
      <c r="C1091" s="1" t="n">
        <v>46043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55923-2023</t>
        </is>
      </c>
      <c r="B1092" s="1" t="n">
        <v>45239</v>
      </c>
      <c r="C1092" s="1" t="n">
        <v>46043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53116-2024</t>
        </is>
      </c>
      <c r="B1093" s="1" t="n">
        <v>45611.58083333333</v>
      </c>
      <c r="C1093" s="1" t="n">
        <v>46043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17192-2025</t>
        </is>
      </c>
      <c r="B1094" s="1" t="n">
        <v>45756.39481481481</v>
      </c>
      <c r="C1094" s="1" t="n">
        <v>46043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8915-2025</t>
        </is>
      </c>
      <c r="B1095" s="1" t="n">
        <v>45713</v>
      </c>
      <c r="C1095" s="1" t="n">
        <v>46043</v>
      </c>
      <c r="D1095" t="inlineStr">
        <is>
          <t>VÄSTERBOTTENS LÄN</t>
        </is>
      </c>
      <c r="E1095" t="inlineStr">
        <is>
          <t>LYCKSELE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55456-2022</t>
        </is>
      </c>
      <c r="B1096" s="1" t="n">
        <v>44887</v>
      </c>
      <c r="C1096" s="1" t="n">
        <v>46043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64281-2023</t>
        </is>
      </c>
      <c r="B1097" s="1" t="n">
        <v>45279</v>
      </c>
      <c r="C1097" s="1" t="n">
        <v>46043</v>
      </c>
      <c r="D1097" t="inlineStr">
        <is>
          <t>VÄSTERBOTTENS LÄN</t>
        </is>
      </c>
      <c r="E1097" t="inlineStr">
        <is>
          <t>LYCKSELE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7837-2023</t>
        </is>
      </c>
      <c r="B1098" s="1" t="n">
        <v>44973.48649305556</v>
      </c>
      <c r="C1098" s="1" t="n">
        <v>46043</v>
      </c>
      <c r="D1098" t="inlineStr">
        <is>
          <t>VÄSTERBOTTENS LÄN</t>
        </is>
      </c>
      <c r="E1098" t="inlineStr">
        <is>
          <t>LYCKSELE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30470-2022</t>
        </is>
      </c>
      <c r="B1099" s="1" t="n">
        <v>44761</v>
      </c>
      <c r="C1099" s="1" t="n">
        <v>46043</v>
      </c>
      <c r="D1099" t="inlineStr">
        <is>
          <t>VÄSTERBOTTENS LÄN</t>
        </is>
      </c>
      <c r="E1099" t="inlineStr">
        <is>
          <t>LYCKSELE</t>
        </is>
      </c>
      <c r="G1099" t="n">
        <v>11.9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35266-2024</t>
        </is>
      </c>
      <c r="B1100" s="1" t="n">
        <v>45530</v>
      </c>
      <c r="C1100" s="1" t="n">
        <v>46043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35273-2024</t>
        </is>
      </c>
      <c r="B1101" s="1" t="n">
        <v>45530</v>
      </c>
      <c r="C1101" s="1" t="n">
        <v>46043</v>
      </c>
      <c r="D1101" t="inlineStr">
        <is>
          <t>VÄSTERBOTTENS LÄN</t>
        </is>
      </c>
      <c r="E1101" t="inlineStr">
        <is>
          <t>LYCKSELE</t>
        </is>
      </c>
      <c r="G1101" t="n">
        <v>17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24041-2023</t>
        </is>
      </c>
      <c r="B1102" s="1" t="n">
        <v>45078</v>
      </c>
      <c r="C1102" s="1" t="n">
        <v>46043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32475-2024</t>
        </is>
      </c>
      <c r="B1103" s="1" t="n">
        <v>45513.33157407407</v>
      </c>
      <c r="C1103" s="1" t="n">
        <v>46043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57224-2023</t>
        </is>
      </c>
      <c r="B1104" s="1" t="n">
        <v>45239</v>
      </c>
      <c r="C1104" s="1" t="n">
        <v>46043</v>
      </c>
      <c r="D1104" t="inlineStr">
        <is>
          <t>VÄSTERBOTTENS LÄN</t>
        </is>
      </c>
      <c r="E1104" t="inlineStr">
        <is>
          <t>LYCKSELE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67092-2021</t>
        </is>
      </c>
      <c r="B1105" s="1" t="n">
        <v>44522</v>
      </c>
      <c r="C1105" s="1" t="n">
        <v>46043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53035-2023</t>
        </is>
      </c>
      <c r="B1106" s="1" t="n">
        <v>45226.96270833333</v>
      </c>
      <c r="C1106" s="1" t="n">
        <v>46043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17736-2025</t>
        </is>
      </c>
      <c r="B1107" s="1" t="n">
        <v>45758.46924768519</v>
      </c>
      <c r="C1107" s="1" t="n">
        <v>46043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35970-2024</t>
        </is>
      </c>
      <c r="B1108" s="1" t="n">
        <v>45533.48732638889</v>
      </c>
      <c r="C1108" s="1" t="n">
        <v>46043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62586-2022</t>
        </is>
      </c>
      <c r="B1109" s="1" t="n">
        <v>44924.94077546296</v>
      </c>
      <c r="C1109" s="1" t="n">
        <v>46043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18688-2025</t>
        </is>
      </c>
      <c r="B1110" s="1" t="n">
        <v>45763.61390046297</v>
      </c>
      <c r="C1110" s="1" t="n">
        <v>46043</v>
      </c>
      <c r="D1110" t="inlineStr">
        <is>
          <t>VÄSTERBOTTENS LÄN</t>
        </is>
      </c>
      <c r="E1110" t="inlineStr">
        <is>
          <t>LYCKSELE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8360-2024</t>
        </is>
      </c>
      <c r="B1111" s="1" t="n">
        <v>45352.58462962963</v>
      </c>
      <c r="C1111" s="1" t="n">
        <v>46043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60061-2023</t>
        </is>
      </c>
      <c r="B1112" s="1" t="n">
        <v>45258.38234953704</v>
      </c>
      <c r="C1112" s="1" t="n">
        <v>46043</v>
      </c>
      <c r="D1112" t="inlineStr">
        <is>
          <t>VÄSTERBOTTENS LÄN</t>
        </is>
      </c>
      <c r="E1112" t="inlineStr">
        <is>
          <t>LYCKSELE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62877-2023</t>
        </is>
      </c>
      <c r="B1113" s="1" t="n">
        <v>45271</v>
      </c>
      <c r="C1113" s="1" t="n">
        <v>46043</v>
      </c>
      <c r="D1113" t="inlineStr">
        <is>
          <t>VÄSTERBOTTENS LÄN</t>
        </is>
      </c>
      <c r="E1113" t="inlineStr">
        <is>
          <t>LYCKSELE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48379-2024</t>
        </is>
      </c>
      <c r="B1114" s="1" t="n">
        <v>45590.58554398148</v>
      </c>
      <c r="C1114" s="1" t="n">
        <v>46043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43875-2023</t>
        </is>
      </c>
      <c r="B1115" s="1" t="n">
        <v>45187.64328703703</v>
      </c>
      <c r="C1115" s="1" t="n">
        <v>46043</v>
      </c>
      <c r="D1115" t="inlineStr">
        <is>
          <t>VÄSTERBOTTENS LÄN</t>
        </is>
      </c>
      <c r="E1115" t="inlineStr">
        <is>
          <t>LYCKSELE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9879-2022</t>
        </is>
      </c>
      <c r="B1116" s="1" t="n">
        <v>44620</v>
      </c>
      <c r="C1116" s="1" t="n">
        <v>46043</v>
      </c>
      <c r="D1116" t="inlineStr">
        <is>
          <t>VÄSTERBOTTENS LÄN</t>
        </is>
      </c>
      <c r="E1116" t="inlineStr">
        <is>
          <t>LYCKSELE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56973-2022</t>
        </is>
      </c>
      <c r="B1117" s="1" t="n">
        <v>44894</v>
      </c>
      <c r="C1117" s="1" t="n">
        <v>46043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49514-2022</t>
        </is>
      </c>
      <c r="B1118" s="1" t="n">
        <v>44861</v>
      </c>
      <c r="C1118" s="1" t="n">
        <v>46043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2323-2025</t>
        </is>
      </c>
      <c r="B1119" s="1" t="n">
        <v>45673.62765046296</v>
      </c>
      <c r="C1119" s="1" t="n">
        <v>46043</v>
      </c>
      <c r="D1119" t="inlineStr">
        <is>
          <t>VÄSTERBOTTENS LÄN</t>
        </is>
      </c>
      <c r="E1119" t="inlineStr">
        <is>
          <t>LYCKSELE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14249-2025</t>
        </is>
      </c>
      <c r="B1120" s="1" t="n">
        <v>45740</v>
      </c>
      <c r="C1120" s="1" t="n">
        <v>46043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52956-2022</t>
        </is>
      </c>
      <c r="B1121" s="1" t="n">
        <v>44875</v>
      </c>
      <c r="C1121" s="1" t="n">
        <v>46043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33699-2024</t>
        </is>
      </c>
      <c r="B1122" s="1" t="n">
        <v>45520.52138888889</v>
      </c>
      <c r="C1122" s="1" t="n">
        <v>46043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33716-2024</t>
        </is>
      </c>
      <c r="B1123" s="1" t="n">
        <v>45520.53516203703</v>
      </c>
      <c r="C1123" s="1" t="n">
        <v>46043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33717-2024</t>
        </is>
      </c>
      <c r="B1124" s="1" t="n">
        <v>45520.53523148148</v>
      </c>
      <c r="C1124" s="1" t="n">
        <v>46043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44672-2024</t>
        </is>
      </c>
      <c r="B1125" s="1" t="n">
        <v>45574.53748842593</v>
      </c>
      <c r="C1125" s="1" t="n">
        <v>46043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41980-2024</t>
        </is>
      </c>
      <c r="B1126" s="1" t="n">
        <v>45561.63130787037</v>
      </c>
      <c r="C1126" s="1" t="n">
        <v>46043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33704-2024</t>
        </is>
      </c>
      <c r="B1127" s="1" t="n">
        <v>45520.52381944445</v>
      </c>
      <c r="C1127" s="1" t="n">
        <v>46043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45708-2024</t>
        </is>
      </c>
      <c r="B1128" s="1" t="n">
        <v>45579.5771875</v>
      </c>
      <c r="C1128" s="1" t="n">
        <v>46043</v>
      </c>
      <c r="D1128" t="inlineStr">
        <is>
          <t>VÄSTERBOTTENS LÄN</t>
        </is>
      </c>
      <c r="E1128" t="inlineStr">
        <is>
          <t>LYCKSELE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46541-2022</t>
        </is>
      </c>
      <c r="B1129" s="1" t="n">
        <v>44847</v>
      </c>
      <c r="C1129" s="1" t="n">
        <v>46043</v>
      </c>
      <c r="D1129" t="inlineStr">
        <is>
          <t>VÄSTERBOTTENS LÄN</t>
        </is>
      </c>
      <c r="E1129" t="inlineStr">
        <is>
          <t>LYCKSELE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36357-2024</t>
        </is>
      </c>
      <c r="B1130" s="1" t="n">
        <v>45534.64569444444</v>
      </c>
      <c r="C1130" s="1" t="n">
        <v>46043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25327-2024</t>
        </is>
      </c>
      <c r="B1131" s="1" t="n">
        <v>45462.81574074074</v>
      </c>
      <c r="C1131" s="1" t="n">
        <v>46043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36324-2024</t>
        </is>
      </c>
      <c r="B1132" s="1" t="n">
        <v>45534.6363425926</v>
      </c>
      <c r="C1132" s="1" t="n">
        <v>46043</v>
      </c>
      <c r="D1132" t="inlineStr">
        <is>
          <t>VÄSTERBOTTENS LÄN</t>
        </is>
      </c>
      <c r="E1132" t="inlineStr">
        <is>
          <t>LYCKSELE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61506-2021</t>
        </is>
      </c>
      <c r="B1133" s="1" t="n">
        <v>44501</v>
      </c>
      <c r="C1133" s="1" t="n">
        <v>46043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42216-2022</t>
        </is>
      </c>
      <c r="B1134" s="1" t="n">
        <v>44830</v>
      </c>
      <c r="C1134" s="1" t="n">
        <v>46043</v>
      </c>
      <c r="D1134" t="inlineStr">
        <is>
          <t>VÄSTERBOTTENS LÄN</t>
        </is>
      </c>
      <c r="E1134" t="inlineStr">
        <is>
          <t>LYCKSELE</t>
        </is>
      </c>
      <c r="G1134" t="n">
        <v>15.9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40115-2024</t>
        </is>
      </c>
      <c r="B1135" s="1" t="n">
        <v>45554.4563425926</v>
      </c>
      <c r="C1135" s="1" t="n">
        <v>46043</v>
      </c>
      <c r="D1135" t="inlineStr">
        <is>
          <t>VÄSTERBOTTENS LÄN</t>
        </is>
      </c>
      <c r="E1135" t="inlineStr">
        <is>
          <t>LYCKSELE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7063-2022</t>
        </is>
      </c>
      <c r="B1136" s="1" t="n">
        <v>44603</v>
      </c>
      <c r="C1136" s="1" t="n">
        <v>46043</v>
      </c>
      <c r="D1136" t="inlineStr">
        <is>
          <t>VÄSTERBOTTENS LÄN</t>
        </is>
      </c>
      <c r="E1136" t="inlineStr">
        <is>
          <t>LYCKSELE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41497-2021</t>
        </is>
      </c>
      <c r="B1137" s="1" t="n">
        <v>44424</v>
      </c>
      <c r="C1137" s="1" t="n">
        <v>46043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59174-2024</t>
        </is>
      </c>
      <c r="B1138" s="1" t="n">
        <v>45637.49741898148</v>
      </c>
      <c r="C1138" s="1" t="n">
        <v>46043</v>
      </c>
      <c r="D1138" t="inlineStr">
        <is>
          <t>VÄSTERBOTTENS LÄN</t>
        </is>
      </c>
      <c r="E1138" t="inlineStr">
        <is>
          <t>LYCKSELE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53369-2022</t>
        </is>
      </c>
      <c r="B1139" s="1" t="n">
        <v>44874</v>
      </c>
      <c r="C1139" s="1" t="n">
        <v>46043</v>
      </c>
      <c r="D1139" t="inlineStr">
        <is>
          <t>VÄSTERBOTTENS LÄN</t>
        </is>
      </c>
      <c r="E1139" t="inlineStr">
        <is>
          <t>LYCKSELE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56343-2022</t>
        </is>
      </c>
      <c r="B1140" s="1" t="n">
        <v>44890</v>
      </c>
      <c r="C1140" s="1" t="n">
        <v>46043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43925-2024</t>
        </is>
      </c>
      <c r="B1141" s="1" t="n">
        <v>45572.45052083334</v>
      </c>
      <c r="C1141" s="1" t="n">
        <v>46043</v>
      </c>
      <c r="D1141" t="inlineStr">
        <is>
          <t>VÄSTERBOTTENS LÄN</t>
        </is>
      </c>
      <c r="E1141" t="inlineStr">
        <is>
          <t>LYCKSELE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45406-2024</t>
        </is>
      </c>
      <c r="B1142" s="1" t="n">
        <v>45576.58394675926</v>
      </c>
      <c r="C1142" s="1" t="n">
        <v>46043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Naturvårdsverket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41756-2024</t>
        </is>
      </c>
      <c r="B1143" s="1" t="n">
        <v>45561</v>
      </c>
      <c r="C1143" s="1" t="n">
        <v>46043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29835-2023</t>
        </is>
      </c>
      <c r="B1144" s="1" t="n">
        <v>45107</v>
      </c>
      <c r="C1144" s="1" t="n">
        <v>46043</v>
      </c>
      <c r="D1144" t="inlineStr">
        <is>
          <t>VÄSTERBOTTENS LÄN</t>
        </is>
      </c>
      <c r="E1144" t="inlineStr">
        <is>
          <t>LYCKSELE</t>
        </is>
      </c>
      <c r="G1144" t="n">
        <v>17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45559-2022</t>
        </is>
      </c>
      <c r="B1145" s="1" t="n">
        <v>44845.48649305556</v>
      </c>
      <c r="C1145" s="1" t="n">
        <v>46043</v>
      </c>
      <c r="D1145" t="inlineStr">
        <is>
          <t>VÄSTERBOTTENS LÄN</t>
        </is>
      </c>
      <c r="E1145" t="inlineStr">
        <is>
          <t>LYCKSELE</t>
        </is>
      </c>
      <c r="G1145" t="n">
        <v>17.8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21961-2021</t>
        </is>
      </c>
      <c r="B1146" s="1" t="n">
        <v>44323</v>
      </c>
      <c r="C1146" s="1" t="n">
        <v>46043</v>
      </c>
      <c r="D1146" t="inlineStr">
        <is>
          <t>VÄSTERBOTTENS LÄN</t>
        </is>
      </c>
      <c r="E1146" t="inlineStr">
        <is>
          <t>LYCKSELE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41358-2022</t>
        </is>
      </c>
      <c r="B1147" s="1" t="n">
        <v>44826</v>
      </c>
      <c r="C1147" s="1" t="n">
        <v>46043</v>
      </c>
      <c r="D1147" t="inlineStr">
        <is>
          <t>VÄSTERBOTTENS LÄN</t>
        </is>
      </c>
      <c r="E1147" t="inlineStr">
        <is>
          <t>LYCKSELE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31466-2021</t>
        </is>
      </c>
      <c r="B1148" s="1" t="n">
        <v>44369</v>
      </c>
      <c r="C1148" s="1" t="n">
        <v>46043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18.3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2576-2022</t>
        </is>
      </c>
      <c r="B1149" s="1" t="n">
        <v>44580</v>
      </c>
      <c r="C1149" s="1" t="n">
        <v>46043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28540-2023</t>
        </is>
      </c>
      <c r="B1150" s="1" t="n">
        <v>45103.49182870371</v>
      </c>
      <c r="C1150" s="1" t="n">
        <v>46043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54167-2022</t>
        </is>
      </c>
      <c r="B1151" s="1" t="n">
        <v>44881</v>
      </c>
      <c r="C1151" s="1" t="n">
        <v>46043</v>
      </c>
      <c r="D1151" t="inlineStr">
        <is>
          <t>VÄSTERBOTTENS LÄN</t>
        </is>
      </c>
      <c r="E1151" t="inlineStr">
        <is>
          <t>LYCKSELE</t>
        </is>
      </c>
      <c r="G1151" t="n">
        <v>11.3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37391-2024</t>
        </is>
      </c>
      <c r="B1152" s="1" t="n">
        <v>45540.59409722222</v>
      </c>
      <c r="C1152" s="1" t="n">
        <v>46043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37500-2024</t>
        </is>
      </c>
      <c r="B1153" s="1" t="n">
        <v>45541.36966435185</v>
      </c>
      <c r="C1153" s="1" t="n">
        <v>46043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40361-2024</t>
        </is>
      </c>
      <c r="B1154" s="1" t="n">
        <v>45555.37684027778</v>
      </c>
      <c r="C1154" s="1" t="n">
        <v>46043</v>
      </c>
      <c r="D1154" t="inlineStr">
        <is>
          <t>VÄSTERBOTTENS LÄN</t>
        </is>
      </c>
      <c r="E1154" t="inlineStr">
        <is>
          <t>LYCKSELE</t>
        </is>
      </c>
      <c r="G1154" t="n">
        <v>14.7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15046-2023</t>
        </is>
      </c>
      <c r="B1155" s="1" t="n">
        <v>45015</v>
      </c>
      <c r="C1155" s="1" t="n">
        <v>46043</v>
      </c>
      <c r="D1155" t="inlineStr">
        <is>
          <t>VÄSTERBOTTENS LÄN</t>
        </is>
      </c>
      <c r="E1155" t="inlineStr">
        <is>
          <t>LYCKSELE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51943-2023</t>
        </is>
      </c>
      <c r="B1156" s="1" t="n">
        <v>45223</v>
      </c>
      <c r="C1156" s="1" t="n">
        <v>46043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41950-2024</t>
        </is>
      </c>
      <c r="B1157" s="1" t="n">
        <v>45561.58484953704</v>
      </c>
      <c r="C1157" s="1" t="n">
        <v>46043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21213-2023</t>
        </is>
      </c>
      <c r="B1158" s="1" t="n">
        <v>45058</v>
      </c>
      <c r="C1158" s="1" t="n">
        <v>46043</v>
      </c>
      <c r="D1158" t="inlineStr">
        <is>
          <t>VÄSTERBOTTENS LÄN</t>
        </is>
      </c>
      <c r="E1158" t="inlineStr">
        <is>
          <t>LYCKSELE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15564-2023</t>
        </is>
      </c>
      <c r="B1159" s="1" t="n">
        <v>45020</v>
      </c>
      <c r="C1159" s="1" t="n">
        <v>46043</v>
      </c>
      <c r="D1159" t="inlineStr">
        <is>
          <t>VÄSTERBOTTENS LÄN</t>
        </is>
      </c>
      <c r="E1159" t="inlineStr">
        <is>
          <t>LYCKSELE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24289-2023</t>
        </is>
      </c>
      <c r="B1160" s="1" t="n">
        <v>45079.92747685185</v>
      </c>
      <c r="C1160" s="1" t="n">
        <v>46043</v>
      </c>
      <c r="D1160" t="inlineStr">
        <is>
          <t>VÄSTERBOTTENS LÄN</t>
        </is>
      </c>
      <c r="E1160" t="inlineStr">
        <is>
          <t>LYCKSELE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54619-2024</t>
        </is>
      </c>
      <c r="B1161" s="1" t="n">
        <v>45617.73600694445</v>
      </c>
      <c r="C1161" s="1" t="n">
        <v>46043</v>
      </c>
      <c r="D1161" t="inlineStr">
        <is>
          <t>VÄSTERBOTTENS LÄN</t>
        </is>
      </c>
      <c r="E1161" t="inlineStr">
        <is>
          <t>LYCKSELE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43566-2024</t>
        </is>
      </c>
      <c r="B1162" s="1" t="n">
        <v>45569.40431712963</v>
      </c>
      <c r="C1162" s="1" t="n">
        <v>46043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3947-2023</t>
        </is>
      </c>
      <c r="B1163" s="1" t="n">
        <v>44952</v>
      </c>
      <c r="C1163" s="1" t="n">
        <v>46043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59272-2022</t>
        </is>
      </c>
      <c r="B1164" s="1" t="n">
        <v>44904.59792824074</v>
      </c>
      <c r="C1164" s="1" t="n">
        <v>46043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19233-2023</t>
        </is>
      </c>
      <c r="B1165" s="1" t="n">
        <v>45048.92655092593</v>
      </c>
      <c r="C1165" s="1" t="n">
        <v>46043</v>
      </c>
      <c r="D1165" t="inlineStr">
        <is>
          <t>VÄSTERBOTTENS LÄN</t>
        </is>
      </c>
      <c r="E1165" t="inlineStr">
        <is>
          <t>LYCKSELE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30636-2024</t>
        </is>
      </c>
      <c r="B1166" s="1" t="n">
        <v>45495.56212962963</v>
      </c>
      <c r="C1166" s="1" t="n">
        <v>46043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2352-2025</t>
        </is>
      </c>
      <c r="B1167" s="1" t="n">
        <v>45673.67935185185</v>
      </c>
      <c r="C1167" s="1" t="n">
        <v>46043</v>
      </c>
      <c r="D1167" t="inlineStr">
        <is>
          <t>VÄSTERBOTTENS LÄN</t>
        </is>
      </c>
      <c r="E1167" t="inlineStr">
        <is>
          <t>LYCKSELE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45366-2024</t>
        </is>
      </c>
      <c r="B1168" s="1" t="n">
        <v>45576.48979166667</v>
      </c>
      <c r="C1168" s="1" t="n">
        <v>46043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9551-2025</t>
        </is>
      </c>
      <c r="B1169" s="1" t="n">
        <v>45715.59438657408</v>
      </c>
      <c r="C1169" s="1" t="n">
        <v>46043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7001-2022</t>
        </is>
      </c>
      <c r="B1170" s="1" t="n">
        <v>44603</v>
      </c>
      <c r="C1170" s="1" t="n">
        <v>46043</v>
      </c>
      <c r="D1170" t="inlineStr">
        <is>
          <t>VÄSTERBOTTENS LÄN</t>
        </is>
      </c>
      <c r="E1170" t="inlineStr">
        <is>
          <t>LYCKSELE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27595-2023</t>
        </is>
      </c>
      <c r="B1171" s="1" t="n">
        <v>45097</v>
      </c>
      <c r="C1171" s="1" t="n">
        <v>46043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56518-2023</t>
        </is>
      </c>
      <c r="B1172" s="1" t="n">
        <v>45238</v>
      </c>
      <c r="C1172" s="1" t="n">
        <v>46043</v>
      </c>
      <c r="D1172" t="inlineStr">
        <is>
          <t>VÄSTERBOTTENS LÄN</t>
        </is>
      </c>
      <c r="E1172" t="inlineStr">
        <is>
          <t>LYCKSELE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54275-2024</t>
        </is>
      </c>
      <c r="B1173" s="1" t="n">
        <v>45616.83502314815</v>
      </c>
      <c r="C1173" s="1" t="n">
        <v>46043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18365-2023</t>
        </is>
      </c>
      <c r="B1174" s="1" t="n">
        <v>45041</v>
      </c>
      <c r="C1174" s="1" t="n">
        <v>46043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22.4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25170-2024</t>
        </is>
      </c>
      <c r="B1175" s="1" t="n">
        <v>45462</v>
      </c>
      <c r="C1175" s="1" t="n">
        <v>46043</v>
      </c>
      <c r="D1175" t="inlineStr">
        <is>
          <t>VÄSTERBOTTENS LÄN</t>
        </is>
      </c>
      <c r="E1175" t="inlineStr">
        <is>
          <t>LYCKSELE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36851-2023</t>
        </is>
      </c>
      <c r="B1176" s="1" t="n">
        <v>45154.53600694444</v>
      </c>
      <c r="C1176" s="1" t="n">
        <v>46043</v>
      </c>
      <c r="D1176" t="inlineStr">
        <is>
          <t>VÄSTERBOTTENS LÄN</t>
        </is>
      </c>
      <c r="E1176" t="inlineStr">
        <is>
          <t>LYCKSELE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37491-2023</t>
        </is>
      </c>
      <c r="B1177" s="1" t="n">
        <v>45156</v>
      </c>
      <c r="C1177" s="1" t="n">
        <v>46043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50018-2024</t>
        </is>
      </c>
      <c r="B1178" s="1" t="n">
        <v>45599</v>
      </c>
      <c r="C1178" s="1" t="n">
        <v>46043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61131-2022</t>
        </is>
      </c>
      <c r="B1179" s="1" t="n">
        <v>44915.44746527778</v>
      </c>
      <c r="C1179" s="1" t="n">
        <v>46043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37599-2024</t>
        </is>
      </c>
      <c r="B1180" s="1" t="n">
        <v>45541</v>
      </c>
      <c r="C1180" s="1" t="n">
        <v>46043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58040-2023</t>
        </is>
      </c>
      <c r="B1181" s="1" t="n">
        <v>45247.67944444445</v>
      </c>
      <c r="C1181" s="1" t="n">
        <v>46043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34273-2024</t>
        </is>
      </c>
      <c r="B1182" s="1" t="n">
        <v>45524.61850694445</v>
      </c>
      <c r="C1182" s="1" t="n">
        <v>46043</v>
      </c>
      <c r="D1182" t="inlineStr">
        <is>
          <t>VÄSTERBOTTENS LÄN</t>
        </is>
      </c>
      <c r="E1182" t="inlineStr">
        <is>
          <t>LYCKSELE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12430-2025</t>
        </is>
      </c>
      <c r="B1183" s="1" t="n">
        <v>45730.46041666667</v>
      </c>
      <c r="C1183" s="1" t="n">
        <v>46043</v>
      </c>
      <c r="D1183" t="inlineStr">
        <is>
          <t>VÄSTERBOTTENS LÄN</t>
        </is>
      </c>
      <c r="E1183" t="inlineStr">
        <is>
          <t>LYCKSELE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35227-2023</t>
        </is>
      </c>
      <c r="B1184" s="1" t="n">
        <v>45145.64986111111</v>
      </c>
      <c r="C1184" s="1" t="n">
        <v>46043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41728-2023</t>
        </is>
      </c>
      <c r="B1185" s="1" t="n">
        <v>45176</v>
      </c>
      <c r="C1185" s="1" t="n">
        <v>46043</v>
      </c>
      <c r="D1185" t="inlineStr">
        <is>
          <t>VÄSTERBOTTENS LÄN</t>
        </is>
      </c>
      <c r="E1185" t="inlineStr">
        <is>
          <t>LYCKSELE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10586-2025</t>
        </is>
      </c>
      <c r="B1186" s="1" t="n">
        <v>45721.5528587963</v>
      </c>
      <c r="C1186" s="1" t="n">
        <v>46043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30306-2024</t>
        </is>
      </c>
      <c r="B1187" s="1" t="n">
        <v>45490.69914351852</v>
      </c>
      <c r="C1187" s="1" t="n">
        <v>46043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68665-2021</t>
        </is>
      </c>
      <c r="B1188" s="1" t="n">
        <v>44529</v>
      </c>
      <c r="C1188" s="1" t="n">
        <v>46043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31372-2024</t>
        </is>
      </c>
      <c r="B1189" s="1" t="n">
        <v>45503</v>
      </c>
      <c r="C1189" s="1" t="n">
        <v>46043</v>
      </c>
      <c r="D1189" t="inlineStr">
        <is>
          <t>VÄSTERBOTTENS LÄN</t>
        </is>
      </c>
      <c r="E1189" t="inlineStr">
        <is>
          <t>LYCKSELE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27929-2024</t>
        </is>
      </c>
      <c r="B1190" s="1" t="n">
        <v>45475.94980324074</v>
      </c>
      <c r="C1190" s="1" t="n">
        <v>46043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Naturvårdsverket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27932-2024</t>
        </is>
      </c>
      <c r="B1191" s="1" t="n">
        <v>45475.95016203704</v>
      </c>
      <c r="C1191" s="1" t="n">
        <v>46043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Naturvårdsverket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21109-2023</t>
        </is>
      </c>
      <c r="B1192" s="1" t="n">
        <v>45061.94275462963</v>
      </c>
      <c r="C1192" s="1" t="n">
        <v>46043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59569-2024</t>
        </is>
      </c>
      <c r="B1193" s="1" t="n">
        <v>45638.64100694445</v>
      </c>
      <c r="C1193" s="1" t="n">
        <v>46043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26358-2023</t>
        </is>
      </c>
      <c r="B1194" s="1" t="n">
        <v>45091</v>
      </c>
      <c r="C1194" s="1" t="n">
        <v>46043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36267-2023</t>
        </is>
      </c>
      <c r="B1195" s="1" t="n">
        <v>45151.94417824074</v>
      </c>
      <c r="C1195" s="1" t="n">
        <v>46043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408-2023</t>
        </is>
      </c>
      <c r="B1196" s="1" t="n">
        <v>44924</v>
      </c>
      <c r="C1196" s="1" t="n">
        <v>46043</v>
      </c>
      <c r="D1196" t="inlineStr">
        <is>
          <t>VÄSTERBOTTENS LÄN</t>
        </is>
      </c>
      <c r="E1196" t="inlineStr">
        <is>
          <t>LYCKSELE</t>
        </is>
      </c>
      <c r="G1196" t="n">
        <v>11.9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25020-2024</t>
        </is>
      </c>
      <c r="B1197" s="1" t="n">
        <v>45461.9625</v>
      </c>
      <c r="C1197" s="1" t="n">
        <v>46043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6800-2025</t>
        </is>
      </c>
      <c r="B1198" s="1" t="n">
        <v>45700.67916666667</v>
      </c>
      <c r="C1198" s="1" t="n">
        <v>46043</v>
      </c>
      <c r="D1198" t="inlineStr">
        <is>
          <t>VÄSTERBOTTENS LÄN</t>
        </is>
      </c>
      <c r="E1198" t="inlineStr">
        <is>
          <t>LYCKSELE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30425-2024</t>
        </is>
      </c>
      <c r="B1199" s="1" t="n">
        <v>45491.67836805555</v>
      </c>
      <c r="C1199" s="1" t="n">
        <v>46043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45330-2024</t>
        </is>
      </c>
      <c r="B1200" s="1" t="n">
        <v>45576.45649305556</v>
      </c>
      <c r="C1200" s="1" t="n">
        <v>46043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47131-2024</t>
        </is>
      </c>
      <c r="B1201" s="1" t="n">
        <v>45586.57693287037</v>
      </c>
      <c r="C1201" s="1" t="n">
        <v>46043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37969-2024</t>
        </is>
      </c>
      <c r="B1202" s="1" t="n">
        <v>45544.55925925926</v>
      </c>
      <c r="C1202" s="1" t="n">
        <v>46043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41793-2024</t>
        </is>
      </c>
      <c r="B1203" s="1" t="n">
        <v>45561.35800925926</v>
      </c>
      <c r="C1203" s="1" t="n">
        <v>46043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21660-2023</t>
        </is>
      </c>
      <c r="B1204" s="1" t="n">
        <v>45063</v>
      </c>
      <c r="C1204" s="1" t="n">
        <v>46043</v>
      </c>
      <c r="D1204" t="inlineStr">
        <is>
          <t>VÄSTERBOTTENS LÄN</t>
        </is>
      </c>
      <c r="E1204" t="inlineStr">
        <is>
          <t>LYCKSELE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33693-2024</t>
        </is>
      </c>
      <c r="B1205" s="1" t="n">
        <v>45520.51587962963</v>
      </c>
      <c r="C1205" s="1" t="n">
        <v>46043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16504-2025</t>
        </is>
      </c>
      <c r="B1206" s="1" t="n">
        <v>45751</v>
      </c>
      <c r="C1206" s="1" t="n">
        <v>46043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52233-2024</t>
        </is>
      </c>
      <c r="B1207" s="1" t="n">
        <v>45608.61015046296</v>
      </c>
      <c r="C1207" s="1" t="n">
        <v>46043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49130-2024</t>
        </is>
      </c>
      <c r="B1208" s="1" t="n">
        <v>45594</v>
      </c>
      <c r="C1208" s="1" t="n">
        <v>46043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48543-2024</t>
        </is>
      </c>
      <c r="B1209" s="1" t="n">
        <v>45593</v>
      </c>
      <c r="C1209" s="1" t="n">
        <v>46043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37262-2023</t>
        </is>
      </c>
      <c r="B1210" s="1" t="n">
        <v>45155</v>
      </c>
      <c r="C1210" s="1" t="n">
        <v>46043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58714-2024</t>
        </is>
      </c>
      <c r="B1211" s="1" t="n">
        <v>45635</v>
      </c>
      <c r="C1211" s="1" t="n">
        <v>46043</v>
      </c>
      <c r="D1211" t="inlineStr">
        <is>
          <t>VÄSTERBOTTENS LÄN</t>
        </is>
      </c>
      <c r="E1211" t="inlineStr">
        <is>
          <t>LYCKSELE</t>
        </is>
      </c>
      <c r="G1211" t="n">
        <v>25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46043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46817-2024</t>
        </is>
      </c>
      <c r="B1213" s="1" t="n">
        <v>45583</v>
      </c>
      <c r="C1213" s="1" t="n">
        <v>46043</v>
      </c>
      <c r="D1213" t="inlineStr">
        <is>
          <t>VÄSTERBOTTENS LÄN</t>
        </is>
      </c>
      <c r="E1213" t="inlineStr">
        <is>
          <t>LYCKSELE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55203-2024</t>
        </is>
      </c>
      <c r="B1214" s="1" t="n">
        <v>45621.55994212963</v>
      </c>
      <c r="C1214" s="1" t="n">
        <v>46043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18705-2025</t>
        </is>
      </c>
      <c r="B1215" s="1" t="n">
        <v>45763.63334490741</v>
      </c>
      <c r="C1215" s="1" t="n">
        <v>46043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60482-2024</t>
        </is>
      </c>
      <c r="B1216" s="1" t="n">
        <v>45643.63650462963</v>
      </c>
      <c r="C1216" s="1" t="n">
        <v>46043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49631-2023</t>
        </is>
      </c>
      <c r="B1217" s="1" t="n">
        <v>45211</v>
      </c>
      <c r="C1217" s="1" t="n">
        <v>46043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Kommuner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53235-2024</t>
        </is>
      </c>
      <c r="B1218" s="1" t="n">
        <v>45613.77569444444</v>
      </c>
      <c r="C1218" s="1" t="n">
        <v>46043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58356-2024</t>
        </is>
      </c>
      <c r="B1219" s="1" t="n">
        <v>45632.65679398148</v>
      </c>
      <c r="C1219" s="1" t="n">
        <v>46043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37658-2024</t>
        </is>
      </c>
      <c r="B1220" s="1" t="n">
        <v>45541.56019675926</v>
      </c>
      <c r="C1220" s="1" t="n">
        <v>46043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44385-2024</t>
        </is>
      </c>
      <c r="B1221" s="1" t="n">
        <v>45573.68590277778</v>
      </c>
      <c r="C1221" s="1" t="n">
        <v>46043</v>
      </c>
      <c r="D1221" t="inlineStr">
        <is>
          <t>VÄSTERBOTTENS LÄN</t>
        </is>
      </c>
      <c r="E1221" t="inlineStr">
        <is>
          <t>LYCKSELE</t>
        </is>
      </c>
      <c r="G1221" t="n">
        <v>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28409-2023</t>
        </is>
      </c>
      <c r="B1222" s="1" t="n">
        <v>45101</v>
      </c>
      <c r="C1222" s="1" t="n">
        <v>46043</v>
      </c>
      <c r="D1222" t="inlineStr">
        <is>
          <t>VÄSTERBOTTENS LÄN</t>
        </is>
      </c>
      <c r="E1222" t="inlineStr">
        <is>
          <t>LYCKSELE</t>
        </is>
      </c>
      <c r="G1222" t="n">
        <v>12.9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54446-2023</t>
        </is>
      </c>
      <c r="B1223" s="1" t="n">
        <v>45233</v>
      </c>
      <c r="C1223" s="1" t="n">
        <v>46043</v>
      </c>
      <c r="D1223" t="inlineStr">
        <is>
          <t>VÄSTERBOTTENS LÄN</t>
        </is>
      </c>
      <c r="E1223" t="inlineStr">
        <is>
          <t>LYCKSELE</t>
        </is>
      </c>
      <c r="G1223" t="n">
        <v>21.4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51368-2023</t>
        </is>
      </c>
      <c r="B1224" s="1" t="n">
        <v>45219</v>
      </c>
      <c r="C1224" s="1" t="n">
        <v>46043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40527-2024</t>
        </is>
      </c>
      <c r="B1225" s="1" t="n">
        <v>45555.60515046296</v>
      </c>
      <c r="C1225" s="1" t="n">
        <v>46043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8.9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48992-2023</t>
        </is>
      </c>
      <c r="B1226" s="1" t="n">
        <v>45209.64944444445</v>
      </c>
      <c r="C1226" s="1" t="n">
        <v>46043</v>
      </c>
      <c r="D1226" t="inlineStr">
        <is>
          <t>VÄSTERBOTTENS LÄN</t>
        </is>
      </c>
      <c r="E1226" t="inlineStr">
        <is>
          <t>LYCKSELE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33708-2024</t>
        </is>
      </c>
      <c r="B1227" s="1" t="n">
        <v>45520.526875</v>
      </c>
      <c r="C1227" s="1" t="n">
        <v>46043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33714-2024</t>
        </is>
      </c>
      <c r="B1228" s="1" t="n">
        <v>45520.53230324074</v>
      </c>
      <c r="C1228" s="1" t="n">
        <v>46043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16669-2022</t>
        </is>
      </c>
      <c r="B1229" s="1" t="n">
        <v>44672.92575231481</v>
      </c>
      <c r="C1229" s="1" t="n">
        <v>46043</v>
      </c>
      <c r="D1229" t="inlineStr">
        <is>
          <t>VÄSTERBOTTENS LÄN</t>
        </is>
      </c>
      <c r="E1229" t="inlineStr">
        <is>
          <t>LYCKSELE</t>
        </is>
      </c>
      <c r="G1229" t="n">
        <v>12.8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57898-2021</t>
        </is>
      </c>
      <c r="B1230" s="1" t="n">
        <v>44486.67993055555</v>
      </c>
      <c r="C1230" s="1" t="n">
        <v>46043</v>
      </c>
      <c r="D1230" t="inlineStr">
        <is>
          <t>VÄSTERBOTTENS LÄN</t>
        </is>
      </c>
      <c r="E1230" t="inlineStr">
        <is>
          <t>LYCKSELE</t>
        </is>
      </c>
      <c r="G1230" t="n">
        <v>14.7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32408-2024</t>
        </is>
      </c>
      <c r="B1231" s="1" t="n">
        <v>45512.68542824074</v>
      </c>
      <c r="C1231" s="1" t="n">
        <v>46043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Naturvårdsverket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39321-2024</t>
        </is>
      </c>
      <c r="B1232" s="1" t="n">
        <v>45551.41628472223</v>
      </c>
      <c r="C1232" s="1" t="n">
        <v>46043</v>
      </c>
      <c r="D1232" t="inlineStr">
        <is>
          <t>VÄSTERBOTTENS LÄN</t>
        </is>
      </c>
      <c r="E1232" t="inlineStr">
        <is>
          <t>LYCKSELE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53875-2024</t>
        </is>
      </c>
      <c r="B1233" s="1" t="n">
        <v>45615</v>
      </c>
      <c r="C1233" s="1" t="n">
        <v>46043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71412-2021</t>
        </is>
      </c>
      <c r="B1234" s="1" t="n">
        <v>44540.39224537037</v>
      </c>
      <c r="C1234" s="1" t="n">
        <v>46043</v>
      </c>
      <c r="D1234" t="inlineStr">
        <is>
          <t>VÄSTERBOTTENS LÄN</t>
        </is>
      </c>
      <c r="E1234" t="inlineStr">
        <is>
          <t>LYCKSELE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10331-2023</t>
        </is>
      </c>
      <c r="B1235" s="1" t="n">
        <v>44980</v>
      </c>
      <c r="C1235" s="1" t="n">
        <v>46043</v>
      </c>
      <c r="D1235" t="inlineStr">
        <is>
          <t>VÄSTERBOTTENS LÄN</t>
        </is>
      </c>
      <c r="E1235" t="inlineStr">
        <is>
          <t>LYCKSELE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48832-2024</t>
        </is>
      </c>
      <c r="B1236" s="1" t="n">
        <v>45593.719375</v>
      </c>
      <c r="C1236" s="1" t="n">
        <v>46043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49230-2024</t>
        </is>
      </c>
      <c r="B1237" s="1" t="n">
        <v>45595</v>
      </c>
      <c r="C1237" s="1" t="n">
        <v>46043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7499-2025</t>
        </is>
      </c>
      <c r="B1238" s="1" t="n">
        <v>45705.49078703704</v>
      </c>
      <c r="C1238" s="1" t="n">
        <v>46043</v>
      </c>
      <c r="D1238" t="inlineStr">
        <is>
          <t>VÄSTERBOTTENS LÄN</t>
        </is>
      </c>
      <c r="E1238" t="inlineStr">
        <is>
          <t>LYCKSELE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10208-2024</t>
        </is>
      </c>
      <c r="B1239" s="1" t="n">
        <v>45364</v>
      </c>
      <c r="C1239" s="1" t="n">
        <v>46043</v>
      </c>
      <c r="D1239" t="inlineStr">
        <is>
          <t>VÄSTERBOTTENS LÄN</t>
        </is>
      </c>
      <c r="E1239" t="inlineStr">
        <is>
          <t>LYCKSELE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47807-2024</t>
        </is>
      </c>
      <c r="B1240" s="1" t="n">
        <v>45588</v>
      </c>
      <c r="C1240" s="1" t="n">
        <v>46043</v>
      </c>
      <c r="D1240" t="inlineStr">
        <is>
          <t>VÄSTERBOTTENS LÄN</t>
        </is>
      </c>
      <c r="E1240" t="inlineStr">
        <is>
          <t>LYCKSELE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44465-2022</t>
        </is>
      </c>
      <c r="B1241" s="1" t="n">
        <v>44840.30355324074</v>
      </c>
      <c r="C1241" s="1" t="n">
        <v>46043</v>
      </c>
      <c r="D1241" t="inlineStr">
        <is>
          <t>VÄSTERBOTTENS LÄN</t>
        </is>
      </c>
      <c r="E1241" t="inlineStr">
        <is>
          <t>LYCKSELE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26105-2021</t>
        </is>
      </c>
      <c r="B1242" s="1" t="n">
        <v>44344.93608796296</v>
      </c>
      <c r="C1242" s="1" t="n">
        <v>46043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34810-2024</t>
        </is>
      </c>
      <c r="B1243" s="1" t="n">
        <v>45526.69534722222</v>
      </c>
      <c r="C1243" s="1" t="n">
        <v>46043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54428-2024</t>
        </is>
      </c>
      <c r="B1244" s="1" t="n">
        <v>45617.49065972222</v>
      </c>
      <c r="C1244" s="1" t="n">
        <v>46043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41361-2023</t>
        </is>
      </c>
      <c r="B1245" s="1" t="n">
        <v>45174</v>
      </c>
      <c r="C1245" s="1" t="n">
        <v>46043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7818-2023</t>
        </is>
      </c>
      <c r="B1246" s="1" t="n">
        <v>44973.46649305556</v>
      </c>
      <c r="C1246" s="1" t="n">
        <v>46043</v>
      </c>
      <c r="D1246" t="inlineStr">
        <is>
          <t>VÄSTERBOTTENS LÄN</t>
        </is>
      </c>
      <c r="E1246" t="inlineStr">
        <is>
          <t>LYCKSELE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37271-2023</t>
        </is>
      </c>
      <c r="B1247" s="1" t="n">
        <v>45155</v>
      </c>
      <c r="C1247" s="1" t="n">
        <v>46043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64336-2023</t>
        </is>
      </c>
      <c r="B1248" s="1" t="n">
        <v>45279</v>
      </c>
      <c r="C1248" s="1" t="n">
        <v>46043</v>
      </c>
      <c r="D1248" t="inlineStr">
        <is>
          <t>VÄSTERBOTTENS LÄN</t>
        </is>
      </c>
      <c r="E1248" t="inlineStr">
        <is>
          <t>LYCKSELE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9517-2025</t>
        </is>
      </c>
      <c r="B1249" s="1" t="n">
        <v>45715.55240740741</v>
      </c>
      <c r="C1249" s="1" t="n">
        <v>46043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46043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41992-2022</t>
        </is>
      </c>
      <c r="B1251" s="1" t="n">
        <v>44830.44271990741</v>
      </c>
      <c r="C1251" s="1" t="n">
        <v>46043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17688-2025</t>
        </is>
      </c>
      <c r="B1252" s="1" t="n">
        <v>45758.39929398148</v>
      </c>
      <c r="C1252" s="1" t="n">
        <v>46043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60723-2022</t>
        </is>
      </c>
      <c r="B1253" s="1" t="n">
        <v>44913.44049768519</v>
      </c>
      <c r="C1253" s="1" t="n">
        <v>46043</v>
      </c>
      <c r="D1253" t="inlineStr">
        <is>
          <t>VÄSTERBOTTENS LÄN</t>
        </is>
      </c>
      <c r="E1253" t="inlineStr">
        <is>
          <t>LYCKSELE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60542-2024</t>
        </is>
      </c>
      <c r="B1254" s="1" t="n">
        <v>45643.79216435185</v>
      </c>
      <c r="C1254" s="1" t="n">
        <v>46043</v>
      </c>
      <c r="D1254" t="inlineStr">
        <is>
          <t>VÄSTERBOTTENS LÄN</t>
        </is>
      </c>
      <c r="E1254" t="inlineStr">
        <is>
          <t>LYCKSELE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60143-2022</t>
        </is>
      </c>
      <c r="B1255" s="1" t="n">
        <v>44909</v>
      </c>
      <c r="C1255" s="1" t="n">
        <v>46043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15239-2025</t>
        </is>
      </c>
      <c r="B1256" s="1" t="n">
        <v>45744.61188657407</v>
      </c>
      <c r="C1256" s="1" t="n">
        <v>46043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38478-2024</t>
        </is>
      </c>
      <c r="B1257" s="1" t="n">
        <v>45546</v>
      </c>
      <c r="C1257" s="1" t="n">
        <v>46043</v>
      </c>
      <c r="D1257" t="inlineStr">
        <is>
          <t>VÄSTERBOTTENS LÄN</t>
        </is>
      </c>
      <c r="E1257" t="inlineStr">
        <is>
          <t>LYCKSELE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2794-2025</t>
        </is>
      </c>
      <c r="B1258" s="1" t="n">
        <v>45677.56866898148</v>
      </c>
      <c r="C1258" s="1" t="n">
        <v>46043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57246-2024</t>
        </is>
      </c>
      <c r="B1259" s="1" t="n">
        <v>45629.55165509259</v>
      </c>
      <c r="C1259" s="1" t="n">
        <v>46043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53874-2024</t>
        </is>
      </c>
      <c r="B1260" s="1" t="n">
        <v>45615.65667824074</v>
      </c>
      <c r="C1260" s="1" t="n">
        <v>46043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14623-2025</t>
        </is>
      </c>
      <c r="B1261" s="1" t="n">
        <v>45742.41636574074</v>
      </c>
      <c r="C1261" s="1" t="n">
        <v>46043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Naturvårdsverket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38112-2024</t>
        </is>
      </c>
      <c r="B1262" s="1" t="n">
        <v>45545.38578703703</v>
      </c>
      <c r="C1262" s="1" t="n">
        <v>46043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19606-2025</t>
        </is>
      </c>
      <c r="B1263" s="1" t="n">
        <v>45770.59820601852</v>
      </c>
      <c r="C1263" s="1" t="n">
        <v>46043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50365-2024</t>
        </is>
      </c>
      <c r="B1264" s="1" t="n">
        <v>45600</v>
      </c>
      <c r="C1264" s="1" t="n">
        <v>46043</v>
      </c>
      <c r="D1264" t="inlineStr">
        <is>
          <t>VÄSTERBOTTENS LÄN</t>
        </is>
      </c>
      <c r="E1264" t="inlineStr">
        <is>
          <t>LYCKSELE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61401-2024</t>
        </is>
      </c>
      <c r="B1265" s="1" t="n">
        <v>45646.42950231482</v>
      </c>
      <c r="C1265" s="1" t="n">
        <v>46043</v>
      </c>
      <c r="D1265" t="inlineStr">
        <is>
          <t>VÄSTERBOTTENS LÄN</t>
        </is>
      </c>
      <c r="E1265" t="inlineStr">
        <is>
          <t>LYCKSELE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56123-2024</t>
        </is>
      </c>
      <c r="B1266" s="1" t="n">
        <v>45624.46928240741</v>
      </c>
      <c r="C1266" s="1" t="n">
        <v>46043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13883-2025</t>
        </is>
      </c>
      <c r="B1267" s="1" t="n">
        <v>45737.6024537037</v>
      </c>
      <c r="C1267" s="1" t="n">
        <v>46043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Naturvårdsverket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9976-2024</t>
        </is>
      </c>
      <c r="B1268" s="1" t="n">
        <v>45363</v>
      </c>
      <c r="C1268" s="1" t="n">
        <v>46043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24234-2023</t>
        </is>
      </c>
      <c r="B1269" s="1" t="n">
        <v>45079</v>
      </c>
      <c r="C1269" s="1" t="n">
        <v>46043</v>
      </c>
      <c r="D1269" t="inlineStr">
        <is>
          <t>VÄSTERBOTTENS LÄN</t>
        </is>
      </c>
      <c r="E1269" t="inlineStr">
        <is>
          <t>LYCKSELE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52755-2023</t>
        </is>
      </c>
      <c r="B1270" s="1" t="n">
        <v>45225.96839120371</v>
      </c>
      <c r="C1270" s="1" t="n">
        <v>46043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20685-2025</t>
        </is>
      </c>
      <c r="B1271" s="1" t="n">
        <v>45776.45245370371</v>
      </c>
      <c r="C1271" s="1" t="n">
        <v>46043</v>
      </c>
      <c r="D1271" t="inlineStr">
        <is>
          <t>VÄSTERBOTTENS LÄN</t>
        </is>
      </c>
      <c r="E1271" t="inlineStr">
        <is>
          <t>LYCKSELE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21046-2025</t>
        </is>
      </c>
      <c r="B1272" s="1" t="n">
        <v>45777.55637731482</v>
      </c>
      <c r="C1272" s="1" t="n">
        <v>46043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20979-2025</t>
        </is>
      </c>
      <c r="B1273" s="1" t="n">
        <v>45777.46550925926</v>
      </c>
      <c r="C1273" s="1" t="n">
        <v>46043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20958-2025</t>
        </is>
      </c>
      <c r="B1274" s="1" t="n">
        <v>45777.44641203704</v>
      </c>
      <c r="C1274" s="1" t="n">
        <v>46043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21374-2025</t>
        </is>
      </c>
      <c r="B1275" s="1" t="n">
        <v>45782.44893518519</v>
      </c>
      <c r="C1275" s="1" t="n">
        <v>46043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21289-2025</t>
        </is>
      </c>
      <c r="B1276" s="1" t="n">
        <v>45779</v>
      </c>
      <c r="C1276" s="1" t="n">
        <v>46043</v>
      </c>
      <c r="D1276" t="inlineStr">
        <is>
          <t>VÄSTERBOTTENS LÄN</t>
        </is>
      </c>
      <c r="E1276" t="inlineStr">
        <is>
          <t>LYCKSELE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21195-2025</t>
        </is>
      </c>
      <c r="B1277" s="1" t="n">
        <v>45779.46914351852</v>
      </c>
      <c r="C1277" s="1" t="n">
        <v>46043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21171-2025</t>
        </is>
      </c>
      <c r="B1278" s="1" t="n">
        <v>45779.42604166667</v>
      </c>
      <c r="C1278" s="1" t="n">
        <v>46043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21266-2025</t>
        </is>
      </c>
      <c r="B1279" s="1" t="n">
        <v>45779.61503472222</v>
      </c>
      <c r="C1279" s="1" t="n">
        <v>46043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21861-2025</t>
        </is>
      </c>
      <c r="B1280" s="1" t="n">
        <v>45784.36506944444</v>
      </c>
      <c r="C1280" s="1" t="n">
        <v>46043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21888-2025</t>
        </is>
      </c>
      <c r="B1281" s="1" t="n">
        <v>45784.43131944445</v>
      </c>
      <c r="C1281" s="1" t="n">
        <v>46043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21727-2025</t>
        </is>
      </c>
      <c r="B1282" s="1" t="n">
        <v>45783.57331018519</v>
      </c>
      <c r="C1282" s="1" t="n">
        <v>46043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22229-2025</t>
        </is>
      </c>
      <c r="B1283" s="1" t="n">
        <v>45785.66422453704</v>
      </c>
      <c r="C1283" s="1" t="n">
        <v>46043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22309-2025</t>
        </is>
      </c>
      <c r="B1284" s="1" t="n">
        <v>45786.36578703704</v>
      </c>
      <c r="C1284" s="1" t="n">
        <v>46043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64391-2023</t>
        </is>
      </c>
      <c r="B1285" s="1" t="n">
        <v>45280</v>
      </c>
      <c r="C1285" s="1" t="n">
        <v>46043</v>
      </c>
      <c r="D1285" t="inlineStr">
        <is>
          <t>VÄSTERBOTTENS LÄN</t>
        </is>
      </c>
      <c r="E1285" t="inlineStr">
        <is>
          <t>LYCKSELE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22107-2025</t>
        </is>
      </c>
      <c r="B1286" s="1" t="n">
        <v>45785.49008101852</v>
      </c>
      <c r="C1286" s="1" t="n">
        <v>46043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22453-2025</t>
        </is>
      </c>
      <c r="B1287" s="1" t="n">
        <v>45786.60395833333</v>
      </c>
      <c r="C1287" s="1" t="n">
        <v>46043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2026-01-21T10:54:31Z</dcterms:created>
  <dcterms:modified xmlns:dcterms="http://purl.org/dc/terms/" xmlns:xsi="http://www.w3.org/2001/XMLSchema-instance" xsi:type="dcterms:W3CDTF">2026-01-21T10:54:32Z</dcterms:modified>
</cp:coreProperties>
</file>