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13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30159-2024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45488</v>
      </c>
      <c r="E2" s="1" t="n">
        <v>46227</v>
      </c>
      <c r="F2" t="inlineStr">
        <is>
          <t>VÄSTERBOTTENS LÄN</t>
        </is>
      </c>
      <c r="G2" t="inlineStr">
        <is>
          <t>LYCKSELE</t>
        </is>
      </c>
      <c r="H2" t="inlineStr">
        <is>
          <t>Sveaskog</t>
        </is>
      </c>
      <c r="I2" t="n">
        <v>14.7</v>
      </c>
      <c r="J2" t="n">
        <v>0</v>
      </c>
      <c r="K2" t="n">
        <v>1</v>
      </c>
      <c r="L2" t="n">
        <v>13</v>
      </c>
      <c r="M2" t="n">
        <v>6</v>
      </c>
      <c r="N2" t="n">
        <v>0</v>
      </c>
      <c r="O2" t="n">
        <v>0</v>
      </c>
      <c r="P2" t="n">
        <v>0</v>
      </c>
      <c r="Q2" t="n">
        <v>19</v>
      </c>
      <c r="R2" t="n">
        <v>6</v>
      </c>
      <c r="S2" t="n">
        <v>20</v>
      </c>
      <c r="T2" t="n">
        <v>67</v>
      </c>
      <c r="U2" t="n">
        <v>67</v>
      </c>
      <c r="V2" s="2" t="inlineStr">
        <is>
          <t>Goliatmusseron
Jättemusseron
Skrovlig taggsvamp
Smalfotad taggsvamp
Tallgråticka
Torrmusseron
Blå taggsvamp
Blågrå svartspik
Dropptaggsvamp
Dvärgbägarlav
Kolflarnlav
Mörk kolflarnlav
Orange taggsvamp
Skarp dropptaggsvamp
Svartvit taggsvamp
Tallriska
Talltaggsvamp
Vaddporing
Vedskivlav
Luddlav</t>
        </is>
      </c>
      <c r="W2">
        <f>HYPERLINK("https://klasma.github.io/Logging_2481/artfynd/A 30159-2024 artfynd.xlsx", "A 30159-2024")</f>
        <v/>
      </c>
      <c r="X2">
        <f>HYPERLINK("https://klasma.github.io/Logging_2481/kartor/A 30159-2024 karta.png", "A 30159-2024")</f>
        <v/>
      </c>
      <c r="Y2">
        <f>HYPERLINK("https://klasma.github.io/Logging_2481/kartor_geotiff/A 30159-2024 georefererad karta.tif", "A 30159-2024")</f>
        <v/>
      </c>
      <c r="AA2">
        <f>HYPERLINK("https://klasma.github.io/Logging_2481/klagomål/A 30159-2024 FSC-klagomål.docx", "A 30159-2024")</f>
        <v/>
      </c>
      <c r="AB2">
        <f>HYPERLINK("https://klasma.github.io/Logging_2481/klagomålsmail/A 30159-2024 FSC-klagomål mail.docx", "A 30159-2024")</f>
        <v/>
      </c>
      <c r="AC2">
        <f>HYPERLINK("https://klasma.github.io/Logging_2481/tillsyn/A 30159-2024 tillsynsbegäran.docx", "A 30159-2024")</f>
        <v/>
      </c>
      <c r="AD2">
        <f>HYPERLINK("https://klasma.github.io/Logging_2481/tillsynsmail/A 30159-2024 tillsynsbegäran mail.docx", "A 30159-2024")</f>
        <v/>
      </c>
    </row>
    <row r="3" ht="15" customHeight="1">
      <c r="A3" t="inlineStr">
        <is>
          <t>A 41223-2024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45559</v>
      </c>
      <c r="E3" s="1" t="n">
        <v>46227</v>
      </c>
      <c r="F3" t="inlineStr">
        <is>
          <t>VÄSTERBOTTENS LÄN</t>
        </is>
      </c>
      <c r="G3" t="inlineStr">
        <is>
          <t>LYCKSELE</t>
        </is>
      </c>
      <c r="H3" t="inlineStr">
        <is>
          <t>Sveaskog</t>
        </is>
      </c>
      <c r="I3" t="n">
        <v>5.4</v>
      </c>
      <c r="J3" t="n">
        <v>9</v>
      </c>
      <c r="K3" t="n">
        <v>4</v>
      </c>
      <c r="L3" t="n">
        <v>7</v>
      </c>
      <c r="M3" t="n">
        <v>2</v>
      </c>
      <c r="N3" t="n">
        <v>0</v>
      </c>
      <c r="O3" t="n">
        <v>0</v>
      </c>
      <c r="P3" t="n">
        <v>0</v>
      </c>
      <c r="Q3" t="n">
        <v>9</v>
      </c>
      <c r="R3" t="n">
        <v>2</v>
      </c>
      <c r="S3" t="n">
        <v>18</v>
      </c>
      <c r="T3" t="n">
        <v>65</v>
      </c>
      <c r="U3" t="n">
        <v>63</v>
      </c>
      <c r="V3" s="2" t="inlineStr">
        <is>
          <t>Garnlav
Knärot
Harticka
Lavskrika
Talltita
Tretåig hackspett
Vedskivlav
Violettgrå tagellav
Vitgrynig nållav
Gulnål
Norrlandslav
Trådticka
Vedticka
Spillkråka
Tjäder
Kungsfågel
Fläcknycklar
Revlummer</t>
        </is>
      </c>
      <c r="W3">
        <f>HYPERLINK("https://klasma.github.io/Logging_2481/artfynd/A 41223-2024 artfynd.xlsx", "A 41223-2024")</f>
        <v/>
      </c>
      <c r="X3">
        <f>HYPERLINK("https://klasma.github.io/Logging_2481/kartor/A 41223-2024 karta.png", "A 41223-2024")</f>
        <v/>
      </c>
      <c r="Y3">
        <f>HYPERLINK("https://klasma.github.io/Logging_2481/kartor_geotiff/A 41223-2024 georefererad karta.tif", "A 41223-2024")</f>
        <v/>
      </c>
      <c r="Z3">
        <f>HYPERLINK("https://klasma.github.io/Logging_2481/knärot/A 41223-2024 karta knärot.png", "A 41223-2024")</f>
        <v/>
      </c>
      <c r="AA3">
        <f>HYPERLINK("https://klasma.github.io/Logging_2481/klagomål/A 41223-2024 FSC-klagomål.docx", "A 41223-2024")</f>
        <v/>
      </c>
      <c r="AB3">
        <f>HYPERLINK("https://klasma.github.io/Logging_2481/klagomålsmail/A 41223-2024 FSC-klagomål mail.docx", "A 41223-2024")</f>
        <v/>
      </c>
      <c r="AC3">
        <f>HYPERLINK("https://klasma.github.io/Logging_2481/tillsyn/A 41223-2024 tillsynsbegäran.docx", "A 41223-2024")</f>
        <v/>
      </c>
      <c r="AD3">
        <f>HYPERLINK("https://klasma.github.io/Logging_2481/tillsynsmail/A 41223-2024 tillsynsbegäran mail.docx", "A 41223-2024")</f>
        <v/>
      </c>
      <c r="AE3">
        <f>HYPERLINK("https://klasma.github.io/Logging_2481/fåglar/A 41223-2024 prioriterade fågelarter.docx", "A 41223-2024")</f>
        <v/>
      </c>
    </row>
    <row r="4" ht="15" customHeight="1">
      <c r="A4" t="inlineStr">
        <is>
          <t>A 43734-2021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44433</v>
      </c>
      <c r="E4" s="1" t="n">
        <v>46227</v>
      </c>
      <c r="F4" t="inlineStr">
        <is>
          <t>VÄSTERBOTTENS LÄN</t>
        </is>
      </c>
      <c r="G4" t="inlineStr">
        <is>
          <t>LYCKSELE</t>
        </is>
      </c>
      <c r="H4" t="inlineStr">
        <is>
          <t>Sveaskog</t>
        </is>
      </c>
      <c r="I4" t="n">
        <v>5.5</v>
      </c>
      <c r="J4" t="n">
        <v>0</v>
      </c>
      <c r="K4" t="n">
        <v>1</v>
      </c>
      <c r="L4" t="n">
        <v>10</v>
      </c>
      <c r="M4" t="n">
        <v>5</v>
      </c>
      <c r="N4" t="n">
        <v>0</v>
      </c>
      <c r="O4" t="n">
        <v>0</v>
      </c>
      <c r="P4" t="n">
        <v>0</v>
      </c>
      <c r="Q4" t="n">
        <v>15</v>
      </c>
      <c r="R4" t="n">
        <v>5</v>
      </c>
      <c r="S4" t="n">
        <v>16</v>
      </c>
      <c r="T4" t="n">
        <v>95</v>
      </c>
      <c r="U4" t="n">
        <v>95</v>
      </c>
      <c r="V4" s="2" t="inlineStr">
        <is>
          <t>Garnlav
Goliatmusseron
Skrovlig taggsvamp
Smalfotad taggsvamp
Tallgråticka
Blå taggsvamp
Dropptaggsvamp
Dvärgbägarlav
Kolflarnlav
Mörk kolflarnlav
Orange taggsvamp
Skarp dropptaggsvamp
Vaddporing
Vedflamlav
Vedskivlav
Vedticka</t>
        </is>
      </c>
      <c r="W4">
        <f>HYPERLINK("https://klasma.github.io/Logging_2481/artfynd/A 43734-2021 artfynd.xlsx", "A 43734-2021")</f>
        <v/>
      </c>
      <c r="X4">
        <f>HYPERLINK("https://klasma.github.io/Logging_2481/kartor/A 43734-2021 karta.png", "A 43734-2021")</f>
        <v/>
      </c>
      <c r="Y4">
        <f>HYPERLINK("https://klasma.github.io/Logging_2481/kartor_geotiff/A 43734-2021 georefererad karta.tif", "A 43734-2021")</f>
        <v/>
      </c>
      <c r="AA4">
        <f>HYPERLINK("https://klasma.github.io/Logging_2481/klagomål/A 43734-2021 FSC-klagomål.docx", "A 43734-2021")</f>
        <v/>
      </c>
      <c r="AB4">
        <f>HYPERLINK("https://klasma.github.io/Logging_2481/klagomålsmail/A 43734-2021 FSC-klagomål mail.docx", "A 43734-2021")</f>
        <v/>
      </c>
      <c r="AC4">
        <f>HYPERLINK("https://klasma.github.io/Logging_2481/tillsyn/A 43734-2021 tillsynsbegäran.docx", "A 43734-2021")</f>
        <v/>
      </c>
      <c r="AD4">
        <f>HYPERLINK("https://klasma.github.io/Logging_2481/tillsynsmail/A 43734-2021 tillsynsbegäran mail.docx", "A 43734-2021")</f>
        <v/>
      </c>
    </row>
    <row r="5" ht="15" customHeight="1">
      <c r="A5" t="inlineStr">
        <is>
          <t>A 58596-2022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44902</v>
      </c>
      <c r="E5" s="1" t="n">
        <v>46227</v>
      </c>
      <c r="F5" t="inlineStr">
        <is>
          <t>VÄSTERBOTTENS LÄN</t>
        </is>
      </c>
      <c r="G5" t="inlineStr">
        <is>
          <t>LYCKSELE</t>
        </is>
      </c>
      <c r="H5" t="inlineStr">
        <is>
          <t>Sveaskog</t>
        </is>
      </c>
      <c r="I5" t="n">
        <v>2.9</v>
      </c>
      <c r="J5" t="n">
        <v>1</v>
      </c>
      <c r="K5" t="n">
        <v>6</v>
      </c>
      <c r="L5" t="n">
        <v>6</v>
      </c>
      <c r="M5" t="n">
        <v>1</v>
      </c>
      <c r="N5" t="n">
        <v>0</v>
      </c>
      <c r="O5" t="n">
        <v>0</v>
      </c>
      <c r="P5" t="n">
        <v>0</v>
      </c>
      <c r="Q5" t="n">
        <v>7</v>
      </c>
      <c r="R5" t="n">
        <v>1</v>
      </c>
      <c r="S5" t="n">
        <v>14</v>
      </c>
      <c r="T5" t="n">
        <v>25</v>
      </c>
      <c r="U5" t="n">
        <v>0</v>
      </c>
      <c r="V5" s="2" t="inlineStr">
        <is>
          <t>Garnlav
Dropptaggsvamp
Kolflarnlav
Lunglav
Nordtagging
Skrovellav
Vaddporing
Bårdlav
Kornig nållav
Luddlav
Skinnlav
Stuplav
Vedticka
Spillkråka</t>
        </is>
      </c>
      <c r="W5">
        <f>HYPERLINK("https://klasma.github.io/Logging_2481/artfynd/A 58596-2022 artfynd.xlsx", "A 58596-2022")</f>
        <v/>
      </c>
      <c r="X5">
        <f>HYPERLINK("https://klasma.github.io/Logging_2481/kartor/A 58596-2022 karta.png", "A 58596-2022")</f>
        <v/>
      </c>
      <c r="Y5">
        <f>HYPERLINK("https://klasma.github.io/Logging_2481/kartor_geotiff/A 58596-2022 georefererad karta.tif", "A 58596-2022")</f>
        <v/>
      </c>
      <c r="AA5">
        <f>HYPERLINK("https://klasma.github.io/Logging_2481/klagomål/A 58596-2022 FSC-klagomål.docx", "A 58596-2022")</f>
        <v/>
      </c>
      <c r="AB5">
        <f>HYPERLINK("https://klasma.github.io/Logging_2481/klagomålsmail/A 58596-2022 FSC-klagomål mail.docx", "A 58596-2022")</f>
        <v/>
      </c>
      <c r="AC5">
        <f>HYPERLINK("https://klasma.github.io/Logging_2481/tillsyn/A 58596-2022 tillsynsbegäran.docx", "A 58596-2022")</f>
        <v/>
      </c>
      <c r="AD5">
        <f>HYPERLINK("https://klasma.github.io/Logging_2481/tillsynsmail/A 58596-2022 tillsynsbegäran mail.docx", "A 58596-2022")</f>
        <v/>
      </c>
      <c r="AE5">
        <f>HYPERLINK("https://klasma.github.io/Logging_2481/fåglar/A 58596-2022 prioriterade fågelarter.docx", "A 58596-2022")</f>
        <v/>
      </c>
    </row>
    <row r="6" ht="15" customHeight="1">
      <c r="A6" t="inlineStr">
        <is>
          <t>A 50813-2023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45217</v>
      </c>
      <c r="E6" s="1" t="n">
        <v>46227</v>
      </c>
      <c r="F6" t="inlineStr">
        <is>
          <t>VÄSTERBOTTENS LÄN</t>
        </is>
      </c>
      <c r="G6" t="inlineStr">
        <is>
          <t>LYCKSELE</t>
        </is>
      </c>
      <c r="H6" t="inlineStr">
        <is>
          <t>Sveaskog</t>
        </is>
      </c>
      <c r="I6" t="n">
        <v>14.7</v>
      </c>
      <c r="J6" t="n">
        <v>3</v>
      </c>
      <c r="K6" t="n">
        <v>6</v>
      </c>
      <c r="L6" t="n">
        <v>3</v>
      </c>
      <c r="M6" t="n">
        <v>1</v>
      </c>
      <c r="N6" t="n">
        <v>0</v>
      </c>
      <c r="O6" t="n">
        <v>0</v>
      </c>
      <c r="P6" t="n">
        <v>0</v>
      </c>
      <c r="Q6" t="n">
        <v>4</v>
      </c>
      <c r="R6" t="n">
        <v>1</v>
      </c>
      <c r="S6" t="n">
        <v>13</v>
      </c>
      <c r="T6" t="n">
        <v>23</v>
      </c>
      <c r="U6" t="n">
        <v>23</v>
      </c>
      <c r="V6" s="2" t="inlineStr">
        <is>
          <t>Garnlav
Brunpudrad nållav
Lunglav
Skrovellav
Bårdlav
Luddlav
Norrlandslav
Skinnlav
Stuplav
Tibast
Tjäder
Fläcknycklar
Revlummer</t>
        </is>
      </c>
      <c r="W6">
        <f>HYPERLINK("https://klasma.github.io/Logging_2481/artfynd/A 50813-2023 artfynd.xlsx", "A 50813-2023")</f>
        <v/>
      </c>
      <c r="X6">
        <f>HYPERLINK("https://klasma.github.io/Logging_2481/kartor/A 50813-2023 karta.png", "A 50813-2023")</f>
        <v/>
      </c>
      <c r="Y6">
        <f>HYPERLINK("https://klasma.github.io/Logging_2481/kartor_geotiff/A 50813-2023 georefererad karta.tif", "A 50813-2023")</f>
        <v/>
      </c>
      <c r="AA6">
        <f>HYPERLINK("https://klasma.github.io/Logging_2481/klagomål/A 50813-2023 FSC-klagomål.docx", "A 50813-2023")</f>
        <v/>
      </c>
      <c r="AB6">
        <f>HYPERLINK("https://klasma.github.io/Logging_2481/klagomålsmail/A 50813-2023 FSC-klagomål mail.docx", "A 50813-2023")</f>
        <v/>
      </c>
      <c r="AC6">
        <f>HYPERLINK("https://klasma.github.io/Logging_2481/tillsyn/A 50813-2023 tillsynsbegäran.docx", "A 50813-2023")</f>
        <v/>
      </c>
      <c r="AD6">
        <f>HYPERLINK("https://klasma.github.io/Logging_2481/tillsynsmail/A 50813-2023 tillsynsbegäran mail.docx", "A 50813-2023")</f>
        <v/>
      </c>
      <c r="AE6">
        <f>HYPERLINK("https://klasma.github.io/Logging_2481/fåglar/A 50813-2023 prioriterade fågelarter.docx", "A 50813-2023")</f>
        <v/>
      </c>
    </row>
    <row r="7" ht="15" customHeight="1">
      <c r="A7" t="inlineStr">
        <is>
          <t>A 37406-2025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45877</v>
      </c>
      <c r="E7" s="1" t="n">
        <v>46227</v>
      </c>
      <c r="F7" t="inlineStr">
        <is>
          <t>VÄSTERBOTTENS LÄN</t>
        </is>
      </c>
      <c r="G7" t="inlineStr">
        <is>
          <t>LYCKSELE</t>
        </is>
      </c>
      <c r="H7" t="inlineStr">
        <is>
          <t>Holmen skog AB</t>
        </is>
      </c>
      <c r="I7" t="n">
        <v>25.4</v>
      </c>
      <c r="J7" t="n">
        <v>4</v>
      </c>
      <c r="K7" t="n">
        <v>3</v>
      </c>
      <c r="L7" t="n">
        <v>5</v>
      </c>
      <c r="M7" t="n">
        <v>2</v>
      </c>
      <c r="N7" t="n">
        <v>0</v>
      </c>
      <c r="O7" t="n">
        <v>0</v>
      </c>
      <c r="P7" t="n">
        <v>0</v>
      </c>
      <c r="Q7" t="n">
        <v>7</v>
      </c>
      <c r="R7" t="n">
        <v>2</v>
      </c>
      <c r="S7" t="n">
        <v>12</v>
      </c>
      <c r="T7" t="n">
        <v>41</v>
      </c>
      <c r="U7" t="n">
        <v>0</v>
      </c>
      <c r="V7" s="2" t="inlineStr">
        <is>
          <t>Garnlav
Knärot
Harticka
Lunglav
Skrovellav
Talltita
Violmussling
Bårdlav
Luddlav
Stuplav
Fläcknycklar
Revlummer</t>
        </is>
      </c>
      <c r="W7">
        <f>HYPERLINK("https://klasma.github.io/Logging_2481/artfynd/A 37406-2025 artfynd.xlsx", "A 37406-2025")</f>
        <v/>
      </c>
      <c r="X7">
        <f>HYPERLINK("https://klasma.github.io/Logging_2481/kartor/A 37406-2025 karta.png", "A 37406-2025")</f>
        <v/>
      </c>
      <c r="Y7">
        <f>HYPERLINK("https://klasma.github.io/Logging_2481/kartor_geotiff/A 37406-2025 georefererad karta.tif", "A 37406-2025")</f>
        <v/>
      </c>
      <c r="Z7">
        <f>HYPERLINK("https://klasma.github.io/Logging_2481/knärot/A 37406-2025 karta knärot.png", "A 37406-2025")</f>
        <v/>
      </c>
      <c r="AA7">
        <f>HYPERLINK("https://klasma.github.io/Logging_2481/klagomål/A 37406-2025 FSC-klagomål.docx", "A 37406-2025")</f>
        <v/>
      </c>
      <c r="AB7">
        <f>HYPERLINK("https://klasma.github.io/Logging_2481/klagomålsmail/A 37406-2025 FSC-klagomål mail.docx", "A 37406-2025")</f>
        <v/>
      </c>
      <c r="AC7">
        <f>HYPERLINK("https://klasma.github.io/Logging_2481/tillsyn/A 37406-2025 tillsynsbegäran.docx", "A 37406-2025")</f>
        <v/>
      </c>
      <c r="AD7">
        <f>HYPERLINK("https://klasma.github.io/Logging_2481/tillsynsmail/A 37406-2025 tillsynsbegäran mail.docx", "A 37406-2025")</f>
        <v/>
      </c>
      <c r="AE7">
        <f>HYPERLINK("https://klasma.github.io/Logging_2481/fåglar/A 37406-2025 prioriterade fågelarter.docx", "A 37406-2025")</f>
        <v/>
      </c>
    </row>
    <row r="8" ht="15" customHeight="1">
      <c r="A8" t="inlineStr">
        <is>
          <t>A 53141-2024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45611</v>
      </c>
      <c r="E8" s="1" t="n">
        <v>46227</v>
      </c>
      <c r="F8" t="inlineStr">
        <is>
          <t>VÄSTERBOTTENS LÄN</t>
        </is>
      </c>
      <c r="G8" t="inlineStr">
        <is>
          <t>LYCKSELE</t>
        </is>
      </c>
      <c r="H8" t="inlineStr">
        <is>
          <t>Holmen skog AB</t>
        </is>
      </c>
      <c r="I8" t="n">
        <v>25.4</v>
      </c>
      <c r="J8" t="n">
        <v>4</v>
      </c>
      <c r="K8" t="n">
        <v>3</v>
      </c>
      <c r="L8" t="n">
        <v>5</v>
      </c>
      <c r="M8" t="n">
        <v>2</v>
      </c>
      <c r="N8" t="n">
        <v>0</v>
      </c>
      <c r="O8" t="n">
        <v>0</v>
      </c>
      <c r="P8" t="n">
        <v>0</v>
      </c>
      <c r="Q8" t="n">
        <v>7</v>
      </c>
      <c r="R8" t="n">
        <v>2</v>
      </c>
      <c r="S8" t="n">
        <v>12</v>
      </c>
      <c r="T8" t="n">
        <v>41</v>
      </c>
      <c r="U8" t="n">
        <v>41</v>
      </c>
      <c r="V8" s="2" t="inlineStr">
        <is>
          <t>Garnlav
Knärot
Harticka
Lunglav
Skrovellav
Talltita
Violmussling
Bårdlav
Luddlav
Stuplav
Fläcknycklar
Revlummer</t>
        </is>
      </c>
      <c r="W8">
        <f>HYPERLINK("https://klasma.github.io/Logging_2481/artfynd/A 53141-2024 artfynd.xlsx", "A 53141-2024")</f>
        <v/>
      </c>
      <c r="X8">
        <f>HYPERLINK("https://klasma.github.io/Logging_2481/kartor/A 53141-2024 karta.png", "A 53141-2024")</f>
        <v/>
      </c>
      <c r="Y8">
        <f>HYPERLINK("https://klasma.github.io/Logging_2481/kartor_geotiff/A 53141-2024 georefererad karta.tif", "A 53141-2024")</f>
        <v/>
      </c>
      <c r="Z8">
        <f>HYPERLINK("https://klasma.github.io/Logging_2481/knärot/A 53141-2024 karta knärot.png", "A 53141-2024")</f>
        <v/>
      </c>
      <c r="AA8">
        <f>HYPERLINK("https://klasma.github.io/Logging_2481/klagomål/A 53141-2024 FSC-klagomål.docx", "A 53141-2024")</f>
        <v/>
      </c>
      <c r="AB8">
        <f>HYPERLINK("https://klasma.github.io/Logging_2481/klagomålsmail/A 53141-2024 FSC-klagomål mail.docx", "A 53141-2024")</f>
        <v/>
      </c>
      <c r="AC8">
        <f>HYPERLINK("https://klasma.github.io/Logging_2481/tillsyn/A 53141-2024 tillsynsbegäran.docx", "A 53141-2024")</f>
        <v/>
      </c>
      <c r="AD8">
        <f>HYPERLINK("https://klasma.github.io/Logging_2481/tillsynsmail/A 53141-2024 tillsynsbegäran mail.docx", "A 53141-2024")</f>
        <v/>
      </c>
      <c r="AE8">
        <f>HYPERLINK("https://klasma.github.io/Logging_2481/fåglar/A 53141-2024 prioriterade fågelarter.docx", "A 53141-2024")</f>
        <v/>
      </c>
    </row>
    <row r="9" ht="15" customHeight="1">
      <c r="A9" t="inlineStr">
        <is>
          <t>A 24811-2024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45460</v>
      </c>
      <c r="E9" s="1" t="n">
        <v>46227</v>
      </c>
      <c r="F9" t="inlineStr">
        <is>
          <t>VÄSTERBOTTENS LÄN</t>
        </is>
      </c>
      <c r="G9" t="inlineStr">
        <is>
          <t>LYCKSELE</t>
        </is>
      </c>
      <c r="H9" t="inlineStr">
        <is>
          <t>SCA</t>
        </is>
      </c>
      <c r="I9" t="n">
        <v>3.8</v>
      </c>
      <c r="J9" t="n">
        <v>0</v>
      </c>
      <c r="K9" t="n">
        <v>1</v>
      </c>
      <c r="L9" t="n">
        <v>6</v>
      </c>
      <c r="M9" t="n">
        <v>5</v>
      </c>
      <c r="N9" t="n">
        <v>0</v>
      </c>
      <c r="O9" t="n">
        <v>0</v>
      </c>
      <c r="P9" t="n">
        <v>0</v>
      </c>
      <c r="Q9" t="n">
        <v>11</v>
      </c>
      <c r="R9" t="n">
        <v>5</v>
      </c>
      <c r="S9" t="n">
        <v>12</v>
      </c>
      <c r="T9" t="n">
        <v>16</v>
      </c>
      <c r="U9" t="n">
        <v>0</v>
      </c>
      <c r="V9" s="2" t="inlineStr">
        <is>
          <t>Fläckporing
Skrovlig taggsvamp
Smalfotad taggsvamp
Tajgataggsvamp
Torrmusseron
Blanksvart spiklav
Blå taggsvamp
Dropptaggsvamp
Nordlig nållav
Orange taggsvamp
Svartvit taggsvamp
Mörkhövdad spiklav</t>
        </is>
      </c>
      <c r="W9">
        <f>HYPERLINK("https://klasma.github.io/Logging_2481/artfynd/A 24811-2024 artfynd.xlsx", "A 24811-2024")</f>
        <v/>
      </c>
      <c r="X9">
        <f>HYPERLINK("https://klasma.github.io/Logging_2481/kartor/A 24811-2024 karta.png", "A 24811-2024")</f>
        <v/>
      </c>
      <c r="Y9">
        <f>HYPERLINK("https://klasma.github.io/Logging_2481/kartor_geotiff/A 24811-2024 georefererad karta.tif", "A 24811-2024")</f>
        <v/>
      </c>
      <c r="AA9">
        <f>HYPERLINK("https://klasma.github.io/Logging_2481/klagomål/A 24811-2024 FSC-klagomål.docx", "A 24811-2024")</f>
        <v/>
      </c>
      <c r="AB9">
        <f>HYPERLINK("https://klasma.github.io/Logging_2481/klagomålsmail/A 24811-2024 FSC-klagomål mail.docx", "A 24811-2024")</f>
        <v/>
      </c>
      <c r="AC9">
        <f>HYPERLINK("https://klasma.github.io/Logging_2481/tillsyn/A 24811-2024 tillsynsbegäran.docx", "A 24811-2024")</f>
        <v/>
      </c>
      <c r="AD9">
        <f>HYPERLINK("https://klasma.github.io/Logging_2481/tillsynsmail/A 24811-2024 tillsynsbegäran mail.docx", "A 24811-2024")</f>
        <v/>
      </c>
    </row>
    <row r="10" ht="15" customHeight="1">
      <c r="A10" t="inlineStr">
        <is>
          <t>S 18-2022</t>
        </is>
      </c>
      <c r="B10" t="inlineStr">
        <is>
          <t>samrådsanmälan</t>
        </is>
      </c>
      <c r="C10" t="inlineStr">
        <is>
          <t>Skogsgödsling</t>
        </is>
      </c>
      <c r="D10" s="1" t="n">
        <v>44559</v>
      </c>
      <c r="E10" s="1" t="n">
        <v>46227</v>
      </c>
      <c r="F10" t="inlineStr">
        <is>
          <t>VÄSTERBOTTENS LÄN</t>
        </is>
      </c>
      <c r="G10" t="inlineStr">
        <is>
          <t>LYCKSELE</t>
        </is>
      </c>
      <c r="H10" t="inlineStr">
        <is>
          <t>Holmen skog AB</t>
        </is>
      </c>
      <c r="I10" t="n">
        <v>221.6</v>
      </c>
      <c r="J10" t="n">
        <v>6</v>
      </c>
      <c r="K10" t="n">
        <v>4</v>
      </c>
      <c r="L10" t="n">
        <v>2</v>
      </c>
      <c r="M10" t="n">
        <v>1</v>
      </c>
      <c r="N10" t="n">
        <v>0</v>
      </c>
      <c r="O10" t="n">
        <v>0</v>
      </c>
      <c r="P10" t="n">
        <v>0</v>
      </c>
      <c r="Q10" t="n">
        <v>3</v>
      </c>
      <c r="R10" t="n">
        <v>1</v>
      </c>
      <c r="S10" t="n">
        <v>10</v>
      </c>
      <c r="T10" t="n">
        <v>29</v>
      </c>
      <c r="U10" t="n">
        <v>29</v>
      </c>
      <c r="V10" s="2" t="inlineStr">
        <is>
          <t>Garnlav
Gammelgransskål
Tretåig hackspett
Korallrot
Skinnlav
Spindelblomster
Vedticka
Järpe
Spillkråka
Fläcknycklar</t>
        </is>
      </c>
      <c r="W10">
        <f>HYPERLINK("https://klasma.github.io/Logging_2481/artfynd/S 18-2022 artfynd.xlsx", "S 18-2022")</f>
        <v/>
      </c>
      <c r="X10">
        <f>HYPERLINK("https://klasma.github.io/Logging_2481/kartor/S 18-2022 karta.png", "S 18-2022")</f>
        <v/>
      </c>
      <c r="Y10">
        <f>HYPERLINK("https://klasma.github.io/Logging_2481/kartor_geotiff/S 18-2022 georefererad karta.tif", "S 18-2022")</f>
        <v/>
      </c>
      <c r="AA10">
        <f>HYPERLINK("https://klasma.github.io/Logging_2481/klagomål/S 18-2022 FSC-klagomål.docx", "S 18-2022")</f>
        <v/>
      </c>
      <c r="AB10">
        <f>HYPERLINK("https://klasma.github.io/Logging_2481/klagomålsmail/S 18-2022 FSC-klagomål mail.docx", "S 18-2022")</f>
        <v/>
      </c>
      <c r="AC10">
        <f>HYPERLINK("https://klasma.github.io/Logging_2481/tillsyn/S 18-2022 tillsynsbegäran.docx", "S 18-2022")</f>
        <v/>
      </c>
      <c r="AD10">
        <f>HYPERLINK("https://klasma.github.io/Logging_2481/tillsynsmail/S 18-2022 tillsynsbegäran mail.docx", "S 18-2022")</f>
        <v/>
      </c>
      <c r="AE10">
        <f>HYPERLINK("https://klasma.github.io/Logging_2481/fåglar/S 18-2022 prioriterade fågelarter.docx", "S 18-2022")</f>
        <v/>
      </c>
    </row>
    <row r="11" ht="15" customHeight="1">
      <c r="A11" t="inlineStr">
        <is>
          <t>A 34015-2025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45845</v>
      </c>
      <c r="E11" s="1" t="n">
        <v>46227</v>
      </c>
      <c r="F11" t="inlineStr">
        <is>
          <t>VÄSTERBOTTENS LÄN</t>
        </is>
      </c>
      <c r="G11" t="inlineStr">
        <is>
          <t>LYCKSELE</t>
        </is>
      </c>
      <c r="H11" t="inlineStr">
        <is>
          <t>Sveaskog</t>
        </is>
      </c>
      <c r="I11" t="n">
        <v>10.4</v>
      </c>
      <c r="J11" t="n">
        <v>3</v>
      </c>
      <c r="K11" t="n">
        <v>0</v>
      </c>
      <c r="L11" t="n">
        <v>6</v>
      </c>
      <c r="M11" t="n">
        <v>1</v>
      </c>
      <c r="N11" t="n">
        <v>0</v>
      </c>
      <c r="O11" t="n">
        <v>0</v>
      </c>
      <c r="P11" t="n">
        <v>0</v>
      </c>
      <c r="Q11" t="n">
        <v>7</v>
      </c>
      <c r="R11" t="n">
        <v>1</v>
      </c>
      <c r="S11" t="n">
        <v>9</v>
      </c>
      <c r="T11" t="n">
        <v>11</v>
      </c>
      <c r="U11" t="n">
        <v>2</v>
      </c>
      <c r="V11" s="2" t="inlineStr">
        <is>
          <t>Garnlav
Gammelgransskål
Kolflarnlav
Motaggsvamp
Tallriska
Tretåig hackspett
Vitgrynig nållav
Huggorm
Revlummer</t>
        </is>
      </c>
      <c r="W11">
        <f>HYPERLINK("https://klasma.github.io/Logging_2481/artfynd/A 34015-2025 artfynd.xlsx", "A 34015-2025")</f>
        <v/>
      </c>
      <c r="X11">
        <f>HYPERLINK("https://klasma.github.io/Logging_2481/kartor/A 34015-2025 karta.png", "A 34015-2025")</f>
        <v/>
      </c>
      <c r="Y11">
        <f>HYPERLINK("https://klasma.github.io/Logging_2481/kartor_geotiff/A 34015-2025 georefererad karta.tif", "A 34015-2025")</f>
        <v/>
      </c>
      <c r="AA11">
        <f>HYPERLINK("https://klasma.github.io/Logging_2481/klagomål/A 34015-2025 FSC-klagomål.docx", "A 34015-2025")</f>
        <v/>
      </c>
      <c r="AB11">
        <f>HYPERLINK("https://klasma.github.io/Logging_2481/klagomålsmail/A 34015-2025 FSC-klagomål mail.docx", "A 34015-2025")</f>
        <v/>
      </c>
      <c r="AC11">
        <f>HYPERLINK("https://klasma.github.io/Logging_2481/tillsyn/A 34015-2025 tillsynsbegäran.docx", "A 34015-2025")</f>
        <v/>
      </c>
      <c r="AD11">
        <f>HYPERLINK("https://klasma.github.io/Logging_2481/tillsynsmail/A 34015-2025 tillsynsbegäran mail.docx", "A 34015-2025")</f>
        <v/>
      </c>
      <c r="AE11">
        <f>HYPERLINK("https://klasma.github.io/Logging_2481/fåglar/A 34015-2025 prioriterade fågelarter.docx", "A 34015-2025")</f>
        <v/>
      </c>
    </row>
    <row r="12" ht="15" customHeight="1">
      <c r="A12" t="inlineStr">
        <is>
          <t>A 38157-2023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45161</v>
      </c>
      <c r="E12" s="1" t="n">
        <v>46227</v>
      </c>
      <c r="F12" t="inlineStr">
        <is>
          <t>VÄSTERBOTTENS LÄN</t>
        </is>
      </c>
      <c r="G12" t="inlineStr">
        <is>
          <t>LYCKSELE</t>
        </is>
      </c>
      <c r="I12" t="n">
        <v>6.4</v>
      </c>
      <c r="J12" t="n">
        <v>4</v>
      </c>
      <c r="K12" t="n">
        <v>1</v>
      </c>
      <c r="L12" t="n">
        <v>4</v>
      </c>
      <c r="M12" t="n">
        <v>2</v>
      </c>
      <c r="N12" t="n">
        <v>0</v>
      </c>
      <c r="O12" t="n">
        <v>0</v>
      </c>
      <c r="P12" t="n">
        <v>0</v>
      </c>
      <c r="Q12" t="n">
        <v>6</v>
      </c>
      <c r="R12" t="n">
        <v>2</v>
      </c>
      <c r="S12" t="n">
        <v>9</v>
      </c>
      <c r="T12" t="n">
        <v>15</v>
      </c>
      <c r="U12" t="n">
        <v>15</v>
      </c>
      <c r="V12" s="2" t="inlineStr">
        <is>
          <t>Garnlav
Laxporing
Nordtagging
Talltita
Tretåig hackspett
Ullticka
Vedticka
Spillkråka
Videsparv</t>
        </is>
      </c>
      <c r="W12">
        <f>HYPERLINK("https://klasma.github.io/Logging_2481/artfynd/A 38157-2023 artfynd.xlsx", "A 38157-2023")</f>
        <v/>
      </c>
      <c r="X12">
        <f>HYPERLINK("https://klasma.github.io/Logging_2481/kartor/A 38157-2023 karta.png", "A 38157-2023")</f>
        <v/>
      </c>
      <c r="Y12">
        <f>HYPERLINK("https://klasma.github.io/Logging_2481/kartor_geotiff/A 38157-2023 georefererad karta.tif", "A 38157-2023")</f>
        <v/>
      </c>
      <c r="AA12">
        <f>HYPERLINK("https://klasma.github.io/Logging_2481/klagomål/A 38157-2023 FSC-klagomål.docx", "A 38157-2023")</f>
        <v/>
      </c>
      <c r="AB12">
        <f>HYPERLINK("https://klasma.github.io/Logging_2481/klagomålsmail/A 38157-2023 FSC-klagomål mail.docx", "A 38157-2023")</f>
        <v/>
      </c>
      <c r="AC12">
        <f>HYPERLINK("https://klasma.github.io/Logging_2481/tillsyn/A 38157-2023 tillsynsbegäran.docx", "A 38157-2023")</f>
        <v/>
      </c>
      <c r="AD12">
        <f>HYPERLINK("https://klasma.github.io/Logging_2481/tillsynsmail/A 38157-2023 tillsynsbegäran mail.docx", "A 38157-2023")</f>
        <v/>
      </c>
      <c r="AE12">
        <f>HYPERLINK("https://klasma.github.io/Logging_2481/fåglar/A 38157-2023 prioriterade fågelarter.docx", "A 38157-2023")</f>
        <v/>
      </c>
    </row>
    <row r="13" ht="15" customHeight="1">
      <c r="A13" t="inlineStr">
        <is>
          <t>A 36650-2023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45152</v>
      </c>
      <c r="E13" s="1" t="n">
        <v>46227</v>
      </c>
      <c r="F13" t="inlineStr">
        <is>
          <t>VÄSTERBOTTENS LÄN</t>
        </is>
      </c>
      <c r="G13" t="inlineStr">
        <is>
          <t>LYCKSELE</t>
        </is>
      </c>
      <c r="I13" t="n">
        <v>6.8</v>
      </c>
      <c r="J13" t="n">
        <v>3</v>
      </c>
      <c r="K13" t="n">
        <v>2</v>
      </c>
      <c r="L13" t="n">
        <v>4</v>
      </c>
      <c r="M13" t="n">
        <v>1</v>
      </c>
      <c r="N13" t="n">
        <v>0</v>
      </c>
      <c r="O13" t="n">
        <v>0</v>
      </c>
      <c r="P13" t="n">
        <v>0</v>
      </c>
      <c r="Q13" t="n">
        <v>5</v>
      </c>
      <c r="R13" t="n">
        <v>1</v>
      </c>
      <c r="S13" t="n">
        <v>9</v>
      </c>
      <c r="T13" t="n">
        <v>14</v>
      </c>
      <c r="U13" t="n">
        <v>14</v>
      </c>
      <c r="V13" s="2" t="inlineStr">
        <is>
          <t>Garnlav
Doftskinn
Gammelgransskål
Lunglav
Tretåig hackspett
Norrlandslav
Skinnlav
Tjäder
Revlummer</t>
        </is>
      </c>
      <c r="W13">
        <f>HYPERLINK("https://klasma.github.io/Logging_2481/artfynd/A 36650-2023 artfynd.xlsx", "A 36650-2023")</f>
        <v/>
      </c>
      <c r="X13">
        <f>HYPERLINK("https://klasma.github.io/Logging_2481/kartor/A 36650-2023 karta.png", "A 36650-2023")</f>
        <v/>
      </c>
      <c r="Y13">
        <f>HYPERLINK("https://klasma.github.io/Logging_2481/kartor_geotiff/A 36650-2023 georefererad karta.tif", "A 36650-2023")</f>
        <v/>
      </c>
      <c r="AA13">
        <f>HYPERLINK("https://klasma.github.io/Logging_2481/klagomål/A 36650-2023 FSC-klagomål.docx", "A 36650-2023")</f>
        <v/>
      </c>
      <c r="AB13">
        <f>HYPERLINK("https://klasma.github.io/Logging_2481/klagomålsmail/A 36650-2023 FSC-klagomål mail.docx", "A 36650-2023")</f>
        <v/>
      </c>
      <c r="AC13">
        <f>HYPERLINK("https://klasma.github.io/Logging_2481/tillsyn/A 36650-2023 tillsynsbegäran.docx", "A 36650-2023")</f>
        <v/>
      </c>
      <c r="AD13">
        <f>HYPERLINK("https://klasma.github.io/Logging_2481/tillsynsmail/A 36650-2023 tillsynsbegäran mail.docx", "A 36650-2023")</f>
        <v/>
      </c>
      <c r="AE13">
        <f>HYPERLINK("https://klasma.github.io/Logging_2481/fåglar/A 36650-2023 prioriterade fågelarter.docx", "A 36650-2023")</f>
        <v/>
      </c>
    </row>
    <row r="14" ht="15" customHeight="1">
      <c r="A14" t="inlineStr">
        <is>
          <t>A 23232-2026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46162</v>
      </c>
      <c r="E14" s="1" t="n">
        <v>46227</v>
      </c>
      <c r="F14" t="inlineStr">
        <is>
          <t>VÄSTERBOTTENS LÄN</t>
        </is>
      </c>
      <c r="G14" t="inlineStr">
        <is>
          <t>LYCKSELE</t>
        </is>
      </c>
      <c r="I14" t="n">
        <v>4.9</v>
      </c>
      <c r="J14" t="n">
        <v>0</v>
      </c>
      <c r="K14" t="n">
        <v>1</v>
      </c>
      <c r="L14" t="n">
        <v>5</v>
      </c>
      <c r="M14" t="n">
        <v>3</v>
      </c>
      <c r="N14" t="n">
        <v>0</v>
      </c>
      <c r="O14" t="n">
        <v>0</v>
      </c>
      <c r="P14" t="n">
        <v>0</v>
      </c>
      <c r="Q14" t="n">
        <v>8</v>
      </c>
      <c r="R14" t="n">
        <v>3</v>
      </c>
      <c r="S14" t="n">
        <v>9</v>
      </c>
      <c r="T14" t="n">
        <v>16</v>
      </c>
      <c r="U14" t="n">
        <v>0</v>
      </c>
      <c r="V14" s="2" t="inlineStr">
        <is>
          <t>Garnlav
Skeletocutis delicata
Ulltickeporing
Harticka
Lunglav
Oljetagging
Rosenticka
Ullticka
Stuplav</t>
        </is>
      </c>
      <c r="W14">
        <f>HYPERLINK("https://klasma.github.io/Logging_2481/artfynd/A 23232-2026 artfynd.xlsx", "A 23232-2026")</f>
        <v/>
      </c>
      <c r="X14">
        <f>HYPERLINK("https://klasma.github.io/Logging_2481/kartor/A 23232-2026 karta.png", "A 23232-2026")</f>
        <v/>
      </c>
      <c r="Y14">
        <f>HYPERLINK("https://klasma.github.io/Logging_2481/kartor_geotiff/A 23232-2026 georefererad karta.tif", "A 23232-2026")</f>
        <v/>
      </c>
      <c r="AA14">
        <f>HYPERLINK("https://klasma.github.io/Logging_2481/klagomål/A 23232-2026 FSC-klagomål.docx", "A 23232-2026")</f>
        <v/>
      </c>
      <c r="AB14">
        <f>HYPERLINK("https://klasma.github.io/Logging_2481/klagomålsmail/A 23232-2026 FSC-klagomål mail.docx", "A 23232-2026")</f>
        <v/>
      </c>
      <c r="AC14">
        <f>HYPERLINK("https://klasma.github.io/Logging_2481/tillsyn/A 23232-2026 tillsynsbegäran.docx", "A 23232-2026")</f>
        <v/>
      </c>
      <c r="AD14">
        <f>HYPERLINK("https://klasma.github.io/Logging_2481/tillsynsmail/A 23232-2026 tillsynsbegäran mail.docx", "A 23232-2026")</f>
        <v/>
      </c>
    </row>
    <row r="15" ht="15" customHeight="1">
      <c r="A15" t="inlineStr">
        <is>
          <t>A 63588-2021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44508</v>
      </c>
      <c r="E15" s="1" t="n">
        <v>46227</v>
      </c>
      <c r="F15" t="inlineStr">
        <is>
          <t>VÄSTERBOTTENS LÄN</t>
        </is>
      </c>
      <c r="G15" t="inlineStr">
        <is>
          <t>LYCKSELE</t>
        </is>
      </c>
      <c r="I15" t="n">
        <v>5.8</v>
      </c>
      <c r="J15" t="n">
        <v>0</v>
      </c>
      <c r="K15" t="n">
        <v>0</v>
      </c>
      <c r="L15" t="n">
        <v>7</v>
      </c>
      <c r="M15" t="n">
        <v>1</v>
      </c>
      <c r="N15" t="n">
        <v>0</v>
      </c>
      <c r="O15" t="n">
        <v>0</v>
      </c>
      <c r="P15" t="n">
        <v>0</v>
      </c>
      <c r="Q15" t="n">
        <v>8</v>
      </c>
      <c r="R15" t="n">
        <v>1</v>
      </c>
      <c r="S15" t="n">
        <v>8</v>
      </c>
      <c r="T15" t="n">
        <v>14</v>
      </c>
      <c r="U15" t="n">
        <v>14</v>
      </c>
      <c r="V15" s="2" t="inlineStr">
        <is>
          <t>Garnlav
Blå taggsvamp
Dropptaggsvamp
Kötticka
Orange taggsvamp
Rosenticka
Ullticka
Vitgrynig nållav</t>
        </is>
      </c>
      <c r="W15">
        <f>HYPERLINK("https://klasma.github.io/Logging_2481/artfynd/A 63588-2021 artfynd.xlsx", "A 63588-2021")</f>
        <v/>
      </c>
      <c r="X15">
        <f>HYPERLINK("https://klasma.github.io/Logging_2481/kartor/A 63588-2021 karta.png", "A 63588-2021")</f>
        <v/>
      </c>
      <c r="Y15">
        <f>HYPERLINK("https://klasma.github.io/Logging_2481/kartor_geotiff/A 63588-2021 georefererad karta.tif", "A 63588-2021")</f>
        <v/>
      </c>
      <c r="AA15">
        <f>HYPERLINK("https://klasma.github.io/Logging_2481/klagomål/A 63588-2021 FSC-klagomål.docx", "A 63588-2021")</f>
        <v/>
      </c>
      <c r="AB15">
        <f>HYPERLINK("https://klasma.github.io/Logging_2481/klagomålsmail/A 63588-2021 FSC-klagomål mail.docx", "A 63588-2021")</f>
        <v/>
      </c>
      <c r="AC15">
        <f>HYPERLINK("https://klasma.github.io/Logging_2481/tillsyn/A 63588-2021 tillsynsbegäran.docx", "A 63588-2021")</f>
        <v/>
      </c>
      <c r="AD15">
        <f>HYPERLINK("https://klasma.github.io/Logging_2481/tillsynsmail/A 63588-2021 tillsynsbegäran mail.docx", "A 63588-2021")</f>
        <v/>
      </c>
    </row>
    <row r="16" ht="15" customHeight="1">
      <c r="A16" t="inlineStr">
        <is>
          <t>A 47977-2024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45589</v>
      </c>
      <c r="E16" s="1" t="n">
        <v>46227</v>
      </c>
      <c r="F16" t="inlineStr">
        <is>
          <t>VÄSTERBOTTENS LÄN</t>
        </is>
      </c>
      <c r="G16" t="inlineStr">
        <is>
          <t>LYCKSELE</t>
        </is>
      </c>
      <c r="H16" t="inlineStr">
        <is>
          <t>Sveaskog</t>
        </is>
      </c>
      <c r="I16" t="n">
        <v>3</v>
      </c>
      <c r="J16" t="n">
        <v>0</v>
      </c>
      <c r="K16" t="n">
        <v>0</v>
      </c>
      <c r="L16" t="n">
        <v>7</v>
      </c>
      <c r="M16" t="n">
        <v>1</v>
      </c>
      <c r="N16" t="n">
        <v>0</v>
      </c>
      <c r="O16" t="n">
        <v>0</v>
      </c>
      <c r="P16" t="n">
        <v>0</v>
      </c>
      <c r="Q16" t="n">
        <v>8</v>
      </c>
      <c r="R16" t="n">
        <v>1</v>
      </c>
      <c r="S16" t="n">
        <v>8</v>
      </c>
      <c r="T16" t="n">
        <v>20</v>
      </c>
      <c r="U16" t="n">
        <v>0</v>
      </c>
      <c r="V16" s="2" t="inlineStr">
        <is>
          <t>Skrovlig taggsvamp
Blå taggsvamp
Dropptaggsvamp
Kolflarnlav
Mörk kolflarnlav
Orange taggsvamp
Vaddporing
Vedflamlav</t>
        </is>
      </c>
      <c r="W16">
        <f>HYPERLINK("https://klasma.github.io/Logging_2481/artfynd/A 47977-2024 artfynd.xlsx", "A 47977-2024")</f>
        <v/>
      </c>
      <c r="X16">
        <f>HYPERLINK("https://klasma.github.io/Logging_2481/kartor/A 47977-2024 karta.png", "A 47977-2024")</f>
        <v/>
      </c>
      <c r="Y16">
        <f>HYPERLINK("https://klasma.github.io/Logging_2481/kartor_geotiff/A 47977-2024 georefererad karta.tif", "A 47977-2024")</f>
        <v/>
      </c>
      <c r="AA16">
        <f>HYPERLINK("https://klasma.github.io/Logging_2481/klagomål/A 47977-2024 FSC-klagomål.docx", "A 47977-2024")</f>
        <v/>
      </c>
      <c r="AB16">
        <f>HYPERLINK("https://klasma.github.io/Logging_2481/klagomålsmail/A 47977-2024 FSC-klagomål mail.docx", "A 47977-2024")</f>
        <v/>
      </c>
      <c r="AC16">
        <f>HYPERLINK("https://klasma.github.io/Logging_2481/tillsyn/A 47977-2024 tillsynsbegäran.docx", "A 47977-2024")</f>
        <v/>
      </c>
      <c r="AD16">
        <f>HYPERLINK("https://klasma.github.io/Logging_2481/tillsynsmail/A 47977-2024 tillsynsbegäran mail.docx", "A 47977-2024")</f>
        <v/>
      </c>
    </row>
    <row r="17" ht="15" customHeight="1">
      <c r="A17" t="inlineStr">
        <is>
          <t>A 28531-2026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46197</v>
      </c>
      <c r="E17" s="1" t="n">
        <v>46227</v>
      </c>
      <c r="F17" t="inlineStr">
        <is>
          <t>VÄSTERBOTTENS LÄN</t>
        </is>
      </c>
      <c r="G17" t="inlineStr">
        <is>
          <t>LYCKSELE</t>
        </is>
      </c>
      <c r="H17" t="inlineStr">
        <is>
          <t>Sveaskog</t>
        </is>
      </c>
      <c r="I17" t="n">
        <v>25.2</v>
      </c>
      <c r="J17" t="n">
        <v>5</v>
      </c>
      <c r="K17" t="n">
        <v>3</v>
      </c>
      <c r="L17" t="n">
        <v>2</v>
      </c>
      <c r="M17" t="n">
        <v>1</v>
      </c>
      <c r="N17" t="n">
        <v>0</v>
      </c>
      <c r="O17" t="n">
        <v>0</v>
      </c>
      <c r="P17" t="n">
        <v>0</v>
      </c>
      <c r="Q17" t="n">
        <v>3</v>
      </c>
      <c r="R17" t="n">
        <v>1</v>
      </c>
      <c r="S17" t="n">
        <v>8</v>
      </c>
      <c r="T17" t="n">
        <v>8</v>
      </c>
      <c r="U17" t="n">
        <v>0</v>
      </c>
      <c r="V17" s="2" t="inlineStr">
        <is>
          <t>Garnlav
Nordfladdermus
Violettgrå tagellav
Korallrot
Spindelblomster
Ögonpyrola
Utter
Vattenfladdermus</t>
        </is>
      </c>
      <c r="W17">
        <f>HYPERLINK("https://klasma.github.io/Logging_2481/artfynd/A 28531-2026 artfynd.xlsx", "A 28531-2026")</f>
        <v/>
      </c>
      <c r="X17">
        <f>HYPERLINK("https://klasma.github.io/Logging_2481/kartor/A 28531-2026 karta.png", "A 28531-2026")</f>
        <v/>
      </c>
      <c r="Y17">
        <f>HYPERLINK("https://klasma.github.io/Logging_2481/kartor_geotiff/A 28531-2026 georefererad karta.tif", "A 28531-2026")</f>
        <v/>
      </c>
      <c r="AA17">
        <f>HYPERLINK("https://klasma.github.io/Logging_2481/klagomål/A 28531-2026 FSC-klagomål.docx", "A 28531-2026")</f>
        <v/>
      </c>
      <c r="AB17">
        <f>HYPERLINK("https://klasma.github.io/Logging_2481/klagomålsmail/A 28531-2026 FSC-klagomål mail.docx", "A 28531-2026")</f>
        <v/>
      </c>
      <c r="AC17">
        <f>HYPERLINK("https://klasma.github.io/Logging_2481/tillsyn/A 28531-2026 tillsynsbegäran.docx", "A 28531-2026")</f>
        <v/>
      </c>
      <c r="AD17">
        <f>HYPERLINK("https://klasma.github.io/Logging_2481/tillsynsmail/A 28531-2026 tillsynsbegäran mail.docx", "A 28531-2026")</f>
        <v/>
      </c>
    </row>
    <row r="18" ht="15" customHeight="1">
      <c r="A18" t="inlineStr">
        <is>
          <t>A 23221-2026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46162</v>
      </c>
      <c r="E18" s="1" t="n">
        <v>46227</v>
      </c>
      <c r="F18" t="inlineStr">
        <is>
          <t>VÄSTERBOTTENS LÄN</t>
        </is>
      </c>
      <c r="G18" t="inlineStr">
        <is>
          <t>LYCKSELE</t>
        </is>
      </c>
      <c r="I18" t="n">
        <v>7</v>
      </c>
      <c r="J18" t="n">
        <v>0</v>
      </c>
      <c r="K18" t="n">
        <v>1</v>
      </c>
      <c r="L18" t="n">
        <v>6</v>
      </c>
      <c r="M18" t="n">
        <v>1</v>
      </c>
      <c r="N18" t="n">
        <v>0</v>
      </c>
      <c r="O18" t="n">
        <v>0</v>
      </c>
      <c r="P18" t="n">
        <v>0</v>
      </c>
      <c r="Q18" t="n">
        <v>7</v>
      </c>
      <c r="R18" t="n">
        <v>1</v>
      </c>
      <c r="S18" t="n">
        <v>8</v>
      </c>
      <c r="T18" t="n">
        <v>18</v>
      </c>
      <c r="U18" t="n">
        <v>7</v>
      </c>
      <c r="V18" s="2" t="inlineStr">
        <is>
          <t>Garnlav
Dropptaggsvamp
Gammelgransskål
Rosenticka
Skarp dropptaggsvamp
Ullticka
Vitgrynig nållav
Vedticka</t>
        </is>
      </c>
      <c r="W18">
        <f>HYPERLINK("https://klasma.github.io/Logging_2481/artfynd/A 23221-2026 artfynd.xlsx", "A 23221-2026")</f>
        <v/>
      </c>
      <c r="X18">
        <f>HYPERLINK("https://klasma.github.io/Logging_2481/kartor/A 23221-2026 karta.png", "A 23221-2026")</f>
        <v/>
      </c>
      <c r="Y18">
        <f>HYPERLINK("https://klasma.github.io/Logging_2481/kartor_geotiff/A 23221-2026 georefererad karta.tif", "A 23221-2026")</f>
        <v/>
      </c>
      <c r="AA18">
        <f>HYPERLINK("https://klasma.github.io/Logging_2481/klagomål/A 23221-2026 FSC-klagomål.docx", "A 23221-2026")</f>
        <v/>
      </c>
      <c r="AB18">
        <f>HYPERLINK("https://klasma.github.io/Logging_2481/klagomålsmail/A 23221-2026 FSC-klagomål mail.docx", "A 23221-2026")</f>
        <v/>
      </c>
      <c r="AC18">
        <f>HYPERLINK("https://klasma.github.io/Logging_2481/tillsyn/A 23221-2026 tillsynsbegäran.docx", "A 23221-2026")</f>
        <v/>
      </c>
      <c r="AD18">
        <f>HYPERLINK("https://klasma.github.io/Logging_2481/tillsynsmail/A 23221-2026 tillsynsbegäran mail.docx", "A 23221-2026")</f>
        <v/>
      </c>
    </row>
    <row r="19" ht="15" customHeight="1">
      <c r="A19" t="inlineStr">
        <is>
          <t>S 3393-2025</t>
        </is>
      </c>
      <c r="B19" t="inlineStr">
        <is>
          <t>samrådsanmälan</t>
        </is>
      </c>
      <c r="C19" t="inlineStr">
        <is>
          <t>Annan skogsbruksåtgärd</t>
        </is>
      </c>
      <c r="D19" s="1" t="n">
        <v>45993</v>
      </c>
      <c r="E19" s="1" t="n">
        <v>46227</v>
      </c>
      <c r="F19" t="inlineStr">
        <is>
          <t>VÄSTERBOTTENS LÄN</t>
        </is>
      </c>
      <c r="G19" t="inlineStr">
        <is>
          <t>LYCKSELE</t>
        </is>
      </c>
      <c r="H19" t="inlineStr">
        <is>
          <t>Sveaskog</t>
        </is>
      </c>
      <c r="I19" t="n">
        <v>21.9</v>
      </c>
      <c r="J19" t="n">
        <v>2</v>
      </c>
      <c r="K19" t="n">
        <v>2</v>
      </c>
      <c r="L19" t="n">
        <v>4</v>
      </c>
      <c r="M19" t="n">
        <v>2</v>
      </c>
      <c r="N19" t="n">
        <v>0</v>
      </c>
      <c r="O19" t="n">
        <v>0</v>
      </c>
      <c r="P19" t="n">
        <v>0</v>
      </c>
      <c r="Q19" t="n">
        <v>6</v>
      </c>
      <c r="R19" t="n">
        <v>2</v>
      </c>
      <c r="S19" t="n">
        <v>8</v>
      </c>
      <c r="T19" t="n">
        <v>13</v>
      </c>
      <c r="U19" t="n">
        <v>1</v>
      </c>
      <c r="V19" s="2" t="inlineStr">
        <is>
          <t>Garnlav
Knärot
Gammelgransskål
Stiftgelélav
Tretåig hackspett
Ullticka
Skinnlav
Stuplav</t>
        </is>
      </c>
      <c r="W19">
        <f>HYPERLINK("https://klasma.github.io/Logging_2481/artfynd/S 3393-2025 artfynd.xlsx", "S 3393-2025")</f>
        <v/>
      </c>
      <c r="X19">
        <f>HYPERLINK("https://klasma.github.io/Logging_2481/kartor/S 3393-2025 karta.png", "S 3393-2025")</f>
        <v/>
      </c>
      <c r="Y19">
        <f>HYPERLINK("https://klasma.github.io/Logging_2481/kartor_geotiff/S 3393-2025 georefererad karta.tif", "S 3393-2025")</f>
        <v/>
      </c>
      <c r="Z19">
        <f>HYPERLINK("https://klasma.github.io/Logging_2481/knärot/S 3393-2025 karta knärot.png", "S 3393-2025")</f>
        <v/>
      </c>
      <c r="AA19">
        <f>HYPERLINK("https://klasma.github.io/Logging_2481/klagomål/S 3393-2025 FSC-klagomål.docx", "S 3393-2025")</f>
        <v/>
      </c>
      <c r="AB19">
        <f>HYPERLINK("https://klasma.github.io/Logging_2481/klagomålsmail/S 3393-2025 FSC-klagomål mail.docx", "S 3393-2025")</f>
        <v/>
      </c>
      <c r="AC19">
        <f>HYPERLINK("https://klasma.github.io/Logging_2481/tillsyn/S 3393-2025 tillsynsbegäran.docx", "S 3393-2025")</f>
        <v/>
      </c>
      <c r="AD19">
        <f>HYPERLINK("https://klasma.github.io/Logging_2481/tillsynsmail/S 3393-2025 tillsynsbegäran mail.docx", "S 3393-2025")</f>
        <v/>
      </c>
      <c r="AE19">
        <f>HYPERLINK("https://klasma.github.io/Logging_2481/fåglar/S 3393-2025 prioriterade fågelarter.docx", "S 3393-2025")</f>
        <v/>
      </c>
    </row>
    <row r="20" ht="15" customHeight="1">
      <c r="A20" t="inlineStr">
        <is>
          <t>A 9327-2022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44616</v>
      </c>
      <c r="E20" s="1" t="n">
        <v>46227</v>
      </c>
      <c r="F20" t="inlineStr">
        <is>
          <t>VÄSTERBOTTENS LÄN</t>
        </is>
      </c>
      <c r="G20" t="inlineStr">
        <is>
          <t>LYCKSELE</t>
        </is>
      </c>
      <c r="I20" t="n">
        <v>10.1</v>
      </c>
      <c r="J20" t="n">
        <v>4</v>
      </c>
      <c r="K20" t="n">
        <v>0</v>
      </c>
      <c r="L20" t="n">
        <v>4</v>
      </c>
      <c r="M20" t="n">
        <v>1</v>
      </c>
      <c r="N20" t="n">
        <v>0</v>
      </c>
      <c r="O20" t="n">
        <v>0</v>
      </c>
      <c r="P20" t="n">
        <v>0</v>
      </c>
      <c r="Q20" t="n">
        <v>5</v>
      </c>
      <c r="R20" t="n">
        <v>1</v>
      </c>
      <c r="S20" t="n">
        <v>7</v>
      </c>
      <c r="T20" t="n">
        <v>10</v>
      </c>
      <c r="U20" t="n">
        <v>10</v>
      </c>
      <c r="V20" s="2" t="inlineStr">
        <is>
          <t>Garnlav
Rynkskinn
Talltita
Tretåig hackspett
Ullticka
Spillkråka
Fläcknycklar</t>
        </is>
      </c>
      <c r="W20">
        <f>HYPERLINK("https://klasma.github.io/Logging_2481/artfynd/A 9327-2022 artfynd.xlsx", "A 9327-2022")</f>
        <v/>
      </c>
      <c r="X20">
        <f>HYPERLINK("https://klasma.github.io/Logging_2481/kartor/A 9327-2022 karta.png", "A 9327-2022")</f>
        <v/>
      </c>
      <c r="Y20">
        <f>HYPERLINK("https://klasma.github.io/Logging_2481/kartor_geotiff/A 9327-2022 georefererad karta.tif", "A 9327-2022")</f>
        <v/>
      </c>
      <c r="AA20">
        <f>HYPERLINK("https://klasma.github.io/Logging_2481/klagomål/A 9327-2022 FSC-klagomål.docx", "A 9327-2022")</f>
        <v/>
      </c>
      <c r="AB20">
        <f>HYPERLINK("https://klasma.github.io/Logging_2481/klagomålsmail/A 9327-2022 FSC-klagomål mail.docx", "A 9327-2022")</f>
        <v/>
      </c>
      <c r="AC20">
        <f>HYPERLINK("https://klasma.github.io/Logging_2481/tillsyn/A 9327-2022 tillsynsbegäran.docx", "A 9327-2022")</f>
        <v/>
      </c>
      <c r="AD20">
        <f>HYPERLINK("https://klasma.github.io/Logging_2481/tillsynsmail/A 9327-2022 tillsynsbegäran mail.docx", "A 9327-2022")</f>
        <v/>
      </c>
      <c r="AE20">
        <f>HYPERLINK("https://klasma.github.io/Logging_2481/fåglar/A 9327-2022 prioriterade fågelarter.docx", "A 9327-2022")</f>
        <v/>
      </c>
    </row>
    <row r="21" ht="15" customHeight="1">
      <c r="A21" t="inlineStr">
        <is>
          <t>A 40101-2022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44820</v>
      </c>
      <c r="E21" s="1" t="n">
        <v>46227</v>
      </c>
      <c r="F21" t="inlineStr">
        <is>
          <t>VÄSTERBOTTENS LÄN</t>
        </is>
      </c>
      <c r="G21" t="inlineStr">
        <is>
          <t>LYCKSELE</t>
        </is>
      </c>
      <c r="H21" t="inlineStr">
        <is>
          <t>Sveaskog</t>
        </is>
      </c>
      <c r="I21" t="n">
        <v>28.5</v>
      </c>
      <c r="J21" t="n">
        <v>0</v>
      </c>
      <c r="K21" t="n">
        <v>0</v>
      </c>
      <c r="L21" t="n">
        <v>5</v>
      </c>
      <c r="M21" t="n">
        <v>2</v>
      </c>
      <c r="N21" t="n">
        <v>0</v>
      </c>
      <c r="O21" t="n">
        <v>0</v>
      </c>
      <c r="P21" t="n">
        <v>0</v>
      </c>
      <c r="Q21" t="n">
        <v>7</v>
      </c>
      <c r="R21" t="n">
        <v>2</v>
      </c>
      <c r="S21" t="n">
        <v>7</v>
      </c>
      <c r="T21" t="n">
        <v>7</v>
      </c>
      <c r="U21" t="n">
        <v>7</v>
      </c>
      <c r="V21" s="2" t="inlineStr">
        <is>
          <t>Garnlav
Gräddporing
Kolflarnlav
Motaggsvamp
Orange taggsvamp
Skarp dropptaggsvamp
Skrovellav</t>
        </is>
      </c>
      <c r="W21">
        <f>HYPERLINK("https://klasma.github.io/Logging_2481/artfynd/A 40101-2022 artfynd.xlsx", "A 40101-2022")</f>
        <v/>
      </c>
      <c r="X21">
        <f>HYPERLINK("https://klasma.github.io/Logging_2481/kartor/A 40101-2022 karta.png", "A 40101-2022")</f>
        <v/>
      </c>
      <c r="Y21">
        <f>HYPERLINK("https://klasma.github.io/Logging_2481/kartor_geotiff/A 40101-2022 georefererad karta.tif", "A 40101-2022")</f>
        <v/>
      </c>
      <c r="AA21">
        <f>HYPERLINK("https://klasma.github.io/Logging_2481/klagomål/A 40101-2022 FSC-klagomål.docx", "A 40101-2022")</f>
        <v/>
      </c>
      <c r="AB21">
        <f>HYPERLINK("https://klasma.github.io/Logging_2481/klagomålsmail/A 40101-2022 FSC-klagomål mail.docx", "A 40101-2022")</f>
        <v/>
      </c>
      <c r="AC21">
        <f>HYPERLINK("https://klasma.github.io/Logging_2481/tillsyn/A 40101-2022 tillsynsbegäran.docx", "A 40101-2022")</f>
        <v/>
      </c>
      <c r="AD21">
        <f>HYPERLINK("https://klasma.github.io/Logging_2481/tillsynsmail/A 40101-2022 tillsynsbegäran mail.docx", "A 40101-2022")</f>
        <v/>
      </c>
    </row>
    <row r="22" ht="15" customHeight="1">
      <c r="A22" t="inlineStr">
        <is>
          <t>A 33340-2025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45841</v>
      </c>
      <c r="E22" s="1" t="n">
        <v>46227</v>
      </c>
      <c r="F22" t="inlineStr">
        <is>
          <t>VÄSTERBOTTENS LÄN</t>
        </is>
      </c>
      <c r="G22" t="inlineStr">
        <is>
          <t>LYCKSELE</t>
        </is>
      </c>
      <c r="H22" t="inlineStr">
        <is>
          <t>Sveaskog</t>
        </is>
      </c>
      <c r="I22" t="n">
        <v>5.2</v>
      </c>
      <c r="J22" t="n">
        <v>1</v>
      </c>
      <c r="K22" t="n">
        <v>0</v>
      </c>
      <c r="L22" t="n">
        <v>6</v>
      </c>
      <c r="M22" t="n">
        <v>1</v>
      </c>
      <c r="N22" t="n">
        <v>0</v>
      </c>
      <c r="O22" t="n">
        <v>0</v>
      </c>
      <c r="P22" t="n">
        <v>0</v>
      </c>
      <c r="Q22" t="n">
        <v>7</v>
      </c>
      <c r="R22" t="n">
        <v>1</v>
      </c>
      <c r="S22" t="n">
        <v>7</v>
      </c>
      <c r="T22" t="n">
        <v>7</v>
      </c>
      <c r="U22" t="n">
        <v>0</v>
      </c>
      <c r="V22" s="2" t="inlineStr">
        <is>
          <t>Doftticka
Blå taggsvamp
Lunglav
Mörk kolflarnlav
Orange taggsvamp
Vaddporing
Vedflamlav</t>
        </is>
      </c>
      <c r="W22">
        <f>HYPERLINK("https://klasma.github.io/Logging_2481/artfynd/A 33340-2025 artfynd.xlsx", "A 33340-2025")</f>
        <v/>
      </c>
      <c r="X22">
        <f>HYPERLINK("https://klasma.github.io/Logging_2481/kartor/A 33340-2025 karta.png", "A 33340-2025")</f>
        <v/>
      </c>
      <c r="Y22">
        <f>HYPERLINK("https://klasma.github.io/Logging_2481/kartor_geotiff/A 33340-2025 georefererad karta.tif", "A 33340-2025")</f>
        <v/>
      </c>
      <c r="AA22">
        <f>HYPERLINK("https://klasma.github.io/Logging_2481/klagomål/A 33340-2025 FSC-klagomål.docx", "A 33340-2025")</f>
        <v/>
      </c>
      <c r="AB22">
        <f>HYPERLINK("https://klasma.github.io/Logging_2481/klagomålsmail/A 33340-2025 FSC-klagomål mail.docx", "A 33340-2025")</f>
        <v/>
      </c>
      <c r="AC22">
        <f>HYPERLINK("https://klasma.github.io/Logging_2481/tillsyn/A 33340-2025 tillsynsbegäran.docx", "A 33340-2025")</f>
        <v/>
      </c>
      <c r="AD22">
        <f>HYPERLINK("https://klasma.github.io/Logging_2481/tillsynsmail/A 33340-2025 tillsynsbegäran mail.docx", "A 33340-2025")</f>
        <v/>
      </c>
    </row>
    <row r="23" ht="15" customHeight="1">
      <c r="A23" t="inlineStr">
        <is>
          <t>A 28479-2026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46197</v>
      </c>
      <c r="E23" s="1" t="n">
        <v>46227</v>
      </c>
      <c r="F23" t="inlineStr">
        <is>
          <t>VÄSTERBOTTENS LÄN</t>
        </is>
      </c>
      <c r="G23" t="inlineStr">
        <is>
          <t>LYCKSELE</t>
        </is>
      </c>
      <c r="H23" t="inlineStr">
        <is>
          <t>SCA</t>
        </is>
      </c>
      <c r="I23" t="n">
        <v>20.4</v>
      </c>
      <c r="J23" t="n">
        <v>7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7</v>
      </c>
      <c r="T23" t="n">
        <v>7</v>
      </c>
      <c r="U23" t="n">
        <v>0</v>
      </c>
      <c r="V23" s="2" t="inlineStr">
        <is>
          <t>Björktrast
Spillkråka
Buskskvätta
Fiskgjuse
Orre
Svartvit flugsnappare
Trana</t>
        </is>
      </c>
      <c r="W23">
        <f>HYPERLINK("https://klasma.github.io/Logging_2481/artfynd/A 28479-2026 artfynd.xlsx", "A 28479-2026")</f>
        <v/>
      </c>
      <c r="X23">
        <f>HYPERLINK("https://klasma.github.io/Logging_2481/kartor/A 28479-2026 karta.png", "A 28479-2026")</f>
        <v/>
      </c>
      <c r="Y23">
        <f>HYPERLINK("https://klasma.github.io/Logging_2481/kartor_geotiff/A 28479-2026 georefererad karta.tif", "A 28479-2026")</f>
        <v/>
      </c>
      <c r="AA23">
        <f>HYPERLINK("https://klasma.github.io/Logging_2481/klagomål/A 28479-2026 FSC-klagomål.docx", "A 28479-2026")</f>
        <v/>
      </c>
      <c r="AB23">
        <f>HYPERLINK("https://klasma.github.io/Logging_2481/klagomålsmail/A 28479-2026 FSC-klagomål mail.docx", "A 28479-2026")</f>
        <v/>
      </c>
      <c r="AC23">
        <f>HYPERLINK("https://klasma.github.io/Logging_2481/tillsyn/A 28479-2026 tillsynsbegäran.docx", "A 28479-2026")</f>
        <v/>
      </c>
      <c r="AD23">
        <f>HYPERLINK("https://klasma.github.io/Logging_2481/tillsynsmail/A 28479-2026 tillsynsbegäran mail.docx", "A 28479-2026")</f>
        <v/>
      </c>
      <c r="AE23">
        <f>HYPERLINK("https://klasma.github.io/Logging_2481/fåglar/A 28479-2026 prioriterade fågelarter.docx", "A 28479-2026")</f>
        <v/>
      </c>
    </row>
    <row r="24" ht="15" customHeight="1">
      <c r="A24" t="inlineStr">
        <is>
          <t>A 25592-2026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46177</v>
      </c>
      <c r="E24" s="1" t="n">
        <v>46227</v>
      </c>
      <c r="F24" t="inlineStr">
        <is>
          <t>VÄSTERBOTTENS LÄN</t>
        </is>
      </c>
      <c r="G24" t="inlineStr">
        <is>
          <t>LYCKSELE</t>
        </is>
      </c>
      <c r="H24" t="inlineStr">
        <is>
          <t>Sveaskog</t>
        </is>
      </c>
      <c r="I24" t="n">
        <v>3.2</v>
      </c>
      <c r="J24" t="n">
        <v>0</v>
      </c>
      <c r="K24" t="n">
        <v>2</v>
      </c>
      <c r="L24" t="n">
        <v>5</v>
      </c>
      <c r="M24" t="n">
        <v>0</v>
      </c>
      <c r="N24" t="n">
        <v>0</v>
      </c>
      <c r="O24" t="n">
        <v>0</v>
      </c>
      <c r="P24" t="n">
        <v>0</v>
      </c>
      <c r="Q24" t="n">
        <v>5</v>
      </c>
      <c r="R24" t="n">
        <v>0</v>
      </c>
      <c r="S24" t="n">
        <v>7</v>
      </c>
      <c r="T24" t="n">
        <v>7</v>
      </c>
      <c r="U24" t="n">
        <v>0</v>
      </c>
      <c r="V24" s="2" t="inlineStr">
        <is>
          <t>Grynig filtlav
Lunglav
Skrovellav
Skuggblåslav
Stiftgelélav
Skinnlav
Stuplav</t>
        </is>
      </c>
      <c r="W24">
        <f>HYPERLINK("https://klasma.github.io/Logging_2481/artfynd/A 25592-2026 artfynd.xlsx", "A 25592-2026")</f>
        <v/>
      </c>
      <c r="X24">
        <f>HYPERLINK("https://klasma.github.io/Logging_2481/kartor/A 25592-2026 karta.png", "A 25592-2026")</f>
        <v/>
      </c>
      <c r="Y24">
        <f>HYPERLINK("https://klasma.github.io/Logging_2481/kartor_geotiff/A 25592-2026 georefererad karta.tif", "A 25592-2026")</f>
        <v/>
      </c>
      <c r="AA24">
        <f>HYPERLINK("https://klasma.github.io/Logging_2481/klagomål/A 25592-2026 FSC-klagomål.docx", "A 25592-2026")</f>
        <v/>
      </c>
      <c r="AB24">
        <f>HYPERLINK("https://klasma.github.io/Logging_2481/klagomålsmail/A 25592-2026 FSC-klagomål mail.docx", "A 25592-2026")</f>
        <v/>
      </c>
      <c r="AC24">
        <f>HYPERLINK("https://klasma.github.io/Logging_2481/tillsyn/A 25592-2026 tillsynsbegäran.docx", "A 25592-2026")</f>
        <v/>
      </c>
      <c r="AD24">
        <f>HYPERLINK("https://klasma.github.io/Logging_2481/tillsynsmail/A 25592-2026 tillsynsbegäran mail.docx", "A 25592-2026")</f>
        <v/>
      </c>
    </row>
    <row r="25" ht="15" customHeight="1">
      <c r="A25" t="inlineStr">
        <is>
          <t>A 6526-2022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44601</v>
      </c>
      <c r="E25" s="1" t="n">
        <v>46227</v>
      </c>
      <c r="F25" t="inlineStr">
        <is>
          <t>VÄSTERBOTTENS LÄN</t>
        </is>
      </c>
      <c r="G25" t="inlineStr">
        <is>
          <t>LYCKSELE</t>
        </is>
      </c>
      <c r="H25" t="inlineStr">
        <is>
          <t>Sveaskog</t>
        </is>
      </c>
      <c r="I25" t="n">
        <v>6.7</v>
      </c>
      <c r="J25" t="n">
        <v>0</v>
      </c>
      <c r="K25" t="n">
        <v>0</v>
      </c>
      <c r="L25" t="n">
        <v>3</v>
      </c>
      <c r="M25" t="n">
        <v>3</v>
      </c>
      <c r="N25" t="n">
        <v>0</v>
      </c>
      <c r="O25" t="n">
        <v>0</v>
      </c>
      <c r="P25" t="n">
        <v>0</v>
      </c>
      <c r="Q25" t="n">
        <v>6</v>
      </c>
      <c r="R25" t="n">
        <v>3</v>
      </c>
      <c r="S25" t="n">
        <v>6</v>
      </c>
      <c r="T25" t="n">
        <v>7</v>
      </c>
      <c r="U25" t="n">
        <v>0</v>
      </c>
      <c r="V25" s="2" t="inlineStr">
        <is>
          <t>Jättemusseron
Skrovlig taggsvamp
Smalfotad taggsvamp
Dropptaggsvamp
Tallriska
Talltaggsvamp</t>
        </is>
      </c>
      <c r="W25">
        <f>HYPERLINK("https://klasma.github.io/Logging_2481/artfynd/A 6526-2022 artfynd.xlsx", "A 6526-2022")</f>
        <v/>
      </c>
      <c r="X25">
        <f>HYPERLINK("https://klasma.github.io/Logging_2481/kartor/A 6526-2022 karta.png", "A 6526-2022")</f>
        <v/>
      </c>
      <c r="Y25">
        <f>HYPERLINK("https://klasma.github.io/Logging_2481/kartor_geotiff/A 6526-2022 georefererad karta.tif", "A 6526-2022")</f>
        <v/>
      </c>
      <c r="AA25">
        <f>HYPERLINK("https://klasma.github.io/Logging_2481/klagomål/A 6526-2022 FSC-klagomål.docx", "A 6526-2022")</f>
        <v/>
      </c>
      <c r="AB25">
        <f>HYPERLINK("https://klasma.github.io/Logging_2481/klagomålsmail/A 6526-2022 FSC-klagomål mail.docx", "A 6526-2022")</f>
        <v/>
      </c>
      <c r="AC25">
        <f>HYPERLINK("https://klasma.github.io/Logging_2481/tillsyn/A 6526-2022 tillsynsbegäran.docx", "A 6526-2022")</f>
        <v/>
      </c>
      <c r="AD25">
        <f>HYPERLINK("https://klasma.github.io/Logging_2481/tillsynsmail/A 6526-2022 tillsynsbegäran mail.docx", "A 6526-2022")</f>
        <v/>
      </c>
    </row>
    <row r="26" ht="15" customHeight="1">
      <c r="A26" t="inlineStr">
        <is>
          <t>A 35215-2025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45853</v>
      </c>
      <c r="E26" s="1" t="n">
        <v>46227</v>
      </c>
      <c r="F26" t="inlineStr">
        <is>
          <t>VÄSTERBOTTENS LÄN</t>
        </is>
      </c>
      <c r="G26" t="inlineStr">
        <is>
          <t>LYCKSELE</t>
        </is>
      </c>
      <c r="H26" t="inlineStr">
        <is>
          <t>Sveaskog</t>
        </is>
      </c>
      <c r="I26" t="n">
        <v>18.7</v>
      </c>
      <c r="J26" t="n">
        <v>1</v>
      </c>
      <c r="K26" t="n">
        <v>2</v>
      </c>
      <c r="L26" t="n">
        <v>3</v>
      </c>
      <c r="M26" t="n">
        <v>0</v>
      </c>
      <c r="N26" t="n">
        <v>0</v>
      </c>
      <c r="O26" t="n">
        <v>0</v>
      </c>
      <c r="P26" t="n">
        <v>0</v>
      </c>
      <c r="Q26" t="n">
        <v>3</v>
      </c>
      <c r="R26" t="n">
        <v>0</v>
      </c>
      <c r="S26" t="n">
        <v>6</v>
      </c>
      <c r="T26" t="n">
        <v>6</v>
      </c>
      <c r="U26" t="n">
        <v>0</v>
      </c>
      <c r="V26" s="2" t="inlineStr">
        <is>
          <t>Dropptaggsvamp
Gammelgransskål
Kolflarnlav
Grönpyrola
Stuplav
Spillkråka</t>
        </is>
      </c>
      <c r="W26">
        <f>HYPERLINK("https://klasma.github.io/Logging_2481/artfynd/A 35215-2025 artfynd.xlsx", "A 35215-2025")</f>
        <v/>
      </c>
      <c r="X26">
        <f>HYPERLINK("https://klasma.github.io/Logging_2481/kartor/A 35215-2025 karta.png", "A 35215-2025")</f>
        <v/>
      </c>
      <c r="Y26">
        <f>HYPERLINK("https://klasma.github.io/Logging_2481/kartor_geotiff/A 35215-2025 georefererad karta.tif", "A 35215-2025")</f>
        <v/>
      </c>
      <c r="AA26">
        <f>HYPERLINK("https://klasma.github.io/Logging_2481/klagomål/A 35215-2025 FSC-klagomål.docx", "A 35215-2025")</f>
        <v/>
      </c>
      <c r="AB26">
        <f>HYPERLINK("https://klasma.github.io/Logging_2481/klagomålsmail/A 35215-2025 FSC-klagomål mail.docx", "A 35215-2025")</f>
        <v/>
      </c>
      <c r="AC26">
        <f>HYPERLINK("https://klasma.github.io/Logging_2481/tillsyn/A 35215-2025 tillsynsbegäran.docx", "A 35215-2025")</f>
        <v/>
      </c>
      <c r="AD26">
        <f>HYPERLINK("https://klasma.github.io/Logging_2481/tillsynsmail/A 35215-2025 tillsynsbegäran mail.docx", "A 35215-2025")</f>
        <v/>
      </c>
      <c r="AE26">
        <f>HYPERLINK("https://klasma.github.io/Logging_2481/fåglar/A 35215-2025 prioriterade fågelarter.docx", "A 35215-2025")</f>
        <v/>
      </c>
    </row>
    <row r="27" ht="15" customHeight="1">
      <c r="A27" t="inlineStr">
        <is>
          <t>A 14946-2026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46104</v>
      </c>
      <c r="E27" s="1" t="n">
        <v>46227</v>
      </c>
      <c r="F27" t="inlineStr">
        <is>
          <t>VÄSTERBOTTENS LÄN</t>
        </is>
      </c>
      <c r="G27" t="inlineStr">
        <is>
          <t>LYCKSELE</t>
        </is>
      </c>
      <c r="I27" t="n">
        <v>7.9</v>
      </c>
      <c r="J27" t="n">
        <v>0</v>
      </c>
      <c r="K27" t="n">
        <v>0</v>
      </c>
      <c r="L27" t="n">
        <v>5</v>
      </c>
      <c r="M27" t="n">
        <v>1</v>
      </c>
      <c r="N27" t="n">
        <v>0</v>
      </c>
      <c r="O27" t="n">
        <v>0</v>
      </c>
      <c r="P27" t="n">
        <v>0</v>
      </c>
      <c r="Q27" t="n">
        <v>6</v>
      </c>
      <c r="R27" t="n">
        <v>1</v>
      </c>
      <c r="S27" t="n">
        <v>6</v>
      </c>
      <c r="T27" t="n">
        <v>8</v>
      </c>
      <c r="U27" t="n">
        <v>0</v>
      </c>
      <c r="V27" s="2" t="inlineStr">
        <is>
          <t>Garnlav
Brunpudrad nållav
Knottrig blåslav
Lunglav
Nordlig nållav
Skrovellav</t>
        </is>
      </c>
      <c r="W27">
        <f>HYPERLINK("https://klasma.github.io/Logging_2481/artfynd/A 14946-2026 artfynd.xlsx", "A 14946-2026")</f>
        <v/>
      </c>
      <c r="X27">
        <f>HYPERLINK("https://klasma.github.io/Logging_2481/kartor/A 14946-2026 karta.png", "A 14946-2026")</f>
        <v/>
      </c>
      <c r="Y27">
        <f>HYPERLINK("https://klasma.github.io/Logging_2481/kartor_geotiff/A 14946-2026 georefererad karta.tif", "A 14946-2026")</f>
        <v/>
      </c>
      <c r="AA27">
        <f>HYPERLINK("https://klasma.github.io/Logging_2481/klagomål/A 14946-2026 FSC-klagomål.docx", "A 14946-2026")</f>
        <v/>
      </c>
      <c r="AB27">
        <f>HYPERLINK("https://klasma.github.io/Logging_2481/klagomålsmail/A 14946-2026 FSC-klagomål mail.docx", "A 14946-2026")</f>
        <v/>
      </c>
      <c r="AC27">
        <f>HYPERLINK("https://klasma.github.io/Logging_2481/tillsyn/A 14946-2026 tillsynsbegäran.docx", "A 14946-2026")</f>
        <v/>
      </c>
      <c r="AD27">
        <f>HYPERLINK("https://klasma.github.io/Logging_2481/tillsynsmail/A 14946-2026 tillsynsbegäran mail.docx", "A 14946-2026")</f>
        <v/>
      </c>
    </row>
    <row r="28" ht="15" customHeight="1">
      <c r="A28" t="inlineStr">
        <is>
          <t>A 28721-2026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46198</v>
      </c>
      <c r="E28" s="1" t="n">
        <v>46227</v>
      </c>
      <c r="F28" t="inlineStr">
        <is>
          <t>VÄSTERBOTTENS LÄN</t>
        </is>
      </c>
      <c r="G28" t="inlineStr">
        <is>
          <t>LYCKSELE</t>
        </is>
      </c>
      <c r="H28" t="inlineStr">
        <is>
          <t>Sveaskog</t>
        </is>
      </c>
      <c r="I28" t="n">
        <v>9.1</v>
      </c>
      <c r="J28" t="n">
        <v>0</v>
      </c>
      <c r="K28" t="n">
        <v>2</v>
      </c>
      <c r="L28" t="n">
        <v>2</v>
      </c>
      <c r="M28" t="n">
        <v>2</v>
      </c>
      <c r="N28" t="n">
        <v>0</v>
      </c>
      <c r="O28" t="n">
        <v>0</v>
      </c>
      <c r="P28" t="n">
        <v>0</v>
      </c>
      <c r="Q28" t="n">
        <v>4</v>
      </c>
      <c r="R28" t="n">
        <v>2</v>
      </c>
      <c r="S28" t="n">
        <v>6</v>
      </c>
      <c r="T28" t="n">
        <v>6</v>
      </c>
      <c r="U28" t="n">
        <v>1</v>
      </c>
      <c r="V28" s="2" t="inlineStr">
        <is>
          <t>Garnlav
Gränsticka
Lunglav
Ullticka
Blodticka
Stuplav</t>
        </is>
      </c>
      <c r="W28">
        <f>HYPERLINK("https://klasma.github.io/Logging_2481/artfynd/A 28721-2026 artfynd.xlsx", "A 28721-2026")</f>
        <v/>
      </c>
      <c r="X28">
        <f>HYPERLINK("https://klasma.github.io/Logging_2481/kartor/A 28721-2026 karta.png", "A 28721-2026")</f>
        <v/>
      </c>
      <c r="Y28">
        <f>HYPERLINK("https://klasma.github.io/Logging_2481/kartor_geotiff/A 28721-2026 georefererad karta.tif", "A 28721-2026")</f>
        <v/>
      </c>
      <c r="AA28">
        <f>HYPERLINK("https://klasma.github.io/Logging_2481/klagomål/A 28721-2026 FSC-klagomål.docx", "A 28721-2026")</f>
        <v/>
      </c>
      <c r="AB28">
        <f>HYPERLINK("https://klasma.github.io/Logging_2481/klagomålsmail/A 28721-2026 FSC-klagomål mail.docx", "A 28721-2026")</f>
        <v/>
      </c>
      <c r="AC28">
        <f>HYPERLINK("https://klasma.github.io/Logging_2481/tillsyn/A 28721-2026 tillsynsbegäran.docx", "A 28721-2026")</f>
        <v/>
      </c>
      <c r="AD28">
        <f>HYPERLINK("https://klasma.github.io/Logging_2481/tillsynsmail/A 28721-2026 tillsynsbegäran mail.docx", "A 28721-2026")</f>
        <v/>
      </c>
    </row>
    <row r="29" ht="15" customHeight="1">
      <c r="A29" t="inlineStr">
        <is>
          <t>A 7818-2023</t>
        </is>
      </c>
      <c r="B29" t="inlineStr">
        <is>
          <t>avverkningsanmälan</t>
        </is>
      </c>
      <c r="C29" t="inlineStr">
        <is>
          <t>Avverkning för att bevara och utveckla /försöksver</t>
        </is>
      </c>
      <c r="D29" s="1" t="n">
        <v>44973</v>
      </c>
      <c r="E29" s="1" t="n">
        <v>46227</v>
      </c>
      <c r="F29" t="inlineStr">
        <is>
          <t>VÄSTERBOTTENS LÄN</t>
        </is>
      </c>
      <c r="G29" t="inlineStr">
        <is>
          <t>LYCKSELE</t>
        </is>
      </c>
      <c r="I29" t="n">
        <v>3.8</v>
      </c>
      <c r="J29" t="n">
        <v>5</v>
      </c>
      <c r="K29" t="n">
        <v>0</v>
      </c>
      <c r="L29" t="n">
        <v>2</v>
      </c>
      <c r="M29" t="n">
        <v>2</v>
      </c>
      <c r="N29" t="n">
        <v>0</v>
      </c>
      <c r="O29" t="n">
        <v>0</v>
      </c>
      <c r="P29" t="n">
        <v>0</v>
      </c>
      <c r="Q29" t="n">
        <v>4</v>
      </c>
      <c r="R29" t="n">
        <v>2</v>
      </c>
      <c r="S29" t="n">
        <v>6</v>
      </c>
      <c r="T29" t="n">
        <v>6</v>
      </c>
      <c r="U29" t="n">
        <v>0</v>
      </c>
      <c r="V29" s="2" t="inlineStr">
        <is>
          <t>Grönfink
Hussvala
Ladusvala
Vitfläckig guldvinge
Gråspett
Grönsiska</t>
        </is>
      </c>
      <c r="W29">
        <f>HYPERLINK("https://klasma.github.io/Logging_2481/artfynd/A 7818-2023 artfynd.xlsx", "A 7818-2023")</f>
        <v/>
      </c>
      <c r="X29">
        <f>HYPERLINK("https://klasma.github.io/Logging_2481/kartor/A 7818-2023 karta.png", "A 7818-2023")</f>
        <v/>
      </c>
      <c r="Y29">
        <f>HYPERLINK("https://klasma.github.io/Logging_2481/kartor_geotiff/A 7818-2023 georefererad karta.tif", "A 7818-2023")</f>
        <v/>
      </c>
      <c r="AA29">
        <f>HYPERLINK("https://klasma.github.io/Logging_2481/klagomål/A 7818-2023 FSC-klagomål.docx", "A 7818-2023")</f>
        <v/>
      </c>
      <c r="AB29">
        <f>HYPERLINK("https://klasma.github.io/Logging_2481/klagomålsmail/A 7818-2023 FSC-klagomål mail.docx", "A 7818-2023")</f>
        <v/>
      </c>
      <c r="AC29">
        <f>HYPERLINK("https://klasma.github.io/Logging_2481/tillsyn/A 7818-2023 tillsynsbegäran.docx", "A 7818-2023")</f>
        <v/>
      </c>
      <c r="AD29">
        <f>HYPERLINK("https://klasma.github.io/Logging_2481/tillsynsmail/A 7818-2023 tillsynsbegäran mail.docx", "A 7818-2023")</f>
        <v/>
      </c>
      <c r="AE29">
        <f>HYPERLINK("https://klasma.github.io/Logging_2481/fåglar/A 7818-2023 prioriterade fågelarter.docx", "A 7818-2023")</f>
        <v/>
      </c>
    </row>
    <row r="30" ht="15" customHeight="1">
      <c r="A30" t="inlineStr">
        <is>
          <t>A 39032-2021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44412</v>
      </c>
      <c r="E30" s="1" t="n">
        <v>46227</v>
      </c>
      <c r="F30" t="inlineStr">
        <is>
          <t>VÄSTERBOTTENS LÄN</t>
        </is>
      </c>
      <c r="G30" t="inlineStr">
        <is>
          <t>LYCKSELE</t>
        </is>
      </c>
      <c r="H30" t="inlineStr">
        <is>
          <t>Sveaskog</t>
        </is>
      </c>
      <c r="I30" t="n">
        <v>9.300000000000001</v>
      </c>
      <c r="J30" t="n">
        <v>0</v>
      </c>
      <c r="K30" t="n">
        <v>0</v>
      </c>
      <c r="L30" t="n">
        <v>4</v>
      </c>
      <c r="M30" t="n">
        <v>1</v>
      </c>
      <c r="N30" t="n">
        <v>0</v>
      </c>
      <c r="O30" t="n">
        <v>0</v>
      </c>
      <c r="P30" t="n">
        <v>0</v>
      </c>
      <c r="Q30" t="n">
        <v>5</v>
      </c>
      <c r="R30" t="n">
        <v>1</v>
      </c>
      <c r="S30" t="n">
        <v>5</v>
      </c>
      <c r="T30" t="n">
        <v>6</v>
      </c>
      <c r="U30" t="n">
        <v>6</v>
      </c>
      <c r="V30" s="2" t="inlineStr">
        <is>
          <t>Skrovlig taggsvamp
Dropptaggsvamp
Dvärgbägarlav
Talltaggsvamp
Vaddporing</t>
        </is>
      </c>
      <c r="W30">
        <f>HYPERLINK("https://klasma.github.io/Logging_2481/artfynd/A 39032-2021 artfynd.xlsx", "A 39032-2021")</f>
        <v/>
      </c>
      <c r="X30">
        <f>HYPERLINK("https://klasma.github.io/Logging_2481/kartor/A 39032-2021 karta.png", "A 39032-2021")</f>
        <v/>
      </c>
      <c r="Y30">
        <f>HYPERLINK("https://klasma.github.io/Logging_2481/kartor_geotiff/A 39032-2021 georefererad karta.tif", "A 39032-2021")</f>
        <v/>
      </c>
      <c r="AA30">
        <f>HYPERLINK("https://klasma.github.io/Logging_2481/klagomål/A 39032-2021 FSC-klagomål.docx", "A 39032-2021")</f>
        <v/>
      </c>
      <c r="AB30">
        <f>HYPERLINK("https://klasma.github.io/Logging_2481/klagomålsmail/A 39032-2021 FSC-klagomål mail.docx", "A 39032-2021")</f>
        <v/>
      </c>
      <c r="AC30">
        <f>HYPERLINK("https://klasma.github.io/Logging_2481/tillsyn/A 39032-2021 tillsynsbegäran.docx", "A 39032-2021")</f>
        <v/>
      </c>
      <c r="AD30">
        <f>HYPERLINK("https://klasma.github.io/Logging_2481/tillsynsmail/A 39032-2021 tillsynsbegäran mail.docx", "A 39032-2021")</f>
        <v/>
      </c>
    </row>
    <row r="31" ht="15" customHeight="1">
      <c r="A31" t="inlineStr">
        <is>
          <t>A 7976-2022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44609</v>
      </c>
      <c r="E31" s="1" t="n">
        <v>46227</v>
      </c>
      <c r="F31" t="inlineStr">
        <is>
          <t>VÄSTERBOTTENS LÄN</t>
        </is>
      </c>
      <c r="G31" t="inlineStr">
        <is>
          <t>LYCKSELE</t>
        </is>
      </c>
      <c r="H31" t="inlineStr">
        <is>
          <t>Sveaskog</t>
        </is>
      </c>
      <c r="I31" t="n">
        <v>5.4</v>
      </c>
      <c r="J31" t="n">
        <v>0</v>
      </c>
      <c r="K31" t="n">
        <v>1</v>
      </c>
      <c r="L31" t="n">
        <v>3</v>
      </c>
      <c r="M31" t="n">
        <v>1</v>
      </c>
      <c r="N31" t="n">
        <v>0</v>
      </c>
      <c r="O31" t="n">
        <v>0</v>
      </c>
      <c r="P31" t="n">
        <v>0</v>
      </c>
      <c r="Q31" t="n">
        <v>4</v>
      </c>
      <c r="R31" t="n">
        <v>1</v>
      </c>
      <c r="S31" t="n">
        <v>5</v>
      </c>
      <c r="T31" t="n">
        <v>6</v>
      </c>
      <c r="U31" t="n">
        <v>6</v>
      </c>
      <c r="V31" s="2" t="inlineStr">
        <is>
          <t>Garnlav
Lunglav
Mörk kolflarnlav
Skrovellav
Luddlav</t>
        </is>
      </c>
      <c r="W31">
        <f>HYPERLINK("https://klasma.github.io/Logging_2481/artfynd/A 7976-2022 artfynd.xlsx", "A 7976-2022")</f>
        <v/>
      </c>
      <c r="X31">
        <f>HYPERLINK("https://klasma.github.io/Logging_2481/kartor/A 7976-2022 karta.png", "A 7976-2022")</f>
        <v/>
      </c>
      <c r="Y31">
        <f>HYPERLINK("https://klasma.github.io/Logging_2481/kartor_geotiff/A 7976-2022 georefererad karta.tif", "A 7976-2022")</f>
        <v/>
      </c>
      <c r="AA31">
        <f>HYPERLINK("https://klasma.github.io/Logging_2481/klagomål/A 7976-2022 FSC-klagomål.docx", "A 7976-2022")</f>
        <v/>
      </c>
      <c r="AB31">
        <f>HYPERLINK("https://klasma.github.io/Logging_2481/klagomålsmail/A 7976-2022 FSC-klagomål mail.docx", "A 7976-2022")</f>
        <v/>
      </c>
      <c r="AC31">
        <f>HYPERLINK("https://klasma.github.io/Logging_2481/tillsyn/A 7976-2022 tillsynsbegäran.docx", "A 7976-2022")</f>
        <v/>
      </c>
      <c r="AD31">
        <f>HYPERLINK("https://klasma.github.io/Logging_2481/tillsynsmail/A 7976-2022 tillsynsbegäran mail.docx", "A 7976-2022")</f>
        <v/>
      </c>
    </row>
    <row r="32" ht="15" customHeight="1">
      <c r="A32" t="inlineStr">
        <is>
          <t>A 39528-2025</t>
        </is>
      </c>
      <c r="B32" t="inlineStr">
        <is>
          <t>avverkningsanmälan</t>
        </is>
      </c>
      <c r="C32" t="inlineStr">
        <is>
          <t>Avverkning för att bevara och utveckla /försöksver</t>
        </is>
      </c>
      <c r="D32" s="1" t="n">
        <v>45890</v>
      </c>
      <c r="E32" s="1" t="n">
        <v>46227</v>
      </c>
      <c r="F32" t="inlineStr">
        <is>
          <t>VÄSTERBOTTENS LÄN</t>
        </is>
      </c>
      <c r="G32" t="inlineStr">
        <is>
          <t>LYCKSELE</t>
        </is>
      </c>
      <c r="H32" t="inlineStr">
        <is>
          <t>Sveaskog</t>
        </is>
      </c>
      <c r="I32" t="n">
        <v>24.9</v>
      </c>
      <c r="J32" t="n">
        <v>0</v>
      </c>
      <c r="K32" t="n">
        <v>0</v>
      </c>
      <c r="L32" t="n">
        <v>5</v>
      </c>
      <c r="M32" t="n">
        <v>0</v>
      </c>
      <c r="N32" t="n">
        <v>0</v>
      </c>
      <c r="O32" t="n">
        <v>0</v>
      </c>
      <c r="P32" t="n">
        <v>0</v>
      </c>
      <c r="Q32" t="n">
        <v>5</v>
      </c>
      <c r="R32" t="n">
        <v>0</v>
      </c>
      <c r="S32" t="n">
        <v>5</v>
      </c>
      <c r="T32" t="n">
        <v>7</v>
      </c>
      <c r="U32" t="n">
        <v>0</v>
      </c>
      <c r="V32" s="2" t="inlineStr">
        <is>
          <t>Dropptaggsvamp
Kolflarnlav
Lunglav
Mörk kolflarnlav
Reliktbock</t>
        </is>
      </c>
      <c r="W32">
        <f>HYPERLINK("https://klasma.github.io/Logging_2481/artfynd/A 39528-2025 artfynd.xlsx", "A 39528-2025")</f>
        <v/>
      </c>
      <c r="X32">
        <f>HYPERLINK("https://klasma.github.io/Logging_2481/kartor/A 39528-2025 karta.png", "A 39528-2025")</f>
        <v/>
      </c>
      <c r="Y32">
        <f>HYPERLINK("https://klasma.github.io/Logging_2481/kartor_geotiff/A 39528-2025 georefererad karta.tif", "A 39528-2025")</f>
        <v/>
      </c>
      <c r="AA32">
        <f>HYPERLINK("https://klasma.github.io/Logging_2481/klagomål/A 39528-2025 FSC-klagomål.docx", "A 39528-2025")</f>
        <v/>
      </c>
      <c r="AB32">
        <f>HYPERLINK("https://klasma.github.io/Logging_2481/klagomålsmail/A 39528-2025 FSC-klagomål mail.docx", "A 39528-2025")</f>
        <v/>
      </c>
      <c r="AC32">
        <f>HYPERLINK("https://klasma.github.io/Logging_2481/tillsyn/A 39528-2025 tillsynsbegäran.docx", "A 39528-2025")</f>
        <v/>
      </c>
      <c r="AD32">
        <f>HYPERLINK("https://klasma.github.io/Logging_2481/tillsynsmail/A 39528-2025 tillsynsbegäran mail.docx", "A 39528-2025")</f>
        <v/>
      </c>
    </row>
    <row r="33" ht="15" customHeight="1">
      <c r="A33" t="inlineStr">
        <is>
          <t>A 54905-2024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45618</v>
      </c>
      <c r="E33" s="1" t="n">
        <v>46227</v>
      </c>
      <c r="F33" t="inlineStr">
        <is>
          <t>VÄSTERBOTTENS LÄN</t>
        </is>
      </c>
      <c r="G33" t="inlineStr">
        <is>
          <t>LYCKSELE</t>
        </is>
      </c>
      <c r="H33" t="inlineStr">
        <is>
          <t>Sveaskog</t>
        </is>
      </c>
      <c r="I33" t="n">
        <v>2.2</v>
      </c>
      <c r="J33" t="n">
        <v>0</v>
      </c>
      <c r="K33" t="n">
        <v>0</v>
      </c>
      <c r="L33" t="n">
        <v>3</v>
      </c>
      <c r="M33" t="n">
        <v>2</v>
      </c>
      <c r="N33" t="n">
        <v>0</v>
      </c>
      <c r="O33" t="n">
        <v>0</v>
      </c>
      <c r="P33" t="n">
        <v>0</v>
      </c>
      <c r="Q33" t="n">
        <v>5</v>
      </c>
      <c r="R33" t="n">
        <v>2</v>
      </c>
      <c r="S33" t="n">
        <v>5</v>
      </c>
      <c r="T33" t="n">
        <v>10</v>
      </c>
      <c r="U33" t="n">
        <v>7</v>
      </c>
      <c r="V33" s="2" t="inlineStr">
        <is>
          <t>Fläckporing
Garnlav
Dropptaggsvamp
Kolflarnlav
Ullticka</t>
        </is>
      </c>
      <c r="W33">
        <f>HYPERLINK("https://klasma.github.io/Logging_2481/artfynd/A 54905-2024 artfynd.xlsx", "A 54905-2024")</f>
        <v/>
      </c>
      <c r="X33">
        <f>HYPERLINK("https://klasma.github.io/Logging_2481/kartor/A 54905-2024 karta.png", "A 54905-2024")</f>
        <v/>
      </c>
      <c r="Y33">
        <f>HYPERLINK("https://klasma.github.io/Logging_2481/kartor_geotiff/A 54905-2024 georefererad karta.tif", "A 54905-2024")</f>
        <v/>
      </c>
      <c r="AA33">
        <f>HYPERLINK("https://klasma.github.io/Logging_2481/klagomål/A 54905-2024 FSC-klagomål.docx", "A 54905-2024")</f>
        <v/>
      </c>
      <c r="AB33">
        <f>HYPERLINK("https://klasma.github.io/Logging_2481/klagomålsmail/A 54905-2024 FSC-klagomål mail.docx", "A 54905-2024")</f>
        <v/>
      </c>
      <c r="AC33">
        <f>HYPERLINK("https://klasma.github.io/Logging_2481/tillsyn/A 54905-2024 tillsynsbegäran.docx", "A 54905-2024")</f>
        <v/>
      </c>
      <c r="AD33">
        <f>HYPERLINK("https://klasma.github.io/Logging_2481/tillsynsmail/A 54905-2024 tillsynsbegäran mail.docx", "A 54905-2024")</f>
        <v/>
      </c>
    </row>
    <row r="34" ht="15" customHeight="1">
      <c r="A34" t="inlineStr">
        <is>
          <t>A 58209-2025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45985</v>
      </c>
      <c r="E34" s="1" t="n">
        <v>46227</v>
      </c>
      <c r="F34" t="inlineStr">
        <is>
          <t>VÄSTERBOTTENS LÄN</t>
        </is>
      </c>
      <c r="G34" t="inlineStr">
        <is>
          <t>LYCKSELE</t>
        </is>
      </c>
      <c r="H34" t="inlineStr">
        <is>
          <t>Sveaskog</t>
        </is>
      </c>
      <c r="I34" t="n">
        <v>8.1</v>
      </c>
      <c r="J34" t="n">
        <v>0</v>
      </c>
      <c r="K34" t="n">
        <v>0</v>
      </c>
      <c r="L34" t="n">
        <v>5</v>
      </c>
      <c r="M34" t="n">
        <v>0</v>
      </c>
      <c r="N34" t="n">
        <v>0</v>
      </c>
      <c r="O34" t="n">
        <v>0</v>
      </c>
      <c r="P34" t="n">
        <v>0</v>
      </c>
      <c r="Q34" t="n">
        <v>5</v>
      </c>
      <c r="R34" t="n">
        <v>0</v>
      </c>
      <c r="S34" t="n">
        <v>5</v>
      </c>
      <c r="T34" t="n">
        <v>7</v>
      </c>
      <c r="U34" t="n">
        <v>0</v>
      </c>
      <c r="V34" s="2" t="inlineStr">
        <is>
          <t>Blå taggsvamp
Dropptaggsvamp
Kolflarnlav
Mörk kolflarnlav
Orange taggsvamp</t>
        </is>
      </c>
      <c r="W34">
        <f>HYPERLINK("https://klasma.github.io/Logging_2481/artfynd/A 58209-2025 artfynd.xlsx", "A 58209-2025")</f>
        <v/>
      </c>
      <c r="X34">
        <f>HYPERLINK("https://klasma.github.io/Logging_2481/kartor/A 58209-2025 karta.png", "A 58209-2025")</f>
        <v/>
      </c>
      <c r="Y34">
        <f>HYPERLINK("https://klasma.github.io/Logging_2481/kartor_geotiff/A 58209-2025 georefererad karta.tif", "A 58209-2025")</f>
        <v/>
      </c>
      <c r="AA34">
        <f>HYPERLINK("https://klasma.github.io/Logging_2481/klagomål/A 58209-2025 FSC-klagomål.docx", "A 58209-2025")</f>
        <v/>
      </c>
      <c r="AB34">
        <f>HYPERLINK("https://klasma.github.io/Logging_2481/klagomålsmail/A 58209-2025 FSC-klagomål mail.docx", "A 58209-2025")</f>
        <v/>
      </c>
      <c r="AC34">
        <f>HYPERLINK("https://klasma.github.io/Logging_2481/tillsyn/A 58209-2025 tillsynsbegäran.docx", "A 58209-2025")</f>
        <v/>
      </c>
      <c r="AD34">
        <f>HYPERLINK("https://klasma.github.io/Logging_2481/tillsynsmail/A 58209-2025 tillsynsbegäran mail.docx", "A 58209-2025")</f>
        <v/>
      </c>
    </row>
    <row r="35" ht="15" customHeight="1">
      <c r="A35" t="inlineStr">
        <is>
          <t>A 56000-2024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45623</v>
      </c>
      <c r="E35" s="1" t="n">
        <v>46227</v>
      </c>
      <c r="F35" t="inlineStr">
        <is>
          <t>VÄSTERBOTTENS LÄN</t>
        </is>
      </c>
      <c r="G35" t="inlineStr">
        <is>
          <t>LYCKSELE</t>
        </is>
      </c>
      <c r="I35" t="n">
        <v>1.4</v>
      </c>
      <c r="J35" t="n">
        <v>1</v>
      </c>
      <c r="K35" t="n">
        <v>1</v>
      </c>
      <c r="L35" t="n">
        <v>2</v>
      </c>
      <c r="M35" t="n">
        <v>1</v>
      </c>
      <c r="N35" t="n">
        <v>0</v>
      </c>
      <c r="O35" t="n">
        <v>0</v>
      </c>
      <c r="P35" t="n">
        <v>0</v>
      </c>
      <c r="Q35" t="n">
        <v>3</v>
      </c>
      <c r="R35" t="n">
        <v>1</v>
      </c>
      <c r="S35" t="n">
        <v>5</v>
      </c>
      <c r="T35" t="n">
        <v>6</v>
      </c>
      <c r="U35" t="n">
        <v>6</v>
      </c>
      <c r="V35" s="2" t="inlineStr">
        <is>
          <t>Garnlav
Dropptaggsvamp
Rosenticka
Norrlandslav
Tjäder</t>
        </is>
      </c>
      <c r="W35">
        <f>HYPERLINK("https://klasma.github.io/Logging_2481/artfynd/A 56000-2024 artfynd.xlsx", "A 56000-2024")</f>
        <v/>
      </c>
      <c r="X35">
        <f>HYPERLINK("https://klasma.github.io/Logging_2481/kartor/A 56000-2024 karta.png", "A 56000-2024")</f>
        <v/>
      </c>
      <c r="Y35">
        <f>HYPERLINK("https://klasma.github.io/Logging_2481/kartor_geotiff/A 56000-2024 georefererad karta.tif", "A 56000-2024")</f>
        <v/>
      </c>
      <c r="AA35">
        <f>HYPERLINK("https://klasma.github.io/Logging_2481/klagomål/A 56000-2024 FSC-klagomål.docx", "A 56000-2024")</f>
        <v/>
      </c>
      <c r="AB35">
        <f>HYPERLINK("https://klasma.github.io/Logging_2481/klagomålsmail/A 56000-2024 FSC-klagomål mail.docx", "A 56000-2024")</f>
        <v/>
      </c>
      <c r="AC35">
        <f>HYPERLINK("https://klasma.github.io/Logging_2481/tillsyn/A 56000-2024 tillsynsbegäran.docx", "A 56000-2024")</f>
        <v/>
      </c>
      <c r="AD35">
        <f>HYPERLINK("https://klasma.github.io/Logging_2481/tillsynsmail/A 56000-2024 tillsynsbegäran mail.docx", "A 56000-2024")</f>
        <v/>
      </c>
      <c r="AE35">
        <f>HYPERLINK("https://klasma.github.io/Logging_2481/fåglar/A 56000-2024 prioriterade fågelarter.docx", "A 56000-2024")</f>
        <v/>
      </c>
    </row>
    <row r="36" ht="15" customHeight="1">
      <c r="A36" t="inlineStr">
        <is>
          <t>A 31698-2023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45117</v>
      </c>
      <c r="E36" s="1" t="n">
        <v>46227</v>
      </c>
      <c r="F36" t="inlineStr">
        <is>
          <t>VÄSTERBOTTENS LÄN</t>
        </is>
      </c>
      <c r="G36" t="inlineStr">
        <is>
          <t>LYCKSELE</t>
        </is>
      </c>
      <c r="H36" t="inlineStr">
        <is>
          <t>Holmen skog AB</t>
        </is>
      </c>
      <c r="I36" t="n">
        <v>6.1</v>
      </c>
      <c r="J36" t="n">
        <v>5</v>
      </c>
      <c r="K36" t="n">
        <v>0</v>
      </c>
      <c r="L36" t="n">
        <v>3</v>
      </c>
      <c r="M36" t="n">
        <v>0</v>
      </c>
      <c r="N36" t="n">
        <v>0</v>
      </c>
      <c r="O36" t="n">
        <v>0</v>
      </c>
      <c r="P36" t="n">
        <v>0</v>
      </c>
      <c r="Q36" t="n">
        <v>3</v>
      </c>
      <c r="R36" t="n">
        <v>0</v>
      </c>
      <c r="S36" t="n">
        <v>5</v>
      </c>
      <c r="T36" t="n">
        <v>6</v>
      </c>
      <c r="U36" t="n">
        <v>6</v>
      </c>
      <c r="V36" s="2" t="inlineStr">
        <is>
          <t>Lavskrika
Rödvingetrast
Talltita
Bergfink
Orre</t>
        </is>
      </c>
      <c r="W36">
        <f>HYPERLINK("https://klasma.github.io/Logging_2481/artfynd/A 31698-2023 artfynd.xlsx", "A 31698-2023")</f>
        <v/>
      </c>
      <c r="X36">
        <f>HYPERLINK("https://klasma.github.io/Logging_2481/kartor/A 31698-2023 karta.png", "A 31698-2023")</f>
        <v/>
      </c>
      <c r="Y36">
        <f>HYPERLINK("https://klasma.github.io/Logging_2481/kartor_geotiff/A 31698-2023 georefererad karta.tif", "A 31698-2023")</f>
        <v/>
      </c>
      <c r="AA36">
        <f>HYPERLINK("https://klasma.github.io/Logging_2481/klagomål/A 31698-2023 FSC-klagomål.docx", "A 31698-2023")</f>
        <v/>
      </c>
      <c r="AB36">
        <f>HYPERLINK("https://klasma.github.io/Logging_2481/klagomålsmail/A 31698-2023 FSC-klagomål mail.docx", "A 31698-2023")</f>
        <v/>
      </c>
      <c r="AC36">
        <f>HYPERLINK("https://klasma.github.io/Logging_2481/tillsyn/A 31698-2023 tillsynsbegäran.docx", "A 31698-2023")</f>
        <v/>
      </c>
      <c r="AD36">
        <f>HYPERLINK("https://klasma.github.io/Logging_2481/tillsynsmail/A 31698-2023 tillsynsbegäran mail.docx", "A 31698-2023")</f>
        <v/>
      </c>
      <c r="AE36">
        <f>HYPERLINK("https://klasma.github.io/Logging_2481/fåglar/A 31698-2023 prioriterade fågelarter.docx", "A 31698-2023")</f>
        <v/>
      </c>
    </row>
    <row r="37" ht="15" customHeight="1">
      <c r="A37" t="inlineStr">
        <is>
          <t>A 10345-2023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44980</v>
      </c>
      <c r="E37" s="1" t="n">
        <v>46227</v>
      </c>
      <c r="F37" t="inlineStr">
        <is>
          <t>VÄSTERBOTTENS LÄN</t>
        </is>
      </c>
      <c r="G37" t="inlineStr">
        <is>
          <t>LYCKSELE</t>
        </is>
      </c>
      <c r="I37" t="n">
        <v>2.3</v>
      </c>
      <c r="J37" t="n">
        <v>0</v>
      </c>
      <c r="K37" t="n">
        <v>0</v>
      </c>
      <c r="L37" t="n">
        <v>4</v>
      </c>
      <c r="M37" t="n">
        <v>1</v>
      </c>
      <c r="N37" t="n">
        <v>0</v>
      </c>
      <c r="O37" t="n">
        <v>0</v>
      </c>
      <c r="P37" t="n">
        <v>0</v>
      </c>
      <c r="Q37" t="n">
        <v>5</v>
      </c>
      <c r="R37" t="n">
        <v>1</v>
      </c>
      <c r="S37" t="n">
        <v>5</v>
      </c>
      <c r="T37" t="n">
        <v>6</v>
      </c>
      <c r="U37" t="n">
        <v>6</v>
      </c>
      <c r="V37" s="2" t="inlineStr">
        <is>
          <t>Garnlav
Blå taggsvamp
Gammelgransskål
Orange taggsvamp
Skarp dropptaggsvamp</t>
        </is>
      </c>
      <c r="W37">
        <f>HYPERLINK("https://klasma.github.io/Logging_2481/artfynd/A 10345-2023 artfynd.xlsx", "A 10345-2023")</f>
        <v/>
      </c>
      <c r="X37">
        <f>HYPERLINK("https://klasma.github.io/Logging_2481/kartor/A 10345-2023 karta.png", "A 10345-2023")</f>
        <v/>
      </c>
      <c r="Y37">
        <f>HYPERLINK("https://klasma.github.io/Logging_2481/kartor_geotiff/A 10345-2023 georefererad karta.tif", "A 10345-2023")</f>
        <v/>
      </c>
      <c r="AA37">
        <f>HYPERLINK("https://klasma.github.io/Logging_2481/klagomål/A 10345-2023 FSC-klagomål.docx", "A 10345-2023")</f>
        <v/>
      </c>
      <c r="AB37">
        <f>HYPERLINK("https://klasma.github.io/Logging_2481/klagomålsmail/A 10345-2023 FSC-klagomål mail.docx", "A 10345-2023")</f>
        <v/>
      </c>
      <c r="AC37">
        <f>HYPERLINK("https://klasma.github.io/Logging_2481/tillsyn/A 10345-2023 tillsynsbegäran.docx", "A 10345-2023")</f>
        <v/>
      </c>
      <c r="AD37">
        <f>HYPERLINK("https://klasma.github.io/Logging_2481/tillsynsmail/A 10345-2023 tillsynsbegäran mail.docx", "A 10345-2023")</f>
        <v/>
      </c>
    </row>
    <row r="38" ht="15" customHeight="1">
      <c r="A38" t="inlineStr">
        <is>
          <t>A 33589-2024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45520</v>
      </c>
      <c r="E38" s="1" t="n">
        <v>46227</v>
      </c>
      <c r="F38" t="inlineStr">
        <is>
          <t>VÄSTERBOTTENS LÄN</t>
        </is>
      </c>
      <c r="G38" t="inlineStr">
        <is>
          <t>LYCKSELE</t>
        </is>
      </c>
      <c r="H38" t="inlineStr">
        <is>
          <t>Sveaskog</t>
        </is>
      </c>
      <c r="I38" t="n">
        <v>3.5</v>
      </c>
      <c r="J38" t="n">
        <v>3</v>
      </c>
      <c r="K38" t="n">
        <v>0</v>
      </c>
      <c r="L38" t="n">
        <v>2</v>
      </c>
      <c r="M38" t="n">
        <v>1</v>
      </c>
      <c r="N38" t="n">
        <v>0</v>
      </c>
      <c r="O38" t="n">
        <v>0</v>
      </c>
      <c r="P38" t="n">
        <v>0</v>
      </c>
      <c r="Q38" t="n">
        <v>3</v>
      </c>
      <c r="R38" t="n">
        <v>1</v>
      </c>
      <c r="S38" t="n">
        <v>5</v>
      </c>
      <c r="T38" t="n">
        <v>14</v>
      </c>
      <c r="U38" t="n">
        <v>12</v>
      </c>
      <c r="V38" s="2" t="inlineStr">
        <is>
          <t>Garnlav
Lavskrika
Ullticka
Spillkråka
Revlummer</t>
        </is>
      </c>
      <c r="W38">
        <f>HYPERLINK("https://klasma.github.io/Logging_2481/artfynd/A 33589-2024 artfynd.xlsx", "A 33589-2024")</f>
        <v/>
      </c>
      <c r="X38">
        <f>HYPERLINK("https://klasma.github.io/Logging_2481/kartor/A 33589-2024 karta.png", "A 33589-2024")</f>
        <v/>
      </c>
      <c r="Y38">
        <f>HYPERLINK("https://klasma.github.io/Logging_2481/kartor_geotiff/A 33589-2024 georefererad karta.tif", "A 33589-2024")</f>
        <v/>
      </c>
      <c r="AA38">
        <f>HYPERLINK("https://klasma.github.io/Logging_2481/klagomål/A 33589-2024 FSC-klagomål.docx", "A 33589-2024")</f>
        <v/>
      </c>
      <c r="AB38">
        <f>HYPERLINK("https://klasma.github.io/Logging_2481/klagomålsmail/A 33589-2024 FSC-klagomål mail.docx", "A 33589-2024")</f>
        <v/>
      </c>
      <c r="AC38">
        <f>HYPERLINK("https://klasma.github.io/Logging_2481/tillsyn/A 33589-2024 tillsynsbegäran.docx", "A 33589-2024")</f>
        <v/>
      </c>
      <c r="AD38">
        <f>HYPERLINK("https://klasma.github.io/Logging_2481/tillsynsmail/A 33589-2024 tillsynsbegäran mail.docx", "A 33589-2024")</f>
        <v/>
      </c>
      <c r="AE38">
        <f>HYPERLINK("https://klasma.github.io/Logging_2481/fåglar/A 33589-2024 prioriterade fågelarter.docx", "A 33589-2024")</f>
        <v/>
      </c>
    </row>
    <row r="39" ht="15" customHeight="1">
      <c r="A39" t="inlineStr">
        <is>
          <t>S 1088-2025</t>
        </is>
      </c>
      <c r="B39" t="inlineStr">
        <is>
          <t>samrådsanmälan</t>
        </is>
      </c>
      <c r="C39" t="inlineStr">
        <is>
          <t>Annan skogsbruksåtgärd</t>
        </is>
      </c>
      <c r="D39" s="1" t="n">
        <v>45750</v>
      </c>
      <c r="E39" s="1" t="n">
        <v>46227</v>
      </c>
      <c r="F39" t="inlineStr">
        <is>
          <t>VÄSTERBOTTENS LÄN</t>
        </is>
      </c>
      <c r="G39" t="inlineStr">
        <is>
          <t>LYCKSELE</t>
        </is>
      </c>
      <c r="H39" t="inlineStr">
        <is>
          <t>Sveaskog</t>
        </is>
      </c>
      <c r="I39" t="n">
        <v>8.5</v>
      </c>
      <c r="J39" t="n">
        <v>0</v>
      </c>
      <c r="K39" t="n">
        <v>0</v>
      </c>
      <c r="L39" t="n">
        <v>3</v>
      </c>
      <c r="M39" t="n">
        <v>2</v>
      </c>
      <c r="N39" t="n">
        <v>0</v>
      </c>
      <c r="O39" t="n">
        <v>0</v>
      </c>
      <c r="P39" t="n">
        <v>0</v>
      </c>
      <c r="Q39" t="n">
        <v>5</v>
      </c>
      <c r="R39" t="n">
        <v>2</v>
      </c>
      <c r="S39" t="n">
        <v>5</v>
      </c>
      <c r="T39" t="n">
        <v>6</v>
      </c>
      <c r="U39" t="n">
        <v>0</v>
      </c>
      <c r="V39" s="2" t="inlineStr">
        <is>
          <t>Goliatmusseron
Skrovlig taggsvamp
Blå taggsvamp
Dropptaggsvamp
Orange taggsvamp</t>
        </is>
      </c>
      <c r="W39">
        <f>HYPERLINK("https://klasma.github.io/Logging_2481/artfynd/S 1088-2025 artfynd.xlsx", "S 1088-2025")</f>
        <v/>
      </c>
      <c r="X39">
        <f>HYPERLINK("https://klasma.github.io/Logging_2481/kartor/S 1088-2025 karta.png", "S 1088-2025")</f>
        <v/>
      </c>
      <c r="Y39">
        <f>HYPERLINK("https://klasma.github.io/Logging_2481/kartor_geotiff/S 1088-2025 georefererad karta.tif", "S 1088-2025")</f>
        <v/>
      </c>
      <c r="AA39">
        <f>HYPERLINK("https://klasma.github.io/Logging_2481/klagomål/S 1088-2025 FSC-klagomål.docx", "S 1088-2025")</f>
        <v/>
      </c>
      <c r="AB39">
        <f>HYPERLINK("https://klasma.github.io/Logging_2481/klagomålsmail/S 1088-2025 FSC-klagomål mail.docx", "S 1088-2025")</f>
        <v/>
      </c>
      <c r="AC39">
        <f>HYPERLINK("https://klasma.github.io/Logging_2481/tillsyn/S 1088-2025 tillsynsbegäran.docx", "S 1088-2025")</f>
        <v/>
      </c>
      <c r="AD39">
        <f>HYPERLINK("https://klasma.github.io/Logging_2481/tillsynsmail/S 1088-2025 tillsynsbegäran mail.docx", "S 1088-2025")</f>
        <v/>
      </c>
    </row>
    <row r="40" ht="15" customHeight="1">
      <c r="A40" t="inlineStr">
        <is>
          <t>A 43740-2021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44433</v>
      </c>
      <c r="E40" s="1" t="n">
        <v>46227</v>
      </c>
      <c r="F40" t="inlineStr">
        <is>
          <t>VÄSTERBOTTENS LÄN</t>
        </is>
      </c>
      <c r="G40" t="inlineStr">
        <is>
          <t>LYCKSELE</t>
        </is>
      </c>
      <c r="H40" t="inlineStr">
        <is>
          <t>Sveaskog</t>
        </is>
      </c>
      <c r="I40" t="n">
        <v>16.2</v>
      </c>
      <c r="J40" t="n">
        <v>0</v>
      </c>
      <c r="K40" t="n">
        <v>1</v>
      </c>
      <c r="L40" t="n">
        <v>2</v>
      </c>
      <c r="M40" t="n">
        <v>1</v>
      </c>
      <c r="N40" t="n">
        <v>0</v>
      </c>
      <c r="O40" t="n">
        <v>0</v>
      </c>
      <c r="P40" t="n">
        <v>0</v>
      </c>
      <c r="Q40" t="n">
        <v>3</v>
      </c>
      <c r="R40" t="n">
        <v>1</v>
      </c>
      <c r="S40" t="n">
        <v>4</v>
      </c>
      <c r="T40" t="n">
        <v>12</v>
      </c>
      <c r="U40" t="n">
        <v>9</v>
      </c>
      <c r="V40" s="2" t="inlineStr">
        <is>
          <t>Garnlav
Kolflarnlav
Lunglav
Bårdlav</t>
        </is>
      </c>
      <c r="W40">
        <f>HYPERLINK("https://klasma.github.io/Logging_2481/artfynd/A 43740-2021 artfynd.xlsx", "A 43740-2021")</f>
        <v/>
      </c>
      <c r="X40">
        <f>HYPERLINK("https://klasma.github.io/Logging_2481/kartor/A 43740-2021 karta.png", "A 43740-2021")</f>
        <v/>
      </c>
      <c r="Y40">
        <f>HYPERLINK("https://klasma.github.io/Logging_2481/kartor_geotiff/A 43740-2021 georefererad karta.tif", "A 43740-2021")</f>
        <v/>
      </c>
      <c r="AA40">
        <f>HYPERLINK("https://klasma.github.io/Logging_2481/klagomål/A 43740-2021 FSC-klagomål.docx", "A 43740-2021")</f>
        <v/>
      </c>
      <c r="AB40">
        <f>HYPERLINK("https://klasma.github.io/Logging_2481/klagomålsmail/A 43740-2021 FSC-klagomål mail.docx", "A 43740-2021")</f>
        <v/>
      </c>
      <c r="AC40">
        <f>HYPERLINK("https://klasma.github.io/Logging_2481/tillsyn/A 43740-2021 tillsynsbegäran.docx", "A 43740-2021")</f>
        <v/>
      </c>
      <c r="AD40">
        <f>HYPERLINK("https://klasma.github.io/Logging_2481/tillsynsmail/A 43740-2021 tillsynsbegäran mail.docx", "A 43740-2021")</f>
        <v/>
      </c>
    </row>
    <row r="41" ht="15" customHeight="1">
      <c r="A41" t="inlineStr">
        <is>
          <t>A 19492-2025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45770</v>
      </c>
      <c r="E41" s="1" t="n">
        <v>46227</v>
      </c>
      <c r="F41" t="inlineStr">
        <is>
          <t>VÄSTERBOTTENS LÄN</t>
        </is>
      </c>
      <c r="G41" t="inlineStr">
        <is>
          <t>LYCKSELE</t>
        </is>
      </c>
      <c r="H41" t="inlineStr">
        <is>
          <t>SCA</t>
        </is>
      </c>
      <c r="I41" t="n">
        <v>14.2</v>
      </c>
      <c r="J41" t="n">
        <v>0</v>
      </c>
      <c r="K41" t="n">
        <v>1</v>
      </c>
      <c r="L41" t="n">
        <v>2</v>
      </c>
      <c r="M41" t="n">
        <v>1</v>
      </c>
      <c r="N41" t="n">
        <v>0</v>
      </c>
      <c r="O41" t="n">
        <v>0</v>
      </c>
      <c r="P41" t="n">
        <v>0</v>
      </c>
      <c r="Q41" t="n">
        <v>3</v>
      </c>
      <c r="R41" t="n">
        <v>1</v>
      </c>
      <c r="S41" t="n">
        <v>4</v>
      </c>
      <c r="T41" t="n">
        <v>6</v>
      </c>
      <c r="U41" t="n">
        <v>0</v>
      </c>
      <c r="V41" s="2" t="inlineStr">
        <is>
          <t>Garnlav
Lunglav
Skrovellav
Stuplav</t>
        </is>
      </c>
      <c r="W41">
        <f>HYPERLINK("https://klasma.github.io/Logging_2481/artfynd/A 19492-2025 artfynd.xlsx", "A 19492-2025")</f>
        <v/>
      </c>
      <c r="X41">
        <f>HYPERLINK("https://klasma.github.io/Logging_2481/kartor/A 19492-2025 karta.png", "A 19492-2025")</f>
        <v/>
      </c>
      <c r="Y41">
        <f>HYPERLINK("https://klasma.github.io/Logging_2481/kartor_geotiff/A 19492-2025 georefererad karta.tif", "A 19492-2025")</f>
        <v/>
      </c>
      <c r="AA41">
        <f>HYPERLINK("https://klasma.github.io/Logging_2481/klagomål/A 19492-2025 FSC-klagomål.docx", "A 19492-2025")</f>
        <v/>
      </c>
      <c r="AB41">
        <f>HYPERLINK("https://klasma.github.io/Logging_2481/klagomålsmail/A 19492-2025 FSC-klagomål mail.docx", "A 19492-2025")</f>
        <v/>
      </c>
      <c r="AC41">
        <f>HYPERLINK("https://klasma.github.io/Logging_2481/tillsyn/A 19492-2025 tillsynsbegäran.docx", "A 19492-2025")</f>
        <v/>
      </c>
      <c r="AD41">
        <f>HYPERLINK("https://klasma.github.io/Logging_2481/tillsynsmail/A 19492-2025 tillsynsbegäran mail.docx", "A 19492-2025")</f>
        <v/>
      </c>
    </row>
    <row r="42" ht="15" customHeight="1">
      <c r="A42" t="inlineStr">
        <is>
          <t>A 55509-2025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45971</v>
      </c>
      <c r="E42" s="1" t="n">
        <v>46227</v>
      </c>
      <c r="F42" t="inlineStr">
        <is>
          <t>VÄSTERBOTTENS LÄN</t>
        </is>
      </c>
      <c r="G42" t="inlineStr">
        <is>
          <t>LYCKSELE</t>
        </is>
      </c>
      <c r="I42" t="n">
        <v>12.2</v>
      </c>
      <c r="J42" t="n">
        <v>1</v>
      </c>
      <c r="K42" t="n">
        <v>0</v>
      </c>
      <c r="L42" t="n">
        <v>3</v>
      </c>
      <c r="M42" t="n">
        <v>1</v>
      </c>
      <c r="N42" t="n">
        <v>0</v>
      </c>
      <c r="O42" t="n">
        <v>0</v>
      </c>
      <c r="P42" t="n">
        <v>0</v>
      </c>
      <c r="Q42" t="n">
        <v>4</v>
      </c>
      <c r="R42" t="n">
        <v>1</v>
      </c>
      <c r="S42" t="n">
        <v>4</v>
      </c>
      <c r="T42" t="n">
        <v>10</v>
      </c>
      <c r="U42" t="n">
        <v>0</v>
      </c>
      <c r="V42" s="2" t="inlineStr">
        <is>
          <t>Doftticka
Doftskinn
Lunglav
Stiftgelélav</t>
        </is>
      </c>
      <c r="W42">
        <f>HYPERLINK("https://klasma.github.io/Logging_2481/artfynd/A 55509-2025 artfynd.xlsx", "A 55509-2025")</f>
        <v/>
      </c>
      <c r="X42">
        <f>HYPERLINK("https://klasma.github.io/Logging_2481/kartor/A 55509-2025 karta.png", "A 55509-2025")</f>
        <v/>
      </c>
      <c r="Y42">
        <f>HYPERLINK("https://klasma.github.io/Logging_2481/kartor_geotiff/A 55509-2025 georefererad karta.tif", "A 55509-2025")</f>
        <v/>
      </c>
      <c r="AA42">
        <f>HYPERLINK("https://klasma.github.io/Logging_2481/klagomål/A 55509-2025 FSC-klagomål.docx", "A 55509-2025")</f>
        <v/>
      </c>
      <c r="AB42">
        <f>HYPERLINK("https://klasma.github.io/Logging_2481/klagomålsmail/A 55509-2025 FSC-klagomål mail.docx", "A 55509-2025")</f>
        <v/>
      </c>
      <c r="AC42">
        <f>HYPERLINK("https://klasma.github.io/Logging_2481/tillsyn/A 55509-2025 tillsynsbegäran.docx", "A 55509-2025")</f>
        <v/>
      </c>
      <c r="AD42">
        <f>HYPERLINK("https://klasma.github.io/Logging_2481/tillsynsmail/A 55509-2025 tillsynsbegäran mail.docx", "A 55509-2025")</f>
        <v/>
      </c>
    </row>
    <row r="43" ht="15" customHeight="1">
      <c r="A43" t="inlineStr">
        <is>
          <t>A 27068-2025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45811</v>
      </c>
      <c r="E43" s="1" t="n">
        <v>46227</v>
      </c>
      <c r="F43" t="inlineStr">
        <is>
          <t>VÄSTERBOTTENS LÄN</t>
        </is>
      </c>
      <c r="G43" t="inlineStr">
        <is>
          <t>LYCKSELE</t>
        </is>
      </c>
      <c r="H43" t="inlineStr">
        <is>
          <t>Sveaskog</t>
        </is>
      </c>
      <c r="I43" t="n">
        <v>3.3</v>
      </c>
      <c r="J43" t="n">
        <v>0</v>
      </c>
      <c r="K43" t="n">
        <v>0</v>
      </c>
      <c r="L43" t="n">
        <v>4</v>
      </c>
      <c r="M43" t="n">
        <v>0</v>
      </c>
      <c r="N43" t="n">
        <v>0</v>
      </c>
      <c r="O43" t="n">
        <v>0</v>
      </c>
      <c r="P43" t="n">
        <v>0</v>
      </c>
      <c r="Q43" t="n">
        <v>4</v>
      </c>
      <c r="R43" t="n">
        <v>0</v>
      </c>
      <c r="S43" t="n">
        <v>4</v>
      </c>
      <c r="T43" t="n">
        <v>4</v>
      </c>
      <c r="U43" t="n">
        <v>4</v>
      </c>
      <c r="V43" s="2" t="inlineStr">
        <is>
          <t>Blå taggsvamp
Dropptaggsvamp
Kolflarnlav
Motaggsvamp</t>
        </is>
      </c>
      <c r="W43">
        <f>HYPERLINK("https://klasma.github.io/Logging_2481/artfynd/A 27068-2025 artfynd.xlsx", "A 27068-2025")</f>
        <v/>
      </c>
      <c r="X43">
        <f>HYPERLINK("https://klasma.github.io/Logging_2481/kartor/A 27068-2025 karta.png", "A 27068-2025")</f>
        <v/>
      </c>
      <c r="Y43">
        <f>HYPERLINK("https://klasma.github.io/Logging_2481/kartor_geotiff/A 27068-2025 georefererad karta.tif", "A 27068-2025")</f>
        <v/>
      </c>
      <c r="AA43">
        <f>HYPERLINK("https://klasma.github.io/Logging_2481/klagomål/A 27068-2025 FSC-klagomål.docx", "A 27068-2025")</f>
        <v/>
      </c>
      <c r="AB43">
        <f>HYPERLINK("https://klasma.github.io/Logging_2481/klagomålsmail/A 27068-2025 FSC-klagomål mail.docx", "A 27068-2025")</f>
        <v/>
      </c>
      <c r="AC43">
        <f>HYPERLINK("https://klasma.github.io/Logging_2481/tillsyn/A 27068-2025 tillsynsbegäran.docx", "A 27068-2025")</f>
        <v/>
      </c>
      <c r="AD43">
        <f>HYPERLINK("https://klasma.github.io/Logging_2481/tillsynsmail/A 27068-2025 tillsynsbegäran mail.docx", "A 27068-2025")</f>
        <v/>
      </c>
    </row>
    <row r="44" ht="15" customHeight="1">
      <c r="A44" t="inlineStr">
        <is>
          <t>A 43680-2025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45912</v>
      </c>
      <c r="E44" s="1" t="n">
        <v>46227</v>
      </c>
      <c r="F44" t="inlineStr">
        <is>
          <t>VÄSTERBOTTENS LÄN</t>
        </is>
      </c>
      <c r="G44" t="inlineStr">
        <is>
          <t>LYCKSELE</t>
        </is>
      </c>
      <c r="H44" t="inlineStr">
        <is>
          <t>Sveaskog</t>
        </is>
      </c>
      <c r="I44" t="n">
        <v>5.3</v>
      </c>
      <c r="J44" t="n">
        <v>1</v>
      </c>
      <c r="K44" t="n">
        <v>1</v>
      </c>
      <c r="L44" t="n">
        <v>2</v>
      </c>
      <c r="M44" t="n">
        <v>1</v>
      </c>
      <c r="N44" t="n">
        <v>0</v>
      </c>
      <c r="O44" t="n">
        <v>0</v>
      </c>
      <c r="P44" t="n">
        <v>0</v>
      </c>
      <c r="Q44" t="n">
        <v>3</v>
      </c>
      <c r="R44" t="n">
        <v>1</v>
      </c>
      <c r="S44" t="n">
        <v>4</v>
      </c>
      <c r="T44" t="n">
        <v>4</v>
      </c>
      <c r="U44" t="n">
        <v>4</v>
      </c>
      <c r="V44" s="2" t="inlineStr">
        <is>
          <t>Garnlav
Dropptaggsvamp
Kolflarnlav
Plattlummer</t>
        </is>
      </c>
      <c r="W44">
        <f>HYPERLINK("https://klasma.github.io/Logging_2481/artfynd/A 43680-2025 artfynd.xlsx", "A 43680-2025")</f>
        <v/>
      </c>
      <c r="X44">
        <f>HYPERLINK("https://klasma.github.io/Logging_2481/kartor/A 43680-2025 karta.png", "A 43680-2025")</f>
        <v/>
      </c>
      <c r="Y44">
        <f>HYPERLINK("https://klasma.github.io/Logging_2481/kartor_geotiff/A 43680-2025 georefererad karta.tif", "A 43680-2025")</f>
        <v/>
      </c>
      <c r="AA44">
        <f>HYPERLINK("https://klasma.github.io/Logging_2481/klagomål/A 43680-2025 FSC-klagomål.docx", "A 43680-2025")</f>
        <v/>
      </c>
      <c r="AB44">
        <f>HYPERLINK("https://klasma.github.io/Logging_2481/klagomålsmail/A 43680-2025 FSC-klagomål mail.docx", "A 43680-2025")</f>
        <v/>
      </c>
      <c r="AC44">
        <f>HYPERLINK("https://klasma.github.io/Logging_2481/tillsyn/A 43680-2025 tillsynsbegäran.docx", "A 43680-2025")</f>
        <v/>
      </c>
      <c r="AD44">
        <f>HYPERLINK("https://klasma.github.io/Logging_2481/tillsynsmail/A 43680-2025 tillsynsbegäran mail.docx", "A 43680-2025")</f>
        <v/>
      </c>
    </row>
    <row r="45" ht="15" customHeight="1">
      <c r="A45" t="inlineStr">
        <is>
          <t>A 53094-2024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45611</v>
      </c>
      <c r="E45" s="1" t="n">
        <v>46227</v>
      </c>
      <c r="F45" t="inlineStr">
        <is>
          <t>VÄSTERBOTTENS LÄN</t>
        </is>
      </c>
      <c r="G45" t="inlineStr">
        <is>
          <t>LYCKSELE</t>
        </is>
      </c>
      <c r="H45" t="inlineStr">
        <is>
          <t>Sveaskog</t>
        </is>
      </c>
      <c r="I45" t="n">
        <v>5.4</v>
      </c>
      <c r="J45" t="n">
        <v>0</v>
      </c>
      <c r="K45" t="n">
        <v>0</v>
      </c>
      <c r="L45" t="n">
        <v>4</v>
      </c>
      <c r="M45" t="n">
        <v>0</v>
      </c>
      <c r="N45" t="n">
        <v>0</v>
      </c>
      <c r="O45" t="n">
        <v>0</v>
      </c>
      <c r="P45" t="n">
        <v>0</v>
      </c>
      <c r="Q45" t="n">
        <v>4</v>
      </c>
      <c r="R45" t="n">
        <v>0</v>
      </c>
      <c r="S45" t="n">
        <v>4</v>
      </c>
      <c r="T45" t="n">
        <v>4</v>
      </c>
      <c r="U45" t="n">
        <v>4</v>
      </c>
      <c r="V45" s="2" t="inlineStr">
        <is>
          <t>Blå taggsvamp
Kolflarnlav
Lunglav
Motaggsvamp</t>
        </is>
      </c>
      <c r="W45">
        <f>HYPERLINK("https://klasma.github.io/Logging_2481/artfynd/A 53094-2024 artfynd.xlsx", "A 53094-2024")</f>
        <v/>
      </c>
      <c r="X45">
        <f>HYPERLINK("https://klasma.github.io/Logging_2481/kartor/A 53094-2024 karta.png", "A 53094-2024")</f>
        <v/>
      </c>
      <c r="Y45">
        <f>HYPERLINK("https://klasma.github.io/Logging_2481/kartor_geotiff/A 53094-2024 georefererad karta.tif", "A 53094-2024")</f>
        <v/>
      </c>
      <c r="AA45">
        <f>HYPERLINK("https://klasma.github.io/Logging_2481/klagomål/A 53094-2024 FSC-klagomål.docx", "A 53094-2024")</f>
        <v/>
      </c>
      <c r="AB45">
        <f>HYPERLINK("https://klasma.github.io/Logging_2481/klagomålsmail/A 53094-2024 FSC-klagomål mail.docx", "A 53094-2024")</f>
        <v/>
      </c>
      <c r="AC45">
        <f>HYPERLINK("https://klasma.github.io/Logging_2481/tillsyn/A 53094-2024 tillsynsbegäran.docx", "A 53094-2024")</f>
        <v/>
      </c>
      <c r="AD45">
        <f>HYPERLINK("https://klasma.github.io/Logging_2481/tillsynsmail/A 53094-2024 tillsynsbegäran mail.docx", "A 53094-2024")</f>
        <v/>
      </c>
    </row>
    <row r="46" ht="15" customHeight="1">
      <c r="A46" t="inlineStr">
        <is>
          <t>A 58534-2024</t>
        </is>
      </c>
      <c r="B46" t="inlineStr">
        <is>
          <t>avverkningsanmälan</t>
        </is>
      </c>
      <c r="C46" t="inlineStr">
        <is>
          <t>Avverkning för annat ändamål</t>
        </is>
      </c>
      <c r="D46" s="1" t="n">
        <v>45635</v>
      </c>
      <c r="E46" s="1" t="n">
        <v>46227</v>
      </c>
      <c r="F46" t="inlineStr">
        <is>
          <t>VÄSTERBOTTENS LÄN</t>
        </is>
      </c>
      <c r="G46" t="inlineStr">
        <is>
          <t>LYCKSELE</t>
        </is>
      </c>
      <c r="H46" t="inlineStr">
        <is>
          <t>Holmen skog AB</t>
        </is>
      </c>
      <c r="I46" t="n">
        <v>4.1</v>
      </c>
      <c r="J46" t="n">
        <v>3</v>
      </c>
      <c r="K46" t="n">
        <v>1</v>
      </c>
      <c r="L46" t="n">
        <v>0</v>
      </c>
      <c r="M46" t="n">
        <v>1</v>
      </c>
      <c r="N46" t="n">
        <v>0</v>
      </c>
      <c r="O46" t="n">
        <v>0</v>
      </c>
      <c r="P46" t="n">
        <v>0</v>
      </c>
      <c r="Q46" t="n">
        <v>1</v>
      </c>
      <c r="R46" t="n">
        <v>1</v>
      </c>
      <c r="S46" t="n">
        <v>4</v>
      </c>
      <c r="T46" t="n">
        <v>8</v>
      </c>
      <c r="U46" t="n">
        <v>0</v>
      </c>
      <c r="V46" s="2" t="inlineStr">
        <is>
          <t>Garnlav
Spindelblomster
Fläcknycklar
Revlummer</t>
        </is>
      </c>
      <c r="W46">
        <f>HYPERLINK("https://klasma.github.io/Logging_2481/artfynd/A 58534-2024 artfynd.xlsx", "A 58534-2024")</f>
        <v/>
      </c>
      <c r="X46">
        <f>HYPERLINK("https://klasma.github.io/Logging_2481/kartor/A 58534-2024 karta.png", "A 58534-2024")</f>
        <v/>
      </c>
      <c r="Y46">
        <f>HYPERLINK("https://klasma.github.io/Logging_2481/kartor_geotiff/A 58534-2024 georefererad karta.tif", "A 58534-2024")</f>
        <v/>
      </c>
      <c r="AA46">
        <f>HYPERLINK("https://klasma.github.io/Logging_2481/klagomål/A 58534-2024 FSC-klagomål.docx", "A 58534-2024")</f>
        <v/>
      </c>
      <c r="AB46">
        <f>HYPERLINK("https://klasma.github.io/Logging_2481/klagomålsmail/A 58534-2024 FSC-klagomål mail.docx", "A 58534-2024")</f>
        <v/>
      </c>
      <c r="AC46">
        <f>HYPERLINK("https://klasma.github.io/Logging_2481/tillsyn/A 58534-2024 tillsynsbegäran.docx", "A 58534-2024")</f>
        <v/>
      </c>
      <c r="AD46">
        <f>HYPERLINK("https://klasma.github.io/Logging_2481/tillsynsmail/A 58534-2024 tillsynsbegäran mail.docx", "A 58534-2024")</f>
        <v/>
      </c>
    </row>
    <row r="47" ht="15" customHeight="1">
      <c r="A47" t="inlineStr">
        <is>
          <t>A 73357-2021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44551</v>
      </c>
      <c r="E47" s="1" t="n">
        <v>46227</v>
      </c>
      <c r="F47" t="inlineStr">
        <is>
          <t>VÄSTERBOTTENS LÄN</t>
        </is>
      </c>
      <c r="G47" t="inlineStr">
        <is>
          <t>LYCKSELE</t>
        </is>
      </c>
      <c r="I47" t="n">
        <v>11.3</v>
      </c>
      <c r="J47" t="n">
        <v>2</v>
      </c>
      <c r="K47" t="n">
        <v>1</v>
      </c>
      <c r="L47" t="n">
        <v>2</v>
      </c>
      <c r="M47" t="n">
        <v>1</v>
      </c>
      <c r="N47" t="n">
        <v>0</v>
      </c>
      <c r="O47" t="n">
        <v>0</v>
      </c>
      <c r="P47" t="n">
        <v>0</v>
      </c>
      <c r="Q47" t="n">
        <v>3</v>
      </c>
      <c r="R47" t="n">
        <v>1</v>
      </c>
      <c r="S47" t="n">
        <v>4</v>
      </c>
      <c r="T47" t="n">
        <v>5</v>
      </c>
      <c r="U47" t="n">
        <v>5</v>
      </c>
      <c r="V47" s="2" t="inlineStr">
        <is>
          <t>Garnlav
Gammelgransskål
Tretåig hackspett
Spindelblomster</t>
        </is>
      </c>
      <c r="W47">
        <f>HYPERLINK("https://klasma.github.io/Logging_2481/artfynd/A 73357-2021 artfynd.xlsx", "A 73357-2021")</f>
        <v/>
      </c>
      <c r="X47">
        <f>HYPERLINK("https://klasma.github.io/Logging_2481/kartor/A 73357-2021 karta.png", "A 73357-2021")</f>
        <v/>
      </c>
      <c r="Y47">
        <f>HYPERLINK("https://klasma.github.io/Logging_2481/kartor_geotiff/A 73357-2021 georefererad karta.tif", "A 73357-2021")</f>
        <v/>
      </c>
      <c r="AA47">
        <f>HYPERLINK("https://klasma.github.io/Logging_2481/klagomål/A 73357-2021 FSC-klagomål.docx", "A 73357-2021")</f>
        <v/>
      </c>
      <c r="AB47">
        <f>HYPERLINK("https://klasma.github.io/Logging_2481/klagomålsmail/A 73357-2021 FSC-klagomål mail.docx", "A 73357-2021")</f>
        <v/>
      </c>
      <c r="AC47">
        <f>HYPERLINK("https://klasma.github.io/Logging_2481/tillsyn/A 73357-2021 tillsynsbegäran.docx", "A 73357-2021")</f>
        <v/>
      </c>
      <c r="AD47">
        <f>HYPERLINK("https://klasma.github.io/Logging_2481/tillsynsmail/A 73357-2021 tillsynsbegäran mail.docx", "A 73357-2021")</f>
        <v/>
      </c>
      <c r="AE47">
        <f>HYPERLINK("https://klasma.github.io/Logging_2481/fåglar/A 73357-2021 prioriterade fågelarter.docx", "A 73357-2021")</f>
        <v/>
      </c>
    </row>
    <row r="48" ht="15" customHeight="1">
      <c r="A48" t="inlineStr">
        <is>
          <t>A 30083-2026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46206</v>
      </c>
      <c r="E48" s="1" t="n">
        <v>46227</v>
      </c>
      <c r="F48" t="inlineStr">
        <is>
          <t>VÄSTERBOTTENS LÄN</t>
        </is>
      </c>
      <c r="G48" t="inlineStr">
        <is>
          <t>LYCKSELE</t>
        </is>
      </c>
      <c r="H48" t="inlineStr">
        <is>
          <t>Sveaskog</t>
        </is>
      </c>
      <c r="I48" t="n">
        <v>15.8</v>
      </c>
      <c r="J48" t="n">
        <v>0</v>
      </c>
      <c r="K48" t="n">
        <v>0</v>
      </c>
      <c r="L48" t="n">
        <v>4</v>
      </c>
      <c r="M48" t="n">
        <v>0</v>
      </c>
      <c r="N48" t="n">
        <v>0</v>
      </c>
      <c r="O48" t="n">
        <v>0</v>
      </c>
      <c r="P48" t="n">
        <v>0</v>
      </c>
      <c r="Q48" t="n">
        <v>4</v>
      </c>
      <c r="R48" t="n">
        <v>0</v>
      </c>
      <c r="S48" t="n">
        <v>4</v>
      </c>
      <c r="T48" t="n">
        <v>4</v>
      </c>
      <c r="U48" t="n">
        <v>3</v>
      </c>
      <c r="V48" s="2" t="inlineStr">
        <is>
          <t>Kolflarnlav
Lunglav
Skrovellav
Vedflamlav</t>
        </is>
      </c>
      <c r="W48">
        <f>HYPERLINK("https://klasma.github.io/Logging_2481/artfynd/A 30083-2026 artfynd.xlsx", "A 30083-2026")</f>
        <v/>
      </c>
      <c r="X48">
        <f>HYPERLINK("https://klasma.github.io/Logging_2481/kartor/A 30083-2026 karta.png", "A 30083-2026")</f>
        <v/>
      </c>
      <c r="Y48">
        <f>HYPERLINK("https://klasma.github.io/Logging_2481/kartor_geotiff/A 30083-2026 georefererad karta.tif", "A 30083-2026")</f>
        <v/>
      </c>
      <c r="AA48">
        <f>HYPERLINK("https://klasma.github.io/Logging_2481/klagomål/A 30083-2026 FSC-klagomål.docx", "A 30083-2026")</f>
        <v/>
      </c>
      <c r="AB48">
        <f>HYPERLINK("https://klasma.github.io/Logging_2481/klagomålsmail/A 30083-2026 FSC-klagomål mail.docx", "A 30083-2026")</f>
        <v/>
      </c>
      <c r="AC48">
        <f>HYPERLINK("https://klasma.github.io/Logging_2481/tillsyn/A 30083-2026 tillsynsbegäran.docx", "A 30083-2026")</f>
        <v/>
      </c>
      <c r="AD48">
        <f>HYPERLINK("https://klasma.github.io/Logging_2481/tillsynsmail/A 30083-2026 tillsynsbegäran mail.docx", "A 30083-2026")</f>
        <v/>
      </c>
    </row>
    <row r="49" ht="15" customHeight="1">
      <c r="A49" t="inlineStr">
        <is>
          <t>A 61747-2021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44501</v>
      </c>
      <c r="E49" s="1" t="n">
        <v>46227</v>
      </c>
      <c r="F49" t="inlineStr">
        <is>
          <t>VÄSTERBOTTENS LÄN</t>
        </is>
      </c>
      <c r="G49" t="inlineStr">
        <is>
          <t>LYCKSELE</t>
        </is>
      </c>
      <c r="H49" t="inlineStr">
        <is>
          <t>Sveaskog</t>
        </is>
      </c>
      <c r="I49" t="n">
        <v>15.1</v>
      </c>
      <c r="J49" t="n">
        <v>0</v>
      </c>
      <c r="K49" t="n">
        <v>0</v>
      </c>
      <c r="L49" t="n">
        <v>3</v>
      </c>
      <c r="M49" t="n">
        <v>0</v>
      </c>
      <c r="N49" t="n">
        <v>0</v>
      </c>
      <c r="O49" t="n">
        <v>0</v>
      </c>
      <c r="P49" t="n">
        <v>0</v>
      </c>
      <c r="Q49" t="n">
        <v>3</v>
      </c>
      <c r="R49" t="n">
        <v>0</v>
      </c>
      <c r="S49" t="n">
        <v>3</v>
      </c>
      <c r="T49" t="n">
        <v>5</v>
      </c>
      <c r="U49" t="n">
        <v>2</v>
      </c>
      <c r="V49" s="2" t="inlineStr">
        <is>
          <t>Dropptaggsvamp
Fjällig taggsvamp s.str.
Vaddporing</t>
        </is>
      </c>
      <c r="W49">
        <f>HYPERLINK("https://klasma.github.io/Logging_2481/artfynd/A 61747-2021 artfynd.xlsx", "A 61747-2021")</f>
        <v/>
      </c>
      <c r="X49">
        <f>HYPERLINK("https://klasma.github.io/Logging_2481/kartor/A 61747-2021 karta.png", "A 61747-2021")</f>
        <v/>
      </c>
      <c r="Y49">
        <f>HYPERLINK("https://klasma.github.io/Logging_2481/kartor_geotiff/A 61747-2021 georefererad karta.tif", "A 61747-2021")</f>
        <v/>
      </c>
      <c r="AA49">
        <f>HYPERLINK("https://klasma.github.io/Logging_2481/klagomål/A 61747-2021 FSC-klagomål.docx", "A 61747-2021")</f>
        <v/>
      </c>
      <c r="AB49">
        <f>HYPERLINK("https://klasma.github.io/Logging_2481/klagomålsmail/A 61747-2021 FSC-klagomål mail.docx", "A 61747-2021")</f>
        <v/>
      </c>
      <c r="AC49">
        <f>HYPERLINK("https://klasma.github.io/Logging_2481/tillsyn/A 61747-2021 tillsynsbegäran.docx", "A 61747-2021")</f>
        <v/>
      </c>
      <c r="AD49">
        <f>HYPERLINK("https://klasma.github.io/Logging_2481/tillsynsmail/A 61747-2021 tillsynsbegäran mail.docx", "A 61747-2021")</f>
        <v/>
      </c>
    </row>
    <row r="50" ht="15" customHeight="1">
      <c r="A50" t="inlineStr">
        <is>
          <t>A 70179-2021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44533</v>
      </c>
      <c r="E50" s="1" t="n">
        <v>46227</v>
      </c>
      <c r="F50" t="inlineStr">
        <is>
          <t>VÄSTERBOTTENS LÄN</t>
        </is>
      </c>
      <c r="G50" t="inlineStr">
        <is>
          <t>LYCKSELE</t>
        </is>
      </c>
      <c r="I50" t="n">
        <v>5.2</v>
      </c>
      <c r="J50" t="n">
        <v>1</v>
      </c>
      <c r="K50" t="n">
        <v>0</v>
      </c>
      <c r="L50" t="n">
        <v>3</v>
      </c>
      <c r="M50" t="n">
        <v>0</v>
      </c>
      <c r="N50" t="n">
        <v>0</v>
      </c>
      <c r="O50" t="n">
        <v>0</v>
      </c>
      <c r="P50" t="n">
        <v>0</v>
      </c>
      <c r="Q50" t="n">
        <v>3</v>
      </c>
      <c r="R50" t="n">
        <v>0</v>
      </c>
      <c r="S50" t="n">
        <v>3</v>
      </c>
      <c r="T50" t="n">
        <v>3</v>
      </c>
      <c r="U50" t="n">
        <v>3</v>
      </c>
      <c r="V50" s="2" t="inlineStr">
        <is>
          <t>Blanksvart spiklav
Tretåig hackspett
Vedflamlav</t>
        </is>
      </c>
      <c r="W50">
        <f>HYPERLINK("https://klasma.github.io/Logging_2481/artfynd/A 70179-2021 artfynd.xlsx", "A 70179-2021")</f>
        <v/>
      </c>
      <c r="X50">
        <f>HYPERLINK("https://klasma.github.io/Logging_2481/kartor/A 70179-2021 karta.png", "A 70179-2021")</f>
        <v/>
      </c>
      <c r="Y50">
        <f>HYPERLINK("https://klasma.github.io/Logging_2481/kartor_geotiff/A 70179-2021 georefererad karta.tif", "A 70179-2021")</f>
        <v/>
      </c>
      <c r="AA50">
        <f>HYPERLINK("https://klasma.github.io/Logging_2481/klagomål/A 70179-2021 FSC-klagomål.docx", "A 70179-2021")</f>
        <v/>
      </c>
      <c r="AB50">
        <f>HYPERLINK("https://klasma.github.io/Logging_2481/klagomålsmail/A 70179-2021 FSC-klagomål mail.docx", "A 70179-2021")</f>
        <v/>
      </c>
      <c r="AC50">
        <f>HYPERLINK("https://klasma.github.io/Logging_2481/tillsyn/A 70179-2021 tillsynsbegäran.docx", "A 70179-2021")</f>
        <v/>
      </c>
      <c r="AD50">
        <f>HYPERLINK("https://klasma.github.io/Logging_2481/tillsynsmail/A 70179-2021 tillsynsbegäran mail.docx", "A 70179-2021")</f>
        <v/>
      </c>
      <c r="AE50">
        <f>HYPERLINK("https://klasma.github.io/Logging_2481/fåglar/A 70179-2021 prioriterade fågelarter.docx", "A 70179-2021")</f>
        <v/>
      </c>
    </row>
    <row r="51" ht="15" customHeight="1">
      <c r="A51" t="inlineStr">
        <is>
          <t>A 61497-2021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44501</v>
      </c>
      <c r="E51" s="1" t="n">
        <v>46227</v>
      </c>
      <c r="F51" t="inlineStr">
        <is>
          <t>VÄSTERBOTTENS LÄN</t>
        </is>
      </c>
      <c r="G51" t="inlineStr">
        <is>
          <t>LYCKSELE</t>
        </is>
      </c>
      <c r="H51" t="inlineStr">
        <is>
          <t>Sveaskog</t>
        </is>
      </c>
      <c r="I51" t="n">
        <v>8</v>
      </c>
      <c r="J51" t="n">
        <v>0</v>
      </c>
      <c r="K51" t="n">
        <v>0</v>
      </c>
      <c r="L51" t="n">
        <v>2</v>
      </c>
      <c r="M51" t="n">
        <v>1</v>
      </c>
      <c r="N51" t="n">
        <v>0</v>
      </c>
      <c r="O51" t="n">
        <v>0</v>
      </c>
      <c r="P51" t="n">
        <v>0</v>
      </c>
      <c r="Q51" t="n">
        <v>3</v>
      </c>
      <c r="R51" t="n">
        <v>1</v>
      </c>
      <c r="S51" t="n">
        <v>3</v>
      </c>
      <c r="T51" t="n">
        <v>3</v>
      </c>
      <c r="U51" t="n">
        <v>0</v>
      </c>
      <c r="V51" s="2" t="inlineStr">
        <is>
          <t>Jättemusseron
Dvärgbägarlav
Vaddporing</t>
        </is>
      </c>
      <c r="W51">
        <f>HYPERLINK("https://klasma.github.io/Logging_2481/artfynd/A 61497-2021 artfynd.xlsx", "A 61497-2021")</f>
        <v/>
      </c>
      <c r="X51">
        <f>HYPERLINK("https://klasma.github.io/Logging_2481/kartor/A 61497-2021 karta.png", "A 61497-2021")</f>
        <v/>
      </c>
      <c r="Y51">
        <f>HYPERLINK("https://klasma.github.io/Logging_2481/kartor_geotiff/A 61497-2021 georefererad karta.tif", "A 61497-2021")</f>
        <v/>
      </c>
      <c r="AA51">
        <f>HYPERLINK("https://klasma.github.io/Logging_2481/klagomål/A 61497-2021 FSC-klagomål.docx", "A 61497-2021")</f>
        <v/>
      </c>
      <c r="AB51">
        <f>HYPERLINK("https://klasma.github.io/Logging_2481/klagomålsmail/A 61497-2021 FSC-klagomål mail.docx", "A 61497-2021")</f>
        <v/>
      </c>
      <c r="AC51">
        <f>HYPERLINK("https://klasma.github.io/Logging_2481/tillsyn/A 61497-2021 tillsynsbegäran.docx", "A 61497-2021")</f>
        <v/>
      </c>
      <c r="AD51">
        <f>HYPERLINK("https://klasma.github.io/Logging_2481/tillsynsmail/A 61497-2021 tillsynsbegäran mail.docx", "A 61497-2021")</f>
        <v/>
      </c>
    </row>
    <row r="52" ht="15" customHeight="1">
      <c r="A52" t="inlineStr">
        <is>
          <t>A 74179-2021</t>
        </is>
      </c>
      <c r="B52" t="inlineStr">
        <is>
          <t>avverkningsanmälan</t>
        </is>
      </c>
      <c r="C52" t="inlineStr">
        <is>
          <t>Avverkning för annat ändamål</t>
        </is>
      </c>
      <c r="D52" s="1" t="n">
        <v>44558</v>
      </c>
      <c r="E52" s="1" t="n">
        <v>46227</v>
      </c>
      <c r="F52" t="inlineStr">
        <is>
          <t>VÄSTERBOTTENS LÄN</t>
        </is>
      </c>
      <c r="G52" t="inlineStr">
        <is>
          <t>LYCKSELE</t>
        </is>
      </c>
      <c r="I52" t="n">
        <v>3.1</v>
      </c>
      <c r="J52" t="n">
        <v>1</v>
      </c>
      <c r="K52" t="n">
        <v>0</v>
      </c>
      <c r="L52" t="n">
        <v>1</v>
      </c>
      <c r="M52" t="n">
        <v>1</v>
      </c>
      <c r="N52" t="n">
        <v>0</v>
      </c>
      <c r="O52" t="n">
        <v>0</v>
      </c>
      <c r="P52" t="n">
        <v>0</v>
      </c>
      <c r="Q52" t="n">
        <v>2</v>
      </c>
      <c r="R52" t="n">
        <v>1</v>
      </c>
      <c r="S52" t="n">
        <v>3</v>
      </c>
      <c r="T52" t="n">
        <v>3</v>
      </c>
      <c r="U52" t="n">
        <v>3</v>
      </c>
      <c r="V52" s="2" t="inlineStr">
        <is>
          <t>Garnlav
Violettgrå tagellav
Spillkråka</t>
        </is>
      </c>
      <c r="W52">
        <f>HYPERLINK("https://klasma.github.io/Logging_2481/artfynd/A 74179-2021 artfynd.xlsx", "A 74179-2021")</f>
        <v/>
      </c>
      <c r="X52">
        <f>HYPERLINK("https://klasma.github.io/Logging_2481/kartor/A 74179-2021 karta.png", "A 74179-2021")</f>
        <v/>
      </c>
      <c r="Y52">
        <f>HYPERLINK("https://klasma.github.io/Logging_2481/kartor_geotiff/A 74179-2021 georefererad karta.tif", "A 74179-2021")</f>
        <v/>
      </c>
      <c r="AA52">
        <f>HYPERLINK("https://klasma.github.io/Logging_2481/klagomål/A 74179-2021 FSC-klagomål.docx", "A 74179-2021")</f>
        <v/>
      </c>
      <c r="AB52">
        <f>HYPERLINK("https://klasma.github.io/Logging_2481/klagomålsmail/A 74179-2021 FSC-klagomål mail.docx", "A 74179-2021")</f>
        <v/>
      </c>
      <c r="AC52">
        <f>HYPERLINK("https://klasma.github.io/Logging_2481/tillsyn/A 74179-2021 tillsynsbegäran.docx", "A 74179-2021")</f>
        <v/>
      </c>
      <c r="AD52">
        <f>HYPERLINK("https://klasma.github.io/Logging_2481/tillsynsmail/A 74179-2021 tillsynsbegäran mail.docx", "A 74179-2021")</f>
        <v/>
      </c>
      <c r="AE52">
        <f>HYPERLINK("https://klasma.github.io/Logging_2481/fåglar/A 74179-2021 prioriterade fågelarter.docx", "A 74179-2021")</f>
        <v/>
      </c>
    </row>
    <row r="53" ht="15" customHeight="1">
      <c r="A53" t="inlineStr">
        <is>
          <t>A 57357-2024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45629</v>
      </c>
      <c r="E53" s="1" t="n">
        <v>46227</v>
      </c>
      <c r="F53" t="inlineStr">
        <is>
          <t>VÄSTERBOTTENS LÄN</t>
        </is>
      </c>
      <c r="G53" t="inlineStr">
        <is>
          <t>LYCKSELE</t>
        </is>
      </c>
      <c r="H53" t="inlineStr">
        <is>
          <t>Sveaskog</t>
        </is>
      </c>
      <c r="I53" t="n">
        <v>9.699999999999999</v>
      </c>
      <c r="J53" t="n">
        <v>0</v>
      </c>
      <c r="K53" t="n">
        <v>0</v>
      </c>
      <c r="L53" t="n">
        <v>2</v>
      </c>
      <c r="M53" t="n">
        <v>1</v>
      </c>
      <c r="N53" t="n">
        <v>0</v>
      </c>
      <c r="O53" t="n">
        <v>0</v>
      </c>
      <c r="P53" t="n">
        <v>0</v>
      </c>
      <c r="Q53" t="n">
        <v>3</v>
      </c>
      <c r="R53" t="n">
        <v>1</v>
      </c>
      <c r="S53" t="n">
        <v>3</v>
      </c>
      <c r="T53" t="n">
        <v>3</v>
      </c>
      <c r="U53" t="n">
        <v>0</v>
      </c>
      <c r="V53" s="2" t="inlineStr">
        <is>
          <t>Garnlav
Doftskinn
Gammelgransskål</t>
        </is>
      </c>
      <c r="W53">
        <f>HYPERLINK("https://klasma.github.io/Logging_2481/artfynd/A 57357-2024 artfynd.xlsx", "A 57357-2024")</f>
        <v/>
      </c>
      <c r="X53">
        <f>HYPERLINK("https://klasma.github.io/Logging_2481/kartor/A 57357-2024 karta.png", "A 57357-2024")</f>
        <v/>
      </c>
      <c r="Y53">
        <f>HYPERLINK("https://klasma.github.io/Logging_2481/kartor_geotiff/A 57357-2024 georefererad karta.tif", "A 57357-2024")</f>
        <v/>
      </c>
      <c r="AA53">
        <f>HYPERLINK("https://klasma.github.io/Logging_2481/klagomål/A 57357-2024 FSC-klagomål.docx", "A 57357-2024")</f>
        <v/>
      </c>
      <c r="AB53">
        <f>HYPERLINK("https://klasma.github.io/Logging_2481/klagomålsmail/A 57357-2024 FSC-klagomål mail.docx", "A 57357-2024")</f>
        <v/>
      </c>
      <c r="AC53">
        <f>HYPERLINK("https://klasma.github.io/Logging_2481/tillsyn/A 57357-2024 tillsynsbegäran.docx", "A 57357-2024")</f>
        <v/>
      </c>
      <c r="AD53">
        <f>HYPERLINK("https://klasma.github.io/Logging_2481/tillsynsmail/A 57357-2024 tillsynsbegäran mail.docx", "A 57357-2024")</f>
        <v/>
      </c>
    </row>
    <row r="54" ht="15" customHeight="1">
      <c r="A54" t="inlineStr">
        <is>
          <t>A 38916-2025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45887</v>
      </c>
      <c r="E54" s="1" t="n">
        <v>46227</v>
      </c>
      <c r="F54" t="inlineStr">
        <is>
          <t>VÄSTERBOTTENS LÄN</t>
        </is>
      </c>
      <c r="G54" t="inlineStr">
        <is>
          <t>LYCKSELE</t>
        </is>
      </c>
      <c r="H54" t="inlineStr">
        <is>
          <t>Sveaskog</t>
        </is>
      </c>
      <c r="I54" t="n">
        <v>3.1</v>
      </c>
      <c r="J54" t="n">
        <v>1</v>
      </c>
      <c r="K54" t="n">
        <v>1</v>
      </c>
      <c r="L54" t="n">
        <v>1</v>
      </c>
      <c r="M54" t="n">
        <v>1</v>
      </c>
      <c r="N54" t="n">
        <v>0</v>
      </c>
      <c r="O54" t="n">
        <v>0</v>
      </c>
      <c r="P54" t="n">
        <v>0</v>
      </c>
      <c r="Q54" t="n">
        <v>2</v>
      </c>
      <c r="R54" t="n">
        <v>1</v>
      </c>
      <c r="S54" t="n">
        <v>3</v>
      </c>
      <c r="T54" t="n">
        <v>3</v>
      </c>
      <c r="U54" t="n">
        <v>3</v>
      </c>
      <c r="V54" s="2" t="inlineStr">
        <is>
          <t>Doftticka
Lunglav
Stuplav</t>
        </is>
      </c>
      <c r="W54">
        <f>HYPERLINK("https://klasma.github.io/Logging_2481/artfynd/A 38916-2025 artfynd.xlsx", "A 38916-2025")</f>
        <v/>
      </c>
      <c r="X54">
        <f>HYPERLINK("https://klasma.github.io/Logging_2481/kartor/A 38916-2025 karta.png", "A 38916-2025")</f>
        <v/>
      </c>
      <c r="Y54">
        <f>HYPERLINK("https://klasma.github.io/Logging_2481/kartor_geotiff/A 38916-2025 georefererad karta.tif", "A 38916-2025")</f>
        <v/>
      </c>
      <c r="AA54">
        <f>HYPERLINK("https://klasma.github.io/Logging_2481/klagomål/A 38916-2025 FSC-klagomål.docx", "A 38916-2025")</f>
        <v/>
      </c>
      <c r="AB54">
        <f>HYPERLINK("https://klasma.github.io/Logging_2481/klagomålsmail/A 38916-2025 FSC-klagomål mail.docx", "A 38916-2025")</f>
        <v/>
      </c>
      <c r="AC54">
        <f>HYPERLINK("https://klasma.github.io/Logging_2481/tillsyn/A 38916-2025 tillsynsbegäran.docx", "A 38916-2025")</f>
        <v/>
      </c>
      <c r="AD54">
        <f>HYPERLINK("https://klasma.github.io/Logging_2481/tillsynsmail/A 38916-2025 tillsynsbegäran mail.docx", "A 38916-2025")</f>
        <v/>
      </c>
    </row>
    <row r="55" ht="15" customHeight="1">
      <c r="A55" t="inlineStr">
        <is>
          <t>A 22123-2025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45785</v>
      </c>
      <c r="E55" s="1" t="n">
        <v>46227</v>
      </c>
      <c r="F55" t="inlineStr">
        <is>
          <t>VÄSTERBOTTENS LÄN</t>
        </is>
      </c>
      <c r="G55" t="inlineStr">
        <is>
          <t>LYCKSELE</t>
        </is>
      </c>
      <c r="H55" t="inlineStr">
        <is>
          <t>Sveaskog</t>
        </is>
      </c>
      <c r="I55" t="n">
        <v>11.2</v>
      </c>
      <c r="J55" t="n">
        <v>0</v>
      </c>
      <c r="K55" t="n">
        <v>0</v>
      </c>
      <c r="L55" t="n">
        <v>3</v>
      </c>
      <c r="M55" t="n">
        <v>0</v>
      </c>
      <c r="N55" t="n">
        <v>0</v>
      </c>
      <c r="O55" t="n">
        <v>0</v>
      </c>
      <c r="P55" t="n">
        <v>0</v>
      </c>
      <c r="Q55" t="n">
        <v>3</v>
      </c>
      <c r="R55" t="n">
        <v>0</v>
      </c>
      <c r="S55" t="n">
        <v>3</v>
      </c>
      <c r="T55" t="n">
        <v>3</v>
      </c>
      <c r="U55" t="n">
        <v>3</v>
      </c>
      <c r="V55" s="2" t="inlineStr">
        <is>
          <t>Blå taggsvamp
Dropptaggsvamp
Kolflarnlav</t>
        </is>
      </c>
      <c r="W55">
        <f>HYPERLINK("https://klasma.github.io/Logging_2481/artfynd/A 22123-2025 artfynd.xlsx", "A 22123-2025")</f>
        <v/>
      </c>
      <c r="X55">
        <f>HYPERLINK("https://klasma.github.io/Logging_2481/kartor/A 22123-2025 karta.png", "A 22123-2025")</f>
        <v/>
      </c>
      <c r="Y55">
        <f>HYPERLINK("https://klasma.github.io/Logging_2481/kartor_geotiff/A 22123-2025 georefererad karta.tif", "A 22123-2025")</f>
        <v/>
      </c>
      <c r="AA55">
        <f>HYPERLINK("https://klasma.github.io/Logging_2481/klagomål/A 22123-2025 FSC-klagomål.docx", "A 22123-2025")</f>
        <v/>
      </c>
      <c r="AB55">
        <f>HYPERLINK("https://klasma.github.io/Logging_2481/klagomålsmail/A 22123-2025 FSC-klagomål mail.docx", "A 22123-2025")</f>
        <v/>
      </c>
      <c r="AC55">
        <f>HYPERLINK("https://klasma.github.io/Logging_2481/tillsyn/A 22123-2025 tillsynsbegäran.docx", "A 22123-2025")</f>
        <v/>
      </c>
      <c r="AD55">
        <f>HYPERLINK("https://klasma.github.io/Logging_2481/tillsynsmail/A 22123-2025 tillsynsbegäran mail.docx", "A 22123-2025")</f>
        <v/>
      </c>
    </row>
    <row r="56" ht="15" customHeight="1">
      <c r="A56" t="inlineStr">
        <is>
          <t>A 54802-2024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45618</v>
      </c>
      <c r="E56" s="1" t="n">
        <v>46227</v>
      </c>
      <c r="F56" t="inlineStr">
        <is>
          <t>VÄSTERBOTTENS LÄN</t>
        </is>
      </c>
      <c r="G56" t="inlineStr">
        <is>
          <t>LYCKSELE</t>
        </is>
      </c>
      <c r="H56" t="inlineStr">
        <is>
          <t>Sveaskog</t>
        </is>
      </c>
      <c r="I56" t="n">
        <v>6.2</v>
      </c>
      <c r="J56" t="n">
        <v>1</v>
      </c>
      <c r="K56" t="n">
        <v>0</v>
      </c>
      <c r="L56" t="n">
        <v>2</v>
      </c>
      <c r="M56" t="n">
        <v>1</v>
      </c>
      <c r="N56" t="n">
        <v>0</v>
      </c>
      <c r="O56" t="n">
        <v>0</v>
      </c>
      <c r="P56" t="n">
        <v>0</v>
      </c>
      <c r="Q56" t="n">
        <v>3</v>
      </c>
      <c r="R56" t="n">
        <v>1</v>
      </c>
      <c r="S56" t="n">
        <v>3</v>
      </c>
      <c r="T56" t="n">
        <v>3</v>
      </c>
      <c r="U56" t="n">
        <v>0</v>
      </c>
      <c r="V56" s="2" t="inlineStr">
        <is>
          <t>Doftticka
Blå taggsvamp
Dropptaggsvamp</t>
        </is>
      </c>
      <c r="W56">
        <f>HYPERLINK("https://klasma.github.io/Logging_2481/artfynd/A 54802-2024 artfynd.xlsx", "A 54802-2024")</f>
        <v/>
      </c>
      <c r="X56">
        <f>HYPERLINK("https://klasma.github.io/Logging_2481/kartor/A 54802-2024 karta.png", "A 54802-2024")</f>
        <v/>
      </c>
      <c r="Y56">
        <f>HYPERLINK("https://klasma.github.io/Logging_2481/kartor_geotiff/A 54802-2024 georefererad karta.tif", "A 54802-2024")</f>
        <v/>
      </c>
      <c r="AA56">
        <f>HYPERLINK("https://klasma.github.io/Logging_2481/klagomål/A 54802-2024 FSC-klagomål.docx", "A 54802-2024")</f>
        <v/>
      </c>
      <c r="AB56">
        <f>HYPERLINK("https://klasma.github.io/Logging_2481/klagomålsmail/A 54802-2024 FSC-klagomål mail.docx", "A 54802-2024")</f>
        <v/>
      </c>
      <c r="AC56">
        <f>HYPERLINK("https://klasma.github.io/Logging_2481/tillsyn/A 54802-2024 tillsynsbegäran.docx", "A 54802-2024")</f>
        <v/>
      </c>
      <c r="AD56">
        <f>HYPERLINK("https://klasma.github.io/Logging_2481/tillsynsmail/A 54802-2024 tillsynsbegäran mail.docx", "A 54802-2024")</f>
        <v/>
      </c>
    </row>
    <row r="57" ht="15" customHeight="1">
      <c r="A57" t="inlineStr">
        <is>
          <t>A 58624-2022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44902</v>
      </c>
      <c r="E57" s="1" t="n">
        <v>46227</v>
      </c>
      <c r="F57" t="inlineStr">
        <is>
          <t>VÄSTERBOTTENS LÄN</t>
        </is>
      </c>
      <c r="G57" t="inlineStr">
        <is>
          <t>LYCKSELE</t>
        </is>
      </c>
      <c r="H57" t="inlineStr">
        <is>
          <t>Sveaskog</t>
        </is>
      </c>
      <c r="I57" t="n">
        <v>3.2</v>
      </c>
      <c r="J57" t="n">
        <v>0</v>
      </c>
      <c r="K57" t="n">
        <v>0</v>
      </c>
      <c r="L57" t="n">
        <v>2</v>
      </c>
      <c r="M57" t="n">
        <v>1</v>
      </c>
      <c r="N57" t="n">
        <v>0</v>
      </c>
      <c r="O57" t="n">
        <v>0</v>
      </c>
      <c r="P57" t="n">
        <v>0</v>
      </c>
      <c r="Q57" t="n">
        <v>3</v>
      </c>
      <c r="R57" t="n">
        <v>1</v>
      </c>
      <c r="S57" t="n">
        <v>3</v>
      </c>
      <c r="T57" t="n">
        <v>4</v>
      </c>
      <c r="U57" t="n">
        <v>0</v>
      </c>
      <c r="V57" s="2" t="inlineStr">
        <is>
          <t>Garnlav
Blanksvart spiklav
Vedflamlav</t>
        </is>
      </c>
      <c r="W57">
        <f>HYPERLINK("https://klasma.github.io/Logging_2481/artfynd/A 58624-2022 artfynd.xlsx", "A 58624-2022")</f>
        <v/>
      </c>
      <c r="X57">
        <f>HYPERLINK("https://klasma.github.io/Logging_2481/kartor/A 58624-2022 karta.png", "A 58624-2022")</f>
        <v/>
      </c>
      <c r="Y57">
        <f>HYPERLINK("https://klasma.github.io/Logging_2481/kartor_geotiff/A 58624-2022 georefererad karta.tif", "A 58624-2022")</f>
        <v/>
      </c>
      <c r="AA57">
        <f>HYPERLINK("https://klasma.github.io/Logging_2481/klagomål/A 58624-2022 FSC-klagomål.docx", "A 58624-2022")</f>
        <v/>
      </c>
      <c r="AB57">
        <f>HYPERLINK("https://klasma.github.io/Logging_2481/klagomålsmail/A 58624-2022 FSC-klagomål mail.docx", "A 58624-2022")</f>
        <v/>
      </c>
      <c r="AC57">
        <f>HYPERLINK("https://klasma.github.io/Logging_2481/tillsyn/A 58624-2022 tillsynsbegäran.docx", "A 58624-2022")</f>
        <v/>
      </c>
      <c r="AD57">
        <f>HYPERLINK("https://klasma.github.io/Logging_2481/tillsynsmail/A 58624-2022 tillsynsbegäran mail.docx", "A 58624-2022")</f>
        <v/>
      </c>
    </row>
    <row r="58" ht="15" customHeight="1">
      <c r="A58" t="inlineStr">
        <is>
          <t>A 60422-2024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45643</v>
      </c>
      <c r="E58" s="1" t="n">
        <v>46227</v>
      </c>
      <c r="F58" t="inlineStr">
        <is>
          <t>VÄSTERBOTTENS LÄN</t>
        </is>
      </c>
      <c r="G58" t="inlineStr">
        <is>
          <t>LYCKSELE</t>
        </is>
      </c>
      <c r="H58" t="inlineStr">
        <is>
          <t>Sveaskog</t>
        </is>
      </c>
      <c r="I58" t="n">
        <v>12</v>
      </c>
      <c r="J58" t="n">
        <v>0</v>
      </c>
      <c r="K58" t="n">
        <v>0</v>
      </c>
      <c r="L58" t="n">
        <v>3</v>
      </c>
      <c r="M58" t="n">
        <v>0</v>
      </c>
      <c r="N58" t="n">
        <v>0</v>
      </c>
      <c r="O58" t="n">
        <v>0</v>
      </c>
      <c r="P58" t="n">
        <v>0</v>
      </c>
      <c r="Q58" t="n">
        <v>3</v>
      </c>
      <c r="R58" t="n">
        <v>0</v>
      </c>
      <c r="S58" t="n">
        <v>3</v>
      </c>
      <c r="T58" t="n">
        <v>3</v>
      </c>
      <c r="U58" t="n">
        <v>0</v>
      </c>
      <c r="V58" s="2" t="inlineStr">
        <is>
          <t>Dropptaggsvamp
Kolflarnlav
Motaggsvamp</t>
        </is>
      </c>
      <c r="W58">
        <f>HYPERLINK("https://klasma.github.io/Logging_2481/artfynd/A 60422-2024 artfynd.xlsx", "A 60422-2024")</f>
        <v/>
      </c>
      <c r="X58">
        <f>HYPERLINK("https://klasma.github.io/Logging_2481/kartor/A 60422-2024 karta.png", "A 60422-2024")</f>
        <v/>
      </c>
      <c r="Y58">
        <f>HYPERLINK("https://klasma.github.io/Logging_2481/kartor_geotiff/A 60422-2024 georefererad karta.tif", "A 60422-2024")</f>
        <v/>
      </c>
      <c r="AA58">
        <f>HYPERLINK("https://klasma.github.io/Logging_2481/klagomål/A 60422-2024 FSC-klagomål.docx", "A 60422-2024")</f>
        <v/>
      </c>
      <c r="AB58">
        <f>HYPERLINK("https://klasma.github.io/Logging_2481/klagomålsmail/A 60422-2024 FSC-klagomål mail.docx", "A 60422-2024")</f>
        <v/>
      </c>
      <c r="AC58">
        <f>HYPERLINK("https://klasma.github.io/Logging_2481/tillsyn/A 60422-2024 tillsynsbegäran.docx", "A 60422-2024")</f>
        <v/>
      </c>
      <c r="AD58">
        <f>HYPERLINK("https://klasma.github.io/Logging_2481/tillsynsmail/A 60422-2024 tillsynsbegäran mail.docx", "A 60422-2024")</f>
        <v/>
      </c>
    </row>
    <row r="59" ht="15" customHeight="1">
      <c r="A59" t="inlineStr">
        <is>
          <t>A 30608-2025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45831</v>
      </c>
      <c r="E59" s="1" t="n">
        <v>46227</v>
      </c>
      <c r="F59" t="inlineStr">
        <is>
          <t>VÄSTERBOTTENS LÄN</t>
        </is>
      </c>
      <c r="G59" t="inlineStr">
        <is>
          <t>LYCKSELE</t>
        </is>
      </c>
      <c r="H59" t="inlineStr">
        <is>
          <t>Holmen skog AB</t>
        </is>
      </c>
      <c r="I59" t="n">
        <v>3.2</v>
      </c>
      <c r="J59" t="n">
        <v>1</v>
      </c>
      <c r="K59" t="n">
        <v>0</v>
      </c>
      <c r="L59" t="n">
        <v>1</v>
      </c>
      <c r="M59" t="n">
        <v>1</v>
      </c>
      <c r="N59" t="n">
        <v>0</v>
      </c>
      <c r="O59" t="n">
        <v>0</v>
      </c>
      <c r="P59" t="n">
        <v>0</v>
      </c>
      <c r="Q59" t="n">
        <v>2</v>
      </c>
      <c r="R59" t="n">
        <v>1</v>
      </c>
      <c r="S59" t="n">
        <v>3</v>
      </c>
      <c r="T59" t="n">
        <v>4</v>
      </c>
      <c r="U59" t="n">
        <v>0</v>
      </c>
      <c r="V59" s="2" t="inlineStr">
        <is>
          <t>Myrstarr
Lunglav
Fläcknycklar</t>
        </is>
      </c>
      <c r="W59">
        <f>HYPERLINK("https://klasma.github.io/Logging_2481/artfynd/A 30608-2025 artfynd.xlsx", "A 30608-2025")</f>
        <v/>
      </c>
      <c r="X59">
        <f>HYPERLINK("https://klasma.github.io/Logging_2481/kartor/A 30608-2025 karta.png", "A 30608-2025")</f>
        <v/>
      </c>
      <c r="Y59">
        <f>HYPERLINK("https://klasma.github.io/Logging_2481/kartor_geotiff/A 30608-2025 georefererad karta.tif", "A 30608-2025")</f>
        <v/>
      </c>
      <c r="AA59">
        <f>HYPERLINK("https://klasma.github.io/Logging_2481/klagomål/A 30608-2025 FSC-klagomål.docx", "A 30608-2025")</f>
        <v/>
      </c>
      <c r="AB59">
        <f>HYPERLINK("https://klasma.github.io/Logging_2481/klagomålsmail/A 30608-2025 FSC-klagomål mail.docx", "A 30608-2025")</f>
        <v/>
      </c>
      <c r="AC59">
        <f>HYPERLINK("https://klasma.github.io/Logging_2481/tillsyn/A 30608-2025 tillsynsbegäran.docx", "A 30608-2025")</f>
        <v/>
      </c>
      <c r="AD59">
        <f>HYPERLINK("https://klasma.github.io/Logging_2481/tillsynsmail/A 30608-2025 tillsynsbegäran mail.docx", "A 30608-2025")</f>
        <v/>
      </c>
    </row>
    <row r="60" ht="15" customHeight="1">
      <c r="A60" t="inlineStr">
        <is>
          <t>A 57179-2025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45979</v>
      </c>
      <c r="E60" s="1" t="n">
        <v>46227</v>
      </c>
      <c r="F60" t="inlineStr">
        <is>
          <t>VÄSTERBOTTENS LÄN</t>
        </is>
      </c>
      <c r="G60" t="inlineStr">
        <is>
          <t>LYCKSELE</t>
        </is>
      </c>
      <c r="H60" t="inlineStr">
        <is>
          <t>Sveaskog</t>
        </is>
      </c>
      <c r="I60" t="n">
        <v>10.1</v>
      </c>
      <c r="J60" t="n">
        <v>0</v>
      </c>
      <c r="K60" t="n">
        <v>2</v>
      </c>
      <c r="L60" t="n">
        <v>0</v>
      </c>
      <c r="M60" t="n">
        <v>1</v>
      </c>
      <c r="N60" t="n">
        <v>0</v>
      </c>
      <c r="O60" t="n">
        <v>0</v>
      </c>
      <c r="P60" t="n">
        <v>0</v>
      </c>
      <c r="Q60" t="n">
        <v>1</v>
      </c>
      <c r="R60" t="n">
        <v>1</v>
      </c>
      <c r="S60" t="n">
        <v>3</v>
      </c>
      <c r="T60" t="n">
        <v>3</v>
      </c>
      <c r="U60" t="n">
        <v>0</v>
      </c>
      <c r="V60" s="2" t="inlineStr">
        <is>
          <t>Garnlav
Strutbräken
Stuplav</t>
        </is>
      </c>
      <c r="W60">
        <f>HYPERLINK("https://klasma.github.io/Logging_2481/artfynd/A 57179-2025 artfynd.xlsx", "A 57179-2025")</f>
        <v/>
      </c>
      <c r="X60">
        <f>HYPERLINK("https://klasma.github.io/Logging_2481/kartor/A 57179-2025 karta.png", "A 57179-2025")</f>
        <v/>
      </c>
      <c r="Y60">
        <f>HYPERLINK("https://klasma.github.io/Logging_2481/kartor_geotiff/A 57179-2025 georefererad karta.tif", "A 57179-2025")</f>
        <v/>
      </c>
      <c r="AA60">
        <f>HYPERLINK("https://klasma.github.io/Logging_2481/klagomål/A 57179-2025 FSC-klagomål.docx", "A 57179-2025")</f>
        <v/>
      </c>
      <c r="AB60">
        <f>HYPERLINK("https://klasma.github.io/Logging_2481/klagomålsmail/A 57179-2025 FSC-klagomål mail.docx", "A 57179-2025")</f>
        <v/>
      </c>
      <c r="AC60">
        <f>HYPERLINK("https://klasma.github.io/Logging_2481/tillsyn/A 57179-2025 tillsynsbegäran.docx", "A 57179-2025")</f>
        <v/>
      </c>
      <c r="AD60">
        <f>HYPERLINK("https://klasma.github.io/Logging_2481/tillsynsmail/A 57179-2025 tillsynsbegäran mail.docx", "A 57179-2025")</f>
        <v/>
      </c>
    </row>
    <row r="61" ht="15" customHeight="1">
      <c r="A61" t="inlineStr">
        <is>
          <t>A 43726-2025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45912</v>
      </c>
      <c r="E61" s="1" t="n">
        <v>46227</v>
      </c>
      <c r="F61" t="inlineStr">
        <is>
          <t>VÄSTERBOTTENS LÄN</t>
        </is>
      </c>
      <c r="G61" t="inlineStr">
        <is>
          <t>LYCKSELE</t>
        </is>
      </c>
      <c r="H61" t="inlineStr">
        <is>
          <t>Sveaskog</t>
        </is>
      </c>
      <c r="I61" t="n">
        <v>10.1</v>
      </c>
      <c r="J61" t="n">
        <v>1</v>
      </c>
      <c r="K61" t="n">
        <v>0</v>
      </c>
      <c r="L61" t="n">
        <v>2</v>
      </c>
      <c r="M61" t="n">
        <v>1</v>
      </c>
      <c r="N61" t="n">
        <v>0</v>
      </c>
      <c r="O61" t="n">
        <v>0</v>
      </c>
      <c r="P61" t="n">
        <v>0</v>
      </c>
      <c r="Q61" t="n">
        <v>3</v>
      </c>
      <c r="R61" t="n">
        <v>1</v>
      </c>
      <c r="S61" t="n">
        <v>3</v>
      </c>
      <c r="T61" t="n">
        <v>3</v>
      </c>
      <c r="U61" t="n">
        <v>3</v>
      </c>
      <c r="V61" s="2" t="inlineStr">
        <is>
          <t>Doftticka
Kolflarnlav
Lunglav</t>
        </is>
      </c>
      <c r="W61">
        <f>HYPERLINK("https://klasma.github.io/Logging_2481/artfynd/A 43726-2025 artfynd.xlsx", "A 43726-2025")</f>
        <v/>
      </c>
      <c r="X61">
        <f>HYPERLINK("https://klasma.github.io/Logging_2481/kartor/A 43726-2025 karta.png", "A 43726-2025")</f>
        <v/>
      </c>
      <c r="Y61">
        <f>HYPERLINK("https://klasma.github.io/Logging_2481/kartor_geotiff/A 43726-2025 georefererad karta.tif", "A 43726-2025")</f>
        <v/>
      </c>
      <c r="AA61">
        <f>HYPERLINK("https://klasma.github.io/Logging_2481/klagomål/A 43726-2025 FSC-klagomål.docx", "A 43726-2025")</f>
        <v/>
      </c>
      <c r="AB61">
        <f>HYPERLINK("https://klasma.github.io/Logging_2481/klagomålsmail/A 43726-2025 FSC-klagomål mail.docx", "A 43726-2025")</f>
        <v/>
      </c>
      <c r="AC61">
        <f>HYPERLINK("https://klasma.github.io/Logging_2481/tillsyn/A 43726-2025 tillsynsbegäran.docx", "A 43726-2025")</f>
        <v/>
      </c>
      <c r="AD61">
        <f>HYPERLINK("https://klasma.github.io/Logging_2481/tillsynsmail/A 43726-2025 tillsynsbegäran mail.docx", "A 43726-2025")</f>
        <v/>
      </c>
    </row>
    <row r="62" ht="15" customHeight="1">
      <c r="A62" t="inlineStr">
        <is>
          <t>A 53115-2024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45611</v>
      </c>
      <c r="E62" s="1" t="n">
        <v>46227</v>
      </c>
      <c r="F62" t="inlineStr">
        <is>
          <t>VÄSTERBOTTENS LÄN</t>
        </is>
      </c>
      <c r="G62" t="inlineStr">
        <is>
          <t>LYCKSELE</t>
        </is>
      </c>
      <c r="H62" t="inlineStr">
        <is>
          <t>Sveaskog</t>
        </is>
      </c>
      <c r="I62" t="n">
        <v>4.1</v>
      </c>
      <c r="J62" t="n">
        <v>0</v>
      </c>
      <c r="K62" t="n">
        <v>0</v>
      </c>
      <c r="L62" t="n">
        <v>3</v>
      </c>
      <c r="M62" t="n">
        <v>0</v>
      </c>
      <c r="N62" t="n">
        <v>0</v>
      </c>
      <c r="O62" t="n">
        <v>0</v>
      </c>
      <c r="P62" t="n">
        <v>0</v>
      </c>
      <c r="Q62" t="n">
        <v>3</v>
      </c>
      <c r="R62" t="n">
        <v>0</v>
      </c>
      <c r="S62" t="n">
        <v>3</v>
      </c>
      <c r="T62" t="n">
        <v>3</v>
      </c>
      <c r="U62" t="n">
        <v>3</v>
      </c>
      <c r="V62" s="2" t="inlineStr">
        <is>
          <t>Blå taggsvamp
Kolflarnlav
Orange taggsvamp</t>
        </is>
      </c>
      <c r="W62">
        <f>HYPERLINK("https://klasma.github.io/Logging_2481/artfynd/A 53115-2024 artfynd.xlsx", "A 53115-2024")</f>
        <v/>
      </c>
      <c r="X62">
        <f>HYPERLINK("https://klasma.github.io/Logging_2481/kartor/A 53115-2024 karta.png", "A 53115-2024")</f>
        <v/>
      </c>
      <c r="Y62">
        <f>HYPERLINK("https://klasma.github.io/Logging_2481/kartor_geotiff/A 53115-2024 georefererad karta.tif", "A 53115-2024")</f>
        <v/>
      </c>
      <c r="AA62">
        <f>HYPERLINK("https://klasma.github.io/Logging_2481/klagomål/A 53115-2024 FSC-klagomål.docx", "A 53115-2024")</f>
        <v/>
      </c>
      <c r="AB62">
        <f>HYPERLINK("https://klasma.github.io/Logging_2481/klagomålsmail/A 53115-2024 FSC-klagomål mail.docx", "A 53115-2024")</f>
        <v/>
      </c>
      <c r="AC62">
        <f>HYPERLINK("https://klasma.github.io/Logging_2481/tillsyn/A 53115-2024 tillsynsbegäran.docx", "A 53115-2024")</f>
        <v/>
      </c>
      <c r="AD62">
        <f>HYPERLINK("https://klasma.github.io/Logging_2481/tillsynsmail/A 53115-2024 tillsynsbegäran mail.docx", "A 53115-2024")</f>
        <v/>
      </c>
    </row>
    <row r="63" ht="15" customHeight="1">
      <c r="A63" t="inlineStr">
        <is>
          <t>A 55046-2024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45618</v>
      </c>
      <c r="E63" s="1" t="n">
        <v>46227</v>
      </c>
      <c r="F63" t="inlineStr">
        <is>
          <t>VÄSTERBOTTENS LÄN</t>
        </is>
      </c>
      <c r="G63" t="inlineStr">
        <is>
          <t>LYCKSELE</t>
        </is>
      </c>
      <c r="I63" t="n">
        <v>2.4</v>
      </c>
      <c r="J63" t="n">
        <v>1</v>
      </c>
      <c r="K63" t="n">
        <v>0</v>
      </c>
      <c r="L63" t="n">
        <v>3</v>
      </c>
      <c r="M63" t="n">
        <v>0</v>
      </c>
      <c r="N63" t="n">
        <v>0</v>
      </c>
      <c r="O63" t="n">
        <v>0</v>
      </c>
      <c r="P63" t="n">
        <v>0</v>
      </c>
      <c r="Q63" t="n">
        <v>3</v>
      </c>
      <c r="R63" t="n">
        <v>0</v>
      </c>
      <c r="S63" t="n">
        <v>3</v>
      </c>
      <c r="T63" t="n">
        <v>3</v>
      </c>
      <c r="U63" t="n">
        <v>0</v>
      </c>
      <c r="V63" s="2" t="inlineStr">
        <is>
          <t>Gammelgransskål
Tretåig hackspett
Vitgrynig nållav</t>
        </is>
      </c>
      <c r="W63">
        <f>HYPERLINK("https://klasma.github.io/Logging_2481/artfynd/A 55046-2024 artfynd.xlsx", "A 55046-2024")</f>
        <v/>
      </c>
      <c r="X63">
        <f>HYPERLINK("https://klasma.github.io/Logging_2481/kartor/A 55046-2024 karta.png", "A 55046-2024")</f>
        <v/>
      </c>
      <c r="Y63">
        <f>HYPERLINK("https://klasma.github.io/Logging_2481/kartor_geotiff/A 55046-2024 georefererad karta.tif", "A 55046-2024")</f>
        <v/>
      </c>
      <c r="AA63">
        <f>HYPERLINK("https://klasma.github.io/Logging_2481/klagomål/A 55046-2024 FSC-klagomål.docx", "A 55046-2024")</f>
        <v/>
      </c>
      <c r="AB63">
        <f>HYPERLINK("https://klasma.github.io/Logging_2481/klagomålsmail/A 55046-2024 FSC-klagomål mail.docx", "A 55046-2024")</f>
        <v/>
      </c>
      <c r="AC63">
        <f>HYPERLINK("https://klasma.github.io/Logging_2481/tillsyn/A 55046-2024 tillsynsbegäran.docx", "A 55046-2024")</f>
        <v/>
      </c>
      <c r="AD63">
        <f>HYPERLINK("https://klasma.github.io/Logging_2481/tillsynsmail/A 55046-2024 tillsynsbegäran mail.docx", "A 55046-2024")</f>
        <v/>
      </c>
      <c r="AE63">
        <f>HYPERLINK("https://klasma.github.io/Logging_2481/fåglar/A 55046-2024 prioriterade fågelarter.docx", "A 55046-2024")</f>
        <v/>
      </c>
    </row>
    <row r="64" ht="15" customHeight="1">
      <c r="A64" t="inlineStr">
        <is>
          <t>A 56566-2025</t>
        </is>
      </c>
      <c r="B64" t="inlineStr">
        <is>
          <t>avverkningsanmälan</t>
        </is>
      </c>
      <c r="C64" t="inlineStr">
        <is>
          <t>Avverkning för annat ändamål</t>
        </is>
      </c>
      <c r="D64" s="1" t="n">
        <v>45974</v>
      </c>
      <c r="E64" s="1" t="n">
        <v>46227</v>
      </c>
      <c r="F64" t="inlineStr">
        <is>
          <t>VÄSTERBOTTENS LÄN</t>
        </is>
      </c>
      <c r="G64" t="inlineStr">
        <is>
          <t>LYCKSELE</t>
        </is>
      </c>
      <c r="H64" t="inlineStr">
        <is>
          <t>Sveaskog</t>
        </is>
      </c>
      <c r="I64" t="n">
        <v>3.4</v>
      </c>
      <c r="J64" t="n">
        <v>2</v>
      </c>
      <c r="K64" t="n">
        <v>1</v>
      </c>
      <c r="L64" t="n">
        <v>0</v>
      </c>
      <c r="M64" t="n">
        <v>1</v>
      </c>
      <c r="N64" t="n">
        <v>0</v>
      </c>
      <c r="O64" t="n">
        <v>0</v>
      </c>
      <c r="P64" t="n">
        <v>0</v>
      </c>
      <c r="Q64" t="n">
        <v>1</v>
      </c>
      <c r="R64" t="n">
        <v>1</v>
      </c>
      <c r="S64" t="n">
        <v>3</v>
      </c>
      <c r="T64" t="n">
        <v>4</v>
      </c>
      <c r="U64" t="n">
        <v>1</v>
      </c>
      <c r="V64" s="2" t="inlineStr">
        <is>
          <t>Knärot
Källmossa
Lopplummer (aggregat)</t>
        </is>
      </c>
      <c r="W64">
        <f>HYPERLINK("https://klasma.github.io/Logging_2481/artfynd/A 56566-2025 artfynd.xlsx", "A 56566-2025")</f>
        <v/>
      </c>
      <c r="X64">
        <f>HYPERLINK("https://klasma.github.io/Logging_2481/kartor/A 56566-2025 karta.png", "A 56566-2025")</f>
        <v/>
      </c>
      <c r="Y64">
        <f>HYPERLINK("https://klasma.github.io/Logging_2481/kartor_geotiff/A 56566-2025 georefererad karta.tif", "A 56566-2025")</f>
        <v/>
      </c>
      <c r="Z64">
        <f>HYPERLINK("https://klasma.github.io/Logging_2481/knärot/A 56566-2025 karta knärot.png", "A 56566-2025")</f>
        <v/>
      </c>
      <c r="AA64">
        <f>HYPERLINK("https://klasma.github.io/Logging_2481/klagomål/A 56566-2025 FSC-klagomål.docx", "A 56566-2025")</f>
        <v/>
      </c>
      <c r="AB64">
        <f>HYPERLINK("https://klasma.github.io/Logging_2481/klagomålsmail/A 56566-2025 FSC-klagomål mail.docx", "A 56566-2025")</f>
        <v/>
      </c>
      <c r="AC64">
        <f>HYPERLINK("https://klasma.github.io/Logging_2481/tillsyn/A 56566-2025 tillsynsbegäran.docx", "A 56566-2025")</f>
        <v/>
      </c>
      <c r="AD64">
        <f>HYPERLINK("https://klasma.github.io/Logging_2481/tillsynsmail/A 56566-2025 tillsynsbegäran mail.docx", "A 56566-2025")</f>
        <v/>
      </c>
    </row>
    <row r="65" ht="15" customHeight="1">
      <c r="A65" t="inlineStr">
        <is>
          <t>A 6684-2023</t>
        </is>
      </c>
      <c r="B65" t="inlineStr">
        <is>
          <t>avverkningsanmälan</t>
        </is>
      </c>
      <c r="C65" t="inlineStr">
        <is>
          <t>Avverkning för annat ändamål</t>
        </is>
      </c>
      <c r="D65" s="1" t="n">
        <v>44963</v>
      </c>
      <c r="E65" s="1" t="n">
        <v>46227</v>
      </c>
      <c r="F65" t="inlineStr">
        <is>
          <t>VÄSTERBOTTENS LÄN</t>
        </is>
      </c>
      <c r="G65" t="inlineStr">
        <is>
          <t>LYCKSELE</t>
        </is>
      </c>
      <c r="I65" t="n">
        <v>2.7</v>
      </c>
      <c r="J65" t="n">
        <v>0</v>
      </c>
      <c r="K65" t="n">
        <v>1</v>
      </c>
      <c r="L65" t="n">
        <v>1</v>
      </c>
      <c r="M65" t="n">
        <v>1</v>
      </c>
      <c r="N65" t="n">
        <v>0</v>
      </c>
      <c r="O65" t="n">
        <v>0</v>
      </c>
      <c r="P65" t="n">
        <v>0</v>
      </c>
      <c r="Q65" t="n">
        <v>2</v>
      </c>
      <c r="R65" t="n">
        <v>1</v>
      </c>
      <c r="S65" t="n">
        <v>3</v>
      </c>
      <c r="T65" t="n">
        <v>4</v>
      </c>
      <c r="U65" t="n">
        <v>4</v>
      </c>
      <c r="V65" s="2" t="inlineStr">
        <is>
          <t>Garnlav
Lunglav
Stuplav</t>
        </is>
      </c>
      <c r="W65">
        <f>HYPERLINK("https://klasma.github.io/Logging_2481/artfynd/A 6684-2023 artfynd.xlsx", "A 6684-2023")</f>
        <v/>
      </c>
      <c r="X65">
        <f>HYPERLINK("https://klasma.github.io/Logging_2481/kartor/A 6684-2023 karta.png", "A 6684-2023")</f>
        <v/>
      </c>
      <c r="Y65">
        <f>HYPERLINK("https://klasma.github.io/Logging_2481/kartor_geotiff/A 6684-2023 georefererad karta.tif", "A 6684-2023")</f>
        <v/>
      </c>
      <c r="AA65">
        <f>HYPERLINK("https://klasma.github.io/Logging_2481/klagomål/A 6684-2023 FSC-klagomål.docx", "A 6684-2023")</f>
        <v/>
      </c>
      <c r="AB65">
        <f>HYPERLINK("https://klasma.github.io/Logging_2481/klagomålsmail/A 6684-2023 FSC-klagomål mail.docx", "A 6684-2023")</f>
        <v/>
      </c>
      <c r="AC65">
        <f>HYPERLINK("https://klasma.github.io/Logging_2481/tillsyn/A 6684-2023 tillsynsbegäran.docx", "A 6684-2023")</f>
        <v/>
      </c>
      <c r="AD65">
        <f>HYPERLINK("https://klasma.github.io/Logging_2481/tillsynsmail/A 6684-2023 tillsynsbegäran mail.docx", "A 6684-2023")</f>
        <v/>
      </c>
    </row>
    <row r="66" ht="15" customHeight="1">
      <c r="A66" t="inlineStr">
        <is>
          <t>A 53808-2023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45231</v>
      </c>
      <c r="E66" s="1" t="n">
        <v>46227</v>
      </c>
      <c r="F66" t="inlineStr">
        <is>
          <t>VÄSTERBOTTENS LÄN</t>
        </is>
      </c>
      <c r="G66" t="inlineStr">
        <is>
          <t>LYCKSELE</t>
        </is>
      </c>
      <c r="H66" t="inlineStr">
        <is>
          <t>Sveaskog</t>
        </is>
      </c>
      <c r="I66" t="n">
        <v>1.8</v>
      </c>
      <c r="J66" t="n">
        <v>0</v>
      </c>
      <c r="K66" t="n">
        <v>2</v>
      </c>
      <c r="L66" t="n">
        <v>1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t="n">
        <v>0</v>
      </c>
      <c r="S66" t="n">
        <v>3</v>
      </c>
      <c r="T66" t="n">
        <v>4</v>
      </c>
      <c r="U66" t="n">
        <v>4</v>
      </c>
      <c r="V66" s="2" t="inlineStr">
        <is>
          <t>Vedflamlav
Brandticka
Gullgröppa</t>
        </is>
      </c>
      <c r="W66">
        <f>HYPERLINK("https://klasma.github.io/Logging_2481/artfynd/A 53808-2023 artfynd.xlsx", "A 53808-2023")</f>
        <v/>
      </c>
      <c r="X66">
        <f>HYPERLINK("https://klasma.github.io/Logging_2481/kartor/A 53808-2023 karta.png", "A 53808-2023")</f>
        <v/>
      </c>
      <c r="Y66">
        <f>HYPERLINK("https://klasma.github.io/Logging_2481/kartor_geotiff/A 53808-2023 georefererad karta.tif", "A 53808-2023")</f>
        <v/>
      </c>
      <c r="AA66">
        <f>HYPERLINK("https://klasma.github.io/Logging_2481/klagomål/A 53808-2023 FSC-klagomål.docx", "A 53808-2023")</f>
        <v/>
      </c>
      <c r="AB66">
        <f>HYPERLINK("https://klasma.github.io/Logging_2481/klagomålsmail/A 53808-2023 FSC-klagomål mail.docx", "A 53808-2023")</f>
        <v/>
      </c>
      <c r="AC66">
        <f>HYPERLINK("https://klasma.github.io/Logging_2481/tillsyn/A 53808-2023 tillsynsbegäran.docx", "A 53808-2023")</f>
        <v/>
      </c>
      <c r="AD66">
        <f>HYPERLINK("https://klasma.github.io/Logging_2481/tillsynsmail/A 53808-2023 tillsynsbegäran mail.docx", "A 53808-2023")</f>
        <v/>
      </c>
    </row>
    <row r="67" ht="15" customHeight="1">
      <c r="A67" t="inlineStr">
        <is>
          <t>A 52891-2024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45610</v>
      </c>
      <c r="E67" s="1" t="n">
        <v>46227</v>
      </c>
      <c r="F67" t="inlineStr">
        <is>
          <t>VÄSTERBOTTENS LÄN</t>
        </is>
      </c>
      <c r="G67" t="inlineStr">
        <is>
          <t>LYCKSELE</t>
        </is>
      </c>
      <c r="H67" t="inlineStr">
        <is>
          <t>Holmen skog AB</t>
        </is>
      </c>
      <c r="I67" t="n">
        <v>5</v>
      </c>
      <c r="J67" t="n">
        <v>0</v>
      </c>
      <c r="K67" t="n">
        <v>1</v>
      </c>
      <c r="L67" t="n">
        <v>1</v>
      </c>
      <c r="M67" t="n">
        <v>1</v>
      </c>
      <c r="N67" t="n">
        <v>0</v>
      </c>
      <c r="O67" t="n">
        <v>0</v>
      </c>
      <c r="P67" t="n">
        <v>0</v>
      </c>
      <c r="Q67" t="n">
        <v>2</v>
      </c>
      <c r="R67" t="n">
        <v>1</v>
      </c>
      <c r="S67" t="n">
        <v>3</v>
      </c>
      <c r="T67" t="n">
        <v>7</v>
      </c>
      <c r="U67" t="n">
        <v>7</v>
      </c>
      <c r="V67" s="2" t="inlineStr">
        <is>
          <t>Garnlav
Lunglav
Bårdlav</t>
        </is>
      </c>
      <c r="W67">
        <f>HYPERLINK("https://klasma.github.io/Logging_2481/artfynd/A 52891-2024 artfynd.xlsx", "A 52891-2024")</f>
        <v/>
      </c>
      <c r="X67">
        <f>HYPERLINK("https://klasma.github.io/Logging_2481/kartor/A 52891-2024 karta.png", "A 52891-2024")</f>
        <v/>
      </c>
      <c r="Y67">
        <f>HYPERLINK("https://klasma.github.io/Logging_2481/kartor_geotiff/A 52891-2024 georefererad karta.tif", "A 52891-2024")</f>
        <v/>
      </c>
      <c r="AA67">
        <f>HYPERLINK("https://klasma.github.io/Logging_2481/klagomål/A 52891-2024 FSC-klagomål.docx", "A 52891-2024")</f>
        <v/>
      </c>
      <c r="AB67">
        <f>HYPERLINK("https://klasma.github.io/Logging_2481/klagomålsmail/A 52891-2024 FSC-klagomål mail.docx", "A 52891-2024")</f>
        <v/>
      </c>
      <c r="AC67">
        <f>HYPERLINK("https://klasma.github.io/Logging_2481/tillsyn/A 52891-2024 tillsynsbegäran.docx", "A 52891-2024")</f>
        <v/>
      </c>
      <c r="AD67">
        <f>HYPERLINK("https://klasma.github.io/Logging_2481/tillsynsmail/A 52891-2024 tillsynsbegäran mail.docx", "A 52891-2024")</f>
        <v/>
      </c>
    </row>
    <row r="68" ht="15" customHeight="1">
      <c r="A68" t="inlineStr">
        <is>
          <t>A 59276-2024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45637</v>
      </c>
      <c r="E68" s="1" t="n">
        <v>46227</v>
      </c>
      <c r="F68" t="inlineStr">
        <is>
          <t>VÄSTERBOTTENS LÄN</t>
        </is>
      </c>
      <c r="G68" t="inlineStr">
        <is>
          <t>LYCKSELE</t>
        </is>
      </c>
      <c r="H68" t="inlineStr">
        <is>
          <t>Sveaskog</t>
        </is>
      </c>
      <c r="I68" t="n">
        <v>12</v>
      </c>
      <c r="J68" t="n">
        <v>0</v>
      </c>
      <c r="K68" t="n">
        <v>0</v>
      </c>
      <c r="L68" t="n">
        <v>3</v>
      </c>
      <c r="M68" t="n">
        <v>0</v>
      </c>
      <c r="N68" t="n">
        <v>0</v>
      </c>
      <c r="O68" t="n">
        <v>0</v>
      </c>
      <c r="P68" t="n">
        <v>0</v>
      </c>
      <c r="Q68" t="n">
        <v>3</v>
      </c>
      <c r="R68" t="n">
        <v>0</v>
      </c>
      <c r="S68" t="n">
        <v>3</v>
      </c>
      <c r="T68" t="n">
        <v>3</v>
      </c>
      <c r="U68" t="n">
        <v>0</v>
      </c>
      <c r="V68" s="2" t="inlineStr">
        <is>
          <t>Dropptaggsvamp
Kolflarnlav
Motaggsvamp</t>
        </is>
      </c>
      <c r="W68">
        <f>HYPERLINK("https://klasma.github.io/Logging_2481/artfynd/A 59276-2024 artfynd.xlsx", "A 59276-2024")</f>
        <v/>
      </c>
      <c r="X68">
        <f>HYPERLINK("https://klasma.github.io/Logging_2481/kartor/A 59276-2024 karta.png", "A 59276-2024")</f>
        <v/>
      </c>
      <c r="Y68">
        <f>HYPERLINK("https://klasma.github.io/Logging_2481/kartor_geotiff/A 59276-2024 georefererad karta.tif", "A 59276-2024")</f>
        <v/>
      </c>
      <c r="AA68">
        <f>HYPERLINK("https://klasma.github.io/Logging_2481/klagomål/A 59276-2024 FSC-klagomål.docx", "A 59276-2024")</f>
        <v/>
      </c>
      <c r="AB68">
        <f>HYPERLINK("https://klasma.github.io/Logging_2481/klagomålsmail/A 59276-2024 FSC-klagomål mail.docx", "A 59276-2024")</f>
        <v/>
      </c>
      <c r="AC68">
        <f>HYPERLINK("https://klasma.github.io/Logging_2481/tillsyn/A 59276-2024 tillsynsbegäran.docx", "A 59276-2024")</f>
        <v/>
      </c>
      <c r="AD68">
        <f>HYPERLINK("https://klasma.github.io/Logging_2481/tillsynsmail/A 59276-2024 tillsynsbegäran mail.docx", "A 59276-2024")</f>
        <v/>
      </c>
    </row>
    <row r="69" ht="15" customHeight="1">
      <c r="A69" t="inlineStr">
        <is>
          <t>A 679-2024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45300</v>
      </c>
      <c r="E69" s="1" t="n">
        <v>46227</v>
      </c>
      <c r="F69" t="inlineStr">
        <is>
          <t>VÄSTERBOTTENS LÄN</t>
        </is>
      </c>
      <c r="G69" t="inlineStr">
        <is>
          <t>LYCKSELE</t>
        </is>
      </c>
      <c r="I69" t="n">
        <v>11.3</v>
      </c>
      <c r="J69" t="n">
        <v>0</v>
      </c>
      <c r="K69" t="n">
        <v>1</v>
      </c>
      <c r="L69" t="n">
        <v>1</v>
      </c>
      <c r="M69" t="n">
        <v>1</v>
      </c>
      <c r="N69" t="n">
        <v>0</v>
      </c>
      <c r="O69" t="n">
        <v>0</v>
      </c>
      <c r="P69" t="n">
        <v>0</v>
      </c>
      <c r="Q69" t="n">
        <v>2</v>
      </c>
      <c r="R69" t="n">
        <v>1</v>
      </c>
      <c r="S69" t="n">
        <v>3</v>
      </c>
      <c r="T69" t="n">
        <v>3</v>
      </c>
      <c r="U69" t="n">
        <v>0</v>
      </c>
      <c r="V69" s="2" t="inlineStr">
        <is>
          <t>Garnlav
Skrovellav
Luddlav</t>
        </is>
      </c>
      <c r="W69">
        <f>HYPERLINK("https://klasma.github.io/Logging_2481/artfynd/A 679-2024 artfynd.xlsx", "A 679-2024")</f>
        <v/>
      </c>
      <c r="X69">
        <f>HYPERLINK("https://klasma.github.io/Logging_2481/kartor/A 679-2024 karta.png", "A 679-2024")</f>
        <v/>
      </c>
      <c r="Y69">
        <f>HYPERLINK("https://klasma.github.io/Logging_2481/kartor_geotiff/A 679-2024 georefererad karta.tif", "A 679-2024")</f>
        <v/>
      </c>
      <c r="AA69">
        <f>HYPERLINK("https://klasma.github.io/Logging_2481/klagomål/A 679-2024 FSC-klagomål.docx", "A 679-2024")</f>
        <v/>
      </c>
      <c r="AB69">
        <f>HYPERLINK("https://klasma.github.io/Logging_2481/klagomålsmail/A 679-2024 FSC-klagomål mail.docx", "A 679-2024")</f>
        <v/>
      </c>
      <c r="AC69">
        <f>HYPERLINK("https://klasma.github.io/Logging_2481/tillsyn/A 679-2024 tillsynsbegäran.docx", "A 679-2024")</f>
        <v/>
      </c>
      <c r="AD69">
        <f>HYPERLINK("https://klasma.github.io/Logging_2481/tillsynsmail/A 679-2024 tillsynsbegäran mail.docx", "A 679-2024")</f>
        <v/>
      </c>
    </row>
    <row r="70" ht="15" customHeight="1">
      <c r="A70" t="inlineStr">
        <is>
          <t>A 21905-2026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46150</v>
      </c>
      <c r="E70" s="1" t="n">
        <v>46227</v>
      </c>
      <c r="F70" t="inlineStr">
        <is>
          <t>VÄSTERBOTTENS LÄN</t>
        </is>
      </c>
      <c r="G70" t="inlineStr">
        <is>
          <t>LYCKSELE</t>
        </is>
      </c>
      <c r="H70" t="inlineStr">
        <is>
          <t>Sveaskog</t>
        </is>
      </c>
      <c r="I70" t="n">
        <v>12</v>
      </c>
      <c r="J70" t="n">
        <v>0</v>
      </c>
      <c r="K70" t="n">
        <v>0</v>
      </c>
      <c r="L70" t="n">
        <v>3</v>
      </c>
      <c r="M70" t="n">
        <v>0</v>
      </c>
      <c r="N70" t="n">
        <v>0</v>
      </c>
      <c r="O70" t="n">
        <v>0</v>
      </c>
      <c r="P70" t="n">
        <v>0</v>
      </c>
      <c r="Q70" t="n">
        <v>3</v>
      </c>
      <c r="R70" t="n">
        <v>0</v>
      </c>
      <c r="S70" t="n">
        <v>3</v>
      </c>
      <c r="T70" t="n">
        <v>3</v>
      </c>
      <c r="U70" t="n">
        <v>3</v>
      </c>
      <c r="V70" s="2" t="inlineStr">
        <is>
          <t>Blå taggsvamp
Kolflarnlav
Lunglav</t>
        </is>
      </c>
      <c r="W70">
        <f>HYPERLINK("https://klasma.github.io/Logging_2481/artfynd/A 21905-2026 artfynd.xlsx", "A 21905-2026")</f>
        <v/>
      </c>
      <c r="X70">
        <f>HYPERLINK("https://klasma.github.io/Logging_2481/kartor/A 21905-2026 karta.png", "A 21905-2026")</f>
        <v/>
      </c>
      <c r="Y70">
        <f>HYPERLINK("https://klasma.github.io/Logging_2481/kartor_geotiff/A 21905-2026 georefererad karta.tif", "A 21905-2026")</f>
        <v/>
      </c>
      <c r="AA70">
        <f>HYPERLINK("https://klasma.github.io/Logging_2481/klagomål/A 21905-2026 FSC-klagomål.docx", "A 21905-2026")</f>
        <v/>
      </c>
      <c r="AB70">
        <f>HYPERLINK("https://klasma.github.io/Logging_2481/klagomålsmail/A 21905-2026 FSC-klagomål mail.docx", "A 21905-2026")</f>
        <v/>
      </c>
      <c r="AC70">
        <f>HYPERLINK("https://klasma.github.io/Logging_2481/tillsyn/A 21905-2026 tillsynsbegäran.docx", "A 21905-2026")</f>
        <v/>
      </c>
      <c r="AD70">
        <f>HYPERLINK("https://klasma.github.io/Logging_2481/tillsynsmail/A 21905-2026 tillsynsbegäran mail.docx", "A 21905-2026")</f>
        <v/>
      </c>
    </row>
    <row r="71" ht="15" customHeight="1">
      <c r="A71" t="inlineStr">
        <is>
          <t>A 26500-2026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46183</v>
      </c>
      <c r="E71" s="1" t="n">
        <v>46227</v>
      </c>
      <c r="F71" t="inlineStr">
        <is>
          <t>VÄSTERBOTTENS LÄN</t>
        </is>
      </c>
      <c r="G71" t="inlineStr">
        <is>
          <t>LYCKSELE</t>
        </is>
      </c>
      <c r="H71" t="inlineStr">
        <is>
          <t>Sveaskog</t>
        </is>
      </c>
      <c r="I71" t="n">
        <v>7.3</v>
      </c>
      <c r="J71" t="n">
        <v>1</v>
      </c>
      <c r="K71" t="n">
        <v>0</v>
      </c>
      <c r="L71" t="n">
        <v>2</v>
      </c>
      <c r="M71" t="n">
        <v>0</v>
      </c>
      <c r="N71" t="n">
        <v>0</v>
      </c>
      <c r="O71" t="n">
        <v>0</v>
      </c>
      <c r="P71" t="n">
        <v>0</v>
      </c>
      <c r="Q71" t="n">
        <v>2</v>
      </c>
      <c r="R71" t="n">
        <v>0</v>
      </c>
      <c r="S71" t="n">
        <v>3</v>
      </c>
      <c r="T71" t="n">
        <v>5</v>
      </c>
      <c r="U71" t="n">
        <v>0</v>
      </c>
      <c r="V71" s="2" t="inlineStr">
        <is>
          <t>Gammelgransskål
Lunglav
Tjäder</t>
        </is>
      </c>
      <c r="W71">
        <f>HYPERLINK("https://klasma.github.io/Logging_2481/artfynd/A 26500-2026 artfynd.xlsx", "A 26500-2026")</f>
        <v/>
      </c>
      <c r="X71">
        <f>HYPERLINK("https://klasma.github.io/Logging_2481/kartor/A 26500-2026 karta.png", "A 26500-2026")</f>
        <v/>
      </c>
      <c r="Y71">
        <f>HYPERLINK("https://klasma.github.io/Logging_2481/kartor_geotiff/A 26500-2026 georefererad karta.tif", "A 26500-2026")</f>
        <v/>
      </c>
      <c r="AA71">
        <f>HYPERLINK("https://klasma.github.io/Logging_2481/klagomål/A 26500-2026 FSC-klagomål.docx", "A 26500-2026")</f>
        <v/>
      </c>
      <c r="AB71">
        <f>HYPERLINK("https://klasma.github.io/Logging_2481/klagomålsmail/A 26500-2026 FSC-klagomål mail.docx", "A 26500-2026")</f>
        <v/>
      </c>
      <c r="AC71">
        <f>HYPERLINK("https://klasma.github.io/Logging_2481/tillsyn/A 26500-2026 tillsynsbegäran.docx", "A 26500-2026")</f>
        <v/>
      </c>
      <c r="AD71">
        <f>HYPERLINK("https://klasma.github.io/Logging_2481/tillsynsmail/A 26500-2026 tillsynsbegäran mail.docx", "A 26500-2026")</f>
        <v/>
      </c>
      <c r="AE71">
        <f>HYPERLINK("https://klasma.github.io/Logging_2481/fåglar/A 26500-2026 prioriterade fågelarter.docx", "A 26500-2026")</f>
        <v/>
      </c>
    </row>
    <row r="72" ht="15" customHeight="1">
      <c r="A72" t="inlineStr">
        <is>
          <t>A 30298-2022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44760</v>
      </c>
      <c r="E72" s="1" t="n">
        <v>46227</v>
      </c>
      <c r="F72" t="inlineStr">
        <is>
          <t>VÄSTERBOTTENS LÄN</t>
        </is>
      </c>
      <c r="G72" t="inlineStr">
        <is>
          <t>LYCKSELE</t>
        </is>
      </c>
      <c r="H72" t="inlineStr">
        <is>
          <t>Sveaskog</t>
        </is>
      </c>
      <c r="I72" t="n">
        <v>5.6</v>
      </c>
      <c r="J72" t="n">
        <v>0</v>
      </c>
      <c r="K72" t="n">
        <v>0</v>
      </c>
      <c r="L72" t="n">
        <v>2</v>
      </c>
      <c r="M72" t="n">
        <v>0</v>
      </c>
      <c r="N72" t="n">
        <v>0</v>
      </c>
      <c r="O72" t="n">
        <v>0</v>
      </c>
      <c r="P72" t="n">
        <v>0</v>
      </c>
      <c r="Q72" t="n">
        <v>2</v>
      </c>
      <c r="R72" t="n">
        <v>0</v>
      </c>
      <c r="S72" t="n">
        <v>2</v>
      </c>
      <c r="T72" t="n">
        <v>2</v>
      </c>
      <c r="U72" t="n">
        <v>2</v>
      </c>
      <c r="V72" s="2" t="inlineStr">
        <is>
          <t>Dropptaggsvamp
Orange taggsvamp</t>
        </is>
      </c>
      <c r="W72">
        <f>HYPERLINK("https://klasma.github.io/Logging_2481/artfynd/A 30298-2022 artfynd.xlsx", "A 30298-2022")</f>
        <v/>
      </c>
      <c r="X72">
        <f>HYPERLINK("https://klasma.github.io/Logging_2481/kartor/A 30298-2022 karta.png", "A 30298-2022")</f>
        <v/>
      </c>
      <c r="Y72">
        <f>HYPERLINK("https://klasma.github.io/Logging_2481/kartor_geotiff/A 30298-2022 georefererad karta.tif", "A 30298-2022")</f>
        <v/>
      </c>
      <c r="AA72">
        <f>HYPERLINK("https://klasma.github.io/Logging_2481/klagomål/A 30298-2022 FSC-klagomål.docx", "A 30298-2022")</f>
        <v/>
      </c>
      <c r="AB72">
        <f>HYPERLINK("https://klasma.github.io/Logging_2481/klagomålsmail/A 30298-2022 FSC-klagomål mail.docx", "A 30298-2022")</f>
        <v/>
      </c>
      <c r="AC72">
        <f>HYPERLINK("https://klasma.github.io/Logging_2481/tillsyn/A 30298-2022 tillsynsbegäran.docx", "A 30298-2022")</f>
        <v/>
      </c>
      <c r="AD72">
        <f>HYPERLINK("https://klasma.github.io/Logging_2481/tillsynsmail/A 30298-2022 tillsynsbegäran mail.docx", "A 30298-2022")</f>
        <v/>
      </c>
    </row>
    <row r="73" ht="15" customHeight="1">
      <c r="A73" t="inlineStr">
        <is>
          <t>A 34810-2022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44795</v>
      </c>
      <c r="E73" s="1" t="n">
        <v>46227</v>
      </c>
      <c r="F73" t="inlineStr">
        <is>
          <t>VÄSTERBOTTENS LÄN</t>
        </is>
      </c>
      <c r="G73" t="inlineStr">
        <is>
          <t>LYCKSELE</t>
        </is>
      </c>
      <c r="H73" t="inlineStr">
        <is>
          <t>SCA</t>
        </is>
      </c>
      <c r="I73" t="n">
        <v>2.3</v>
      </c>
      <c r="J73" t="n">
        <v>1</v>
      </c>
      <c r="K73" t="n">
        <v>0</v>
      </c>
      <c r="L73" t="n">
        <v>1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t="n">
        <v>0</v>
      </c>
      <c r="S73" t="n">
        <v>2</v>
      </c>
      <c r="T73" t="n">
        <v>3</v>
      </c>
      <c r="U73" t="n">
        <v>0</v>
      </c>
      <c r="V73" s="2" t="inlineStr">
        <is>
          <t>Lunglav
Fläcknycklar</t>
        </is>
      </c>
      <c r="W73">
        <f>HYPERLINK("https://klasma.github.io/Logging_2481/artfynd/A 34810-2022 artfynd.xlsx", "A 34810-2022")</f>
        <v/>
      </c>
      <c r="X73">
        <f>HYPERLINK("https://klasma.github.io/Logging_2481/kartor/A 34810-2022 karta.png", "A 34810-2022")</f>
        <v/>
      </c>
      <c r="Y73">
        <f>HYPERLINK("https://klasma.github.io/Logging_2481/kartor_geotiff/A 34810-2022 georefererad karta.tif", "A 34810-2022")</f>
        <v/>
      </c>
      <c r="AA73">
        <f>HYPERLINK("https://klasma.github.io/Logging_2481/klagomål/A 34810-2022 FSC-klagomål.docx", "A 34810-2022")</f>
        <v/>
      </c>
      <c r="AB73">
        <f>HYPERLINK("https://klasma.github.io/Logging_2481/klagomålsmail/A 34810-2022 FSC-klagomål mail.docx", "A 34810-2022")</f>
        <v/>
      </c>
      <c r="AC73">
        <f>HYPERLINK("https://klasma.github.io/Logging_2481/tillsyn/A 34810-2022 tillsynsbegäran.docx", "A 34810-2022")</f>
        <v/>
      </c>
      <c r="AD73">
        <f>HYPERLINK("https://klasma.github.io/Logging_2481/tillsynsmail/A 34810-2022 tillsynsbegäran mail.docx", "A 34810-2022")</f>
        <v/>
      </c>
    </row>
    <row r="74" ht="15" customHeight="1">
      <c r="A74" t="inlineStr">
        <is>
          <t>A 20111-2025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45772</v>
      </c>
      <c r="E74" s="1" t="n">
        <v>46227</v>
      </c>
      <c r="F74" t="inlineStr">
        <is>
          <t>VÄSTERBOTTENS LÄN</t>
        </is>
      </c>
      <c r="G74" t="inlineStr">
        <is>
          <t>LYCKSELE</t>
        </is>
      </c>
      <c r="H74" t="inlineStr">
        <is>
          <t>Sveaskog</t>
        </is>
      </c>
      <c r="I74" t="n">
        <v>6.9</v>
      </c>
      <c r="J74" t="n">
        <v>0</v>
      </c>
      <c r="K74" t="n">
        <v>0</v>
      </c>
      <c r="L74" t="n">
        <v>2</v>
      </c>
      <c r="M74" t="n">
        <v>0</v>
      </c>
      <c r="N74" t="n">
        <v>0</v>
      </c>
      <c r="O74" t="n">
        <v>0</v>
      </c>
      <c r="P74" t="n">
        <v>0</v>
      </c>
      <c r="Q74" t="n">
        <v>2</v>
      </c>
      <c r="R74" t="n">
        <v>0</v>
      </c>
      <c r="S74" t="n">
        <v>2</v>
      </c>
      <c r="T74" t="n">
        <v>2</v>
      </c>
      <c r="U74" t="n">
        <v>2</v>
      </c>
      <c r="V74" s="2" t="inlineStr">
        <is>
          <t>Blå taggsvamp
Orange taggsvamp</t>
        </is>
      </c>
      <c r="W74">
        <f>HYPERLINK("https://klasma.github.io/Logging_2481/artfynd/A 20111-2025 artfynd.xlsx", "A 20111-2025")</f>
        <v/>
      </c>
      <c r="X74">
        <f>HYPERLINK("https://klasma.github.io/Logging_2481/kartor/A 20111-2025 karta.png", "A 20111-2025")</f>
        <v/>
      </c>
      <c r="Y74">
        <f>HYPERLINK("https://klasma.github.io/Logging_2481/kartor_geotiff/A 20111-2025 georefererad karta.tif", "A 20111-2025")</f>
        <v/>
      </c>
      <c r="AA74">
        <f>HYPERLINK("https://klasma.github.io/Logging_2481/klagomål/A 20111-2025 FSC-klagomål.docx", "A 20111-2025")</f>
        <v/>
      </c>
      <c r="AB74">
        <f>HYPERLINK("https://klasma.github.io/Logging_2481/klagomålsmail/A 20111-2025 FSC-klagomål mail.docx", "A 20111-2025")</f>
        <v/>
      </c>
      <c r="AC74">
        <f>HYPERLINK("https://klasma.github.io/Logging_2481/tillsyn/A 20111-2025 tillsynsbegäran.docx", "A 20111-2025")</f>
        <v/>
      </c>
      <c r="AD74">
        <f>HYPERLINK("https://klasma.github.io/Logging_2481/tillsynsmail/A 20111-2025 tillsynsbegäran mail.docx", "A 20111-2025")</f>
        <v/>
      </c>
    </row>
    <row r="75" ht="15" customHeight="1">
      <c r="A75" t="inlineStr">
        <is>
          <t>A 28515-2023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45103</v>
      </c>
      <c r="E75" s="1" t="n">
        <v>46227</v>
      </c>
      <c r="F75" t="inlineStr">
        <is>
          <t>VÄSTERBOTTENS LÄN</t>
        </is>
      </c>
      <c r="G75" t="inlineStr">
        <is>
          <t>LYCKSELE</t>
        </is>
      </c>
      <c r="H75" t="inlineStr">
        <is>
          <t>Sveaskog</t>
        </is>
      </c>
      <c r="I75" t="n">
        <v>10</v>
      </c>
      <c r="J75" t="n">
        <v>0</v>
      </c>
      <c r="K75" t="n">
        <v>0</v>
      </c>
      <c r="L75" t="n">
        <v>2</v>
      </c>
      <c r="M75" t="n">
        <v>0</v>
      </c>
      <c r="N75" t="n">
        <v>0</v>
      </c>
      <c r="O75" t="n">
        <v>0</v>
      </c>
      <c r="P75" t="n">
        <v>0</v>
      </c>
      <c r="Q75" t="n">
        <v>2</v>
      </c>
      <c r="R75" t="n">
        <v>0</v>
      </c>
      <c r="S75" t="n">
        <v>2</v>
      </c>
      <c r="T75" t="n">
        <v>4</v>
      </c>
      <c r="U75" t="n">
        <v>4</v>
      </c>
      <c r="V75" s="2" t="inlineStr">
        <is>
          <t>Lunglav
Tallticka</t>
        </is>
      </c>
      <c r="W75">
        <f>HYPERLINK("https://klasma.github.io/Logging_2481/artfynd/A 28515-2023 artfynd.xlsx", "A 28515-2023")</f>
        <v/>
      </c>
      <c r="X75">
        <f>HYPERLINK("https://klasma.github.io/Logging_2481/kartor/A 28515-2023 karta.png", "A 28515-2023")</f>
        <v/>
      </c>
      <c r="Y75">
        <f>HYPERLINK("https://klasma.github.io/Logging_2481/kartor_geotiff/A 28515-2023 georefererad karta.tif", "A 28515-2023")</f>
        <v/>
      </c>
      <c r="AA75">
        <f>HYPERLINK("https://klasma.github.io/Logging_2481/klagomål/A 28515-2023 FSC-klagomål.docx", "A 28515-2023")</f>
        <v/>
      </c>
      <c r="AB75">
        <f>HYPERLINK("https://klasma.github.io/Logging_2481/klagomålsmail/A 28515-2023 FSC-klagomål mail.docx", "A 28515-2023")</f>
        <v/>
      </c>
      <c r="AC75">
        <f>HYPERLINK("https://klasma.github.io/Logging_2481/tillsyn/A 28515-2023 tillsynsbegäran.docx", "A 28515-2023")</f>
        <v/>
      </c>
      <c r="AD75">
        <f>HYPERLINK("https://klasma.github.io/Logging_2481/tillsynsmail/A 28515-2023 tillsynsbegäran mail.docx", "A 28515-2023")</f>
        <v/>
      </c>
    </row>
    <row r="76" ht="15" customHeight="1">
      <c r="A76" t="inlineStr">
        <is>
          <t>A 38776-2025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45887</v>
      </c>
      <c r="E76" s="1" t="n">
        <v>46227</v>
      </c>
      <c r="F76" t="inlineStr">
        <is>
          <t>VÄSTERBOTTENS LÄN</t>
        </is>
      </c>
      <c r="G76" t="inlineStr">
        <is>
          <t>LYCKSELE</t>
        </is>
      </c>
      <c r="H76" t="inlineStr">
        <is>
          <t>Sveaskog</t>
        </is>
      </c>
      <c r="I76" t="n">
        <v>7.5</v>
      </c>
      <c r="J76" t="n">
        <v>0</v>
      </c>
      <c r="K76" t="n">
        <v>0</v>
      </c>
      <c r="L76" t="n">
        <v>2</v>
      </c>
      <c r="M76" t="n">
        <v>0</v>
      </c>
      <c r="N76" t="n">
        <v>0</v>
      </c>
      <c r="O76" t="n">
        <v>0</v>
      </c>
      <c r="P76" t="n">
        <v>0</v>
      </c>
      <c r="Q76" t="n">
        <v>2</v>
      </c>
      <c r="R76" t="n">
        <v>0</v>
      </c>
      <c r="S76" t="n">
        <v>2</v>
      </c>
      <c r="T76" t="n">
        <v>2</v>
      </c>
      <c r="U76" t="n">
        <v>0</v>
      </c>
      <c r="V76" s="2" t="inlineStr">
        <is>
          <t>Dropptaggsvamp
Kolflarnlav</t>
        </is>
      </c>
      <c r="W76">
        <f>HYPERLINK("https://klasma.github.io/Logging_2481/artfynd/A 38776-2025 artfynd.xlsx", "A 38776-2025")</f>
        <v/>
      </c>
      <c r="X76">
        <f>HYPERLINK("https://klasma.github.io/Logging_2481/kartor/A 38776-2025 karta.png", "A 38776-2025")</f>
        <v/>
      </c>
      <c r="Y76">
        <f>HYPERLINK("https://klasma.github.io/Logging_2481/kartor_geotiff/A 38776-2025 georefererad karta.tif", "A 38776-2025")</f>
        <v/>
      </c>
      <c r="AA76">
        <f>HYPERLINK("https://klasma.github.io/Logging_2481/klagomål/A 38776-2025 FSC-klagomål.docx", "A 38776-2025")</f>
        <v/>
      </c>
      <c r="AB76">
        <f>HYPERLINK("https://klasma.github.io/Logging_2481/klagomålsmail/A 38776-2025 FSC-klagomål mail.docx", "A 38776-2025")</f>
        <v/>
      </c>
      <c r="AC76">
        <f>HYPERLINK("https://klasma.github.io/Logging_2481/tillsyn/A 38776-2025 tillsynsbegäran.docx", "A 38776-2025")</f>
        <v/>
      </c>
      <c r="AD76">
        <f>HYPERLINK("https://klasma.github.io/Logging_2481/tillsynsmail/A 38776-2025 tillsynsbegäran mail.docx", "A 38776-2025")</f>
        <v/>
      </c>
    </row>
    <row r="77" ht="15" customHeight="1">
      <c r="A77" t="inlineStr">
        <is>
          <t>A 53650-2025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45960</v>
      </c>
      <c r="E77" s="1" t="n">
        <v>46227</v>
      </c>
      <c r="F77" t="inlineStr">
        <is>
          <t>VÄSTERBOTTENS LÄN</t>
        </is>
      </c>
      <c r="G77" t="inlineStr">
        <is>
          <t>LYCKSELE</t>
        </is>
      </c>
      <c r="H77" t="inlineStr">
        <is>
          <t>Sveaskog</t>
        </is>
      </c>
      <c r="I77" t="n">
        <v>19.1</v>
      </c>
      <c r="J77" t="n">
        <v>1</v>
      </c>
      <c r="K77" t="n">
        <v>1</v>
      </c>
      <c r="L77" t="n">
        <v>1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t="n">
        <v>0</v>
      </c>
      <c r="S77" t="n">
        <v>2</v>
      </c>
      <c r="T77" t="n">
        <v>2</v>
      </c>
      <c r="U77" t="n">
        <v>0</v>
      </c>
      <c r="V77" s="2" t="inlineStr">
        <is>
          <t>Tretåig hackspett
Luddlav</t>
        </is>
      </c>
      <c r="W77">
        <f>HYPERLINK("https://klasma.github.io/Logging_2481/artfynd/A 53650-2025 artfynd.xlsx", "A 53650-2025")</f>
        <v/>
      </c>
      <c r="X77">
        <f>HYPERLINK("https://klasma.github.io/Logging_2481/kartor/A 53650-2025 karta.png", "A 53650-2025")</f>
        <v/>
      </c>
      <c r="Y77">
        <f>HYPERLINK("https://klasma.github.io/Logging_2481/kartor_geotiff/A 53650-2025 georefererad karta.tif", "A 53650-2025")</f>
        <v/>
      </c>
      <c r="AA77">
        <f>HYPERLINK("https://klasma.github.io/Logging_2481/klagomål/A 53650-2025 FSC-klagomål.docx", "A 53650-2025")</f>
        <v/>
      </c>
      <c r="AB77">
        <f>HYPERLINK("https://klasma.github.io/Logging_2481/klagomålsmail/A 53650-2025 FSC-klagomål mail.docx", "A 53650-2025")</f>
        <v/>
      </c>
      <c r="AC77">
        <f>HYPERLINK("https://klasma.github.io/Logging_2481/tillsyn/A 53650-2025 tillsynsbegäran.docx", "A 53650-2025")</f>
        <v/>
      </c>
      <c r="AD77">
        <f>HYPERLINK("https://klasma.github.io/Logging_2481/tillsynsmail/A 53650-2025 tillsynsbegäran mail.docx", "A 53650-2025")</f>
        <v/>
      </c>
      <c r="AE77">
        <f>HYPERLINK("https://klasma.github.io/Logging_2481/fåglar/A 53650-2025 prioriterade fågelarter.docx", "A 53650-2025")</f>
        <v/>
      </c>
    </row>
    <row r="78" ht="15" customHeight="1">
      <c r="A78" t="inlineStr">
        <is>
          <t>A 26271-2025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45805</v>
      </c>
      <c r="E78" s="1" t="n">
        <v>46227</v>
      </c>
      <c r="F78" t="inlineStr">
        <is>
          <t>VÄSTERBOTTENS LÄN</t>
        </is>
      </c>
      <c r="G78" t="inlineStr">
        <is>
          <t>LYCKSELE</t>
        </is>
      </c>
      <c r="H78" t="inlineStr">
        <is>
          <t>Sveaskog</t>
        </is>
      </c>
      <c r="I78" t="n">
        <v>1.7</v>
      </c>
      <c r="J78" t="n">
        <v>0</v>
      </c>
      <c r="K78" t="n">
        <v>0</v>
      </c>
      <c r="L78" t="n">
        <v>2</v>
      </c>
      <c r="M78" t="n">
        <v>0</v>
      </c>
      <c r="N78" t="n">
        <v>0</v>
      </c>
      <c r="O78" t="n">
        <v>0</v>
      </c>
      <c r="P78" t="n">
        <v>0</v>
      </c>
      <c r="Q78" t="n">
        <v>2</v>
      </c>
      <c r="R78" t="n">
        <v>0</v>
      </c>
      <c r="S78" t="n">
        <v>2</v>
      </c>
      <c r="T78" t="n">
        <v>2</v>
      </c>
      <c r="U78" t="n">
        <v>2</v>
      </c>
      <c r="V78" s="2" t="inlineStr">
        <is>
          <t>Gammelgransskål
Lunglav</t>
        </is>
      </c>
      <c r="W78">
        <f>HYPERLINK("https://klasma.github.io/Logging_2481/artfynd/A 26271-2025 artfynd.xlsx", "A 26271-2025")</f>
        <v/>
      </c>
      <c r="X78">
        <f>HYPERLINK("https://klasma.github.io/Logging_2481/kartor/A 26271-2025 karta.png", "A 26271-2025")</f>
        <v/>
      </c>
      <c r="Y78">
        <f>HYPERLINK("https://klasma.github.io/Logging_2481/kartor_geotiff/A 26271-2025 georefererad karta.tif", "A 26271-2025")</f>
        <v/>
      </c>
      <c r="AA78">
        <f>HYPERLINK("https://klasma.github.io/Logging_2481/klagomål/A 26271-2025 FSC-klagomål.docx", "A 26271-2025")</f>
        <v/>
      </c>
      <c r="AB78">
        <f>HYPERLINK("https://klasma.github.io/Logging_2481/klagomålsmail/A 26271-2025 FSC-klagomål mail.docx", "A 26271-2025")</f>
        <v/>
      </c>
      <c r="AC78">
        <f>HYPERLINK("https://klasma.github.io/Logging_2481/tillsyn/A 26271-2025 tillsynsbegäran.docx", "A 26271-2025")</f>
        <v/>
      </c>
      <c r="AD78">
        <f>HYPERLINK("https://klasma.github.io/Logging_2481/tillsynsmail/A 26271-2025 tillsynsbegäran mail.docx", "A 26271-2025")</f>
        <v/>
      </c>
    </row>
    <row r="79" ht="15" customHeight="1">
      <c r="A79" t="inlineStr">
        <is>
          <t>A 55508-2025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45971</v>
      </c>
      <c r="E79" s="1" t="n">
        <v>46227</v>
      </c>
      <c r="F79" t="inlineStr">
        <is>
          <t>VÄSTERBOTTENS LÄN</t>
        </is>
      </c>
      <c r="G79" t="inlineStr">
        <is>
          <t>LYCKSELE</t>
        </is>
      </c>
      <c r="I79" t="n">
        <v>10.5</v>
      </c>
      <c r="J79" t="n">
        <v>0</v>
      </c>
      <c r="K79" t="n">
        <v>1</v>
      </c>
      <c r="L79" t="n">
        <v>1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t="n">
        <v>0</v>
      </c>
      <c r="S79" t="n">
        <v>2</v>
      </c>
      <c r="T79" t="n">
        <v>2</v>
      </c>
      <c r="U79" t="n">
        <v>0</v>
      </c>
      <c r="V79" s="2" t="inlineStr">
        <is>
          <t>Lunglav
Stuplav</t>
        </is>
      </c>
      <c r="W79">
        <f>HYPERLINK("https://klasma.github.io/Logging_2481/artfynd/A 55508-2025 artfynd.xlsx", "A 55508-2025")</f>
        <v/>
      </c>
      <c r="X79">
        <f>HYPERLINK("https://klasma.github.io/Logging_2481/kartor/A 55508-2025 karta.png", "A 55508-2025")</f>
        <v/>
      </c>
      <c r="Y79">
        <f>HYPERLINK("https://klasma.github.io/Logging_2481/kartor_geotiff/A 55508-2025 georefererad karta.tif", "A 55508-2025")</f>
        <v/>
      </c>
      <c r="AA79">
        <f>HYPERLINK("https://klasma.github.io/Logging_2481/klagomål/A 55508-2025 FSC-klagomål.docx", "A 55508-2025")</f>
        <v/>
      </c>
      <c r="AB79">
        <f>HYPERLINK("https://klasma.github.io/Logging_2481/klagomålsmail/A 55508-2025 FSC-klagomål mail.docx", "A 55508-2025")</f>
        <v/>
      </c>
      <c r="AC79">
        <f>HYPERLINK("https://klasma.github.io/Logging_2481/tillsyn/A 55508-2025 tillsynsbegäran.docx", "A 55508-2025")</f>
        <v/>
      </c>
      <c r="AD79">
        <f>HYPERLINK("https://klasma.github.io/Logging_2481/tillsynsmail/A 55508-2025 tillsynsbegäran mail.docx", "A 55508-2025")</f>
        <v/>
      </c>
    </row>
    <row r="80" ht="15" customHeight="1">
      <c r="A80" t="inlineStr">
        <is>
          <t>A 42159-2025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45904</v>
      </c>
      <c r="E80" s="1" t="n">
        <v>46227</v>
      </c>
      <c r="F80" t="inlineStr">
        <is>
          <t>VÄSTERBOTTENS LÄN</t>
        </is>
      </c>
      <c r="G80" t="inlineStr">
        <is>
          <t>LYCKSELE</t>
        </is>
      </c>
      <c r="H80" t="inlineStr">
        <is>
          <t>Sveaskog</t>
        </is>
      </c>
      <c r="I80" t="n">
        <v>5.5</v>
      </c>
      <c r="J80" t="n">
        <v>0</v>
      </c>
      <c r="K80" t="n">
        <v>0</v>
      </c>
      <c r="L80" t="n">
        <v>2</v>
      </c>
      <c r="M80" t="n">
        <v>0</v>
      </c>
      <c r="N80" t="n">
        <v>0</v>
      </c>
      <c r="O80" t="n">
        <v>0</v>
      </c>
      <c r="P80" t="n">
        <v>0</v>
      </c>
      <c r="Q80" t="n">
        <v>2</v>
      </c>
      <c r="R80" t="n">
        <v>0</v>
      </c>
      <c r="S80" t="n">
        <v>2</v>
      </c>
      <c r="T80" t="n">
        <v>2</v>
      </c>
      <c r="U80" t="n">
        <v>2</v>
      </c>
      <c r="V80" s="2" t="inlineStr">
        <is>
          <t>Kolflarnlav
Mörk kolflarnlav</t>
        </is>
      </c>
      <c r="W80">
        <f>HYPERLINK("https://klasma.github.io/Logging_2481/artfynd/A 42159-2025 artfynd.xlsx", "A 42159-2025")</f>
        <v/>
      </c>
      <c r="X80">
        <f>HYPERLINK("https://klasma.github.io/Logging_2481/kartor/A 42159-2025 karta.png", "A 42159-2025")</f>
        <v/>
      </c>
      <c r="Y80">
        <f>HYPERLINK("https://klasma.github.io/Logging_2481/kartor_geotiff/A 42159-2025 georefererad karta.tif", "A 42159-2025")</f>
        <v/>
      </c>
      <c r="AA80">
        <f>HYPERLINK("https://klasma.github.io/Logging_2481/klagomål/A 42159-2025 FSC-klagomål.docx", "A 42159-2025")</f>
        <v/>
      </c>
      <c r="AB80">
        <f>HYPERLINK("https://klasma.github.io/Logging_2481/klagomålsmail/A 42159-2025 FSC-klagomål mail.docx", "A 42159-2025")</f>
        <v/>
      </c>
      <c r="AC80">
        <f>HYPERLINK("https://klasma.github.io/Logging_2481/tillsyn/A 42159-2025 tillsynsbegäran.docx", "A 42159-2025")</f>
        <v/>
      </c>
      <c r="AD80">
        <f>HYPERLINK("https://klasma.github.io/Logging_2481/tillsynsmail/A 42159-2025 tillsynsbegäran mail.docx", "A 42159-2025")</f>
        <v/>
      </c>
    </row>
    <row r="81" ht="15" customHeight="1">
      <c r="A81" t="inlineStr">
        <is>
          <t>A 30691-2025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45831</v>
      </c>
      <c r="E81" s="1" t="n">
        <v>46227</v>
      </c>
      <c r="F81" t="inlineStr">
        <is>
          <t>VÄSTERBOTTENS LÄN</t>
        </is>
      </c>
      <c r="G81" t="inlineStr">
        <is>
          <t>LYCKSELE</t>
        </is>
      </c>
      <c r="H81" t="inlineStr">
        <is>
          <t>Sveaskog</t>
        </is>
      </c>
      <c r="I81" t="n">
        <v>2</v>
      </c>
      <c r="J81" t="n">
        <v>1</v>
      </c>
      <c r="K81" t="n">
        <v>0</v>
      </c>
      <c r="L81" t="n">
        <v>2</v>
      </c>
      <c r="M81" t="n">
        <v>0</v>
      </c>
      <c r="N81" t="n">
        <v>0</v>
      </c>
      <c r="O81" t="n">
        <v>0</v>
      </c>
      <c r="P81" t="n">
        <v>0</v>
      </c>
      <c r="Q81" t="n">
        <v>2</v>
      </c>
      <c r="R81" t="n">
        <v>0</v>
      </c>
      <c r="S81" t="n">
        <v>2</v>
      </c>
      <c r="T81" t="n">
        <v>3</v>
      </c>
      <c r="U81" t="n">
        <v>2</v>
      </c>
      <c r="V81" s="2" t="inlineStr">
        <is>
          <t>Mörk kolflarnlav
Tretåig hackspett</t>
        </is>
      </c>
      <c r="W81">
        <f>HYPERLINK("https://klasma.github.io/Logging_2481/artfynd/A 30691-2025 artfynd.xlsx", "A 30691-2025")</f>
        <v/>
      </c>
      <c r="X81">
        <f>HYPERLINK("https://klasma.github.io/Logging_2481/kartor/A 30691-2025 karta.png", "A 30691-2025")</f>
        <v/>
      </c>
      <c r="Y81">
        <f>HYPERLINK("https://klasma.github.io/Logging_2481/kartor_geotiff/A 30691-2025 georefererad karta.tif", "A 30691-2025")</f>
        <v/>
      </c>
      <c r="AA81">
        <f>HYPERLINK("https://klasma.github.io/Logging_2481/klagomål/A 30691-2025 FSC-klagomål.docx", "A 30691-2025")</f>
        <v/>
      </c>
      <c r="AB81">
        <f>HYPERLINK("https://klasma.github.io/Logging_2481/klagomålsmail/A 30691-2025 FSC-klagomål mail.docx", "A 30691-2025")</f>
        <v/>
      </c>
      <c r="AC81">
        <f>HYPERLINK("https://klasma.github.io/Logging_2481/tillsyn/A 30691-2025 tillsynsbegäran.docx", "A 30691-2025")</f>
        <v/>
      </c>
      <c r="AD81">
        <f>HYPERLINK("https://klasma.github.io/Logging_2481/tillsynsmail/A 30691-2025 tillsynsbegäran mail.docx", "A 30691-2025")</f>
        <v/>
      </c>
      <c r="AE81">
        <f>HYPERLINK("https://klasma.github.io/Logging_2481/fåglar/A 30691-2025 prioriterade fågelarter.docx", "A 30691-2025")</f>
        <v/>
      </c>
    </row>
    <row r="82" ht="15" customHeight="1">
      <c r="A82" t="inlineStr">
        <is>
          <t>A 2893-2023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44945</v>
      </c>
      <c r="E82" s="1" t="n">
        <v>46227</v>
      </c>
      <c r="F82" t="inlineStr">
        <is>
          <t>VÄSTERBOTTENS LÄN</t>
        </is>
      </c>
      <c r="G82" t="inlineStr">
        <is>
          <t>LYCKSELE</t>
        </is>
      </c>
      <c r="H82" t="inlineStr">
        <is>
          <t>Kyrkan</t>
        </is>
      </c>
      <c r="I82" t="n">
        <v>3.5</v>
      </c>
      <c r="J82" t="n">
        <v>0</v>
      </c>
      <c r="K82" t="n">
        <v>0</v>
      </c>
      <c r="L82" t="n">
        <v>1</v>
      </c>
      <c r="M82" t="n">
        <v>1</v>
      </c>
      <c r="N82" t="n">
        <v>0</v>
      </c>
      <c r="O82" t="n">
        <v>0</v>
      </c>
      <c r="P82" t="n">
        <v>0</v>
      </c>
      <c r="Q82" t="n">
        <v>2</v>
      </c>
      <c r="R82" t="n">
        <v>1</v>
      </c>
      <c r="S82" t="n">
        <v>2</v>
      </c>
      <c r="T82" t="n">
        <v>7</v>
      </c>
      <c r="U82" t="n">
        <v>7</v>
      </c>
      <c r="V82" s="2" t="inlineStr">
        <is>
          <t>Garnlav
Dropptaggsvamp</t>
        </is>
      </c>
      <c r="W82">
        <f>HYPERLINK("https://klasma.github.io/Logging_2481/artfynd/A 2893-2023 artfynd.xlsx", "A 2893-2023")</f>
        <v/>
      </c>
      <c r="X82">
        <f>HYPERLINK("https://klasma.github.io/Logging_2481/kartor/A 2893-2023 karta.png", "A 2893-2023")</f>
        <v/>
      </c>
      <c r="Y82">
        <f>HYPERLINK("https://klasma.github.io/Logging_2481/kartor_geotiff/A 2893-2023 georefererad karta.tif", "A 2893-2023")</f>
        <v/>
      </c>
      <c r="AA82">
        <f>HYPERLINK("https://klasma.github.io/Logging_2481/klagomål/A 2893-2023 FSC-klagomål.docx", "A 2893-2023")</f>
        <v/>
      </c>
      <c r="AB82">
        <f>HYPERLINK("https://klasma.github.io/Logging_2481/klagomålsmail/A 2893-2023 FSC-klagomål mail.docx", "A 2893-2023")</f>
        <v/>
      </c>
      <c r="AC82">
        <f>HYPERLINK("https://klasma.github.io/Logging_2481/tillsyn/A 2893-2023 tillsynsbegäran.docx", "A 2893-2023")</f>
        <v/>
      </c>
      <c r="AD82">
        <f>HYPERLINK("https://klasma.github.io/Logging_2481/tillsynsmail/A 2893-2023 tillsynsbegäran mail.docx", "A 2893-2023")</f>
        <v/>
      </c>
    </row>
    <row r="83" ht="15" customHeight="1">
      <c r="A83" t="inlineStr">
        <is>
          <t>A 44351-2025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45916</v>
      </c>
      <c r="E83" s="1" t="n">
        <v>46227</v>
      </c>
      <c r="F83" t="inlineStr">
        <is>
          <t>VÄSTERBOTTENS LÄN</t>
        </is>
      </c>
      <c r="G83" t="inlineStr">
        <is>
          <t>LYCKSELE</t>
        </is>
      </c>
      <c r="H83" t="inlineStr">
        <is>
          <t>Sveaskog</t>
        </is>
      </c>
      <c r="I83" t="n">
        <v>3.4</v>
      </c>
      <c r="J83" t="n">
        <v>1</v>
      </c>
      <c r="K83" t="n">
        <v>0</v>
      </c>
      <c r="L83" t="n">
        <v>1</v>
      </c>
      <c r="M83" t="n">
        <v>1</v>
      </c>
      <c r="N83" t="n">
        <v>0</v>
      </c>
      <c r="O83" t="n">
        <v>0</v>
      </c>
      <c r="P83" t="n">
        <v>0</v>
      </c>
      <c r="Q83" t="n">
        <v>2</v>
      </c>
      <c r="R83" t="n">
        <v>1</v>
      </c>
      <c r="S83" t="n">
        <v>2</v>
      </c>
      <c r="T83" t="n">
        <v>2</v>
      </c>
      <c r="U83" t="n">
        <v>0</v>
      </c>
      <c r="V83" s="2" t="inlineStr">
        <is>
          <t>Garnlav
Tretåig hackspett</t>
        </is>
      </c>
      <c r="W83">
        <f>HYPERLINK("https://klasma.github.io/Logging_2481/artfynd/A 44351-2025 artfynd.xlsx", "A 44351-2025")</f>
        <v/>
      </c>
      <c r="X83">
        <f>HYPERLINK("https://klasma.github.io/Logging_2481/kartor/A 44351-2025 karta.png", "A 44351-2025")</f>
        <v/>
      </c>
      <c r="Y83">
        <f>HYPERLINK("https://klasma.github.io/Logging_2481/kartor_geotiff/A 44351-2025 georefererad karta.tif", "A 44351-2025")</f>
        <v/>
      </c>
      <c r="AA83">
        <f>HYPERLINK("https://klasma.github.io/Logging_2481/klagomål/A 44351-2025 FSC-klagomål.docx", "A 44351-2025")</f>
        <v/>
      </c>
      <c r="AB83">
        <f>HYPERLINK("https://klasma.github.io/Logging_2481/klagomålsmail/A 44351-2025 FSC-klagomål mail.docx", "A 44351-2025")</f>
        <v/>
      </c>
      <c r="AC83">
        <f>HYPERLINK("https://klasma.github.io/Logging_2481/tillsyn/A 44351-2025 tillsynsbegäran.docx", "A 44351-2025")</f>
        <v/>
      </c>
      <c r="AD83">
        <f>HYPERLINK("https://klasma.github.io/Logging_2481/tillsynsmail/A 44351-2025 tillsynsbegäran mail.docx", "A 44351-2025")</f>
        <v/>
      </c>
      <c r="AE83">
        <f>HYPERLINK("https://klasma.github.io/Logging_2481/fåglar/A 44351-2025 prioriterade fågelarter.docx", "A 44351-2025")</f>
        <v/>
      </c>
    </row>
    <row r="84" ht="15" customHeight="1">
      <c r="A84" t="inlineStr">
        <is>
          <t>A 38475-2023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45162</v>
      </c>
      <c r="E84" s="1" t="n">
        <v>46227</v>
      </c>
      <c r="F84" t="inlineStr">
        <is>
          <t>VÄSTERBOTTENS LÄN</t>
        </is>
      </c>
      <c r="G84" t="inlineStr">
        <is>
          <t>LYCKSELE</t>
        </is>
      </c>
      <c r="H84" t="inlineStr">
        <is>
          <t>Sveaskog</t>
        </is>
      </c>
      <c r="I84" t="n">
        <v>1.6</v>
      </c>
      <c r="J84" t="n">
        <v>0</v>
      </c>
      <c r="K84" t="n">
        <v>0</v>
      </c>
      <c r="L84" t="n">
        <v>2</v>
      </c>
      <c r="M84" t="n">
        <v>0</v>
      </c>
      <c r="N84" t="n">
        <v>0</v>
      </c>
      <c r="O84" t="n">
        <v>0</v>
      </c>
      <c r="P84" t="n">
        <v>0</v>
      </c>
      <c r="Q84" t="n">
        <v>2</v>
      </c>
      <c r="R84" t="n">
        <v>0</v>
      </c>
      <c r="S84" t="n">
        <v>2</v>
      </c>
      <c r="T84" t="n">
        <v>2</v>
      </c>
      <c r="U84" t="n">
        <v>2</v>
      </c>
      <c r="V84" s="2" t="inlineStr">
        <is>
          <t>Blå taggsvamp
Mörk kolflarnlav</t>
        </is>
      </c>
      <c r="W84">
        <f>HYPERLINK("https://klasma.github.io/Logging_2481/artfynd/A 38475-2023 artfynd.xlsx", "A 38475-2023")</f>
        <v/>
      </c>
      <c r="X84">
        <f>HYPERLINK("https://klasma.github.io/Logging_2481/kartor/A 38475-2023 karta.png", "A 38475-2023")</f>
        <v/>
      </c>
      <c r="Y84">
        <f>HYPERLINK("https://klasma.github.io/Logging_2481/kartor_geotiff/A 38475-2023 georefererad karta.tif", "A 38475-2023")</f>
        <v/>
      </c>
      <c r="AA84">
        <f>HYPERLINK("https://klasma.github.io/Logging_2481/klagomål/A 38475-2023 FSC-klagomål.docx", "A 38475-2023")</f>
        <v/>
      </c>
      <c r="AB84">
        <f>HYPERLINK("https://klasma.github.io/Logging_2481/klagomålsmail/A 38475-2023 FSC-klagomål mail.docx", "A 38475-2023")</f>
        <v/>
      </c>
      <c r="AC84">
        <f>HYPERLINK("https://klasma.github.io/Logging_2481/tillsyn/A 38475-2023 tillsynsbegäran.docx", "A 38475-2023")</f>
        <v/>
      </c>
      <c r="AD84">
        <f>HYPERLINK("https://klasma.github.io/Logging_2481/tillsynsmail/A 38475-2023 tillsynsbegäran mail.docx", "A 38475-2023")</f>
        <v/>
      </c>
    </row>
    <row r="85" ht="15" customHeight="1">
      <c r="A85" t="inlineStr">
        <is>
          <t>A 45359-2025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45922</v>
      </c>
      <c r="E85" s="1" t="n">
        <v>46227</v>
      </c>
      <c r="F85" t="inlineStr">
        <is>
          <t>VÄSTERBOTTENS LÄN</t>
        </is>
      </c>
      <c r="G85" t="inlineStr">
        <is>
          <t>LYCKSELE</t>
        </is>
      </c>
      <c r="H85" t="inlineStr">
        <is>
          <t>Sveaskog</t>
        </is>
      </c>
      <c r="I85" t="n">
        <v>4.6</v>
      </c>
      <c r="J85" t="n">
        <v>0</v>
      </c>
      <c r="K85" t="n">
        <v>1</v>
      </c>
      <c r="L85" t="n">
        <v>0</v>
      </c>
      <c r="M85" t="n">
        <v>1</v>
      </c>
      <c r="N85" t="n">
        <v>0</v>
      </c>
      <c r="O85" t="n">
        <v>0</v>
      </c>
      <c r="P85" t="n">
        <v>0</v>
      </c>
      <c r="Q85" t="n">
        <v>1</v>
      </c>
      <c r="R85" t="n">
        <v>1</v>
      </c>
      <c r="S85" t="n">
        <v>2</v>
      </c>
      <c r="T85" t="n">
        <v>2</v>
      </c>
      <c r="U85" t="n">
        <v>0</v>
      </c>
      <c r="V85" s="2" t="inlineStr">
        <is>
          <t>Garnlav
Stuplav</t>
        </is>
      </c>
      <c r="W85">
        <f>HYPERLINK("https://klasma.github.io/Logging_2481/artfynd/A 45359-2025 artfynd.xlsx", "A 45359-2025")</f>
        <v/>
      </c>
      <c r="X85">
        <f>HYPERLINK("https://klasma.github.io/Logging_2481/kartor/A 45359-2025 karta.png", "A 45359-2025")</f>
        <v/>
      </c>
      <c r="Y85">
        <f>HYPERLINK("https://klasma.github.io/Logging_2481/kartor_geotiff/A 45359-2025 georefererad karta.tif", "A 45359-2025")</f>
        <v/>
      </c>
      <c r="AA85">
        <f>HYPERLINK("https://klasma.github.io/Logging_2481/klagomål/A 45359-2025 FSC-klagomål.docx", "A 45359-2025")</f>
        <v/>
      </c>
      <c r="AB85">
        <f>HYPERLINK("https://klasma.github.io/Logging_2481/klagomålsmail/A 45359-2025 FSC-klagomål mail.docx", "A 45359-2025")</f>
        <v/>
      </c>
      <c r="AC85">
        <f>HYPERLINK("https://klasma.github.io/Logging_2481/tillsyn/A 45359-2025 tillsynsbegäran.docx", "A 45359-2025")</f>
        <v/>
      </c>
      <c r="AD85">
        <f>HYPERLINK("https://klasma.github.io/Logging_2481/tillsynsmail/A 45359-2025 tillsynsbegäran mail.docx", "A 45359-2025")</f>
        <v/>
      </c>
    </row>
    <row r="86" ht="15" customHeight="1">
      <c r="A86" t="inlineStr">
        <is>
          <t>A 37458-2025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45877</v>
      </c>
      <c r="E86" s="1" t="n">
        <v>46227</v>
      </c>
      <c r="F86" t="inlineStr">
        <is>
          <t>VÄSTERBOTTENS LÄN</t>
        </is>
      </c>
      <c r="G86" t="inlineStr">
        <is>
          <t>LYCKSELE</t>
        </is>
      </c>
      <c r="H86" t="inlineStr">
        <is>
          <t>Holmen skog AB</t>
        </is>
      </c>
      <c r="I86" t="n">
        <v>5.1</v>
      </c>
      <c r="J86" t="n">
        <v>1</v>
      </c>
      <c r="K86" t="n">
        <v>0</v>
      </c>
      <c r="L86" t="n">
        <v>1</v>
      </c>
      <c r="M86" t="n">
        <v>1</v>
      </c>
      <c r="N86" t="n">
        <v>0</v>
      </c>
      <c r="O86" t="n">
        <v>0</v>
      </c>
      <c r="P86" t="n">
        <v>0</v>
      </c>
      <c r="Q86" t="n">
        <v>2</v>
      </c>
      <c r="R86" t="n">
        <v>1</v>
      </c>
      <c r="S86" t="n">
        <v>2</v>
      </c>
      <c r="T86" t="n">
        <v>3</v>
      </c>
      <c r="U86" t="n">
        <v>0</v>
      </c>
      <c r="V86" s="2" t="inlineStr">
        <is>
          <t>Garnlav
Lavskrika</t>
        </is>
      </c>
      <c r="W86">
        <f>HYPERLINK("https://klasma.github.io/Logging_2481/artfynd/A 37458-2025 artfynd.xlsx", "A 37458-2025")</f>
        <v/>
      </c>
      <c r="X86">
        <f>HYPERLINK("https://klasma.github.io/Logging_2481/kartor/A 37458-2025 karta.png", "A 37458-2025")</f>
        <v/>
      </c>
      <c r="Y86">
        <f>HYPERLINK("https://klasma.github.io/Logging_2481/kartor_geotiff/A 37458-2025 georefererad karta.tif", "A 37458-2025")</f>
        <v/>
      </c>
      <c r="AA86">
        <f>HYPERLINK("https://klasma.github.io/Logging_2481/klagomål/A 37458-2025 FSC-klagomål.docx", "A 37458-2025")</f>
        <v/>
      </c>
      <c r="AB86">
        <f>HYPERLINK("https://klasma.github.io/Logging_2481/klagomålsmail/A 37458-2025 FSC-klagomål mail.docx", "A 37458-2025")</f>
        <v/>
      </c>
      <c r="AC86">
        <f>HYPERLINK("https://klasma.github.io/Logging_2481/tillsyn/A 37458-2025 tillsynsbegäran.docx", "A 37458-2025")</f>
        <v/>
      </c>
      <c r="AD86">
        <f>HYPERLINK("https://klasma.github.io/Logging_2481/tillsynsmail/A 37458-2025 tillsynsbegäran mail.docx", "A 37458-2025")</f>
        <v/>
      </c>
      <c r="AE86">
        <f>HYPERLINK("https://klasma.github.io/Logging_2481/fåglar/A 37458-2025 prioriterade fågelarter.docx", "A 37458-2025")</f>
        <v/>
      </c>
    </row>
    <row r="87" ht="15" customHeight="1">
      <c r="A87" t="inlineStr">
        <is>
          <t>A 47744-2025</t>
        </is>
      </c>
      <c r="B87" t="inlineStr">
        <is>
          <t>avverkningsanmälan</t>
        </is>
      </c>
      <c r="C87" t="inlineStr">
        <is>
          <t>Avverkning för att bevara och utveckla /försöksver</t>
        </is>
      </c>
      <c r="D87" s="1" t="n">
        <v>45931</v>
      </c>
      <c r="E87" s="1" t="n">
        <v>46227</v>
      </c>
      <c r="F87" t="inlineStr">
        <is>
          <t>VÄSTERBOTTENS LÄN</t>
        </is>
      </c>
      <c r="G87" t="inlineStr">
        <is>
          <t>LYCKSELE</t>
        </is>
      </c>
      <c r="H87" t="inlineStr">
        <is>
          <t>Sveaskog</t>
        </is>
      </c>
      <c r="I87" t="n">
        <v>4.1</v>
      </c>
      <c r="J87" t="n">
        <v>0</v>
      </c>
      <c r="K87" t="n">
        <v>0</v>
      </c>
      <c r="L87" t="n">
        <v>2</v>
      </c>
      <c r="M87" t="n">
        <v>0</v>
      </c>
      <c r="N87" t="n">
        <v>0</v>
      </c>
      <c r="O87" t="n">
        <v>0</v>
      </c>
      <c r="P87" t="n">
        <v>0</v>
      </c>
      <c r="Q87" t="n">
        <v>2</v>
      </c>
      <c r="R87" t="n">
        <v>0</v>
      </c>
      <c r="S87" t="n">
        <v>2</v>
      </c>
      <c r="T87" t="n">
        <v>2</v>
      </c>
      <c r="U87" t="n">
        <v>2</v>
      </c>
      <c r="V87" s="2" t="inlineStr">
        <is>
          <t>Kolflarnlav
Mörk kolflarnlav</t>
        </is>
      </c>
      <c r="W87">
        <f>HYPERLINK("https://klasma.github.io/Logging_2481/artfynd/A 47744-2025 artfynd.xlsx", "A 47744-2025")</f>
        <v/>
      </c>
      <c r="X87">
        <f>HYPERLINK("https://klasma.github.io/Logging_2481/kartor/A 47744-2025 karta.png", "A 47744-2025")</f>
        <v/>
      </c>
      <c r="Y87">
        <f>HYPERLINK("https://klasma.github.io/Logging_2481/kartor_geotiff/A 47744-2025 georefererad karta.tif", "A 47744-2025")</f>
        <v/>
      </c>
      <c r="AA87">
        <f>HYPERLINK("https://klasma.github.io/Logging_2481/klagomål/A 47744-2025 FSC-klagomål.docx", "A 47744-2025")</f>
        <v/>
      </c>
      <c r="AB87">
        <f>HYPERLINK("https://klasma.github.io/Logging_2481/klagomålsmail/A 47744-2025 FSC-klagomål mail.docx", "A 47744-2025")</f>
        <v/>
      </c>
      <c r="AC87">
        <f>HYPERLINK("https://klasma.github.io/Logging_2481/tillsyn/A 47744-2025 tillsynsbegäran.docx", "A 47744-2025")</f>
        <v/>
      </c>
      <c r="AD87">
        <f>HYPERLINK("https://klasma.github.io/Logging_2481/tillsynsmail/A 47744-2025 tillsynsbegäran mail.docx", "A 47744-2025")</f>
        <v/>
      </c>
    </row>
    <row r="88" ht="15" customHeight="1">
      <c r="A88" t="inlineStr">
        <is>
          <t>A 52234-2024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45608</v>
      </c>
      <c r="E88" s="1" t="n">
        <v>46227</v>
      </c>
      <c r="F88" t="inlineStr">
        <is>
          <t>VÄSTERBOTTENS LÄN</t>
        </is>
      </c>
      <c r="G88" t="inlineStr">
        <is>
          <t>LYCKSELE</t>
        </is>
      </c>
      <c r="H88" t="inlineStr">
        <is>
          <t>Sveaskog</t>
        </is>
      </c>
      <c r="I88" t="n">
        <v>2.7</v>
      </c>
      <c r="J88" t="n">
        <v>1</v>
      </c>
      <c r="K88" t="n">
        <v>0</v>
      </c>
      <c r="L88" t="n">
        <v>2</v>
      </c>
      <c r="M88" t="n">
        <v>0</v>
      </c>
      <c r="N88" t="n">
        <v>0</v>
      </c>
      <c r="O88" t="n">
        <v>0</v>
      </c>
      <c r="P88" t="n">
        <v>0</v>
      </c>
      <c r="Q88" t="n">
        <v>2</v>
      </c>
      <c r="R88" t="n">
        <v>0</v>
      </c>
      <c r="S88" t="n">
        <v>2</v>
      </c>
      <c r="T88" t="n">
        <v>2</v>
      </c>
      <c r="U88" t="n">
        <v>2</v>
      </c>
      <c r="V88" s="2" t="inlineStr">
        <is>
          <t>Dropptaggsvamp
Lavskrika</t>
        </is>
      </c>
      <c r="W88">
        <f>HYPERLINK("https://klasma.github.io/Logging_2481/artfynd/A 52234-2024 artfynd.xlsx", "A 52234-2024")</f>
        <v/>
      </c>
      <c r="X88">
        <f>HYPERLINK("https://klasma.github.io/Logging_2481/kartor/A 52234-2024 karta.png", "A 52234-2024")</f>
        <v/>
      </c>
      <c r="Y88">
        <f>HYPERLINK("https://klasma.github.io/Logging_2481/kartor_geotiff/A 52234-2024 georefererad karta.tif", "A 52234-2024")</f>
        <v/>
      </c>
      <c r="AA88">
        <f>HYPERLINK("https://klasma.github.io/Logging_2481/klagomål/A 52234-2024 FSC-klagomål.docx", "A 52234-2024")</f>
        <v/>
      </c>
      <c r="AB88">
        <f>HYPERLINK("https://klasma.github.io/Logging_2481/klagomålsmail/A 52234-2024 FSC-klagomål mail.docx", "A 52234-2024")</f>
        <v/>
      </c>
      <c r="AC88">
        <f>HYPERLINK("https://klasma.github.io/Logging_2481/tillsyn/A 52234-2024 tillsynsbegäran.docx", "A 52234-2024")</f>
        <v/>
      </c>
      <c r="AD88">
        <f>HYPERLINK("https://klasma.github.io/Logging_2481/tillsynsmail/A 52234-2024 tillsynsbegäran mail.docx", "A 52234-2024")</f>
        <v/>
      </c>
      <c r="AE88">
        <f>HYPERLINK("https://klasma.github.io/Logging_2481/fåglar/A 52234-2024 prioriterade fågelarter.docx", "A 52234-2024")</f>
        <v/>
      </c>
    </row>
    <row r="89" ht="15" customHeight="1">
      <c r="A89" t="inlineStr">
        <is>
          <t>A 49364-2025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45938</v>
      </c>
      <c r="E89" s="1" t="n">
        <v>46227</v>
      </c>
      <c r="F89" t="inlineStr">
        <is>
          <t>VÄSTERBOTTENS LÄN</t>
        </is>
      </c>
      <c r="G89" t="inlineStr">
        <is>
          <t>LYCKSELE</t>
        </is>
      </c>
      <c r="H89" t="inlineStr">
        <is>
          <t>Sveaskog</t>
        </is>
      </c>
      <c r="I89" t="n">
        <v>7.9</v>
      </c>
      <c r="J89" t="n">
        <v>0</v>
      </c>
      <c r="K89" t="n">
        <v>0</v>
      </c>
      <c r="L89" t="n">
        <v>2</v>
      </c>
      <c r="M89" t="n">
        <v>0</v>
      </c>
      <c r="N89" t="n">
        <v>0</v>
      </c>
      <c r="O89" t="n">
        <v>0</v>
      </c>
      <c r="P89" t="n">
        <v>0</v>
      </c>
      <c r="Q89" t="n">
        <v>2</v>
      </c>
      <c r="R89" t="n">
        <v>0</v>
      </c>
      <c r="S89" t="n">
        <v>2</v>
      </c>
      <c r="T89" t="n">
        <v>2</v>
      </c>
      <c r="U89" t="n">
        <v>2</v>
      </c>
      <c r="V89" s="2" t="inlineStr">
        <is>
          <t>Kolflarnlav
Mörk kolflarnlav</t>
        </is>
      </c>
      <c r="W89">
        <f>HYPERLINK("https://klasma.github.io/Logging_2481/artfynd/A 49364-2025 artfynd.xlsx", "A 49364-2025")</f>
        <v/>
      </c>
      <c r="X89">
        <f>HYPERLINK("https://klasma.github.io/Logging_2481/kartor/A 49364-2025 karta.png", "A 49364-2025")</f>
        <v/>
      </c>
      <c r="Y89">
        <f>HYPERLINK("https://klasma.github.io/Logging_2481/kartor_geotiff/A 49364-2025 georefererad karta.tif", "A 49364-2025")</f>
        <v/>
      </c>
      <c r="AA89">
        <f>HYPERLINK("https://klasma.github.io/Logging_2481/klagomål/A 49364-2025 FSC-klagomål.docx", "A 49364-2025")</f>
        <v/>
      </c>
      <c r="AB89">
        <f>HYPERLINK("https://klasma.github.io/Logging_2481/klagomålsmail/A 49364-2025 FSC-klagomål mail.docx", "A 49364-2025")</f>
        <v/>
      </c>
      <c r="AC89">
        <f>HYPERLINK("https://klasma.github.io/Logging_2481/tillsyn/A 49364-2025 tillsynsbegäran.docx", "A 49364-2025")</f>
        <v/>
      </c>
      <c r="AD89">
        <f>HYPERLINK("https://klasma.github.io/Logging_2481/tillsynsmail/A 49364-2025 tillsynsbegäran mail.docx", "A 49364-2025")</f>
        <v/>
      </c>
    </row>
    <row r="90" ht="15" customHeight="1">
      <c r="A90" t="inlineStr">
        <is>
          <t>A 49553-2025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45939</v>
      </c>
      <c r="E90" s="1" t="n">
        <v>46227</v>
      </c>
      <c r="F90" t="inlineStr">
        <is>
          <t>VÄSTERBOTTENS LÄN</t>
        </is>
      </c>
      <c r="G90" t="inlineStr">
        <is>
          <t>LYCKSELE</t>
        </is>
      </c>
      <c r="H90" t="inlineStr">
        <is>
          <t>Sveaskog</t>
        </is>
      </c>
      <c r="I90" t="n">
        <v>26.1</v>
      </c>
      <c r="J90" t="n">
        <v>0</v>
      </c>
      <c r="K90" t="n">
        <v>0</v>
      </c>
      <c r="L90" t="n">
        <v>2</v>
      </c>
      <c r="M90" t="n">
        <v>0</v>
      </c>
      <c r="N90" t="n">
        <v>0</v>
      </c>
      <c r="O90" t="n">
        <v>0</v>
      </c>
      <c r="P90" t="n">
        <v>0</v>
      </c>
      <c r="Q90" t="n">
        <v>2</v>
      </c>
      <c r="R90" t="n">
        <v>0</v>
      </c>
      <c r="S90" t="n">
        <v>2</v>
      </c>
      <c r="T90" t="n">
        <v>2</v>
      </c>
      <c r="U90" t="n">
        <v>2</v>
      </c>
      <c r="V90" s="2" t="inlineStr">
        <is>
          <t>Kolflarnlav
Mörk kolflarnlav</t>
        </is>
      </c>
      <c r="W90">
        <f>HYPERLINK("https://klasma.github.io/Logging_2481/artfynd/A 49553-2025 artfynd.xlsx", "A 49553-2025")</f>
        <v/>
      </c>
      <c r="X90">
        <f>HYPERLINK("https://klasma.github.io/Logging_2481/kartor/A 49553-2025 karta.png", "A 49553-2025")</f>
        <v/>
      </c>
      <c r="Y90">
        <f>HYPERLINK("https://klasma.github.io/Logging_2481/kartor_geotiff/A 49553-2025 georefererad karta.tif", "A 49553-2025")</f>
        <v/>
      </c>
      <c r="AA90">
        <f>HYPERLINK("https://klasma.github.io/Logging_2481/klagomål/A 49553-2025 FSC-klagomål.docx", "A 49553-2025")</f>
        <v/>
      </c>
      <c r="AB90">
        <f>HYPERLINK("https://klasma.github.io/Logging_2481/klagomålsmail/A 49553-2025 FSC-klagomål mail.docx", "A 49553-2025")</f>
        <v/>
      </c>
      <c r="AC90">
        <f>HYPERLINK("https://klasma.github.io/Logging_2481/tillsyn/A 49553-2025 tillsynsbegäran.docx", "A 49553-2025")</f>
        <v/>
      </c>
      <c r="AD90">
        <f>HYPERLINK("https://klasma.github.io/Logging_2481/tillsynsmail/A 49553-2025 tillsynsbegäran mail.docx", "A 49553-2025")</f>
        <v/>
      </c>
    </row>
    <row r="91" ht="15" customHeight="1">
      <c r="A91" t="inlineStr">
        <is>
          <t>A 49550-2025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45939</v>
      </c>
      <c r="E91" s="1" t="n">
        <v>46227</v>
      </c>
      <c r="F91" t="inlineStr">
        <is>
          <t>VÄSTERBOTTENS LÄN</t>
        </is>
      </c>
      <c r="G91" t="inlineStr">
        <is>
          <t>LYCKSELE</t>
        </is>
      </c>
      <c r="H91" t="inlineStr">
        <is>
          <t>Sveaskog</t>
        </is>
      </c>
      <c r="I91" t="n">
        <v>4.5</v>
      </c>
      <c r="J91" t="n">
        <v>0</v>
      </c>
      <c r="K91" t="n">
        <v>0</v>
      </c>
      <c r="L91" t="n">
        <v>2</v>
      </c>
      <c r="M91" t="n">
        <v>0</v>
      </c>
      <c r="N91" t="n">
        <v>0</v>
      </c>
      <c r="O91" t="n">
        <v>0</v>
      </c>
      <c r="P91" t="n">
        <v>0</v>
      </c>
      <c r="Q91" t="n">
        <v>2</v>
      </c>
      <c r="R91" t="n">
        <v>0</v>
      </c>
      <c r="S91" t="n">
        <v>2</v>
      </c>
      <c r="T91" t="n">
        <v>2</v>
      </c>
      <c r="U91" t="n">
        <v>2</v>
      </c>
      <c r="V91" s="2" t="inlineStr">
        <is>
          <t>Kolflarnlav
Mörk kolflarnlav</t>
        </is>
      </c>
      <c r="W91">
        <f>HYPERLINK("https://klasma.github.io/Logging_2481/artfynd/A 49550-2025 artfynd.xlsx", "A 49550-2025")</f>
        <v/>
      </c>
      <c r="X91">
        <f>HYPERLINK("https://klasma.github.io/Logging_2481/kartor/A 49550-2025 karta.png", "A 49550-2025")</f>
        <v/>
      </c>
      <c r="Y91">
        <f>HYPERLINK("https://klasma.github.io/Logging_2481/kartor_geotiff/A 49550-2025 georefererad karta.tif", "A 49550-2025")</f>
        <v/>
      </c>
      <c r="AA91">
        <f>HYPERLINK("https://klasma.github.io/Logging_2481/klagomål/A 49550-2025 FSC-klagomål.docx", "A 49550-2025")</f>
        <v/>
      </c>
      <c r="AB91">
        <f>HYPERLINK("https://klasma.github.io/Logging_2481/klagomålsmail/A 49550-2025 FSC-klagomål mail.docx", "A 49550-2025")</f>
        <v/>
      </c>
      <c r="AC91">
        <f>HYPERLINK("https://klasma.github.io/Logging_2481/tillsyn/A 49550-2025 tillsynsbegäran.docx", "A 49550-2025")</f>
        <v/>
      </c>
      <c r="AD91">
        <f>HYPERLINK("https://klasma.github.io/Logging_2481/tillsynsmail/A 49550-2025 tillsynsbegäran mail.docx", "A 49550-2025")</f>
        <v/>
      </c>
    </row>
    <row r="92" ht="15" customHeight="1">
      <c r="A92" t="inlineStr">
        <is>
          <t>A 49740-2025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45940</v>
      </c>
      <c r="E92" s="1" t="n">
        <v>46227</v>
      </c>
      <c r="F92" t="inlineStr">
        <is>
          <t>VÄSTERBOTTENS LÄN</t>
        </is>
      </c>
      <c r="G92" t="inlineStr">
        <is>
          <t>LYCKSELE</t>
        </is>
      </c>
      <c r="H92" t="inlineStr">
        <is>
          <t>Sveaskog</t>
        </is>
      </c>
      <c r="I92" t="n">
        <v>13.8</v>
      </c>
      <c r="J92" t="n">
        <v>0</v>
      </c>
      <c r="K92" t="n">
        <v>0</v>
      </c>
      <c r="L92" t="n">
        <v>2</v>
      </c>
      <c r="M92" t="n">
        <v>0</v>
      </c>
      <c r="N92" t="n">
        <v>0</v>
      </c>
      <c r="O92" t="n">
        <v>0</v>
      </c>
      <c r="P92" t="n">
        <v>0</v>
      </c>
      <c r="Q92" t="n">
        <v>2</v>
      </c>
      <c r="R92" t="n">
        <v>0</v>
      </c>
      <c r="S92" t="n">
        <v>2</v>
      </c>
      <c r="T92" t="n">
        <v>2</v>
      </c>
      <c r="U92" t="n">
        <v>0</v>
      </c>
      <c r="V92" s="2" t="inlineStr">
        <is>
          <t>Kolflarnlav
Mörk kolflarnlav</t>
        </is>
      </c>
      <c r="W92">
        <f>HYPERLINK("https://klasma.github.io/Logging_2481/artfynd/A 49740-2025 artfynd.xlsx", "A 49740-2025")</f>
        <v/>
      </c>
      <c r="X92">
        <f>HYPERLINK("https://klasma.github.io/Logging_2481/kartor/A 49740-2025 karta.png", "A 49740-2025")</f>
        <v/>
      </c>
      <c r="Y92">
        <f>HYPERLINK("https://klasma.github.io/Logging_2481/kartor_geotiff/A 49740-2025 georefererad karta.tif", "A 49740-2025")</f>
        <v/>
      </c>
      <c r="AA92">
        <f>HYPERLINK("https://klasma.github.io/Logging_2481/klagomål/A 49740-2025 FSC-klagomål.docx", "A 49740-2025")</f>
        <v/>
      </c>
      <c r="AB92">
        <f>HYPERLINK("https://klasma.github.io/Logging_2481/klagomålsmail/A 49740-2025 FSC-klagomål mail.docx", "A 49740-2025")</f>
        <v/>
      </c>
      <c r="AC92">
        <f>HYPERLINK("https://klasma.github.io/Logging_2481/tillsyn/A 49740-2025 tillsynsbegäran.docx", "A 49740-2025")</f>
        <v/>
      </c>
      <c r="AD92">
        <f>HYPERLINK("https://klasma.github.io/Logging_2481/tillsynsmail/A 49740-2025 tillsynsbegäran mail.docx", "A 49740-2025")</f>
        <v/>
      </c>
    </row>
    <row r="93" ht="15" customHeight="1">
      <c r="A93" t="inlineStr">
        <is>
          <t>A 12619-2026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46091</v>
      </c>
      <c r="E93" s="1" t="n">
        <v>46227</v>
      </c>
      <c r="F93" t="inlineStr">
        <is>
          <t>VÄSTERBOTTENS LÄN</t>
        </is>
      </c>
      <c r="G93" t="inlineStr">
        <is>
          <t>LYCKSELE</t>
        </is>
      </c>
      <c r="H93" t="inlineStr">
        <is>
          <t>SCA</t>
        </is>
      </c>
      <c r="I93" t="n">
        <v>3.6</v>
      </c>
      <c r="J93" t="n">
        <v>2</v>
      </c>
      <c r="K93" t="n">
        <v>0</v>
      </c>
      <c r="L93" t="n">
        <v>1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t="n">
        <v>0</v>
      </c>
      <c r="S93" t="n">
        <v>2</v>
      </c>
      <c r="T93" t="n">
        <v>2</v>
      </c>
      <c r="U93" t="n">
        <v>0</v>
      </c>
      <c r="V93" s="2" t="inlineStr">
        <is>
          <t>Kungsörn
Orre</t>
        </is>
      </c>
      <c r="W93">
        <f>HYPERLINK("https://klasma.github.io/Logging_2481/artfynd/A 12619-2026 artfynd.xlsx", "A 12619-2026")</f>
        <v/>
      </c>
      <c r="X93">
        <f>HYPERLINK("https://klasma.github.io/Logging_2481/kartor/A 12619-2026 karta.png", "A 12619-2026")</f>
        <v/>
      </c>
      <c r="Y93">
        <f>HYPERLINK("https://klasma.github.io/Logging_2481/kartor_geotiff/A 12619-2026 georefererad karta.tif", "A 12619-2026")</f>
        <v/>
      </c>
      <c r="AA93">
        <f>HYPERLINK("https://klasma.github.io/Logging_2481/klagomål/A 12619-2026 FSC-klagomål.docx", "A 12619-2026")</f>
        <v/>
      </c>
      <c r="AB93">
        <f>HYPERLINK("https://klasma.github.io/Logging_2481/klagomålsmail/A 12619-2026 FSC-klagomål mail.docx", "A 12619-2026")</f>
        <v/>
      </c>
      <c r="AC93">
        <f>HYPERLINK("https://klasma.github.io/Logging_2481/tillsyn/A 12619-2026 tillsynsbegäran.docx", "A 12619-2026")</f>
        <v/>
      </c>
      <c r="AD93">
        <f>HYPERLINK("https://klasma.github.io/Logging_2481/tillsynsmail/A 12619-2026 tillsynsbegäran mail.docx", "A 12619-2026")</f>
        <v/>
      </c>
      <c r="AE93">
        <f>HYPERLINK("https://klasma.github.io/Logging_2481/fåglar/A 12619-2026 prioriterade fågelarter.docx", "A 12619-2026")</f>
        <v/>
      </c>
    </row>
    <row r="94" ht="15" customHeight="1">
      <c r="A94" t="inlineStr">
        <is>
          <t>A 45935-2024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45580</v>
      </c>
      <c r="E94" s="1" t="n">
        <v>46227</v>
      </c>
      <c r="F94" t="inlineStr">
        <is>
          <t>VÄSTERBOTTENS LÄN</t>
        </is>
      </c>
      <c r="G94" t="inlineStr">
        <is>
          <t>LYCKSELE</t>
        </is>
      </c>
      <c r="H94" t="inlineStr">
        <is>
          <t>Sveaskog</t>
        </is>
      </c>
      <c r="I94" t="n">
        <v>2.4</v>
      </c>
      <c r="J94" t="n">
        <v>0</v>
      </c>
      <c r="K94" t="n">
        <v>0</v>
      </c>
      <c r="L94" t="n">
        <v>2</v>
      </c>
      <c r="M94" t="n">
        <v>0</v>
      </c>
      <c r="N94" t="n">
        <v>0</v>
      </c>
      <c r="O94" t="n">
        <v>0</v>
      </c>
      <c r="P94" t="n">
        <v>0</v>
      </c>
      <c r="Q94" t="n">
        <v>2</v>
      </c>
      <c r="R94" t="n">
        <v>0</v>
      </c>
      <c r="S94" t="n">
        <v>2</v>
      </c>
      <c r="T94" t="n">
        <v>2</v>
      </c>
      <c r="U94" t="n">
        <v>2</v>
      </c>
      <c r="V94" s="2" t="inlineStr">
        <is>
          <t>Lunglav
Orange taggsvamp</t>
        </is>
      </c>
      <c r="W94">
        <f>HYPERLINK("https://klasma.github.io/Logging_2481/artfynd/A 45935-2024 artfynd.xlsx", "A 45935-2024")</f>
        <v/>
      </c>
      <c r="X94">
        <f>HYPERLINK("https://klasma.github.io/Logging_2481/kartor/A 45935-2024 karta.png", "A 45935-2024")</f>
        <v/>
      </c>
      <c r="Y94">
        <f>HYPERLINK("https://klasma.github.io/Logging_2481/kartor_geotiff/A 45935-2024 georefererad karta.tif", "A 45935-2024")</f>
        <v/>
      </c>
      <c r="AA94">
        <f>HYPERLINK("https://klasma.github.io/Logging_2481/klagomål/A 45935-2024 FSC-klagomål.docx", "A 45935-2024")</f>
        <v/>
      </c>
      <c r="AB94">
        <f>HYPERLINK("https://klasma.github.io/Logging_2481/klagomålsmail/A 45935-2024 FSC-klagomål mail.docx", "A 45935-2024")</f>
        <v/>
      </c>
      <c r="AC94">
        <f>HYPERLINK("https://klasma.github.io/Logging_2481/tillsyn/A 45935-2024 tillsynsbegäran.docx", "A 45935-2024")</f>
        <v/>
      </c>
      <c r="AD94">
        <f>HYPERLINK("https://klasma.github.io/Logging_2481/tillsynsmail/A 45935-2024 tillsynsbegäran mail.docx", "A 45935-2024")</f>
        <v/>
      </c>
    </row>
    <row r="95" ht="15" customHeight="1">
      <c r="A95" t="inlineStr">
        <is>
          <t>A 16914-2024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45411</v>
      </c>
      <c r="E95" s="1" t="n">
        <v>46227</v>
      </c>
      <c r="F95" t="inlineStr">
        <is>
          <t>VÄSTERBOTTENS LÄN</t>
        </is>
      </c>
      <c r="G95" t="inlineStr">
        <is>
          <t>LYCKSELE</t>
        </is>
      </c>
      <c r="I95" t="n">
        <v>24.6</v>
      </c>
      <c r="J95" t="n">
        <v>2</v>
      </c>
      <c r="K95" t="n">
        <v>0</v>
      </c>
      <c r="L95" t="n">
        <v>2</v>
      </c>
      <c r="M95" t="n">
        <v>0</v>
      </c>
      <c r="N95" t="n">
        <v>0</v>
      </c>
      <c r="O95" t="n">
        <v>0</v>
      </c>
      <c r="P95" t="n">
        <v>0</v>
      </c>
      <c r="Q95" t="n">
        <v>2</v>
      </c>
      <c r="R95" t="n">
        <v>0</v>
      </c>
      <c r="S95" t="n">
        <v>2</v>
      </c>
      <c r="T95" t="n">
        <v>2</v>
      </c>
      <c r="U95" t="n">
        <v>2</v>
      </c>
      <c r="V95" s="2" t="inlineStr">
        <is>
          <t>Lavskrika
Tretåig hackspett</t>
        </is>
      </c>
      <c r="W95">
        <f>HYPERLINK("https://klasma.github.io/Logging_2481/artfynd/A 16914-2024 artfynd.xlsx", "A 16914-2024")</f>
        <v/>
      </c>
      <c r="X95">
        <f>HYPERLINK("https://klasma.github.io/Logging_2481/kartor/A 16914-2024 karta.png", "A 16914-2024")</f>
        <v/>
      </c>
      <c r="Y95">
        <f>HYPERLINK("https://klasma.github.io/Logging_2481/kartor_geotiff/A 16914-2024 georefererad karta.tif", "A 16914-2024")</f>
        <v/>
      </c>
      <c r="AA95">
        <f>HYPERLINK("https://klasma.github.io/Logging_2481/klagomål/A 16914-2024 FSC-klagomål.docx", "A 16914-2024")</f>
        <v/>
      </c>
      <c r="AB95">
        <f>HYPERLINK("https://klasma.github.io/Logging_2481/klagomålsmail/A 16914-2024 FSC-klagomål mail.docx", "A 16914-2024")</f>
        <v/>
      </c>
      <c r="AC95">
        <f>HYPERLINK("https://klasma.github.io/Logging_2481/tillsyn/A 16914-2024 tillsynsbegäran.docx", "A 16914-2024")</f>
        <v/>
      </c>
      <c r="AD95">
        <f>HYPERLINK("https://klasma.github.io/Logging_2481/tillsynsmail/A 16914-2024 tillsynsbegäran mail.docx", "A 16914-2024")</f>
        <v/>
      </c>
      <c r="AE95">
        <f>HYPERLINK("https://klasma.github.io/Logging_2481/fåglar/A 16914-2024 prioriterade fågelarter.docx", "A 16914-2024")</f>
        <v/>
      </c>
    </row>
    <row r="96" ht="15" customHeight="1">
      <c r="A96" t="inlineStr">
        <is>
          <t>A 55566-2024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45622</v>
      </c>
      <c r="E96" s="1" t="n">
        <v>46227</v>
      </c>
      <c r="F96" t="inlineStr">
        <is>
          <t>VÄSTERBOTTENS LÄN</t>
        </is>
      </c>
      <c r="G96" t="inlineStr">
        <is>
          <t>LYCKSELE</t>
        </is>
      </c>
      <c r="H96" t="inlineStr">
        <is>
          <t>Sveaskog</t>
        </is>
      </c>
      <c r="I96" t="n">
        <v>1.8</v>
      </c>
      <c r="J96" t="n">
        <v>0</v>
      </c>
      <c r="K96" t="n">
        <v>0</v>
      </c>
      <c r="L96" t="n">
        <v>2</v>
      </c>
      <c r="M96" t="n">
        <v>0</v>
      </c>
      <c r="N96" t="n">
        <v>0</v>
      </c>
      <c r="O96" t="n">
        <v>0</v>
      </c>
      <c r="P96" t="n">
        <v>0</v>
      </c>
      <c r="Q96" t="n">
        <v>2</v>
      </c>
      <c r="R96" t="n">
        <v>0</v>
      </c>
      <c r="S96" t="n">
        <v>2</v>
      </c>
      <c r="T96" t="n">
        <v>2</v>
      </c>
      <c r="U96" t="n">
        <v>0</v>
      </c>
      <c r="V96" s="2" t="inlineStr">
        <is>
          <t>Harticka
Ullticka</t>
        </is>
      </c>
      <c r="W96">
        <f>HYPERLINK("https://klasma.github.io/Logging_2481/artfynd/A 55566-2024 artfynd.xlsx", "A 55566-2024")</f>
        <v/>
      </c>
      <c r="X96">
        <f>HYPERLINK("https://klasma.github.io/Logging_2481/kartor/A 55566-2024 karta.png", "A 55566-2024")</f>
        <v/>
      </c>
      <c r="Y96">
        <f>HYPERLINK("https://klasma.github.io/Logging_2481/kartor_geotiff/A 55566-2024 georefererad karta.tif", "A 55566-2024")</f>
        <v/>
      </c>
      <c r="AA96">
        <f>HYPERLINK("https://klasma.github.io/Logging_2481/klagomål/A 55566-2024 FSC-klagomål.docx", "A 55566-2024")</f>
        <v/>
      </c>
      <c r="AB96">
        <f>HYPERLINK("https://klasma.github.io/Logging_2481/klagomålsmail/A 55566-2024 FSC-klagomål mail.docx", "A 55566-2024")</f>
        <v/>
      </c>
      <c r="AC96">
        <f>HYPERLINK("https://klasma.github.io/Logging_2481/tillsyn/A 55566-2024 tillsynsbegäran.docx", "A 55566-2024")</f>
        <v/>
      </c>
      <c r="AD96">
        <f>HYPERLINK("https://klasma.github.io/Logging_2481/tillsynsmail/A 55566-2024 tillsynsbegäran mail.docx", "A 55566-2024")</f>
        <v/>
      </c>
    </row>
    <row r="97" ht="15" customHeight="1">
      <c r="A97" t="inlineStr">
        <is>
          <t>A 26927-2026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46185</v>
      </c>
      <c r="E97" s="1" t="n">
        <v>46227</v>
      </c>
      <c r="F97" t="inlineStr">
        <is>
          <t>VÄSTERBOTTENS LÄN</t>
        </is>
      </c>
      <c r="G97" t="inlineStr">
        <is>
          <t>LYCKSELE</t>
        </is>
      </c>
      <c r="H97" t="inlineStr">
        <is>
          <t>SCA</t>
        </is>
      </c>
      <c r="I97" t="n">
        <v>14.6</v>
      </c>
      <c r="J97" t="n">
        <v>2</v>
      </c>
      <c r="K97" t="n">
        <v>1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2</v>
      </c>
      <c r="T97" t="n">
        <v>2</v>
      </c>
      <c r="U97" t="n">
        <v>0</v>
      </c>
      <c r="V97" s="2" t="inlineStr">
        <is>
          <t>Korallrot
Fläcknycklar</t>
        </is>
      </c>
      <c r="W97">
        <f>HYPERLINK("https://klasma.github.io/Logging_2481/artfynd/A 26927-2026 artfynd.xlsx", "A 26927-2026")</f>
        <v/>
      </c>
      <c r="X97">
        <f>HYPERLINK("https://klasma.github.io/Logging_2481/kartor/A 26927-2026 karta.png", "A 26927-2026")</f>
        <v/>
      </c>
      <c r="Y97">
        <f>HYPERLINK("https://klasma.github.io/Logging_2481/kartor_geotiff/A 26927-2026 georefererad karta.tif", "A 26927-2026")</f>
        <v/>
      </c>
      <c r="AA97">
        <f>HYPERLINK("https://klasma.github.io/Logging_2481/klagomål/A 26927-2026 FSC-klagomål.docx", "A 26927-2026")</f>
        <v/>
      </c>
      <c r="AB97">
        <f>HYPERLINK("https://klasma.github.io/Logging_2481/klagomålsmail/A 26927-2026 FSC-klagomål mail.docx", "A 26927-2026")</f>
        <v/>
      </c>
      <c r="AC97">
        <f>HYPERLINK("https://klasma.github.io/Logging_2481/tillsyn/A 26927-2026 tillsynsbegäran.docx", "A 26927-2026")</f>
        <v/>
      </c>
      <c r="AD97">
        <f>HYPERLINK("https://klasma.github.io/Logging_2481/tillsynsmail/A 26927-2026 tillsynsbegäran mail.docx", "A 26927-2026")</f>
        <v/>
      </c>
    </row>
    <row r="98" ht="15" customHeight="1">
      <c r="A98" t="inlineStr">
        <is>
          <t>A 58657-2023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45251</v>
      </c>
      <c r="E98" s="1" t="n">
        <v>46227</v>
      </c>
      <c r="F98" t="inlineStr">
        <is>
          <t>VÄSTERBOTTENS LÄN</t>
        </is>
      </c>
      <c r="G98" t="inlineStr">
        <is>
          <t>LYCKSELE</t>
        </is>
      </c>
      <c r="H98" t="inlineStr">
        <is>
          <t>Sveaskog</t>
        </is>
      </c>
      <c r="I98" t="n">
        <v>14.4</v>
      </c>
      <c r="J98" t="n">
        <v>1</v>
      </c>
      <c r="K98" t="n">
        <v>1</v>
      </c>
      <c r="L98" t="n">
        <v>1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t="n">
        <v>0</v>
      </c>
      <c r="S98" t="n">
        <v>2</v>
      </c>
      <c r="T98" t="n">
        <v>2</v>
      </c>
      <c r="U98" t="n">
        <v>1</v>
      </c>
      <c r="V98" s="2" t="inlineStr">
        <is>
          <t>Talltita
Bollvitmossa</t>
        </is>
      </c>
      <c r="W98">
        <f>HYPERLINK("https://klasma.github.io/Logging_2481/artfynd/A 58657-2023 artfynd.xlsx", "A 58657-2023")</f>
        <v/>
      </c>
      <c r="X98">
        <f>HYPERLINK("https://klasma.github.io/Logging_2481/kartor/A 58657-2023 karta.png", "A 58657-2023")</f>
        <v/>
      </c>
      <c r="Y98">
        <f>HYPERLINK("https://klasma.github.io/Logging_2481/kartor_geotiff/A 58657-2023 georefererad karta.tif", "A 58657-2023")</f>
        <v/>
      </c>
      <c r="AA98">
        <f>HYPERLINK("https://klasma.github.io/Logging_2481/klagomål/A 58657-2023 FSC-klagomål.docx", "A 58657-2023")</f>
        <v/>
      </c>
      <c r="AB98">
        <f>HYPERLINK("https://klasma.github.io/Logging_2481/klagomålsmail/A 58657-2023 FSC-klagomål mail.docx", "A 58657-2023")</f>
        <v/>
      </c>
      <c r="AC98">
        <f>HYPERLINK("https://klasma.github.io/Logging_2481/tillsyn/A 58657-2023 tillsynsbegäran.docx", "A 58657-2023")</f>
        <v/>
      </c>
      <c r="AD98">
        <f>HYPERLINK("https://klasma.github.io/Logging_2481/tillsynsmail/A 58657-2023 tillsynsbegäran mail.docx", "A 58657-2023")</f>
        <v/>
      </c>
      <c r="AE98">
        <f>HYPERLINK("https://klasma.github.io/Logging_2481/fåglar/A 58657-2023 prioriterade fågelarter.docx", "A 58657-2023")</f>
        <v/>
      </c>
    </row>
    <row r="99" ht="15" customHeight="1">
      <c r="A99" t="inlineStr">
        <is>
          <t>A 22688-2026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46156</v>
      </c>
      <c r="E99" s="1" t="n">
        <v>46227</v>
      </c>
      <c r="F99" t="inlineStr">
        <is>
          <t>VÄSTERBOTTENS LÄN</t>
        </is>
      </c>
      <c r="G99" t="inlineStr">
        <is>
          <t>LYCKSELE</t>
        </is>
      </c>
      <c r="H99" t="inlineStr">
        <is>
          <t>Sveaskog</t>
        </is>
      </c>
      <c r="I99" t="n">
        <v>18.3</v>
      </c>
      <c r="J99" t="n">
        <v>0</v>
      </c>
      <c r="K99" t="n">
        <v>0</v>
      </c>
      <c r="L99" t="n">
        <v>2</v>
      </c>
      <c r="M99" t="n">
        <v>0</v>
      </c>
      <c r="N99" t="n">
        <v>0</v>
      </c>
      <c r="O99" t="n">
        <v>0</v>
      </c>
      <c r="P99" t="n">
        <v>0</v>
      </c>
      <c r="Q99" t="n">
        <v>2</v>
      </c>
      <c r="R99" t="n">
        <v>0</v>
      </c>
      <c r="S99" t="n">
        <v>2</v>
      </c>
      <c r="T99" t="n">
        <v>2</v>
      </c>
      <c r="U99" t="n">
        <v>2</v>
      </c>
      <c r="V99" s="2" t="inlineStr">
        <is>
          <t>Blå taggsvamp
Kolflarnlav</t>
        </is>
      </c>
      <c r="W99">
        <f>HYPERLINK("https://klasma.github.io/Logging_2481/artfynd/A 22688-2026 artfynd.xlsx", "A 22688-2026")</f>
        <v/>
      </c>
      <c r="X99">
        <f>HYPERLINK("https://klasma.github.io/Logging_2481/kartor/A 22688-2026 karta.png", "A 22688-2026")</f>
        <v/>
      </c>
      <c r="Y99">
        <f>HYPERLINK("https://klasma.github.io/Logging_2481/kartor_geotiff/A 22688-2026 georefererad karta.tif", "A 22688-2026")</f>
        <v/>
      </c>
      <c r="AA99">
        <f>HYPERLINK("https://klasma.github.io/Logging_2481/klagomål/A 22688-2026 FSC-klagomål.docx", "A 22688-2026")</f>
        <v/>
      </c>
      <c r="AB99">
        <f>HYPERLINK("https://klasma.github.io/Logging_2481/klagomålsmail/A 22688-2026 FSC-klagomål mail.docx", "A 22688-2026")</f>
        <v/>
      </c>
      <c r="AC99">
        <f>HYPERLINK("https://klasma.github.io/Logging_2481/tillsyn/A 22688-2026 tillsynsbegäran.docx", "A 22688-2026")</f>
        <v/>
      </c>
      <c r="AD99">
        <f>HYPERLINK("https://klasma.github.io/Logging_2481/tillsynsmail/A 22688-2026 tillsynsbegäran mail.docx", "A 22688-2026")</f>
        <v/>
      </c>
    </row>
    <row r="100" ht="15" customHeight="1">
      <c r="A100" t="inlineStr">
        <is>
          <t>A 23096-2026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46161</v>
      </c>
      <c r="E100" s="1" t="n">
        <v>46227</v>
      </c>
      <c r="F100" t="inlineStr">
        <is>
          <t>VÄSTERBOTTENS LÄN</t>
        </is>
      </c>
      <c r="G100" t="inlineStr">
        <is>
          <t>LYCKSELE</t>
        </is>
      </c>
      <c r="H100" t="inlineStr">
        <is>
          <t>Sveaskog</t>
        </is>
      </c>
      <c r="I100" t="n">
        <v>12.7</v>
      </c>
      <c r="J100" t="n">
        <v>0</v>
      </c>
      <c r="K100" t="n">
        <v>0</v>
      </c>
      <c r="L100" t="n">
        <v>2</v>
      </c>
      <c r="M100" t="n">
        <v>0</v>
      </c>
      <c r="N100" t="n">
        <v>0</v>
      </c>
      <c r="O100" t="n">
        <v>0</v>
      </c>
      <c r="P100" t="n">
        <v>0</v>
      </c>
      <c r="Q100" t="n">
        <v>2</v>
      </c>
      <c r="R100" t="n">
        <v>0</v>
      </c>
      <c r="S100" t="n">
        <v>2</v>
      </c>
      <c r="T100" t="n">
        <v>2</v>
      </c>
      <c r="U100" t="n">
        <v>2</v>
      </c>
      <c r="V100" s="2" t="inlineStr">
        <is>
          <t>Kolflarnlav
Mörk kolflarnlav</t>
        </is>
      </c>
      <c r="W100">
        <f>HYPERLINK("https://klasma.github.io/Logging_2481/artfynd/A 23096-2026 artfynd.xlsx", "A 23096-2026")</f>
        <v/>
      </c>
      <c r="X100">
        <f>HYPERLINK("https://klasma.github.io/Logging_2481/kartor/A 23096-2026 karta.png", "A 23096-2026")</f>
        <v/>
      </c>
      <c r="Y100">
        <f>HYPERLINK("https://klasma.github.io/Logging_2481/kartor_geotiff/A 23096-2026 georefererad karta.tif", "A 23096-2026")</f>
        <v/>
      </c>
      <c r="AA100">
        <f>HYPERLINK("https://klasma.github.io/Logging_2481/klagomål/A 23096-2026 FSC-klagomål.docx", "A 23096-2026")</f>
        <v/>
      </c>
      <c r="AB100">
        <f>HYPERLINK("https://klasma.github.io/Logging_2481/klagomålsmail/A 23096-2026 FSC-klagomål mail.docx", "A 23096-2026")</f>
        <v/>
      </c>
      <c r="AC100">
        <f>HYPERLINK("https://klasma.github.io/Logging_2481/tillsyn/A 23096-2026 tillsynsbegäran.docx", "A 23096-2026")</f>
        <v/>
      </c>
      <c r="AD100">
        <f>HYPERLINK("https://klasma.github.io/Logging_2481/tillsynsmail/A 23096-2026 tillsynsbegäran mail.docx", "A 23096-2026")</f>
        <v/>
      </c>
    </row>
    <row r="101" ht="15" customHeight="1">
      <c r="A101" t="inlineStr">
        <is>
          <t>A 23098-2026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46161</v>
      </c>
      <c r="E101" s="1" t="n">
        <v>46227</v>
      </c>
      <c r="F101" t="inlineStr">
        <is>
          <t>VÄSTERBOTTENS LÄN</t>
        </is>
      </c>
      <c r="G101" t="inlineStr">
        <is>
          <t>LYCKSELE</t>
        </is>
      </c>
      <c r="H101" t="inlineStr">
        <is>
          <t>Sveaskog</t>
        </is>
      </c>
      <c r="I101" t="n">
        <v>10</v>
      </c>
      <c r="J101" t="n">
        <v>0</v>
      </c>
      <c r="K101" t="n">
        <v>0</v>
      </c>
      <c r="L101" t="n">
        <v>2</v>
      </c>
      <c r="M101" t="n">
        <v>0</v>
      </c>
      <c r="N101" t="n">
        <v>0</v>
      </c>
      <c r="O101" t="n">
        <v>0</v>
      </c>
      <c r="P101" t="n">
        <v>0</v>
      </c>
      <c r="Q101" t="n">
        <v>2</v>
      </c>
      <c r="R101" t="n">
        <v>0</v>
      </c>
      <c r="S101" t="n">
        <v>2</v>
      </c>
      <c r="T101" t="n">
        <v>2</v>
      </c>
      <c r="U101" t="n">
        <v>2</v>
      </c>
      <c r="V101" s="2" t="inlineStr">
        <is>
          <t>Kolflarnlav
Mörk kolflarnlav</t>
        </is>
      </c>
      <c r="W101">
        <f>HYPERLINK("https://klasma.github.io/Logging_2481/artfynd/A 23098-2026 artfynd.xlsx", "A 23098-2026")</f>
        <v/>
      </c>
      <c r="X101">
        <f>HYPERLINK("https://klasma.github.io/Logging_2481/kartor/A 23098-2026 karta.png", "A 23098-2026")</f>
        <v/>
      </c>
      <c r="Y101">
        <f>HYPERLINK("https://klasma.github.io/Logging_2481/kartor_geotiff/A 23098-2026 georefererad karta.tif", "A 23098-2026")</f>
        <v/>
      </c>
      <c r="AA101">
        <f>HYPERLINK("https://klasma.github.io/Logging_2481/klagomål/A 23098-2026 FSC-klagomål.docx", "A 23098-2026")</f>
        <v/>
      </c>
      <c r="AB101">
        <f>HYPERLINK("https://klasma.github.io/Logging_2481/klagomålsmail/A 23098-2026 FSC-klagomål mail.docx", "A 23098-2026")</f>
        <v/>
      </c>
      <c r="AC101">
        <f>HYPERLINK("https://klasma.github.io/Logging_2481/tillsyn/A 23098-2026 tillsynsbegäran.docx", "A 23098-2026")</f>
        <v/>
      </c>
      <c r="AD101">
        <f>HYPERLINK("https://klasma.github.io/Logging_2481/tillsynsmail/A 23098-2026 tillsynsbegäran mail.docx", "A 23098-2026")</f>
        <v/>
      </c>
    </row>
    <row r="102" ht="15" customHeight="1">
      <c r="A102" t="inlineStr">
        <is>
          <t>A 41776-2024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45561</v>
      </c>
      <c r="E102" s="1" t="n">
        <v>46227</v>
      </c>
      <c r="F102" t="inlineStr">
        <is>
          <t>VÄSTERBOTTENS LÄN</t>
        </is>
      </c>
      <c r="G102" t="inlineStr">
        <is>
          <t>LYCKSELE</t>
        </is>
      </c>
      <c r="H102" t="inlineStr">
        <is>
          <t>Sveaskog</t>
        </is>
      </c>
      <c r="I102" t="n">
        <v>1.1</v>
      </c>
      <c r="J102" t="n">
        <v>0</v>
      </c>
      <c r="K102" t="n">
        <v>0</v>
      </c>
      <c r="L102" t="n">
        <v>2</v>
      </c>
      <c r="M102" t="n">
        <v>0</v>
      </c>
      <c r="N102" t="n">
        <v>0</v>
      </c>
      <c r="O102" t="n">
        <v>0</v>
      </c>
      <c r="P102" t="n">
        <v>0</v>
      </c>
      <c r="Q102" t="n">
        <v>2</v>
      </c>
      <c r="R102" t="n">
        <v>0</v>
      </c>
      <c r="S102" t="n">
        <v>2</v>
      </c>
      <c r="T102" t="n">
        <v>2</v>
      </c>
      <c r="U102" t="n">
        <v>1</v>
      </c>
      <c r="V102" s="2" t="inlineStr">
        <is>
          <t>Kolflarnlav
Koralltaggsvamp</t>
        </is>
      </c>
      <c r="W102">
        <f>HYPERLINK("https://klasma.github.io/Logging_2481/artfynd/A 41776-2024 artfynd.xlsx", "A 41776-2024")</f>
        <v/>
      </c>
      <c r="X102">
        <f>HYPERLINK("https://klasma.github.io/Logging_2481/kartor/A 41776-2024 karta.png", "A 41776-2024")</f>
        <v/>
      </c>
      <c r="Y102">
        <f>HYPERLINK("https://klasma.github.io/Logging_2481/kartor_geotiff/A 41776-2024 georefererad karta.tif", "A 41776-2024")</f>
        <v/>
      </c>
      <c r="AA102">
        <f>HYPERLINK("https://klasma.github.io/Logging_2481/klagomål/A 41776-2024 FSC-klagomål.docx", "A 41776-2024")</f>
        <v/>
      </c>
      <c r="AB102">
        <f>HYPERLINK("https://klasma.github.io/Logging_2481/klagomålsmail/A 41776-2024 FSC-klagomål mail.docx", "A 41776-2024")</f>
        <v/>
      </c>
      <c r="AC102">
        <f>HYPERLINK("https://klasma.github.io/Logging_2481/tillsyn/A 41776-2024 tillsynsbegäran.docx", "A 41776-2024")</f>
        <v/>
      </c>
      <c r="AD102">
        <f>HYPERLINK("https://klasma.github.io/Logging_2481/tillsynsmail/A 41776-2024 tillsynsbegäran mail.docx", "A 41776-2024")</f>
        <v/>
      </c>
    </row>
    <row r="103" ht="15" customHeight="1">
      <c r="A103" t="inlineStr">
        <is>
          <t>A 15197-2023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45016</v>
      </c>
      <c r="E103" s="1" t="n">
        <v>46227</v>
      </c>
      <c r="F103" t="inlineStr">
        <is>
          <t>VÄSTERBOTTENS LÄN</t>
        </is>
      </c>
      <c r="G103" t="inlineStr">
        <is>
          <t>LYCKSELE</t>
        </is>
      </c>
      <c r="I103" t="n">
        <v>11.2</v>
      </c>
      <c r="J103" t="n">
        <v>0</v>
      </c>
      <c r="K103" t="n">
        <v>0</v>
      </c>
      <c r="L103" t="n">
        <v>2</v>
      </c>
      <c r="M103" t="n">
        <v>0</v>
      </c>
      <c r="N103" t="n">
        <v>0</v>
      </c>
      <c r="O103" t="n">
        <v>0</v>
      </c>
      <c r="P103" t="n">
        <v>0</v>
      </c>
      <c r="Q103" t="n">
        <v>2</v>
      </c>
      <c r="R103" t="n">
        <v>0</v>
      </c>
      <c r="S103" t="n">
        <v>2</v>
      </c>
      <c r="T103" t="n">
        <v>3</v>
      </c>
      <c r="U103" t="n">
        <v>0</v>
      </c>
      <c r="V103" s="2" t="inlineStr">
        <is>
          <t>Dropptaggsvamp
Vaddporing</t>
        </is>
      </c>
      <c r="W103">
        <f>HYPERLINK("https://klasma.github.io/Logging_2481/artfynd/A 15197-2023 artfynd.xlsx", "A 15197-2023")</f>
        <v/>
      </c>
      <c r="X103">
        <f>HYPERLINK("https://klasma.github.io/Logging_2481/kartor/A 15197-2023 karta.png", "A 15197-2023")</f>
        <v/>
      </c>
      <c r="Y103">
        <f>HYPERLINK("https://klasma.github.io/Logging_2481/kartor_geotiff/A 15197-2023 georefererad karta.tif", "A 15197-2023")</f>
        <v/>
      </c>
      <c r="AA103">
        <f>HYPERLINK("https://klasma.github.io/Logging_2481/klagomål/A 15197-2023 FSC-klagomål.docx", "A 15197-2023")</f>
        <v/>
      </c>
      <c r="AB103">
        <f>HYPERLINK("https://klasma.github.io/Logging_2481/klagomålsmail/A 15197-2023 FSC-klagomål mail.docx", "A 15197-2023")</f>
        <v/>
      </c>
      <c r="AC103">
        <f>HYPERLINK("https://klasma.github.io/Logging_2481/tillsyn/A 15197-2023 tillsynsbegäran.docx", "A 15197-2023")</f>
        <v/>
      </c>
      <c r="AD103">
        <f>HYPERLINK("https://klasma.github.io/Logging_2481/tillsynsmail/A 15197-2023 tillsynsbegäran mail.docx", "A 15197-2023")</f>
        <v/>
      </c>
    </row>
    <row r="104" ht="15" customHeight="1">
      <c r="A104" t="inlineStr">
        <is>
          <t>A 25722-2026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46178</v>
      </c>
      <c r="E104" s="1" t="n">
        <v>46227</v>
      </c>
      <c r="F104" t="inlineStr">
        <is>
          <t>VÄSTERBOTTENS LÄN</t>
        </is>
      </c>
      <c r="G104" t="inlineStr">
        <is>
          <t>LYCKSELE</t>
        </is>
      </c>
      <c r="H104" t="inlineStr">
        <is>
          <t>Sveaskog</t>
        </is>
      </c>
      <c r="I104" t="n">
        <v>14.6</v>
      </c>
      <c r="J104" t="n">
        <v>0</v>
      </c>
      <c r="K104" t="n">
        <v>0</v>
      </c>
      <c r="L104" t="n">
        <v>2</v>
      </c>
      <c r="M104" t="n">
        <v>0</v>
      </c>
      <c r="N104" t="n">
        <v>0</v>
      </c>
      <c r="O104" t="n">
        <v>0</v>
      </c>
      <c r="P104" t="n">
        <v>0</v>
      </c>
      <c r="Q104" t="n">
        <v>2</v>
      </c>
      <c r="R104" t="n">
        <v>0</v>
      </c>
      <c r="S104" t="n">
        <v>2</v>
      </c>
      <c r="T104" t="n">
        <v>2</v>
      </c>
      <c r="U104" t="n">
        <v>2</v>
      </c>
      <c r="V104" s="2" t="inlineStr">
        <is>
          <t>Kolflarnlav
Mörk kolflarnlav</t>
        </is>
      </c>
      <c r="W104">
        <f>HYPERLINK("https://klasma.github.io/Logging_2481/artfynd/A 25722-2026 artfynd.xlsx", "A 25722-2026")</f>
        <v/>
      </c>
      <c r="X104">
        <f>HYPERLINK("https://klasma.github.io/Logging_2481/kartor/A 25722-2026 karta.png", "A 25722-2026")</f>
        <v/>
      </c>
      <c r="Y104">
        <f>HYPERLINK("https://klasma.github.io/Logging_2481/kartor_geotiff/A 25722-2026 georefererad karta.tif", "A 25722-2026")</f>
        <v/>
      </c>
      <c r="AA104">
        <f>HYPERLINK("https://klasma.github.io/Logging_2481/klagomål/A 25722-2026 FSC-klagomål.docx", "A 25722-2026")</f>
        <v/>
      </c>
      <c r="AB104">
        <f>HYPERLINK("https://klasma.github.io/Logging_2481/klagomålsmail/A 25722-2026 FSC-klagomål mail.docx", "A 25722-2026")</f>
        <v/>
      </c>
      <c r="AC104">
        <f>HYPERLINK("https://klasma.github.io/Logging_2481/tillsyn/A 25722-2026 tillsynsbegäran.docx", "A 25722-2026")</f>
        <v/>
      </c>
      <c r="AD104">
        <f>HYPERLINK("https://klasma.github.io/Logging_2481/tillsynsmail/A 25722-2026 tillsynsbegäran mail.docx", "A 25722-2026")</f>
        <v/>
      </c>
    </row>
    <row r="105" ht="15" customHeight="1">
      <c r="A105" t="inlineStr">
        <is>
          <t>A 25713-2026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46178</v>
      </c>
      <c r="E105" s="1" t="n">
        <v>46227</v>
      </c>
      <c r="F105" t="inlineStr">
        <is>
          <t>VÄSTERBOTTENS LÄN</t>
        </is>
      </c>
      <c r="G105" t="inlineStr">
        <is>
          <t>LYCKSELE</t>
        </is>
      </c>
      <c r="H105" t="inlineStr">
        <is>
          <t>Sveaskog</t>
        </is>
      </c>
      <c r="I105" t="n">
        <v>10</v>
      </c>
      <c r="J105" t="n">
        <v>0</v>
      </c>
      <c r="K105" t="n">
        <v>0</v>
      </c>
      <c r="L105" t="n">
        <v>2</v>
      </c>
      <c r="M105" t="n">
        <v>0</v>
      </c>
      <c r="N105" t="n">
        <v>0</v>
      </c>
      <c r="O105" t="n">
        <v>0</v>
      </c>
      <c r="P105" t="n">
        <v>0</v>
      </c>
      <c r="Q105" t="n">
        <v>2</v>
      </c>
      <c r="R105" t="n">
        <v>0</v>
      </c>
      <c r="S105" t="n">
        <v>2</v>
      </c>
      <c r="T105" t="n">
        <v>2</v>
      </c>
      <c r="U105" t="n">
        <v>0</v>
      </c>
      <c r="V105" s="2" t="inlineStr">
        <is>
          <t>Kolflarnlav
Mörk kolflarnlav</t>
        </is>
      </c>
      <c r="W105">
        <f>HYPERLINK("https://klasma.github.io/Logging_2481/artfynd/A 25713-2026 artfynd.xlsx", "A 25713-2026")</f>
        <v/>
      </c>
      <c r="X105">
        <f>HYPERLINK("https://klasma.github.io/Logging_2481/kartor/A 25713-2026 karta.png", "A 25713-2026")</f>
        <v/>
      </c>
      <c r="Y105">
        <f>HYPERLINK("https://klasma.github.io/Logging_2481/kartor_geotiff/A 25713-2026 georefererad karta.tif", "A 25713-2026")</f>
        <v/>
      </c>
      <c r="AA105">
        <f>HYPERLINK("https://klasma.github.io/Logging_2481/klagomål/A 25713-2026 FSC-klagomål.docx", "A 25713-2026")</f>
        <v/>
      </c>
      <c r="AB105">
        <f>HYPERLINK("https://klasma.github.io/Logging_2481/klagomålsmail/A 25713-2026 FSC-klagomål mail.docx", "A 25713-2026")</f>
        <v/>
      </c>
      <c r="AC105">
        <f>HYPERLINK("https://klasma.github.io/Logging_2481/tillsyn/A 25713-2026 tillsynsbegäran.docx", "A 25713-2026")</f>
        <v/>
      </c>
      <c r="AD105">
        <f>HYPERLINK("https://klasma.github.io/Logging_2481/tillsynsmail/A 25713-2026 tillsynsbegäran mail.docx", "A 25713-2026")</f>
        <v/>
      </c>
    </row>
    <row r="106" ht="15" customHeight="1">
      <c r="A106" t="inlineStr">
        <is>
          <t>A 26116-2026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46181</v>
      </c>
      <c r="E106" s="1" t="n">
        <v>46227</v>
      </c>
      <c r="F106" t="inlineStr">
        <is>
          <t>VÄSTERBOTTENS LÄN</t>
        </is>
      </c>
      <c r="G106" t="inlineStr">
        <is>
          <t>LYCKSELE</t>
        </is>
      </c>
      <c r="H106" t="inlineStr">
        <is>
          <t>Sveaskog</t>
        </is>
      </c>
      <c r="I106" t="n">
        <v>1.3</v>
      </c>
      <c r="J106" t="n">
        <v>0</v>
      </c>
      <c r="K106" t="n">
        <v>1</v>
      </c>
      <c r="L106" t="n">
        <v>1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t="n">
        <v>0</v>
      </c>
      <c r="S106" t="n">
        <v>2</v>
      </c>
      <c r="T106" t="n">
        <v>2</v>
      </c>
      <c r="U106" t="n">
        <v>2</v>
      </c>
      <c r="V106" s="2" t="inlineStr">
        <is>
          <t>Lunglav
Vedticka</t>
        </is>
      </c>
      <c r="W106">
        <f>HYPERLINK("https://klasma.github.io/Logging_2481/artfynd/A 26116-2026 artfynd.xlsx", "A 26116-2026")</f>
        <v/>
      </c>
      <c r="X106">
        <f>HYPERLINK("https://klasma.github.io/Logging_2481/kartor/A 26116-2026 karta.png", "A 26116-2026")</f>
        <v/>
      </c>
      <c r="Y106">
        <f>HYPERLINK("https://klasma.github.io/Logging_2481/kartor_geotiff/A 26116-2026 georefererad karta.tif", "A 26116-2026")</f>
        <v/>
      </c>
      <c r="AA106">
        <f>HYPERLINK("https://klasma.github.io/Logging_2481/klagomål/A 26116-2026 FSC-klagomål.docx", "A 26116-2026")</f>
        <v/>
      </c>
      <c r="AB106">
        <f>HYPERLINK("https://klasma.github.io/Logging_2481/klagomålsmail/A 26116-2026 FSC-klagomål mail.docx", "A 26116-2026")</f>
        <v/>
      </c>
      <c r="AC106">
        <f>HYPERLINK("https://klasma.github.io/Logging_2481/tillsyn/A 26116-2026 tillsynsbegäran.docx", "A 26116-2026")</f>
        <v/>
      </c>
      <c r="AD106">
        <f>HYPERLINK("https://klasma.github.io/Logging_2481/tillsynsmail/A 26116-2026 tillsynsbegäran mail.docx", "A 26116-2026")</f>
        <v/>
      </c>
    </row>
    <row r="107" ht="15" customHeight="1">
      <c r="A107" t="inlineStr">
        <is>
          <t>A 742-2025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45665</v>
      </c>
      <c r="E107" s="1" t="n">
        <v>46227</v>
      </c>
      <c r="F107" t="inlineStr">
        <is>
          <t>VÄSTERBOTTENS LÄN</t>
        </is>
      </c>
      <c r="G107" t="inlineStr">
        <is>
          <t>LYCKSELE</t>
        </is>
      </c>
      <c r="H107" t="inlineStr">
        <is>
          <t>Holmen skog AB</t>
        </is>
      </c>
      <c r="I107" t="n">
        <v>5.6</v>
      </c>
      <c r="J107" t="n">
        <v>1</v>
      </c>
      <c r="K107" t="n">
        <v>0</v>
      </c>
      <c r="L107" t="n">
        <v>0</v>
      </c>
      <c r="M107" t="n">
        <v>1</v>
      </c>
      <c r="N107" t="n">
        <v>0</v>
      </c>
      <c r="O107" t="n">
        <v>0</v>
      </c>
      <c r="P107" t="n">
        <v>0</v>
      </c>
      <c r="Q107" t="n">
        <v>1</v>
      </c>
      <c r="R107" t="n">
        <v>1</v>
      </c>
      <c r="S107" t="n">
        <v>2</v>
      </c>
      <c r="T107" t="n">
        <v>2</v>
      </c>
      <c r="U107" t="n">
        <v>0</v>
      </c>
      <c r="V107" s="2" t="inlineStr">
        <is>
          <t>Garnlav
Fläcknycklar</t>
        </is>
      </c>
      <c r="W107">
        <f>HYPERLINK("https://klasma.github.io/Logging_2481/artfynd/A 742-2025 artfynd.xlsx", "A 742-2025")</f>
        <v/>
      </c>
      <c r="X107">
        <f>HYPERLINK("https://klasma.github.io/Logging_2481/kartor/A 742-2025 karta.png", "A 742-2025")</f>
        <v/>
      </c>
      <c r="Y107">
        <f>HYPERLINK("https://klasma.github.io/Logging_2481/kartor_geotiff/A 742-2025 georefererad karta.tif", "A 742-2025")</f>
        <v/>
      </c>
      <c r="AA107">
        <f>HYPERLINK("https://klasma.github.io/Logging_2481/klagomål/A 742-2025 FSC-klagomål.docx", "A 742-2025")</f>
        <v/>
      </c>
      <c r="AB107">
        <f>HYPERLINK("https://klasma.github.io/Logging_2481/klagomålsmail/A 742-2025 FSC-klagomål mail.docx", "A 742-2025")</f>
        <v/>
      </c>
      <c r="AC107">
        <f>HYPERLINK("https://klasma.github.io/Logging_2481/tillsyn/A 742-2025 tillsynsbegäran.docx", "A 742-2025")</f>
        <v/>
      </c>
      <c r="AD107">
        <f>HYPERLINK("https://klasma.github.io/Logging_2481/tillsynsmail/A 742-2025 tillsynsbegäran mail.docx", "A 742-2025")</f>
        <v/>
      </c>
    </row>
    <row r="108" ht="15" customHeight="1">
      <c r="A108" t="inlineStr">
        <is>
          <t>S 754-2023</t>
        </is>
      </c>
      <c r="B108" t="inlineStr">
        <is>
          <t>samrådsanmälan</t>
        </is>
      </c>
      <c r="C108" t="inlineStr">
        <is>
          <t>Annan skogsbruksåtgärd</t>
        </is>
      </c>
      <c r="D108" s="1" t="n">
        <v>44981</v>
      </c>
      <c r="E108" s="1" t="n">
        <v>46227</v>
      </c>
      <c r="F108" t="inlineStr">
        <is>
          <t>VÄSTERBOTTENS LÄN</t>
        </is>
      </c>
      <c r="G108" t="inlineStr">
        <is>
          <t>LYCKSELE</t>
        </is>
      </c>
      <c r="H108" t="inlineStr">
        <is>
          <t>Sveaskog</t>
        </is>
      </c>
      <c r="I108" t="n">
        <v>2.9</v>
      </c>
      <c r="J108" t="n">
        <v>2</v>
      </c>
      <c r="K108" t="n">
        <v>0</v>
      </c>
      <c r="L108" t="n">
        <v>1</v>
      </c>
      <c r="M108" t="n">
        <v>1</v>
      </c>
      <c r="N108" t="n">
        <v>0</v>
      </c>
      <c r="O108" t="n">
        <v>0</v>
      </c>
      <c r="P108" t="n">
        <v>0</v>
      </c>
      <c r="Q108" t="n">
        <v>2</v>
      </c>
      <c r="R108" t="n">
        <v>1</v>
      </c>
      <c r="S108" t="n">
        <v>2</v>
      </c>
      <c r="T108" t="n">
        <v>2</v>
      </c>
      <c r="U108" t="n">
        <v>1</v>
      </c>
      <c r="V108" s="2" t="inlineStr">
        <is>
          <t>Knärot
Lavskrika</t>
        </is>
      </c>
      <c r="W108">
        <f>HYPERLINK("https://klasma.github.io/Logging_2481/artfynd/S 754-2023 artfynd.xlsx", "S 754-2023")</f>
        <v/>
      </c>
      <c r="X108">
        <f>HYPERLINK("https://klasma.github.io/Logging_2481/kartor/S 754-2023 karta.png", "S 754-2023")</f>
        <v/>
      </c>
      <c r="Y108">
        <f>HYPERLINK("https://klasma.github.io/Logging_2481/kartor_geotiff/S 754-2023 georefererad karta.tif", "S 754-2023")</f>
        <v/>
      </c>
      <c r="Z108">
        <f>HYPERLINK("https://klasma.github.io/Logging_2481/knärot/S 754-2023 karta knärot.png", "S 754-2023")</f>
        <v/>
      </c>
      <c r="AA108">
        <f>HYPERLINK("https://klasma.github.io/Logging_2481/klagomål/S 754-2023 FSC-klagomål.docx", "S 754-2023")</f>
        <v/>
      </c>
      <c r="AB108">
        <f>HYPERLINK("https://klasma.github.io/Logging_2481/klagomålsmail/S 754-2023 FSC-klagomål mail.docx", "S 754-2023")</f>
        <v/>
      </c>
      <c r="AC108">
        <f>HYPERLINK("https://klasma.github.io/Logging_2481/tillsyn/S 754-2023 tillsynsbegäran.docx", "S 754-2023")</f>
        <v/>
      </c>
      <c r="AD108">
        <f>HYPERLINK("https://klasma.github.io/Logging_2481/tillsynsmail/S 754-2023 tillsynsbegäran mail.docx", "S 754-2023")</f>
        <v/>
      </c>
      <c r="AE108">
        <f>HYPERLINK("https://klasma.github.io/Logging_2481/fåglar/S 754-2023 prioriterade fågelarter.docx", "S 754-2023")</f>
        <v/>
      </c>
    </row>
    <row r="109" ht="15" customHeight="1">
      <c r="A109" t="inlineStr">
        <is>
          <t>S 408-2026</t>
        </is>
      </c>
      <c r="B109" t="inlineStr">
        <is>
          <t>samrådsanmälan</t>
        </is>
      </c>
      <c r="C109" t="inlineStr">
        <is>
          <t>Skogsgödsling</t>
        </is>
      </c>
      <c r="D109" s="1" t="n">
        <v>46069</v>
      </c>
      <c r="E109" s="1" t="n">
        <v>46227</v>
      </c>
      <c r="F109" t="inlineStr">
        <is>
          <t>VÄSTERBOTTENS LÄN</t>
        </is>
      </c>
      <c r="G109" t="inlineStr">
        <is>
          <t>LYCKSELE</t>
        </is>
      </c>
      <c r="H109" t="inlineStr">
        <is>
          <t>Holmen skog AB</t>
        </is>
      </c>
      <c r="I109" t="n">
        <v>552.6</v>
      </c>
      <c r="J109" t="n">
        <v>1</v>
      </c>
      <c r="K109" t="n">
        <v>1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2</v>
      </c>
      <c r="T109" t="n">
        <v>2</v>
      </c>
      <c r="U109" t="n">
        <v>0</v>
      </c>
      <c r="V109" s="2" t="inlineStr">
        <is>
          <t>Bårdlav
Vattenfladdermus</t>
        </is>
      </c>
      <c r="W109">
        <f>HYPERLINK("https://klasma.github.io/Logging_2481/artfynd/S 408-2026 artfynd.xlsx", "S 408-2026")</f>
        <v/>
      </c>
      <c r="X109">
        <f>HYPERLINK("https://klasma.github.io/Logging_2481/kartor/S 408-2026 karta.png", "S 408-2026")</f>
        <v/>
      </c>
      <c r="Y109">
        <f>HYPERLINK("https://klasma.github.io/Logging_2481/kartor_geotiff/S 408-2026 georefererad karta.tif", "S 408-2026")</f>
        <v/>
      </c>
      <c r="AA109">
        <f>HYPERLINK("https://klasma.github.io/Logging_2481/klagomål/S 408-2026 FSC-klagomål.docx", "S 408-2026")</f>
        <v/>
      </c>
      <c r="AB109">
        <f>HYPERLINK("https://klasma.github.io/Logging_2481/klagomålsmail/S 408-2026 FSC-klagomål mail.docx", "S 408-2026")</f>
        <v/>
      </c>
      <c r="AC109">
        <f>HYPERLINK("https://klasma.github.io/Logging_2481/tillsyn/S 408-2026 tillsynsbegäran.docx", "S 408-2026")</f>
        <v/>
      </c>
      <c r="AD109">
        <f>HYPERLINK("https://klasma.github.io/Logging_2481/tillsynsmail/S 408-2026 tillsynsbegäran mail.docx", "S 408-2026")</f>
        <v/>
      </c>
    </row>
    <row r="110" ht="15" customHeight="1">
      <c r="A110" t="inlineStr">
        <is>
          <t>A 60045-2021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44495</v>
      </c>
      <c r="E110" s="1" t="n">
        <v>46227</v>
      </c>
      <c r="F110" t="inlineStr">
        <is>
          <t>VÄSTERBOTTENS LÄN</t>
        </is>
      </c>
      <c r="G110" t="inlineStr">
        <is>
          <t>LYCKSELE</t>
        </is>
      </c>
      <c r="H110" t="inlineStr">
        <is>
          <t>Sveaskog</t>
        </is>
      </c>
      <c r="I110" t="n">
        <v>0.6</v>
      </c>
      <c r="J110" t="n">
        <v>0</v>
      </c>
      <c r="K110" t="n">
        <v>0</v>
      </c>
      <c r="L110" t="n">
        <v>1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t="n">
        <v>0</v>
      </c>
      <c r="S110" t="n">
        <v>1</v>
      </c>
      <c r="T110" t="n">
        <v>1</v>
      </c>
      <c r="U110" t="n">
        <v>1</v>
      </c>
      <c r="V110" s="2" t="inlineStr">
        <is>
          <t>Lunglav</t>
        </is>
      </c>
      <c r="W110">
        <f>HYPERLINK("https://klasma.github.io/Logging_2481/artfynd/A 60045-2021 artfynd.xlsx", "A 60045-2021")</f>
        <v/>
      </c>
      <c r="X110">
        <f>HYPERLINK("https://klasma.github.io/Logging_2481/kartor/A 60045-2021 karta.png", "A 60045-2021")</f>
        <v/>
      </c>
      <c r="Y110">
        <f>HYPERLINK("https://klasma.github.io/Logging_2481/kartor_geotiff/A 60045-2021 georefererad karta.tif", "A 60045-2021")</f>
        <v/>
      </c>
      <c r="AA110">
        <f>HYPERLINK("https://klasma.github.io/Logging_2481/klagomål/A 60045-2021 FSC-klagomål.docx", "A 60045-2021")</f>
        <v/>
      </c>
      <c r="AB110">
        <f>HYPERLINK("https://klasma.github.io/Logging_2481/klagomålsmail/A 60045-2021 FSC-klagomål mail.docx", "A 60045-2021")</f>
        <v/>
      </c>
      <c r="AC110">
        <f>HYPERLINK("https://klasma.github.io/Logging_2481/tillsyn/A 60045-2021 tillsynsbegäran.docx", "A 60045-2021")</f>
        <v/>
      </c>
      <c r="AD110">
        <f>HYPERLINK("https://klasma.github.io/Logging_2481/tillsynsmail/A 60045-2021 tillsynsbegäran mail.docx", "A 60045-2021")</f>
        <v/>
      </c>
    </row>
    <row r="111" ht="15" customHeight="1">
      <c r="A111" t="inlineStr">
        <is>
          <t>A 9073-2022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44615</v>
      </c>
      <c r="E111" s="1" t="n">
        <v>46227</v>
      </c>
      <c r="F111" t="inlineStr">
        <is>
          <t>VÄSTERBOTTENS LÄN</t>
        </is>
      </c>
      <c r="G111" t="inlineStr">
        <is>
          <t>LYCKSELE</t>
        </is>
      </c>
      <c r="I111" t="n">
        <v>3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1</v>
      </c>
      <c r="T111" t="n">
        <v>1</v>
      </c>
      <c r="U111" t="n">
        <v>0</v>
      </c>
      <c r="V111" s="2" t="inlineStr">
        <is>
          <t>Utter</t>
        </is>
      </c>
      <c r="W111">
        <f>HYPERLINK("https://klasma.github.io/Logging_2481/artfynd/A 9073-2022 artfynd.xlsx", "A 9073-2022")</f>
        <v/>
      </c>
      <c r="X111">
        <f>HYPERLINK("https://klasma.github.io/Logging_2481/kartor/A 9073-2022 karta.png", "A 9073-2022")</f>
        <v/>
      </c>
      <c r="Y111">
        <f>HYPERLINK("https://klasma.github.io/Logging_2481/kartor_geotiff/A 9073-2022 georefererad karta.tif", "A 9073-2022")</f>
        <v/>
      </c>
      <c r="AA111">
        <f>HYPERLINK("https://klasma.github.io/Logging_2481/klagomål/A 9073-2022 FSC-klagomål.docx", "A 9073-2022")</f>
        <v/>
      </c>
      <c r="AB111">
        <f>HYPERLINK("https://klasma.github.io/Logging_2481/klagomålsmail/A 9073-2022 FSC-klagomål mail.docx", "A 9073-2022")</f>
        <v/>
      </c>
      <c r="AC111">
        <f>HYPERLINK("https://klasma.github.io/Logging_2481/tillsyn/A 9073-2022 tillsynsbegäran.docx", "A 9073-2022")</f>
        <v/>
      </c>
      <c r="AD111">
        <f>HYPERLINK("https://klasma.github.io/Logging_2481/tillsynsmail/A 9073-2022 tillsynsbegäran mail.docx", "A 9073-2022")</f>
        <v/>
      </c>
    </row>
    <row r="112" ht="15" customHeight="1">
      <c r="A112" t="inlineStr">
        <is>
          <t>A 59780-2021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44494</v>
      </c>
      <c r="E112" s="1" t="n">
        <v>46227</v>
      </c>
      <c r="F112" t="inlineStr">
        <is>
          <t>VÄSTERBOTTENS LÄN</t>
        </is>
      </c>
      <c r="G112" t="inlineStr">
        <is>
          <t>LYCKSELE</t>
        </is>
      </c>
      <c r="H112" t="inlineStr">
        <is>
          <t>Sveaskog</t>
        </is>
      </c>
      <c r="I112" t="n">
        <v>5</v>
      </c>
      <c r="J112" t="n">
        <v>0</v>
      </c>
      <c r="K112" t="n">
        <v>0</v>
      </c>
      <c r="L112" t="n">
        <v>1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t="n">
        <v>0</v>
      </c>
      <c r="S112" t="n">
        <v>1</v>
      </c>
      <c r="T112" t="n">
        <v>3</v>
      </c>
      <c r="U112" t="n">
        <v>3</v>
      </c>
      <c r="V112" s="2" t="inlineStr">
        <is>
          <t>Lunglav</t>
        </is>
      </c>
      <c r="W112">
        <f>HYPERLINK("https://klasma.github.io/Logging_2481/artfynd/A 59780-2021 artfynd.xlsx", "A 59780-2021")</f>
        <v/>
      </c>
      <c r="X112">
        <f>HYPERLINK("https://klasma.github.io/Logging_2481/kartor/A 59780-2021 karta.png", "A 59780-2021")</f>
        <v/>
      </c>
      <c r="Y112">
        <f>HYPERLINK("https://klasma.github.io/Logging_2481/kartor_geotiff/A 59780-2021 georefererad karta.tif", "A 59780-2021")</f>
        <v/>
      </c>
      <c r="AA112">
        <f>HYPERLINK("https://klasma.github.io/Logging_2481/klagomål/A 59780-2021 FSC-klagomål.docx", "A 59780-2021")</f>
        <v/>
      </c>
      <c r="AB112">
        <f>HYPERLINK("https://klasma.github.io/Logging_2481/klagomålsmail/A 59780-2021 FSC-klagomål mail.docx", "A 59780-2021")</f>
        <v/>
      </c>
      <c r="AC112">
        <f>HYPERLINK("https://klasma.github.io/Logging_2481/tillsyn/A 59780-2021 tillsynsbegäran.docx", "A 59780-2021")</f>
        <v/>
      </c>
      <c r="AD112">
        <f>HYPERLINK("https://klasma.github.io/Logging_2481/tillsynsmail/A 59780-2021 tillsynsbegäran mail.docx", "A 59780-2021")</f>
        <v/>
      </c>
    </row>
    <row r="113" ht="15" customHeight="1">
      <c r="A113" t="inlineStr">
        <is>
          <t>A 50279-2021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44459</v>
      </c>
      <c r="E113" s="1" t="n">
        <v>46227</v>
      </c>
      <c r="F113" t="inlineStr">
        <is>
          <t>VÄSTERBOTTENS LÄN</t>
        </is>
      </c>
      <c r="G113" t="inlineStr">
        <is>
          <t>LYCKSELE</t>
        </is>
      </c>
      <c r="H113" t="inlineStr">
        <is>
          <t>Sveaskog</t>
        </is>
      </c>
      <c r="I113" t="n">
        <v>10.9</v>
      </c>
      <c r="J113" t="n">
        <v>0</v>
      </c>
      <c r="K113" t="n">
        <v>0</v>
      </c>
      <c r="L113" t="n">
        <v>1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t="n">
        <v>0</v>
      </c>
      <c r="S113" t="n">
        <v>1</v>
      </c>
      <c r="T113" t="n">
        <v>1</v>
      </c>
      <c r="U113" t="n">
        <v>0</v>
      </c>
      <c r="V113" s="2" t="inlineStr">
        <is>
          <t>Lunglav</t>
        </is>
      </c>
      <c r="W113">
        <f>HYPERLINK("https://klasma.github.io/Logging_2481/artfynd/A 50279-2021 artfynd.xlsx", "A 50279-2021")</f>
        <v/>
      </c>
      <c r="X113">
        <f>HYPERLINK("https://klasma.github.io/Logging_2481/kartor/A 50279-2021 karta.png", "A 50279-2021")</f>
        <v/>
      </c>
      <c r="Y113">
        <f>HYPERLINK("https://klasma.github.io/Logging_2481/kartor_geotiff/A 50279-2021 georefererad karta.tif", "A 50279-2021")</f>
        <v/>
      </c>
      <c r="AA113">
        <f>HYPERLINK("https://klasma.github.io/Logging_2481/klagomål/A 50279-2021 FSC-klagomål.docx", "A 50279-2021")</f>
        <v/>
      </c>
      <c r="AB113">
        <f>HYPERLINK("https://klasma.github.io/Logging_2481/klagomålsmail/A 50279-2021 FSC-klagomål mail.docx", "A 50279-2021")</f>
        <v/>
      </c>
      <c r="AC113">
        <f>HYPERLINK("https://klasma.github.io/Logging_2481/tillsyn/A 50279-2021 tillsynsbegäran.docx", "A 50279-2021")</f>
        <v/>
      </c>
      <c r="AD113">
        <f>HYPERLINK("https://klasma.github.io/Logging_2481/tillsynsmail/A 50279-2021 tillsynsbegäran mail.docx", "A 50279-2021")</f>
        <v/>
      </c>
    </row>
    <row r="114" ht="15" customHeight="1">
      <c r="A114" t="inlineStr">
        <is>
          <t>A 9341-2022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44616</v>
      </c>
      <c r="E114" s="1" t="n">
        <v>46227</v>
      </c>
      <c r="F114" t="inlineStr">
        <is>
          <t>VÄSTERBOTTENS LÄN</t>
        </is>
      </c>
      <c r="G114" t="inlineStr">
        <is>
          <t>LYCKSELE</t>
        </is>
      </c>
      <c r="I114" t="n">
        <v>6.9</v>
      </c>
      <c r="J114" t="n">
        <v>0</v>
      </c>
      <c r="K114" t="n">
        <v>0</v>
      </c>
      <c r="L114" t="n">
        <v>1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t="n">
        <v>0</v>
      </c>
      <c r="S114" t="n">
        <v>1</v>
      </c>
      <c r="T114" t="n">
        <v>1</v>
      </c>
      <c r="U114" t="n">
        <v>1</v>
      </c>
      <c r="V114" s="2" t="inlineStr">
        <is>
          <t>Ullticka</t>
        </is>
      </c>
      <c r="W114">
        <f>HYPERLINK("https://klasma.github.io/Logging_2481/artfynd/A 9341-2022 artfynd.xlsx", "A 9341-2022")</f>
        <v/>
      </c>
      <c r="X114">
        <f>HYPERLINK("https://klasma.github.io/Logging_2481/kartor/A 9341-2022 karta.png", "A 9341-2022")</f>
        <v/>
      </c>
      <c r="Y114">
        <f>HYPERLINK("https://klasma.github.io/Logging_2481/kartor_geotiff/A 9341-2022 georefererad karta.tif", "A 9341-2022")</f>
        <v/>
      </c>
      <c r="AA114">
        <f>HYPERLINK("https://klasma.github.io/Logging_2481/klagomål/A 9341-2022 FSC-klagomål.docx", "A 9341-2022")</f>
        <v/>
      </c>
      <c r="AB114">
        <f>HYPERLINK("https://klasma.github.io/Logging_2481/klagomålsmail/A 9341-2022 FSC-klagomål mail.docx", "A 9341-2022")</f>
        <v/>
      </c>
      <c r="AC114">
        <f>HYPERLINK("https://klasma.github.io/Logging_2481/tillsyn/A 9341-2022 tillsynsbegäran.docx", "A 9341-2022")</f>
        <v/>
      </c>
      <c r="AD114">
        <f>HYPERLINK("https://klasma.github.io/Logging_2481/tillsynsmail/A 9341-2022 tillsynsbegäran mail.docx", "A 9341-2022")</f>
        <v/>
      </c>
    </row>
    <row r="115" ht="15" customHeight="1">
      <c r="A115" t="inlineStr">
        <is>
          <t>A 34809-2022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44795</v>
      </c>
      <c r="E115" s="1" t="n">
        <v>46227</v>
      </c>
      <c r="F115" t="inlineStr">
        <is>
          <t>VÄSTERBOTTENS LÄN</t>
        </is>
      </c>
      <c r="G115" t="inlineStr">
        <is>
          <t>LYCKSELE</t>
        </is>
      </c>
      <c r="H115" t="inlineStr">
        <is>
          <t>SCA</t>
        </is>
      </c>
      <c r="I115" t="n">
        <v>1</v>
      </c>
      <c r="J115" t="n">
        <v>0</v>
      </c>
      <c r="K115" t="n">
        <v>0</v>
      </c>
      <c r="L115" t="n">
        <v>1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t="n">
        <v>0</v>
      </c>
      <c r="S115" t="n">
        <v>1</v>
      </c>
      <c r="T115" t="n">
        <v>1</v>
      </c>
      <c r="U115" t="n">
        <v>0</v>
      </c>
      <c r="V115" s="2" t="inlineStr">
        <is>
          <t>Gammelgransskål</t>
        </is>
      </c>
      <c r="W115">
        <f>HYPERLINK("https://klasma.github.io/Logging_2481/artfynd/A 34809-2022 artfynd.xlsx", "A 34809-2022")</f>
        <v/>
      </c>
      <c r="X115">
        <f>HYPERLINK("https://klasma.github.io/Logging_2481/kartor/A 34809-2022 karta.png", "A 34809-2022")</f>
        <v/>
      </c>
      <c r="Y115">
        <f>HYPERLINK("https://klasma.github.io/Logging_2481/kartor_geotiff/A 34809-2022 georefererad karta.tif", "A 34809-2022")</f>
        <v/>
      </c>
      <c r="AA115">
        <f>HYPERLINK("https://klasma.github.io/Logging_2481/klagomål/A 34809-2022 FSC-klagomål.docx", "A 34809-2022")</f>
        <v/>
      </c>
      <c r="AB115">
        <f>HYPERLINK("https://klasma.github.io/Logging_2481/klagomålsmail/A 34809-2022 FSC-klagomål mail.docx", "A 34809-2022")</f>
        <v/>
      </c>
      <c r="AC115">
        <f>HYPERLINK("https://klasma.github.io/Logging_2481/tillsyn/A 34809-2022 tillsynsbegäran.docx", "A 34809-2022")</f>
        <v/>
      </c>
      <c r="AD115">
        <f>HYPERLINK("https://klasma.github.io/Logging_2481/tillsynsmail/A 34809-2022 tillsynsbegäran mail.docx", "A 34809-2022")</f>
        <v/>
      </c>
    </row>
    <row r="116" ht="15" customHeight="1">
      <c r="A116" t="inlineStr">
        <is>
          <t>A 219-2025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45660</v>
      </c>
      <c r="E116" s="1" t="n">
        <v>46227</v>
      </c>
      <c r="F116" t="inlineStr">
        <is>
          <t>VÄSTERBOTTENS LÄN</t>
        </is>
      </c>
      <c r="G116" t="inlineStr">
        <is>
          <t>LYCKSELE</t>
        </is>
      </c>
      <c r="H116" t="inlineStr">
        <is>
          <t>Sveaskog</t>
        </is>
      </c>
      <c r="I116" t="n">
        <v>2</v>
      </c>
      <c r="J116" t="n">
        <v>0</v>
      </c>
      <c r="K116" t="n">
        <v>0</v>
      </c>
      <c r="L116" t="n">
        <v>1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t="n">
        <v>0</v>
      </c>
      <c r="S116" t="n">
        <v>1</v>
      </c>
      <c r="T116" t="n">
        <v>1</v>
      </c>
      <c r="U116" t="n">
        <v>0</v>
      </c>
      <c r="V116" s="2" t="inlineStr">
        <is>
          <t>Dropptaggsvamp</t>
        </is>
      </c>
      <c r="W116">
        <f>HYPERLINK("https://klasma.github.io/Logging_2481/artfynd/A 219-2025 artfynd.xlsx", "A 219-2025")</f>
        <v/>
      </c>
      <c r="X116">
        <f>HYPERLINK("https://klasma.github.io/Logging_2481/kartor/A 219-2025 karta.png", "A 219-2025")</f>
        <v/>
      </c>
      <c r="Y116">
        <f>HYPERLINK("https://klasma.github.io/Logging_2481/kartor_geotiff/A 219-2025 georefererad karta.tif", "A 219-2025")</f>
        <v/>
      </c>
      <c r="AA116">
        <f>HYPERLINK("https://klasma.github.io/Logging_2481/klagomål/A 219-2025 FSC-klagomål.docx", "A 219-2025")</f>
        <v/>
      </c>
      <c r="AB116">
        <f>HYPERLINK("https://klasma.github.io/Logging_2481/klagomålsmail/A 219-2025 FSC-klagomål mail.docx", "A 219-2025")</f>
        <v/>
      </c>
      <c r="AC116">
        <f>HYPERLINK("https://klasma.github.io/Logging_2481/tillsyn/A 219-2025 tillsynsbegäran.docx", "A 219-2025")</f>
        <v/>
      </c>
      <c r="AD116">
        <f>HYPERLINK("https://klasma.github.io/Logging_2481/tillsynsmail/A 219-2025 tillsynsbegäran mail.docx", "A 219-2025")</f>
        <v/>
      </c>
    </row>
    <row r="117" ht="15" customHeight="1">
      <c r="A117" t="inlineStr">
        <is>
          <t>A 37823-2025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45881</v>
      </c>
      <c r="E117" s="1" t="n">
        <v>46227</v>
      </c>
      <c r="F117" t="inlineStr">
        <is>
          <t>VÄSTERBOTTENS LÄN</t>
        </is>
      </c>
      <c r="G117" t="inlineStr">
        <is>
          <t>LYCKSELE</t>
        </is>
      </c>
      <c r="H117" t="inlineStr">
        <is>
          <t>Sveaskog</t>
        </is>
      </c>
      <c r="I117" t="n">
        <v>2</v>
      </c>
      <c r="J117" t="n">
        <v>1</v>
      </c>
      <c r="K117" t="n">
        <v>1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1</v>
      </c>
      <c r="T117" t="n">
        <v>1</v>
      </c>
      <c r="U117" t="n">
        <v>1</v>
      </c>
      <c r="V117" s="2" t="inlineStr">
        <is>
          <t>Plattlummer</t>
        </is>
      </c>
      <c r="W117">
        <f>HYPERLINK("https://klasma.github.io/Logging_2481/artfynd/A 37823-2025 artfynd.xlsx", "A 37823-2025")</f>
        <v/>
      </c>
      <c r="X117">
        <f>HYPERLINK("https://klasma.github.io/Logging_2481/kartor/A 37823-2025 karta.png", "A 37823-2025")</f>
        <v/>
      </c>
      <c r="Y117">
        <f>HYPERLINK("https://klasma.github.io/Logging_2481/kartor_geotiff/A 37823-2025 georefererad karta.tif", "A 37823-2025")</f>
        <v/>
      </c>
      <c r="AA117">
        <f>HYPERLINK("https://klasma.github.io/Logging_2481/klagomål/A 37823-2025 FSC-klagomål.docx", "A 37823-2025")</f>
        <v/>
      </c>
      <c r="AB117">
        <f>HYPERLINK("https://klasma.github.io/Logging_2481/klagomålsmail/A 37823-2025 FSC-klagomål mail.docx", "A 37823-2025")</f>
        <v/>
      </c>
      <c r="AC117">
        <f>HYPERLINK("https://klasma.github.io/Logging_2481/tillsyn/A 37823-2025 tillsynsbegäran.docx", "A 37823-2025")</f>
        <v/>
      </c>
      <c r="AD117">
        <f>HYPERLINK("https://klasma.github.io/Logging_2481/tillsynsmail/A 37823-2025 tillsynsbegäran mail.docx", "A 37823-2025")</f>
        <v/>
      </c>
    </row>
    <row r="118" ht="15" customHeight="1">
      <c r="A118" t="inlineStr">
        <is>
          <t>A 496-2024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45299</v>
      </c>
      <c r="E118" s="1" t="n">
        <v>46227</v>
      </c>
      <c r="F118" t="inlineStr">
        <is>
          <t>VÄSTERBOTTENS LÄN</t>
        </is>
      </c>
      <c r="G118" t="inlineStr">
        <is>
          <t>LYCKSELE</t>
        </is>
      </c>
      <c r="I118" t="n">
        <v>5.2</v>
      </c>
      <c r="J118" t="n">
        <v>1</v>
      </c>
      <c r="K118" t="n">
        <v>0</v>
      </c>
      <c r="L118" t="n">
        <v>1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t="n">
        <v>0</v>
      </c>
      <c r="S118" t="n">
        <v>1</v>
      </c>
      <c r="T118" t="n">
        <v>7</v>
      </c>
      <c r="U118" t="n">
        <v>7</v>
      </c>
      <c r="V118" s="2" t="inlineStr">
        <is>
          <t>Tretåig hackspett</t>
        </is>
      </c>
      <c r="W118">
        <f>HYPERLINK("https://klasma.github.io/Logging_2481/artfynd/A 496-2024 artfynd.xlsx", "A 496-2024")</f>
        <v/>
      </c>
      <c r="X118">
        <f>HYPERLINK("https://klasma.github.io/Logging_2481/kartor/A 496-2024 karta.png", "A 496-2024")</f>
        <v/>
      </c>
      <c r="Y118">
        <f>HYPERLINK("https://klasma.github.io/Logging_2481/kartor_geotiff/A 496-2024 georefererad karta.tif", "A 496-2024")</f>
        <v/>
      </c>
      <c r="AA118">
        <f>HYPERLINK("https://klasma.github.io/Logging_2481/klagomål/A 496-2024 FSC-klagomål.docx", "A 496-2024")</f>
        <v/>
      </c>
      <c r="AB118">
        <f>HYPERLINK("https://klasma.github.io/Logging_2481/klagomålsmail/A 496-2024 FSC-klagomål mail.docx", "A 496-2024")</f>
        <v/>
      </c>
      <c r="AC118">
        <f>HYPERLINK("https://klasma.github.io/Logging_2481/tillsyn/A 496-2024 tillsynsbegäran.docx", "A 496-2024")</f>
        <v/>
      </c>
      <c r="AD118">
        <f>HYPERLINK("https://klasma.github.io/Logging_2481/tillsynsmail/A 496-2024 tillsynsbegäran mail.docx", "A 496-2024")</f>
        <v/>
      </c>
      <c r="AE118">
        <f>HYPERLINK("https://klasma.github.io/Logging_2481/fåglar/A 496-2024 prioriterade fågelarter.docx", "A 496-2024")</f>
        <v/>
      </c>
    </row>
    <row r="119" ht="15" customHeight="1">
      <c r="A119" t="inlineStr">
        <is>
          <t>A 53108-2025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45958</v>
      </c>
      <c r="E119" s="1" t="n">
        <v>46227</v>
      </c>
      <c r="F119" t="inlineStr">
        <is>
          <t>VÄSTERBOTTENS LÄN</t>
        </is>
      </c>
      <c r="G119" t="inlineStr">
        <is>
          <t>LYCKSELE</t>
        </is>
      </c>
      <c r="H119" t="inlineStr">
        <is>
          <t>Sveaskog</t>
        </is>
      </c>
      <c r="I119" t="n">
        <v>14.1</v>
      </c>
      <c r="J119" t="n">
        <v>0</v>
      </c>
      <c r="K119" t="n">
        <v>1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1</v>
      </c>
      <c r="T119" t="n">
        <v>1</v>
      </c>
      <c r="U119" t="n">
        <v>0</v>
      </c>
      <c r="V119" s="2" t="inlineStr">
        <is>
          <t>Bårdlav</t>
        </is>
      </c>
      <c r="W119">
        <f>HYPERLINK("https://klasma.github.io/Logging_2481/artfynd/A 53108-2025 artfynd.xlsx", "A 53108-2025")</f>
        <v/>
      </c>
      <c r="X119">
        <f>HYPERLINK("https://klasma.github.io/Logging_2481/kartor/A 53108-2025 karta.png", "A 53108-2025")</f>
        <v/>
      </c>
      <c r="Y119">
        <f>HYPERLINK("https://klasma.github.io/Logging_2481/kartor_geotiff/A 53108-2025 georefererad karta.tif", "A 53108-2025")</f>
        <v/>
      </c>
      <c r="AA119">
        <f>HYPERLINK("https://klasma.github.io/Logging_2481/klagomål/A 53108-2025 FSC-klagomål.docx", "A 53108-2025")</f>
        <v/>
      </c>
      <c r="AB119">
        <f>HYPERLINK("https://klasma.github.io/Logging_2481/klagomålsmail/A 53108-2025 FSC-klagomål mail.docx", "A 53108-2025")</f>
        <v/>
      </c>
      <c r="AC119">
        <f>HYPERLINK("https://klasma.github.io/Logging_2481/tillsyn/A 53108-2025 tillsynsbegäran.docx", "A 53108-2025")</f>
        <v/>
      </c>
      <c r="AD119">
        <f>HYPERLINK("https://klasma.github.io/Logging_2481/tillsynsmail/A 53108-2025 tillsynsbegäran mail.docx", "A 53108-2025")</f>
        <v/>
      </c>
    </row>
    <row r="120" ht="15" customHeight="1">
      <c r="A120" t="inlineStr">
        <is>
          <t>A 22373-2025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45786</v>
      </c>
      <c r="E120" s="1" t="n">
        <v>46227</v>
      </c>
      <c r="F120" t="inlineStr">
        <is>
          <t>VÄSTERBOTTENS LÄN</t>
        </is>
      </c>
      <c r="G120" t="inlineStr">
        <is>
          <t>LYCKSELE</t>
        </is>
      </c>
      <c r="H120" t="inlineStr">
        <is>
          <t>Holmen skog AB</t>
        </is>
      </c>
      <c r="I120" t="n">
        <v>5</v>
      </c>
      <c r="J120" t="n">
        <v>0</v>
      </c>
      <c r="K120" t="n">
        <v>0</v>
      </c>
      <c r="L120" t="n">
        <v>0</v>
      </c>
      <c r="M120" t="n">
        <v>1</v>
      </c>
      <c r="N120" t="n">
        <v>0</v>
      </c>
      <c r="O120" t="n">
        <v>0</v>
      </c>
      <c r="P120" t="n">
        <v>0</v>
      </c>
      <c r="Q120" t="n">
        <v>1</v>
      </c>
      <c r="R120" t="n">
        <v>1</v>
      </c>
      <c r="S120" t="n">
        <v>1</v>
      </c>
      <c r="T120" t="n">
        <v>1</v>
      </c>
      <c r="U120" t="n">
        <v>0</v>
      </c>
      <c r="V120" s="2" t="inlineStr">
        <is>
          <t>Garnlav</t>
        </is>
      </c>
      <c r="W120">
        <f>HYPERLINK("https://klasma.github.io/Logging_2481/artfynd/A 22373-2025 artfynd.xlsx", "A 22373-2025")</f>
        <v/>
      </c>
      <c r="X120">
        <f>HYPERLINK("https://klasma.github.io/Logging_2481/kartor/A 22373-2025 karta.png", "A 22373-2025")</f>
        <v/>
      </c>
      <c r="Y120">
        <f>HYPERLINK("https://klasma.github.io/Logging_2481/kartor_geotiff/A 22373-2025 georefererad karta.tif", "A 22373-2025")</f>
        <v/>
      </c>
      <c r="AA120">
        <f>HYPERLINK("https://klasma.github.io/Logging_2481/klagomål/A 22373-2025 FSC-klagomål.docx", "A 22373-2025")</f>
        <v/>
      </c>
      <c r="AB120">
        <f>HYPERLINK("https://klasma.github.io/Logging_2481/klagomålsmail/A 22373-2025 FSC-klagomål mail.docx", "A 22373-2025")</f>
        <v/>
      </c>
      <c r="AC120">
        <f>HYPERLINK("https://klasma.github.io/Logging_2481/tillsyn/A 22373-2025 tillsynsbegäran.docx", "A 22373-2025")</f>
        <v/>
      </c>
      <c r="AD120">
        <f>HYPERLINK("https://klasma.github.io/Logging_2481/tillsynsmail/A 22373-2025 tillsynsbegäran mail.docx", "A 22373-2025")</f>
        <v/>
      </c>
    </row>
    <row r="121" ht="15" customHeight="1">
      <c r="A121" t="inlineStr">
        <is>
          <t>A 53110-2025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45958</v>
      </c>
      <c r="E121" s="1" t="n">
        <v>46227</v>
      </c>
      <c r="F121" t="inlineStr">
        <is>
          <t>VÄSTERBOTTENS LÄN</t>
        </is>
      </c>
      <c r="G121" t="inlineStr">
        <is>
          <t>LYCKSELE</t>
        </is>
      </c>
      <c r="H121" t="inlineStr">
        <is>
          <t>Sveaskog</t>
        </is>
      </c>
      <c r="I121" t="n">
        <v>16.2</v>
      </c>
      <c r="J121" t="n">
        <v>0</v>
      </c>
      <c r="K121" t="n">
        <v>0</v>
      </c>
      <c r="L121" t="n">
        <v>1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t="n">
        <v>0</v>
      </c>
      <c r="S121" t="n">
        <v>1</v>
      </c>
      <c r="T121" t="n">
        <v>1</v>
      </c>
      <c r="U121" t="n">
        <v>0</v>
      </c>
      <c r="V121" s="2" t="inlineStr">
        <is>
          <t>Kolflarnlav</t>
        </is>
      </c>
      <c r="W121">
        <f>HYPERLINK("https://klasma.github.io/Logging_2481/artfynd/A 53110-2025 artfynd.xlsx", "A 53110-2025")</f>
        <v/>
      </c>
      <c r="X121">
        <f>HYPERLINK("https://klasma.github.io/Logging_2481/kartor/A 53110-2025 karta.png", "A 53110-2025")</f>
        <v/>
      </c>
      <c r="Y121">
        <f>HYPERLINK("https://klasma.github.io/Logging_2481/kartor_geotiff/A 53110-2025 georefererad karta.tif", "A 53110-2025")</f>
        <v/>
      </c>
      <c r="AA121">
        <f>HYPERLINK("https://klasma.github.io/Logging_2481/klagomål/A 53110-2025 FSC-klagomål.docx", "A 53110-2025")</f>
        <v/>
      </c>
      <c r="AB121">
        <f>HYPERLINK("https://klasma.github.io/Logging_2481/klagomålsmail/A 53110-2025 FSC-klagomål mail.docx", "A 53110-2025")</f>
        <v/>
      </c>
      <c r="AC121">
        <f>HYPERLINK("https://klasma.github.io/Logging_2481/tillsyn/A 53110-2025 tillsynsbegäran.docx", "A 53110-2025")</f>
        <v/>
      </c>
      <c r="AD121">
        <f>HYPERLINK("https://klasma.github.io/Logging_2481/tillsynsmail/A 53110-2025 tillsynsbegäran mail.docx", "A 53110-2025")</f>
        <v/>
      </c>
    </row>
    <row r="122" ht="15" customHeight="1">
      <c r="A122" t="inlineStr">
        <is>
          <t>A 39231-2025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45889</v>
      </c>
      <c r="E122" s="1" t="n">
        <v>46227</v>
      </c>
      <c r="F122" t="inlineStr">
        <is>
          <t>VÄSTERBOTTENS LÄN</t>
        </is>
      </c>
      <c r="G122" t="inlineStr">
        <is>
          <t>LYCKSELE</t>
        </is>
      </c>
      <c r="H122" t="inlineStr">
        <is>
          <t>Sveaskog</t>
        </is>
      </c>
      <c r="I122" t="n">
        <v>16.3</v>
      </c>
      <c r="J122" t="n">
        <v>0</v>
      </c>
      <c r="K122" t="n">
        <v>0</v>
      </c>
      <c r="L122" t="n">
        <v>1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t="n">
        <v>0</v>
      </c>
      <c r="S122" t="n">
        <v>1</v>
      </c>
      <c r="T122" t="n">
        <v>1</v>
      </c>
      <c r="U122" t="n">
        <v>0</v>
      </c>
      <c r="V122" s="2" t="inlineStr">
        <is>
          <t>Mörk kolflarnlav</t>
        </is>
      </c>
      <c r="W122">
        <f>HYPERLINK("https://klasma.github.io/Logging_2481/artfynd/A 39231-2025 artfynd.xlsx", "A 39231-2025")</f>
        <v/>
      </c>
      <c r="X122">
        <f>HYPERLINK("https://klasma.github.io/Logging_2481/kartor/A 39231-2025 karta.png", "A 39231-2025")</f>
        <v/>
      </c>
      <c r="Y122">
        <f>HYPERLINK("https://klasma.github.io/Logging_2481/kartor_geotiff/A 39231-2025 georefererad karta.tif", "A 39231-2025")</f>
        <v/>
      </c>
      <c r="AA122">
        <f>HYPERLINK("https://klasma.github.io/Logging_2481/klagomål/A 39231-2025 FSC-klagomål.docx", "A 39231-2025")</f>
        <v/>
      </c>
      <c r="AB122">
        <f>HYPERLINK("https://klasma.github.io/Logging_2481/klagomålsmail/A 39231-2025 FSC-klagomål mail.docx", "A 39231-2025")</f>
        <v/>
      </c>
      <c r="AC122">
        <f>HYPERLINK("https://klasma.github.io/Logging_2481/tillsyn/A 39231-2025 tillsynsbegäran.docx", "A 39231-2025")</f>
        <v/>
      </c>
      <c r="AD122">
        <f>HYPERLINK("https://klasma.github.io/Logging_2481/tillsynsmail/A 39231-2025 tillsynsbegäran mail.docx", "A 39231-2025")</f>
        <v/>
      </c>
    </row>
    <row r="123" ht="15" customHeight="1">
      <c r="A123" t="inlineStr">
        <is>
          <t>A 39280-2025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45889</v>
      </c>
      <c r="E123" s="1" t="n">
        <v>46227</v>
      </c>
      <c r="F123" t="inlineStr">
        <is>
          <t>VÄSTERBOTTENS LÄN</t>
        </is>
      </c>
      <c r="G123" t="inlineStr">
        <is>
          <t>LYCKSELE</t>
        </is>
      </c>
      <c r="H123" t="inlineStr">
        <is>
          <t>Sveaskog</t>
        </is>
      </c>
      <c r="I123" t="n">
        <v>9.199999999999999</v>
      </c>
      <c r="J123" t="n">
        <v>0</v>
      </c>
      <c r="K123" t="n">
        <v>0</v>
      </c>
      <c r="L123" t="n">
        <v>1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t="n">
        <v>0</v>
      </c>
      <c r="S123" t="n">
        <v>1</v>
      </c>
      <c r="T123" t="n">
        <v>1</v>
      </c>
      <c r="U123" t="n">
        <v>0</v>
      </c>
      <c r="V123" s="2" t="inlineStr">
        <is>
          <t>Lunglav</t>
        </is>
      </c>
      <c r="W123">
        <f>HYPERLINK("https://klasma.github.io/Logging_2481/artfynd/A 39280-2025 artfynd.xlsx", "A 39280-2025")</f>
        <v/>
      </c>
      <c r="X123">
        <f>HYPERLINK("https://klasma.github.io/Logging_2481/kartor/A 39280-2025 karta.png", "A 39280-2025")</f>
        <v/>
      </c>
      <c r="Y123">
        <f>HYPERLINK("https://klasma.github.io/Logging_2481/kartor_geotiff/A 39280-2025 georefererad karta.tif", "A 39280-2025")</f>
        <v/>
      </c>
      <c r="AA123">
        <f>HYPERLINK("https://klasma.github.io/Logging_2481/klagomål/A 39280-2025 FSC-klagomål.docx", "A 39280-2025")</f>
        <v/>
      </c>
      <c r="AB123">
        <f>HYPERLINK("https://klasma.github.io/Logging_2481/klagomålsmail/A 39280-2025 FSC-klagomål mail.docx", "A 39280-2025")</f>
        <v/>
      </c>
      <c r="AC123">
        <f>HYPERLINK("https://klasma.github.io/Logging_2481/tillsyn/A 39280-2025 tillsynsbegäran.docx", "A 39280-2025")</f>
        <v/>
      </c>
      <c r="AD123">
        <f>HYPERLINK("https://klasma.github.io/Logging_2481/tillsynsmail/A 39280-2025 tillsynsbegäran mail.docx", "A 39280-2025")</f>
        <v/>
      </c>
    </row>
    <row r="124" ht="15" customHeight="1">
      <c r="A124" t="inlineStr">
        <is>
          <t>A 27553-2024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45474</v>
      </c>
      <c r="E124" s="1" t="n">
        <v>46227</v>
      </c>
      <c r="F124" t="inlineStr">
        <is>
          <t>VÄSTERBOTTENS LÄN</t>
        </is>
      </c>
      <c r="G124" t="inlineStr">
        <is>
          <t>LYCKSELE</t>
        </is>
      </c>
      <c r="H124" t="inlineStr">
        <is>
          <t>Sveaskog</t>
        </is>
      </c>
      <c r="I124" t="n">
        <v>1.3</v>
      </c>
      <c r="J124" t="n">
        <v>0</v>
      </c>
      <c r="K124" t="n">
        <v>0</v>
      </c>
      <c r="L124" t="n">
        <v>1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t="n">
        <v>0</v>
      </c>
      <c r="S124" t="n">
        <v>1</v>
      </c>
      <c r="T124" t="n">
        <v>1</v>
      </c>
      <c r="U124" t="n">
        <v>0</v>
      </c>
      <c r="V124" s="2" t="inlineStr">
        <is>
          <t>Lunglav</t>
        </is>
      </c>
      <c r="W124">
        <f>HYPERLINK("https://klasma.github.io/Logging_2481/artfynd/A 27553-2024 artfynd.xlsx", "A 27553-2024")</f>
        <v/>
      </c>
      <c r="X124">
        <f>HYPERLINK("https://klasma.github.io/Logging_2481/kartor/A 27553-2024 karta.png", "A 27553-2024")</f>
        <v/>
      </c>
      <c r="Y124">
        <f>HYPERLINK("https://klasma.github.io/Logging_2481/kartor_geotiff/A 27553-2024 georefererad karta.tif", "A 27553-2024")</f>
        <v/>
      </c>
      <c r="AA124">
        <f>HYPERLINK("https://klasma.github.io/Logging_2481/klagomål/A 27553-2024 FSC-klagomål.docx", "A 27553-2024")</f>
        <v/>
      </c>
      <c r="AB124">
        <f>HYPERLINK("https://klasma.github.io/Logging_2481/klagomålsmail/A 27553-2024 FSC-klagomål mail.docx", "A 27553-2024")</f>
        <v/>
      </c>
      <c r="AC124">
        <f>HYPERLINK("https://klasma.github.io/Logging_2481/tillsyn/A 27553-2024 tillsynsbegäran.docx", "A 27553-2024")</f>
        <v/>
      </c>
      <c r="AD124">
        <f>HYPERLINK("https://klasma.github.io/Logging_2481/tillsynsmail/A 27553-2024 tillsynsbegäran mail.docx", "A 27553-2024")</f>
        <v/>
      </c>
    </row>
    <row r="125" ht="15" customHeight="1">
      <c r="A125" t="inlineStr">
        <is>
          <t>A 53226-2022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44876</v>
      </c>
      <c r="E125" s="1" t="n">
        <v>46227</v>
      </c>
      <c r="F125" t="inlineStr">
        <is>
          <t>VÄSTERBOTTENS LÄN</t>
        </is>
      </c>
      <c r="G125" t="inlineStr">
        <is>
          <t>LYCKSELE</t>
        </is>
      </c>
      <c r="H125" t="inlineStr">
        <is>
          <t>Holmen skog AB</t>
        </is>
      </c>
      <c r="I125" t="n">
        <v>10.5</v>
      </c>
      <c r="J125" t="n">
        <v>0</v>
      </c>
      <c r="K125" t="n">
        <v>0</v>
      </c>
      <c r="L125" t="n">
        <v>1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t="n">
        <v>0</v>
      </c>
      <c r="S125" t="n">
        <v>1</v>
      </c>
      <c r="T125" t="n">
        <v>1</v>
      </c>
      <c r="U125" t="n">
        <v>1</v>
      </c>
      <c r="V125" s="2" t="inlineStr">
        <is>
          <t>Ängsmetallvinge</t>
        </is>
      </c>
      <c r="W125">
        <f>HYPERLINK("https://klasma.github.io/Logging_2481/artfynd/A 53226-2022 artfynd.xlsx", "A 53226-2022")</f>
        <v/>
      </c>
      <c r="X125">
        <f>HYPERLINK("https://klasma.github.io/Logging_2481/kartor/A 53226-2022 karta.png", "A 53226-2022")</f>
        <v/>
      </c>
      <c r="Y125">
        <f>HYPERLINK("https://klasma.github.io/Logging_2481/kartor_geotiff/A 53226-2022 georefererad karta.tif", "A 53226-2022")</f>
        <v/>
      </c>
      <c r="AA125">
        <f>HYPERLINK("https://klasma.github.io/Logging_2481/klagomål/A 53226-2022 FSC-klagomål.docx", "A 53226-2022")</f>
        <v/>
      </c>
      <c r="AB125">
        <f>HYPERLINK("https://klasma.github.io/Logging_2481/klagomålsmail/A 53226-2022 FSC-klagomål mail.docx", "A 53226-2022")</f>
        <v/>
      </c>
      <c r="AC125">
        <f>HYPERLINK("https://klasma.github.io/Logging_2481/tillsyn/A 53226-2022 tillsynsbegäran.docx", "A 53226-2022")</f>
        <v/>
      </c>
      <c r="AD125">
        <f>HYPERLINK("https://klasma.github.io/Logging_2481/tillsynsmail/A 53226-2022 tillsynsbegäran mail.docx", "A 53226-2022")</f>
        <v/>
      </c>
    </row>
    <row r="126" ht="15" customHeight="1">
      <c r="A126" t="inlineStr">
        <is>
          <t>A 54277-2025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45964</v>
      </c>
      <c r="E126" s="1" t="n">
        <v>46227</v>
      </c>
      <c r="F126" t="inlineStr">
        <is>
          <t>VÄSTERBOTTENS LÄN</t>
        </is>
      </c>
      <c r="G126" t="inlineStr">
        <is>
          <t>LYCKSELE</t>
        </is>
      </c>
      <c r="I126" t="n">
        <v>5.4</v>
      </c>
      <c r="J126" t="n">
        <v>0</v>
      </c>
      <c r="K126" t="n">
        <v>0</v>
      </c>
      <c r="L126" t="n">
        <v>0</v>
      </c>
      <c r="M126" t="n">
        <v>1</v>
      </c>
      <c r="N126" t="n">
        <v>0</v>
      </c>
      <c r="O126" t="n">
        <v>0</v>
      </c>
      <c r="P126" t="n">
        <v>0</v>
      </c>
      <c r="Q126" t="n">
        <v>1</v>
      </c>
      <c r="R126" t="n">
        <v>1</v>
      </c>
      <c r="S126" t="n">
        <v>1</v>
      </c>
      <c r="T126" t="n">
        <v>2</v>
      </c>
      <c r="U126" t="n">
        <v>0</v>
      </c>
      <c r="V126" s="2" t="inlineStr">
        <is>
          <t>Garnlav</t>
        </is>
      </c>
      <c r="W126">
        <f>HYPERLINK("https://klasma.github.io/Logging_2481/artfynd/A 54277-2025 artfynd.xlsx", "A 54277-2025")</f>
        <v/>
      </c>
      <c r="X126">
        <f>HYPERLINK("https://klasma.github.io/Logging_2481/kartor/A 54277-2025 karta.png", "A 54277-2025")</f>
        <v/>
      </c>
      <c r="Y126">
        <f>HYPERLINK("https://klasma.github.io/Logging_2481/kartor_geotiff/A 54277-2025 georefererad karta.tif", "A 54277-2025")</f>
        <v/>
      </c>
      <c r="AA126">
        <f>HYPERLINK("https://klasma.github.io/Logging_2481/klagomål/A 54277-2025 FSC-klagomål.docx", "A 54277-2025")</f>
        <v/>
      </c>
      <c r="AB126">
        <f>HYPERLINK("https://klasma.github.io/Logging_2481/klagomålsmail/A 54277-2025 FSC-klagomål mail.docx", "A 54277-2025")</f>
        <v/>
      </c>
      <c r="AC126">
        <f>HYPERLINK("https://klasma.github.io/Logging_2481/tillsyn/A 54277-2025 tillsynsbegäran.docx", "A 54277-2025")</f>
        <v/>
      </c>
      <c r="AD126">
        <f>HYPERLINK("https://klasma.github.io/Logging_2481/tillsynsmail/A 54277-2025 tillsynsbegäran mail.docx", "A 54277-2025")</f>
        <v/>
      </c>
    </row>
    <row r="127" ht="15" customHeight="1">
      <c r="A127" t="inlineStr">
        <is>
          <t>A 7768-2023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44973</v>
      </c>
      <c r="E127" s="1" t="n">
        <v>46227</v>
      </c>
      <c r="F127" t="inlineStr">
        <is>
          <t>VÄSTERBOTTENS LÄN</t>
        </is>
      </c>
      <c r="G127" t="inlineStr">
        <is>
          <t>LYCKSELE</t>
        </is>
      </c>
      <c r="I127" t="n">
        <v>2.3</v>
      </c>
      <c r="J127" t="n">
        <v>1</v>
      </c>
      <c r="K127" t="n">
        <v>0</v>
      </c>
      <c r="L127" t="n">
        <v>0</v>
      </c>
      <c r="M127" t="n">
        <v>1</v>
      </c>
      <c r="N127" t="n">
        <v>0</v>
      </c>
      <c r="O127" t="n">
        <v>0</v>
      </c>
      <c r="P127" t="n">
        <v>0</v>
      </c>
      <c r="Q127" t="n">
        <v>1</v>
      </c>
      <c r="R127" t="n">
        <v>1</v>
      </c>
      <c r="S127" t="n">
        <v>1</v>
      </c>
      <c r="T127" t="n">
        <v>1</v>
      </c>
      <c r="U127" t="n">
        <v>1</v>
      </c>
      <c r="V127" s="2" t="inlineStr">
        <is>
          <t>Knärot</t>
        </is>
      </c>
      <c r="W127">
        <f>HYPERLINK("https://klasma.github.io/Logging_2481/artfynd/A 7768-2023 artfynd.xlsx", "A 7768-2023")</f>
        <v/>
      </c>
      <c r="X127">
        <f>HYPERLINK("https://klasma.github.io/Logging_2481/kartor/A 7768-2023 karta.png", "A 7768-2023")</f>
        <v/>
      </c>
      <c r="Y127">
        <f>HYPERLINK("https://klasma.github.io/Logging_2481/kartor_geotiff/A 7768-2023 georefererad karta.tif", "A 7768-2023")</f>
        <v/>
      </c>
      <c r="Z127">
        <f>HYPERLINK("https://klasma.github.io/Logging_2481/knärot/A 7768-2023 karta knärot.png", "A 7768-2023")</f>
        <v/>
      </c>
      <c r="AA127">
        <f>HYPERLINK("https://klasma.github.io/Logging_2481/klagomål/A 7768-2023 FSC-klagomål.docx", "A 7768-2023")</f>
        <v/>
      </c>
      <c r="AB127">
        <f>HYPERLINK("https://klasma.github.io/Logging_2481/klagomålsmail/A 7768-2023 FSC-klagomål mail.docx", "A 7768-2023")</f>
        <v/>
      </c>
      <c r="AC127">
        <f>HYPERLINK("https://klasma.github.io/Logging_2481/tillsyn/A 7768-2023 tillsynsbegäran.docx", "A 7768-2023")</f>
        <v/>
      </c>
      <c r="AD127">
        <f>HYPERLINK("https://klasma.github.io/Logging_2481/tillsynsmail/A 7768-2023 tillsynsbegäran mail.docx", "A 7768-2023")</f>
        <v/>
      </c>
    </row>
    <row r="128" ht="15" customHeight="1">
      <c r="A128" t="inlineStr">
        <is>
          <t>A 61910-2024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45653</v>
      </c>
      <c r="E128" s="1" t="n">
        <v>46227</v>
      </c>
      <c r="F128" t="inlineStr">
        <is>
          <t>VÄSTERBOTTENS LÄN</t>
        </is>
      </c>
      <c r="G128" t="inlineStr">
        <is>
          <t>LYCKSELE</t>
        </is>
      </c>
      <c r="I128" t="n">
        <v>5.8</v>
      </c>
      <c r="J128" t="n">
        <v>1</v>
      </c>
      <c r="K128" t="n">
        <v>0</v>
      </c>
      <c r="L128" t="n">
        <v>0</v>
      </c>
      <c r="M128" t="n">
        <v>1</v>
      </c>
      <c r="N128" t="n">
        <v>0</v>
      </c>
      <c r="O128" t="n">
        <v>0</v>
      </c>
      <c r="P128" t="n">
        <v>0</v>
      </c>
      <c r="Q128" t="n">
        <v>1</v>
      </c>
      <c r="R128" t="n">
        <v>1</v>
      </c>
      <c r="S128" t="n">
        <v>1</v>
      </c>
      <c r="T128" t="n">
        <v>7</v>
      </c>
      <c r="U128" t="n">
        <v>3</v>
      </c>
      <c r="V128" s="2" t="inlineStr">
        <is>
          <t>Norna</t>
        </is>
      </c>
      <c r="W128">
        <f>HYPERLINK("https://klasma.github.io/Logging_2481/artfynd/A 61910-2024 artfynd.xlsx", "A 61910-2024")</f>
        <v/>
      </c>
      <c r="X128">
        <f>HYPERLINK("https://klasma.github.io/Logging_2481/kartor/A 61910-2024 karta.png", "A 61910-2024")</f>
        <v/>
      </c>
      <c r="Y128">
        <f>HYPERLINK("https://klasma.github.io/Logging_2481/kartor_geotiff/A 61910-2024 georefererad karta.tif", "A 61910-2024")</f>
        <v/>
      </c>
      <c r="AA128">
        <f>HYPERLINK("https://klasma.github.io/Logging_2481/klagomål/A 61910-2024 FSC-klagomål.docx", "A 61910-2024")</f>
        <v/>
      </c>
      <c r="AB128">
        <f>HYPERLINK("https://klasma.github.io/Logging_2481/klagomålsmail/A 61910-2024 FSC-klagomål mail.docx", "A 61910-2024")</f>
        <v/>
      </c>
      <c r="AC128">
        <f>HYPERLINK("https://klasma.github.io/Logging_2481/tillsyn/A 61910-2024 tillsynsbegäran.docx", "A 61910-2024")</f>
        <v/>
      </c>
      <c r="AD128">
        <f>HYPERLINK("https://klasma.github.io/Logging_2481/tillsynsmail/A 61910-2024 tillsynsbegäran mail.docx", "A 61910-2024")</f>
        <v/>
      </c>
    </row>
    <row r="129" ht="15" customHeight="1">
      <c r="A129" t="inlineStr">
        <is>
          <t>A 58071-2025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45982</v>
      </c>
      <c r="E129" s="1" t="n">
        <v>46227</v>
      </c>
      <c r="F129" t="inlineStr">
        <is>
          <t>VÄSTERBOTTENS LÄN</t>
        </is>
      </c>
      <c r="G129" t="inlineStr">
        <is>
          <t>LYCKSELE</t>
        </is>
      </c>
      <c r="H129" t="inlineStr">
        <is>
          <t>Sveaskog</t>
        </is>
      </c>
      <c r="I129" t="n">
        <v>3.1</v>
      </c>
      <c r="J129" t="n">
        <v>0</v>
      </c>
      <c r="K129" t="n">
        <v>1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1</v>
      </c>
      <c r="T129" t="n">
        <v>1</v>
      </c>
      <c r="U129" t="n">
        <v>0</v>
      </c>
      <c r="V129" s="2" t="inlineStr">
        <is>
          <t>Stuplav</t>
        </is>
      </c>
      <c r="W129">
        <f>HYPERLINK("https://klasma.github.io/Logging_2481/artfynd/A 58071-2025 artfynd.xlsx", "A 58071-2025")</f>
        <v/>
      </c>
      <c r="X129">
        <f>HYPERLINK("https://klasma.github.io/Logging_2481/kartor/A 58071-2025 karta.png", "A 58071-2025")</f>
        <v/>
      </c>
      <c r="Y129">
        <f>HYPERLINK("https://klasma.github.io/Logging_2481/kartor_geotiff/A 58071-2025 georefererad karta.tif", "A 58071-2025")</f>
        <v/>
      </c>
      <c r="AA129">
        <f>HYPERLINK("https://klasma.github.io/Logging_2481/klagomål/A 58071-2025 FSC-klagomål.docx", "A 58071-2025")</f>
        <v/>
      </c>
      <c r="AB129">
        <f>HYPERLINK("https://klasma.github.io/Logging_2481/klagomålsmail/A 58071-2025 FSC-klagomål mail.docx", "A 58071-2025")</f>
        <v/>
      </c>
      <c r="AC129">
        <f>HYPERLINK("https://klasma.github.io/Logging_2481/tillsyn/A 58071-2025 tillsynsbegäran.docx", "A 58071-2025")</f>
        <v/>
      </c>
      <c r="AD129">
        <f>HYPERLINK("https://klasma.github.io/Logging_2481/tillsynsmail/A 58071-2025 tillsynsbegäran mail.docx", "A 58071-2025")</f>
        <v/>
      </c>
    </row>
    <row r="130" ht="15" customHeight="1">
      <c r="A130" t="inlineStr">
        <is>
          <t>A 30515-2025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45831</v>
      </c>
      <c r="E130" s="1" t="n">
        <v>46227</v>
      </c>
      <c r="F130" t="inlineStr">
        <is>
          <t>VÄSTERBOTTENS LÄN</t>
        </is>
      </c>
      <c r="G130" t="inlineStr">
        <is>
          <t>LYCKSELE</t>
        </is>
      </c>
      <c r="H130" t="inlineStr">
        <is>
          <t>Sveaskog</t>
        </is>
      </c>
      <c r="I130" t="n">
        <v>8.1</v>
      </c>
      <c r="J130" t="n">
        <v>0</v>
      </c>
      <c r="K130" t="n">
        <v>0</v>
      </c>
      <c r="L130" t="n">
        <v>1</v>
      </c>
      <c r="M130" t="n">
        <v>0</v>
      </c>
      <c r="N130" t="n">
        <v>0</v>
      </c>
      <c r="O130" t="n">
        <v>0</v>
      </c>
      <c r="P130" t="n">
        <v>0</v>
      </c>
      <c r="Q130" t="n">
        <v>1</v>
      </c>
      <c r="R130" t="n">
        <v>0</v>
      </c>
      <c r="S130" t="n">
        <v>1</v>
      </c>
      <c r="T130" t="n">
        <v>1</v>
      </c>
      <c r="U130" t="n">
        <v>0</v>
      </c>
      <c r="V130" s="2" t="inlineStr">
        <is>
          <t>Ullticka</t>
        </is>
      </c>
      <c r="W130">
        <f>HYPERLINK("https://klasma.github.io/Logging_2481/artfynd/A 30515-2025 artfynd.xlsx", "A 30515-2025")</f>
        <v/>
      </c>
      <c r="X130">
        <f>HYPERLINK("https://klasma.github.io/Logging_2481/kartor/A 30515-2025 karta.png", "A 30515-2025")</f>
        <v/>
      </c>
      <c r="Y130">
        <f>HYPERLINK("https://klasma.github.io/Logging_2481/kartor_geotiff/A 30515-2025 georefererad karta.tif", "A 30515-2025")</f>
        <v/>
      </c>
      <c r="AA130">
        <f>HYPERLINK("https://klasma.github.io/Logging_2481/klagomål/A 30515-2025 FSC-klagomål.docx", "A 30515-2025")</f>
        <v/>
      </c>
      <c r="AB130">
        <f>HYPERLINK("https://klasma.github.io/Logging_2481/klagomålsmail/A 30515-2025 FSC-klagomål mail.docx", "A 30515-2025")</f>
        <v/>
      </c>
      <c r="AC130">
        <f>HYPERLINK("https://klasma.github.io/Logging_2481/tillsyn/A 30515-2025 tillsynsbegäran.docx", "A 30515-2025")</f>
        <v/>
      </c>
      <c r="AD130">
        <f>HYPERLINK("https://klasma.github.io/Logging_2481/tillsynsmail/A 30515-2025 tillsynsbegäran mail.docx", "A 30515-2025")</f>
        <v/>
      </c>
    </row>
    <row r="131" ht="15" customHeight="1">
      <c r="A131" t="inlineStr">
        <is>
          <t>A 49394-2024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45595</v>
      </c>
      <c r="E131" s="1" t="n">
        <v>46227</v>
      </c>
      <c r="F131" t="inlineStr">
        <is>
          <t>VÄSTERBOTTENS LÄN</t>
        </is>
      </c>
      <c r="G131" t="inlineStr">
        <is>
          <t>LYCKSELE</t>
        </is>
      </c>
      <c r="H131" t="inlineStr">
        <is>
          <t>Sveaskog</t>
        </is>
      </c>
      <c r="I131" t="n">
        <v>10.6</v>
      </c>
      <c r="J131" t="n">
        <v>0</v>
      </c>
      <c r="K131" t="n">
        <v>0</v>
      </c>
      <c r="L131" t="n">
        <v>1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t="n">
        <v>0</v>
      </c>
      <c r="S131" t="n">
        <v>1</v>
      </c>
      <c r="T131" t="n">
        <v>1</v>
      </c>
      <c r="U131" t="n">
        <v>1</v>
      </c>
      <c r="V131" s="2" t="inlineStr">
        <is>
          <t>Lunglav</t>
        </is>
      </c>
      <c r="W131">
        <f>HYPERLINK("https://klasma.github.io/Logging_2481/artfynd/A 49394-2024 artfynd.xlsx", "A 49394-2024")</f>
        <v/>
      </c>
      <c r="X131">
        <f>HYPERLINK("https://klasma.github.io/Logging_2481/kartor/A 49394-2024 karta.png", "A 49394-2024")</f>
        <v/>
      </c>
      <c r="Y131">
        <f>HYPERLINK("https://klasma.github.io/Logging_2481/kartor_geotiff/A 49394-2024 georefererad karta.tif", "A 49394-2024")</f>
        <v/>
      </c>
      <c r="AA131">
        <f>HYPERLINK("https://klasma.github.io/Logging_2481/klagomål/A 49394-2024 FSC-klagomål.docx", "A 49394-2024")</f>
        <v/>
      </c>
      <c r="AB131">
        <f>HYPERLINK("https://klasma.github.io/Logging_2481/klagomålsmail/A 49394-2024 FSC-klagomål mail.docx", "A 49394-2024")</f>
        <v/>
      </c>
      <c r="AC131">
        <f>HYPERLINK("https://klasma.github.io/Logging_2481/tillsyn/A 49394-2024 tillsynsbegäran.docx", "A 49394-2024")</f>
        <v/>
      </c>
      <c r="AD131">
        <f>HYPERLINK("https://klasma.github.io/Logging_2481/tillsynsmail/A 49394-2024 tillsynsbegäran mail.docx", "A 49394-2024")</f>
        <v/>
      </c>
    </row>
    <row r="132" ht="15" customHeight="1">
      <c r="A132" t="inlineStr">
        <is>
          <t>A 58390-2025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45985</v>
      </c>
      <c r="E132" s="1" t="n">
        <v>46227</v>
      </c>
      <c r="F132" t="inlineStr">
        <is>
          <t>VÄSTERBOTTENS LÄN</t>
        </is>
      </c>
      <c r="G132" t="inlineStr">
        <is>
          <t>LYCKSELE</t>
        </is>
      </c>
      <c r="H132" t="inlineStr">
        <is>
          <t>Sveaskog</t>
        </is>
      </c>
      <c r="I132" t="n">
        <v>9.1</v>
      </c>
      <c r="J132" t="n">
        <v>0</v>
      </c>
      <c r="K132" t="n">
        <v>0</v>
      </c>
      <c r="L132" t="n">
        <v>1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t="n">
        <v>0</v>
      </c>
      <c r="S132" t="n">
        <v>1</v>
      </c>
      <c r="T132" t="n">
        <v>1</v>
      </c>
      <c r="U132" t="n">
        <v>0</v>
      </c>
      <c r="V132" s="2" t="inlineStr">
        <is>
          <t>Lunglav</t>
        </is>
      </c>
      <c r="W132">
        <f>HYPERLINK("https://klasma.github.io/Logging_2481/artfynd/A 58390-2025 artfynd.xlsx", "A 58390-2025")</f>
        <v/>
      </c>
      <c r="X132">
        <f>HYPERLINK("https://klasma.github.io/Logging_2481/kartor/A 58390-2025 karta.png", "A 58390-2025")</f>
        <v/>
      </c>
      <c r="Y132">
        <f>HYPERLINK("https://klasma.github.io/Logging_2481/kartor_geotiff/A 58390-2025 georefererad karta.tif", "A 58390-2025")</f>
        <v/>
      </c>
      <c r="AA132">
        <f>HYPERLINK("https://klasma.github.io/Logging_2481/klagomål/A 58390-2025 FSC-klagomål.docx", "A 58390-2025")</f>
        <v/>
      </c>
      <c r="AB132">
        <f>HYPERLINK("https://klasma.github.io/Logging_2481/klagomålsmail/A 58390-2025 FSC-klagomål mail.docx", "A 58390-2025")</f>
        <v/>
      </c>
      <c r="AC132">
        <f>HYPERLINK("https://klasma.github.io/Logging_2481/tillsyn/A 58390-2025 tillsynsbegäran.docx", "A 58390-2025")</f>
        <v/>
      </c>
      <c r="AD132">
        <f>HYPERLINK("https://klasma.github.io/Logging_2481/tillsynsmail/A 58390-2025 tillsynsbegäran mail.docx", "A 58390-2025")</f>
        <v/>
      </c>
    </row>
    <row r="133" ht="15" customHeight="1">
      <c r="A133" t="inlineStr">
        <is>
          <t>A 37669-2024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45541</v>
      </c>
      <c r="E133" s="1" t="n">
        <v>46227</v>
      </c>
      <c r="F133" t="inlineStr">
        <is>
          <t>VÄSTERBOTTENS LÄN</t>
        </is>
      </c>
      <c r="G133" t="inlineStr">
        <is>
          <t>LYCKSELE</t>
        </is>
      </c>
      <c r="H133" t="inlineStr">
        <is>
          <t>Sveaskog</t>
        </is>
      </c>
      <c r="I133" t="n">
        <v>5.5</v>
      </c>
      <c r="J133" t="n">
        <v>0</v>
      </c>
      <c r="K133" t="n">
        <v>0</v>
      </c>
      <c r="L133" t="n">
        <v>1</v>
      </c>
      <c r="M133" t="n">
        <v>0</v>
      </c>
      <c r="N133" t="n">
        <v>0</v>
      </c>
      <c r="O133" t="n">
        <v>0</v>
      </c>
      <c r="P133" t="n">
        <v>0</v>
      </c>
      <c r="Q133" t="n">
        <v>1</v>
      </c>
      <c r="R133" t="n">
        <v>0</v>
      </c>
      <c r="S133" t="n">
        <v>1</v>
      </c>
      <c r="T133" t="n">
        <v>1</v>
      </c>
      <c r="U133" t="n">
        <v>1</v>
      </c>
      <c r="V133" s="2" t="inlineStr">
        <is>
          <t>Dropptaggsvamp</t>
        </is>
      </c>
      <c r="W133">
        <f>HYPERLINK("https://klasma.github.io/Logging_2481/artfynd/A 37669-2024 artfynd.xlsx", "A 37669-2024")</f>
        <v/>
      </c>
      <c r="X133">
        <f>HYPERLINK("https://klasma.github.io/Logging_2481/kartor/A 37669-2024 karta.png", "A 37669-2024")</f>
        <v/>
      </c>
      <c r="Y133">
        <f>HYPERLINK("https://klasma.github.io/Logging_2481/kartor_geotiff/A 37669-2024 georefererad karta.tif", "A 37669-2024")</f>
        <v/>
      </c>
      <c r="AA133">
        <f>HYPERLINK("https://klasma.github.io/Logging_2481/klagomål/A 37669-2024 FSC-klagomål.docx", "A 37669-2024")</f>
        <v/>
      </c>
      <c r="AB133">
        <f>HYPERLINK("https://klasma.github.io/Logging_2481/klagomålsmail/A 37669-2024 FSC-klagomål mail.docx", "A 37669-2024")</f>
        <v/>
      </c>
      <c r="AC133">
        <f>HYPERLINK("https://klasma.github.io/Logging_2481/tillsyn/A 37669-2024 tillsynsbegäran.docx", "A 37669-2024")</f>
        <v/>
      </c>
      <c r="AD133">
        <f>HYPERLINK("https://klasma.github.io/Logging_2481/tillsynsmail/A 37669-2024 tillsynsbegäran mail.docx", "A 37669-2024")</f>
        <v/>
      </c>
    </row>
    <row r="134" ht="15" customHeight="1">
      <c r="A134" t="inlineStr">
        <is>
          <t>A 33346-2025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45841</v>
      </c>
      <c r="E134" s="1" t="n">
        <v>46227</v>
      </c>
      <c r="F134" t="inlineStr">
        <is>
          <t>VÄSTERBOTTENS LÄN</t>
        </is>
      </c>
      <c r="G134" t="inlineStr">
        <is>
          <t>LYCKSELE</t>
        </is>
      </c>
      <c r="H134" t="inlineStr">
        <is>
          <t>Sveaskog</t>
        </is>
      </c>
      <c r="I134" t="n">
        <v>7.8</v>
      </c>
      <c r="J134" t="n">
        <v>0</v>
      </c>
      <c r="K134" t="n">
        <v>0</v>
      </c>
      <c r="L134" t="n">
        <v>1</v>
      </c>
      <c r="M134" t="n">
        <v>0</v>
      </c>
      <c r="N134" t="n">
        <v>0</v>
      </c>
      <c r="O134" t="n">
        <v>0</v>
      </c>
      <c r="P134" t="n">
        <v>0</v>
      </c>
      <c r="Q134" t="n">
        <v>1</v>
      </c>
      <c r="R134" t="n">
        <v>0</v>
      </c>
      <c r="S134" t="n">
        <v>1</v>
      </c>
      <c r="T134" t="n">
        <v>1</v>
      </c>
      <c r="U134" t="n">
        <v>0</v>
      </c>
      <c r="V134" s="2" t="inlineStr">
        <is>
          <t>Doftskinn</t>
        </is>
      </c>
      <c r="W134">
        <f>HYPERLINK("https://klasma.github.io/Logging_2481/artfynd/A 33346-2025 artfynd.xlsx", "A 33346-2025")</f>
        <v/>
      </c>
      <c r="X134">
        <f>HYPERLINK("https://klasma.github.io/Logging_2481/kartor/A 33346-2025 karta.png", "A 33346-2025")</f>
        <v/>
      </c>
      <c r="Y134">
        <f>HYPERLINK("https://klasma.github.io/Logging_2481/kartor_geotiff/A 33346-2025 georefererad karta.tif", "A 33346-2025")</f>
        <v/>
      </c>
      <c r="AA134">
        <f>HYPERLINK("https://klasma.github.io/Logging_2481/klagomål/A 33346-2025 FSC-klagomål.docx", "A 33346-2025")</f>
        <v/>
      </c>
      <c r="AB134">
        <f>HYPERLINK("https://klasma.github.io/Logging_2481/klagomålsmail/A 33346-2025 FSC-klagomål mail.docx", "A 33346-2025")</f>
        <v/>
      </c>
      <c r="AC134">
        <f>HYPERLINK("https://klasma.github.io/Logging_2481/tillsyn/A 33346-2025 tillsynsbegäran.docx", "A 33346-2025")</f>
        <v/>
      </c>
      <c r="AD134">
        <f>HYPERLINK("https://klasma.github.io/Logging_2481/tillsynsmail/A 33346-2025 tillsynsbegäran mail.docx", "A 33346-2025")</f>
        <v/>
      </c>
    </row>
    <row r="135" ht="15" customHeight="1">
      <c r="A135" t="inlineStr">
        <is>
          <t>A 44360-2025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45916</v>
      </c>
      <c r="E135" s="1" t="n">
        <v>46227</v>
      </c>
      <c r="F135" t="inlineStr">
        <is>
          <t>VÄSTERBOTTENS LÄN</t>
        </is>
      </c>
      <c r="G135" t="inlineStr">
        <is>
          <t>LYCKSELE</t>
        </is>
      </c>
      <c r="H135" t="inlineStr">
        <is>
          <t>Sveaskog</t>
        </is>
      </c>
      <c r="I135" t="n">
        <v>5.3</v>
      </c>
      <c r="J135" t="n">
        <v>0</v>
      </c>
      <c r="K135" t="n">
        <v>0</v>
      </c>
      <c r="L135" t="n">
        <v>0</v>
      </c>
      <c r="M135" t="n">
        <v>1</v>
      </c>
      <c r="N135" t="n">
        <v>0</v>
      </c>
      <c r="O135" t="n">
        <v>0</v>
      </c>
      <c r="P135" t="n">
        <v>0</v>
      </c>
      <c r="Q135" t="n">
        <v>1</v>
      </c>
      <c r="R135" t="n">
        <v>1</v>
      </c>
      <c r="S135" t="n">
        <v>1</v>
      </c>
      <c r="T135" t="n">
        <v>1</v>
      </c>
      <c r="U135" t="n">
        <v>0</v>
      </c>
      <c r="V135" s="2" t="inlineStr">
        <is>
          <t>Garnlav</t>
        </is>
      </c>
      <c r="W135">
        <f>HYPERLINK("https://klasma.github.io/Logging_2481/artfynd/A 44360-2025 artfynd.xlsx", "A 44360-2025")</f>
        <v/>
      </c>
      <c r="X135">
        <f>HYPERLINK("https://klasma.github.io/Logging_2481/kartor/A 44360-2025 karta.png", "A 44360-2025")</f>
        <v/>
      </c>
      <c r="Y135">
        <f>HYPERLINK("https://klasma.github.io/Logging_2481/kartor_geotiff/A 44360-2025 georefererad karta.tif", "A 44360-2025")</f>
        <v/>
      </c>
      <c r="AA135">
        <f>HYPERLINK("https://klasma.github.io/Logging_2481/klagomål/A 44360-2025 FSC-klagomål.docx", "A 44360-2025")</f>
        <v/>
      </c>
      <c r="AB135">
        <f>HYPERLINK("https://klasma.github.io/Logging_2481/klagomålsmail/A 44360-2025 FSC-klagomål mail.docx", "A 44360-2025")</f>
        <v/>
      </c>
      <c r="AC135">
        <f>HYPERLINK("https://klasma.github.io/Logging_2481/tillsyn/A 44360-2025 tillsynsbegäran.docx", "A 44360-2025")</f>
        <v/>
      </c>
      <c r="AD135">
        <f>HYPERLINK("https://klasma.github.io/Logging_2481/tillsynsmail/A 44360-2025 tillsynsbegäran mail.docx", "A 44360-2025")</f>
        <v/>
      </c>
    </row>
    <row r="136" ht="15" customHeight="1">
      <c r="A136" t="inlineStr">
        <is>
          <t>A 44331-2025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45916</v>
      </c>
      <c r="E136" s="1" t="n">
        <v>46227</v>
      </c>
      <c r="F136" t="inlineStr">
        <is>
          <t>VÄSTERBOTTENS LÄN</t>
        </is>
      </c>
      <c r="G136" t="inlineStr">
        <is>
          <t>LYCKSELE</t>
        </is>
      </c>
      <c r="H136" t="inlineStr">
        <is>
          <t>Sveaskog</t>
        </is>
      </c>
      <c r="I136" t="n">
        <v>4.8</v>
      </c>
      <c r="J136" t="n">
        <v>0</v>
      </c>
      <c r="K136" t="n">
        <v>0</v>
      </c>
      <c r="L136" t="n">
        <v>1</v>
      </c>
      <c r="M136" t="n">
        <v>0</v>
      </c>
      <c r="N136" t="n">
        <v>0</v>
      </c>
      <c r="O136" t="n">
        <v>0</v>
      </c>
      <c r="P136" t="n">
        <v>0</v>
      </c>
      <c r="Q136" t="n">
        <v>1</v>
      </c>
      <c r="R136" t="n">
        <v>0</v>
      </c>
      <c r="S136" t="n">
        <v>1</v>
      </c>
      <c r="T136" t="n">
        <v>1</v>
      </c>
      <c r="U136" t="n">
        <v>0</v>
      </c>
      <c r="V136" s="2" t="inlineStr">
        <is>
          <t>Kolflarnlav</t>
        </is>
      </c>
      <c r="W136">
        <f>HYPERLINK("https://klasma.github.io/Logging_2481/artfynd/A 44331-2025 artfynd.xlsx", "A 44331-2025")</f>
        <v/>
      </c>
      <c r="X136">
        <f>HYPERLINK("https://klasma.github.io/Logging_2481/kartor/A 44331-2025 karta.png", "A 44331-2025")</f>
        <v/>
      </c>
      <c r="Y136">
        <f>HYPERLINK("https://klasma.github.io/Logging_2481/kartor_geotiff/A 44331-2025 georefererad karta.tif", "A 44331-2025")</f>
        <v/>
      </c>
      <c r="AA136">
        <f>HYPERLINK("https://klasma.github.io/Logging_2481/klagomål/A 44331-2025 FSC-klagomål.docx", "A 44331-2025")</f>
        <v/>
      </c>
      <c r="AB136">
        <f>HYPERLINK("https://klasma.github.io/Logging_2481/klagomålsmail/A 44331-2025 FSC-klagomål mail.docx", "A 44331-2025")</f>
        <v/>
      </c>
      <c r="AC136">
        <f>HYPERLINK("https://klasma.github.io/Logging_2481/tillsyn/A 44331-2025 tillsynsbegäran.docx", "A 44331-2025")</f>
        <v/>
      </c>
      <c r="AD136">
        <f>HYPERLINK("https://klasma.github.io/Logging_2481/tillsynsmail/A 44331-2025 tillsynsbegäran mail.docx", "A 44331-2025")</f>
        <v/>
      </c>
    </row>
    <row r="137" ht="15" customHeight="1">
      <c r="A137" t="inlineStr">
        <is>
          <t>A 34032-2025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45845</v>
      </c>
      <c r="E137" s="1" t="n">
        <v>46227</v>
      </c>
      <c r="F137" t="inlineStr">
        <is>
          <t>VÄSTERBOTTENS LÄN</t>
        </is>
      </c>
      <c r="G137" t="inlineStr">
        <is>
          <t>LYCKSELE</t>
        </is>
      </c>
      <c r="H137" t="inlineStr">
        <is>
          <t>Sveaskog</t>
        </is>
      </c>
      <c r="I137" t="n">
        <v>3.7</v>
      </c>
      <c r="J137" t="n">
        <v>0</v>
      </c>
      <c r="K137" t="n">
        <v>0</v>
      </c>
      <c r="L137" t="n">
        <v>1</v>
      </c>
      <c r="M137" t="n">
        <v>0</v>
      </c>
      <c r="N137" t="n">
        <v>0</v>
      </c>
      <c r="O137" t="n">
        <v>0</v>
      </c>
      <c r="P137" t="n">
        <v>0</v>
      </c>
      <c r="Q137" t="n">
        <v>1</v>
      </c>
      <c r="R137" t="n">
        <v>0</v>
      </c>
      <c r="S137" t="n">
        <v>1</v>
      </c>
      <c r="T137" t="n">
        <v>1</v>
      </c>
      <c r="U137" t="n">
        <v>0</v>
      </c>
      <c r="V137" s="2" t="inlineStr">
        <is>
          <t>Lunglav</t>
        </is>
      </c>
      <c r="W137">
        <f>HYPERLINK("https://klasma.github.io/Logging_2481/artfynd/A 34032-2025 artfynd.xlsx", "A 34032-2025")</f>
        <v/>
      </c>
      <c r="X137">
        <f>HYPERLINK("https://klasma.github.io/Logging_2481/kartor/A 34032-2025 karta.png", "A 34032-2025")</f>
        <v/>
      </c>
      <c r="Y137">
        <f>HYPERLINK("https://klasma.github.io/Logging_2481/kartor_geotiff/A 34032-2025 georefererad karta.tif", "A 34032-2025")</f>
        <v/>
      </c>
      <c r="AA137">
        <f>HYPERLINK("https://klasma.github.io/Logging_2481/klagomål/A 34032-2025 FSC-klagomål.docx", "A 34032-2025")</f>
        <v/>
      </c>
      <c r="AB137">
        <f>HYPERLINK("https://klasma.github.io/Logging_2481/klagomålsmail/A 34032-2025 FSC-klagomål mail.docx", "A 34032-2025")</f>
        <v/>
      </c>
      <c r="AC137">
        <f>HYPERLINK("https://klasma.github.io/Logging_2481/tillsyn/A 34032-2025 tillsynsbegäran.docx", "A 34032-2025")</f>
        <v/>
      </c>
      <c r="AD137">
        <f>HYPERLINK("https://klasma.github.io/Logging_2481/tillsynsmail/A 34032-2025 tillsynsbegäran mail.docx", "A 34032-2025")</f>
        <v/>
      </c>
    </row>
    <row r="138" ht="15" customHeight="1">
      <c r="A138" t="inlineStr">
        <is>
          <t>A 34958-2025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45849</v>
      </c>
      <c r="E138" s="1" t="n">
        <v>46227</v>
      </c>
      <c r="F138" t="inlineStr">
        <is>
          <t>VÄSTERBOTTENS LÄN</t>
        </is>
      </c>
      <c r="G138" t="inlineStr">
        <is>
          <t>LYCKSELE</t>
        </is>
      </c>
      <c r="H138" t="inlineStr">
        <is>
          <t>Sveaskog</t>
        </is>
      </c>
      <c r="I138" t="n">
        <v>4.1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1</v>
      </c>
      <c r="T138" t="n">
        <v>1</v>
      </c>
      <c r="U138" t="n">
        <v>0</v>
      </c>
      <c r="V138" s="2" t="inlineStr">
        <is>
          <t>Spillkråka</t>
        </is>
      </c>
      <c r="W138">
        <f>HYPERLINK("https://klasma.github.io/Logging_2481/artfynd/A 34958-2025 artfynd.xlsx", "A 34958-2025")</f>
        <v/>
      </c>
      <c r="X138">
        <f>HYPERLINK("https://klasma.github.io/Logging_2481/kartor/A 34958-2025 karta.png", "A 34958-2025")</f>
        <v/>
      </c>
      <c r="Y138">
        <f>HYPERLINK("https://klasma.github.io/Logging_2481/kartor_geotiff/A 34958-2025 georefererad karta.tif", "A 34958-2025")</f>
        <v/>
      </c>
      <c r="AA138">
        <f>HYPERLINK("https://klasma.github.io/Logging_2481/klagomål/A 34958-2025 FSC-klagomål.docx", "A 34958-2025")</f>
        <v/>
      </c>
      <c r="AB138">
        <f>HYPERLINK("https://klasma.github.io/Logging_2481/klagomålsmail/A 34958-2025 FSC-klagomål mail.docx", "A 34958-2025")</f>
        <v/>
      </c>
      <c r="AC138">
        <f>HYPERLINK("https://klasma.github.io/Logging_2481/tillsyn/A 34958-2025 tillsynsbegäran.docx", "A 34958-2025")</f>
        <v/>
      </c>
      <c r="AD138">
        <f>HYPERLINK("https://klasma.github.io/Logging_2481/tillsynsmail/A 34958-2025 tillsynsbegäran mail.docx", "A 34958-2025")</f>
        <v/>
      </c>
      <c r="AE138">
        <f>HYPERLINK("https://klasma.github.io/Logging_2481/fåglar/A 34958-2025 prioriterade fågelarter.docx", "A 34958-2025")</f>
        <v/>
      </c>
    </row>
    <row r="139" ht="15" customHeight="1">
      <c r="A139" t="inlineStr">
        <is>
          <t>A 35226-2025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45853</v>
      </c>
      <c r="E139" s="1" t="n">
        <v>46227</v>
      </c>
      <c r="F139" t="inlineStr">
        <is>
          <t>VÄSTERBOTTENS LÄN</t>
        </is>
      </c>
      <c r="G139" t="inlineStr">
        <is>
          <t>LYCKSELE</t>
        </is>
      </c>
      <c r="H139" t="inlineStr">
        <is>
          <t>Sveaskog</t>
        </is>
      </c>
      <c r="I139" t="n">
        <v>14.7</v>
      </c>
      <c r="J139" t="n">
        <v>1</v>
      </c>
      <c r="K139" t="n">
        <v>0</v>
      </c>
      <c r="L139" t="n">
        <v>1</v>
      </c>
      <c r="M139" t="n">
        <v>0</v>
      </c>
      <c r="N139" t="n">
        <v>0</v>
      </c>
      <c r="O139" t="n">
        <v>0</v>
      </c>
      <c r="P139" t="n">
        <v>0</v>
      </c>
      <c r="Q139" t="n">
        <v>1</v>
      </c>
      <c r="R139" t="n">
        <v>0</v>
      </c>
      <c r="S139" t="n">
        <v>1</v>
      </c>
      <c r="T139" t="n">
        <v>1</v>
      </c>
      <c r="U139" t="n">
        <v>1</v>
      </c>
      <c r="V139" s="2" t="inlineStr">
        <is>
          <t>Tretåig hackspett</t>
        </is>
      </c>
      <c r="W139">
        <f>HYPERLINK("https://klasma.github.io/Logging_2481/artfynd/A 35226-2025 artfynd.xlsx", "A 35226-2025")</f>
        <v/>
      </c>
      <c r="X139">
        <f>HYPERLINK("https://klasma.github.io/Logging_2481/kartor/A 35226-2025 karta.png", "A 35226-2025")</f>
        <v/>
      </c>
      <c r="Y139">
        <f>HYPERLINK("https://klasma.github.io/Logging_2481/kartor_geotiff/A 35226-2025 georefererad karta.tif", "A 35226-2025")</f>
        <v/>
      </c>
      <c r="AA139">
        <f>HYPERLINK("https://klasma.github.io/Logging_2481/klagomål/A 35226-2025 FSC-klagomål.docx", "A 35226-2025")</f>
        <v/>
      </c>
      <c r="AB139">
        <f>HYPERLINK("https://klasma.github.io/Logging_2481/klagomålsmail/A 35226-2025 FSC-klagomål mail.docx", "A 35226-2025")</f>
        <v/>
      </c>
      <c r="AC139">
        <f>HYPERLINK("https://klasma.github.io/Logging_2481/tillsyn/A 35226-2025 tillsynsbegäran.docx", "A 35226-2025")</f>
        <v/>
      </c>
      <c r="AD139">
        <f>HYPERLINK("https://klasma.github.io/Logging_2481/tillsynsmail/A 35226-2025 tillsynsbegäran mail.docx", "A 35226-2025")</f>
        <v/>
      </c>
      <c r="AE139">
        <f>HYPERLINK("https://klasma.github.io/Logging_2481/fåglar/A 35226-2025 prioriterade fågelarter.docx", "A 35226-2025")</f>
        <v/>
      </c>
    </row>
    <row r="140" ht="15" customHeight="1">
      <c r="A140" t="inlineStr">
        <is>
          <t>A 59883-2025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45993</v>
      </c>
      <c r="E140" s="1" t="n">
        <v>46227</v>
      </c>
      <c r="F140" t="inlineStr">
        <is>
          <t>VÄSTERBOTTENS LÄN</t>
        </is>
      </c>
      <c r="G140" t="inlineStr">
        <is>
          <t>LYCKSELE</t>
        </is>
      </c>
      <c r="H140" t="inlineStr">
        <is>
          <t>Sveaskog</t>
        </is>
      </c>
      <c r="I140" t="n">
        <v>9.1</v>
      </c>
      <c r="J140" t="n">
        <v>0</v>
      </c>
      <c r="K140" t="n">
        <v>0</v>
      </c>
      <c r="L140" t="n">
        <v>1</v>
      </c>
      <c r="M140" t="n">
        <v>0</v>
      </c>
      <c r="N140" t="n">
        <v>0</v>
      </c>
      <c r="O140" t="n">
        <v>0</v>
      </c>
      <c r="P140" t="n">
        <v>0</v>
      </c>
      <c r="Q140" t="n">
        <v>1</v>
      </c>
      <c r="R140" t="n">
        <v>0</v>
      </c>
      <c r="S140" t="n">
        <v>1</v>
      </c>
      <c r="T140" t="n">
        <v>1</v>
      </c>
      <c r="U140" t="n">
        <v>0</v>
      </c>
      <c r="V140" s="2" t="inlineStr">
        <is>
          <t>Lunglav</t>
        </is>
      </c>
      <c r="W140">
        <f>HYPERLINK("https://klasma.github.io/Logging_2481/artfynd/A 59883-2025 artfynd.xlsx", "A 59883-2025")</f>
        <v/>
      </c>
      <c r="X140">
        <f>HYPERLINK("https://klasma.github.io/Logging_2481/kartor/A 59883-2025 karta.png", "A 59883-2025")</f>
        <v/>
      </c>
      <c r="Y140">
        <f>HYPERLINK("https://klasma.github.io/Logging_2481/kartor_geotiff/A 59883-2025 georefererad karta.tif", "A 59883-2025")</f>
        <v/>
      </c>
      <c r="AA140">
        <f>HYPERLINK("https://klasma.github.io/Logging_2481/klagomål/A 59883-2025 FSC-klagomål.docx", "A 59883-2025")</f>
        <v/>
      </c>
      <c r="AB140">
        <f>HYPERLINK("https://klasma.github.io/Logging_2481/klagomålsmail/A 59883-2025 FSC-klagomål mail.docx", "A 59883-2025")</f>
        <v/>
      </c>
      <c r="AC140">
        <f>HYPERLINK("https://klasma.github.io/Logging_2481/tillsyn/A 59883-2025 tillsynsbegäran.docx", "A 59883-2025")</f>
        <v/>
      </c>
      <c r="AD140">
        <f>HYPERLINK("https://klasma.github.io/Logging_2481/tillsynsmail/A 59883-2025 tillsynsbegäran mail.docx", "A 59883-2025")</f>
        <v/>
      </c>
    </row>
    <row r="141" ht="15" customHeight="1">
      <c r="A141" t="inlineStr">
        <is>
          <t>A 7398-2025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45705</v>
      </c>
      <c r="E141" s="1" t="n">
        <v>46227</v>
      </c>
      <c r="F141" t="inlineStr">
        <is>
          <t>VÄSTERBOTTENS LÄN</t>
        </is>
      </c>
      <c r="G141" t="inlineStr">
        <is>
          <t>LYCKSELE</t>
        </is>
      </c>
      <c r="I141" t="n">
        <v>2.4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1</v>
      </c>
      <c r="T141" t="n">
        <v>1</v>
      </c>
      <c r="U141" t="n">
        <v>0</v>
      </c>
      <c r="V141" s="2" t="inlineStr">
        <is>
          <t>Gråspett</t>
        </is>
      </c>
      <c r="W141">
        <f>HYPERLINK("https://klasma.github.io/Logging_2481/artfynd/A 7398-2025 artfynd.xlsx", "A 7398-2025")</f>
        <v/>
      </c>
      <c r="X141">
        <f>HYPERLINK("https://klasma.github.io/Logging_2481/kartor/A 7398-2025 karta.png", "A 7398-2025")</f>
        <v/>
      </c>
      <c r="Y141">
        <f>HYPERLINK("https://klasma.github.io/Logging_2481/kartor_geotiff/A 7398-2025 georefererad karta.tif", "A 7398-2025")</f>
        <v/>
      </c>
      <c r="AA141">
        <f>HYPERLINK("https://klasma.github.io/Logging_2481/klagomål/A 7398-2025 FSC-klagomål.docx", "A 7398-2025")</f>
        <v/>
      </c>
      <c r="AB141">
        <f>HYPERLINK("https://klasma.github.io/Logging_2481/klagomålsmail/A 7398-2025 FSC-klagomål mail.docx", "A 7398-2025")</f>
        <v/>
      </c>
      <c r="AC141">
        <f>HYPERLINK("https://klasma.github.io/Logging_2481/tillsyn/A 7398-2025 tillsynsbegäran.docx", "A 7398-2025")</f>
        <v/>
      </c>
      <c r="AD141">
        <f>HYPERLINK("https://klasma.github.io/Logging_2481/tillsynsmail/A 7398-2025 tillsynsbegäran mail.docx", "A 7398-2025")</f>
        <v/>
      </c>
      <c r="AE141">
        <f>HYPERLINK("https://klasma.github.io/Logging_2481/fåglar/A 7398-2025 prioriterade fågelarter.docx", "A 7398-2025")</f>
        <v/>
      </c>
    </row>
    <row r="142" ht="15" customHeight="1">
      <c r="A142" t="inlineStr">
        <is>
          <t>A 35239-2025</t>
        </is>
      </c>
      <c r="B142" t="inlineStr">
        <is>
          <t>avverkningsanmälan</t>
        </is>
      </c>
      <c r="C142" t="inlineStr">
        <is>
          <t>Avverkning för att bevara och utveckla /försöksver</t>
        </is>
      </c>
      <c r="D142" s="1" t="n">
        <v>45853</v>
      </c>
      <c r="E142" s="1" t="n">
        <v>46227</v>
      </c>
      <c r="F142" t="inlineStr">
        <is>
          <t>VÄSTERBOTTENS LÄN</t>
        </is>
      </c>
      <c r="G142" t="inlineStr">
        <is>
          <t>LYCKSELE</t>
        </is>
      </c>
      <c r="H142" t="inlineStr">
        <is>
          <t>Sveaskog</t>
        </is>
      </c>
      <c r="I142" t="n">
        <v>8.699999999999999</v>
      </c>
      <c r="J142" t="n">
        <v>0</v>
      </c>
      <c r="K142" t="n">
        <v>0</v>
      </c>
      <c r="L142" t="n">
        <v>1</v>
      </c>
      <c r="M142" t="n">
        <v>0</v>
      </c>
      <c r="N142" t="n">
        <v>0</v>
      </c>
      <c r="O142" t="n">
        <v>0</v>
      </c>
      <c r="P142" t="n">
        <v>0</v>
      </c>
      <c r="Q142" t="n">
        <v>1</v>
      </c>
      <c r="R142" t="n">
        <v>0</v>
      </c>
      <c r="S142" t="n">
        <v>1</v>
      </c>
      <c r="T142" t="n">
        <v>1</v>
      </c>
      <c r="U142" t="n">
        <v>0</v>
      </c>
      <c r="V142" s="2" t="inlineStr">
        <is>
          <t>Gammelgransskål</t>
        </is>
      </c>
      <c r="W142">
        <f>HYPERLINK("https://klasma.github.io/Logging_2481/artfynd/A 35239-2025 artfynd.xlsx", "A 35239-2025")</f>
        <v/>
      </c>
      <c r="X142">
        <f>HYPERLINK("https://klasma.github.io/Logging_2481/kartor/A 35239-2025 karta.png", "A 35239-2025")</f>
        <v/>
      </c>
      <c r="Y142">
        <f>HYPERLINK("https://klasma.github.io/Logging_2481/kartor_geotiff/A 35239-2025 georefererad karta.tif", "A 35239-2025")</f>
        <v/>
      </c>
      <c r="AA142">
        <f>HYPERLINK("https://klasma.github.io/Logging_2481/klagomål/A 35239-2025 FSC-klagomål.docx", "A 35239-2025")</f>
        <v/>
      </c>
      <c r="AB142">
        <f>HYPERLINK("https://klasma.github.io/Logging_2481/klagomålsmail/A 35239-2025 FSC-klagomål mail.docx", "A 35239-2025")</f>
        <v/>
      </c>
      <c r="AC142">
        <f>HYPERLINK("https://klasma.github.io/Logging_2481/tillsyn/A 35239-2025 tillsynsbegäran.docx", "A 35239-2025")</f>
        <v/>
      </c>
      <c r="AD142">
        <f>HYPERLINK("https://klasma.github.io/Logging_2481/tillsynsmail/A 35239-2025 tillsynsbegäran mail.docx", "A 35239-2025")</f>
        <v/>
      </c>
    </row>
    <row r="143" ht="15" customHeight="1">
      <c r="A143" t="inlineStr">
        <is>
          <t>A 35981-2025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45863</v>
      </c>
      <c r="E143" s="1" t="n">
        <v>46227</v>
      </c>
      <c r="F143" t="inlineStr">
        <is>
          <t>VÄSTERBOTTENS LÄN</t>
        </is>
      </c>
      <c r="G143" t="inlineStr">
        <is>
          <t>LYCKSELE</t>
        </is>
      </c>
      <c r="H143" t="inlineStr">
        <is>
          <t>Sveaskog</t>
        </is>
      </c>
      <c r="I143" t="n">
        <v>6.1</v>
      </c>
      <c r="J143" t="n">
        <v>0</v>
      </c>
      <c r="K143" t="n">
        <v>0</v>
      </c>
      <c r="L143" t="n">
        <v>1</v>
      </c>
      <c r="M143" t="n">
        <v>0</v>
      </c>
      <c r="N143" t="n">
        <v>0</v>
      </c>
      <c r="O143" t="n">
        <v>0</v>
      </c>
      <c r="P143" t="n">
        <v>0</v>
      </c>
      <c r="Q143" t="n">
        <v>1</v>
      </c>
      <c r="R143" t="n">
        <v>0</v>
      </c>
      <c r="S143" t="n">
        <v>1</v>
      </c>
      <c r="T143" t="n">
        <v>1</v>
      </c>
      <c r="U143" t="n">
        <v>1</v>
      </c>
      <c r="V143" s="2" t="inlineStr">
        <is>
          <t>Dropptaggsvamp</t>
        </is>
      </c>
      <c r="W143">
        <f>HYPERLINK("https://klasma.github.io/Logging_2481/artfynd/A 35981-2025 artfynd.xlsx", "A 35981-2025")</f>
        <v/>
      </c>
      <c r="X143">
        <f>HYPERLINK("https://klasma.github.io/Logging_2481/kartor/A 35981-2025 karta.png", "A 35981-2025")</f>
        <v/>
      </c>
      <c r="Y143">
        <f>HYPERLINK("https://klasma.github.io/Logging_2481/kartor_geotiff/A 35981-2025 georefererad karta.tif", "A 35981-2025")</f>
        <v/>
      </c>
      <c r="AA143">
        <f>HYPERLINK("https://klasma.github.io/Logging_2481/klagomål/A 35981-2025 FSC-klagomål.docx", "A 35981-2025")</f>
        <v/>
      </c>
      <c r="AB143">
        <f>HYPERLINK("https://klasma.github.io/Logging_2481/klagomålsmail/A 35981-2025 FSC-klagomål mail.docx", "A 35981-2025")</f>
        <v/>
      </c>
      <c r="AC143">
        <f>HYPERLINK("https://klasma.github.io/Logging_2481/tillsyn/A 35981-2025 tillsynsbegäran.docx", "A 35981-2025")</f>
        <v/>
      </c>
      <c r="AD143">
        <f>HYPERLINK("https://klasma.github.io/Logging_2481/tillsynsmail/A 35981-2025 tillsynsbegäran mail.docx", "A 35981-2025")</f>
        <v/>
      </c>
    </row>
    <row r="144" ht="15" customHeight="1">
      <c r="A144" t="inlineStr">
        <is>
          <t>A 45127-2025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45919</v>
      </c>
      <c r="E144" s="1" t="n">
        <v>46227</v>
      </c>
      <c r="F144" t="inlineStr">
        <is>
          <t>VÄSTERBOTTENS LÄN</t>
        </is>
      </c>
      <c r="G144" t="inlineStr">
        <is>
          <t>LYCKSELE</t>
        </is>
      </c>
      <c r="H144" t="inlineStr">
        <is>
          <t>Sveaskog</t>
        </is>
      </c>
      <c r="I144" t="n">
        <v>21.6</v>
      </c>
      <c r="J144" t="n">
        <v>0</v>
      </c>
      <c r="K144" t="n">
        <v>0</v>
      </c>
      <c r="L144" t="n">
        <v>1</v>
      </c>
      <c r="M144" t="n">
        <v>0</v>
      </c>
      <c r="N144" t="n">
        <v>0</v>
      </c>
      <c r="O144" t="n">
        <v>0</v>
      </c>
      <c r="P144" t="n">
        <v>0</v>
      </c>
      <c r="Q144" t="n">
        <v>1</v>
      </c>
      <c r="R144" t="n">
        <v>0</v>
      </c>
      <c r="S144" t="n">
        <v>1</v>
      </c>
      <c r="T144" t="n">
        <v>1</v>
      </c>
      <c r="U144" t="n">
        <v>1</v>
      </c>
      <c r="V144" s="2" t="inlineStr">
        <is>
          <t>Kolflarnlav</t>
        </is>
      </c>
      <c r="W144">
        <f>HYPERLINK("https://klasma.github.io/Logging_2481/artfynd/A 45127-2025 artfynd.xlsx", "A 45127-2025")</f>
        <v/>
      </c>
      <c r="X144">
        <f>HYPERLINK("https://klasma.github.io/Logging_2481/kartor/A 45127-2025 karta.png", "A 45127-2025")</f>
        <v/>
      </c>
      <c r="Y144">
        <f>HYPERLINK("https://klasma.github.io/Logging_2481/kartor_geotiff/A 45127-2025 georefererad karta.tif", "A 45127-2025")</f>
        <v/>
      </c>
      <c r="AA144">
        <f>HYPERLINK("https://klasma.github.io/Logging_2481/klagomål/A 45127-2025 FSC-klagomål.docx", "A 45127-2025")</f>
        <v/>
      </c>
      <c r="AB144">
        <f>HYPERLINK("https://klasma.github.io/Logging_2481/klagomålsmail/A 45127-2025 FSC-klagomål mail.docx", "A 45127-2025")</f>
        <v/>
      </c>
      <c r="AC144">
        <f>HYPERLINK("https://klasma.github.io/Logging_2481/tillsyn/A 45127-2025 tillsynsbegäran.docx", "A 45127-2025")</f>
        <v/>
      </c>
      <c r="AD144">
        <f>HYPERLINK("https://klasma.github.io/Logging_2481/tillsynsmail/A 45127-2025 tillsynsbegäran mail.docx", "A 45127-2025")</f>
        <v/>
      </c>
    </row>
    <row r="145" ht="15" customHeight="1">
      <c r="A145" t="inlineStr">
        <is>
          <t>A 9924-2024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45363</v>
      </c>
      <c r="E145" s="1" t="n">
        <v>46227</v>
      </c>
      <c r="F145" t="inlineStr">
        <is>
          <t>VÄSTERBOTTENS LÄN</t>
        </is>
      </c>
      <c r="G145" t="inlineStr">
        <is>
          <t>LYCKSELE</t>
        </is>
      </c>
      <c r="H145" t="inlineStr">
        <is>
          <t>Sveaskog</t>
        </is>
      </c>
      <c r="I145" t="n">
        <v>5.3</v>
      </c>
      <c r="J145" t="n">
        <v>0</v>
      </c>
      <c r="K145" t="n">
        <v>0</v>
      </c>
      <c r="L145" t="n">
        <v>1</v>
      </c>
      <c r="M145" t="n">
        <v>0</v>
      </c>
      <c r="N145" t="n">
        <v>0</v>
      </c>
      <c r="O145" t="n">
        <v>0</v>
      </c>
      <c r="P145" t="n">
        <v>0</v>
      </c>
      <c r="Q145" t="n">
        <v>1</v>
      </c>
      <c r="R145" t="n">
        <v>0</v>
      </c>
      <c r="S145" t="n">
        <v>1</v>
      </c>
      <c r="T145" t="n">
        <v>1</v>
      </c>
      <c r="U145" t="n">
        <v>0</v>
      </c>
      <c r="V145" s="2" t="inlineStr">
        <is>
          <t>Kolflarnlav</t>
        </is>
      </c>
      <c r="W145">
        <f>HYPERLINK("https://klasma.github.io/Logging_2481/artfynd/A 9924-2024 artfynd.xlsx", "A 9924-2024")</f>
        <v/>
      </c>
      <c r="X145">
        <f>HYPERLINK("https://klasma.github.io/Logging_2481/kartor/A 9924-2024 karta.png", "A 9924-2024")</f>
        <v/>
      </c>
      <c r="Y145">
        <f>HYPERLINK("https://klasma.github.io/Logging_2481/kartor_geotiff/A 9924-2024 georefererad karta.tif", "A 9924-2024")</f>
        <v/>
      </c>
      <c r="AA145">
        <f>HYPERLINK("https://klasma.github.io/Logging_2481/klagomål/A 9924-2024 FSC-klagomål.docx", "A 9924-2024")</f>
        <v/>
      </c>
      <c r="AB145">
        <f>HYPERLINK("https://klasma.github.io/Logging_2481/klagomålsmail/A 9924-2024 FSC-klagomål mail.docx", "A 9924-2024")</f>
        <v/>
      </c>
      <c r="AC145">
        <f>HYPERLINK("https://klasma.github.io/Logging_2481/tillsyn/A 9924-2024 tillsynsbegäran.docx", "A 9924-2024")</f>
        <v/>
      </c>
      <c r="AD145">
        <f>HYPERLINK("https://klasma.github.io/Logging_2481/tillsynsmail/A 9924-2024 tillsynsbegäran mail.docx", "A 9924-2024")</f>
        <v/>
      </c>
    </row>
    <row r="146" ht="15" customHeight="1">
      <c r="A146" t="inlineStr">
        <is>
          <t>A 36687-2025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45873</v>
      </c>
      <c r="E146" s="1" t="n">
        <v>46227</v>
      </c>
      <c r="F146" t="inlineStr">
        <is>
          <t>VÄSTERBOTTENS LÄN</t>
        </is>
      </c>
      <c r="G146" t="inlineStr">
        <is>
          <t>LYCKSELE</t>
        </is>
      </c>
      <c r="H146" t="inlineStr">
        <is>
          <t>Sveaskog</t>
        </is>
      </c>
      <c r="I146" t="n">
        <v>1.9</v>
      </c>
      <c r="J146" t="n">
        <v>0</v>
      </c>
      <c r="K146" t="n">
        <v>0</v>
      </c>
      <c r="L146" t="n">
        <v>1</v>
      </c>
      <c r="M146" t="n">
        <v>0</v>
      </c>
      <c r="N146" t="n">
        <v>0</v>
      </c>
      <c r="O146" t="n">
        <v>0</v>
      </c>
      <c r="P146" t="n">
        <v>0</v>
      </c>
      <c r="Q146" t="n">
        <v>1</v>
      </c>
      <c r="R146" t="n">
        <v>0</v>
      </c>
      <c r="S146" t="n">
        <v>1</v>
      </c>
      <c r="T146" t="n">
        <v>1</v>
      </c>
      <c r="U146" t="n">
        <v>1</v>
      </c>
      <c r="V146" s="2" t="inlineStr">
        <is>
          <t>Kolflarnlav</t>
        </is>
      </c>
      <c r="W146">
        <f>HYPERLINK("https://klasma.github.io/Logging_2481/artfynd/A 36687-2025 artfynd.xlsx", "A 36687-2025")</f>
        <v/>
      </c>
      <c r="X146">
        <f>HYPERLINK("https://klasma.github.io/Logging_2481/kartor/A 36687-2025 karta.png", "A 36687-2025")</f>
        <v/>
      </c>
      <c r="Y146">
        <f>HYPERLINK("https://klasma.github.io/Logging_2481/kartor_geotiff/A 36687-2025 georefererad karta.tif", "A 36687-2025")</f>
        <v/>
      </c>
      <c r="AA146">
        <f>HYPERLINK("https://klasma.github.io/Logging_2481/klagomål/A 36687-2025 FSC-klagomål.docx", "A 36687-2025")</f>
        <v/>
      </c>
      <c r="AB146">
        <f>HYPERLINK("https://klasma.github.io/Logging_2481/klagomålsmail/A 36687-2025 FSC-klagomål mail.docx", "A 36687-2025")</f>
        <v/>
      </c>
      <c r="AC146">
        <f>HYPERLINK("https://klasma.github.io/Logging_2481/tillsyn/A 36687-2025 tillsynsbegäran.docx", "A 36687-2025")</f>
        <v/>
      </c>
      <c r="AD146">
        <f>HYPERLINK("https://klasma.github.io/Logging_2481/tillsynsmail/A 36687-2025 tillsynsbegäran mail.docx", "A 36687-2025")</f>
        <v/>
      </c>
    </row>
    <row r="147" ht="15" customHeight="1">
      <c r="A147" t="inlineStr">
        <is>
          <t>A 62317-2025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46006</v>
      </c>
      <c r="E147" s="1" t="n">
        <v>46227</v>
      </c>
      <c r="F147" t="inlineStr">
        <is>
          <t>VÄSTERBOTTENS LÄN</t>
        </is>
      </c>
      <c r="G147" t="inlineStr">
        <is>
          <t>LYCKSELE</t>
        </is>
      </c>
      <c r="I147" t="n">
        <v>0.9</v>
      </c>
      <c r="J147" t="n">
        <v>1</v>
      </c>
      <c r="K147" t="n">
        <v>1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1</v>
      </c>
      <c r="T147" t="n">
        <v>1</v>
      </c>
      <c r="U147" t="n">
        <v>0</v>
      </c>
      <c r="V147" s="2" t="inlineStr">
        <is>
          <t>Plattlummer</t>
        </is>
      </c>
      <c r="W147">
        <f>HYPERLINK("https://klasma.github.io/Logging_2481/artfynd/A 62317-2025 artfynd.xlsx", "A 62317-2025")</f>
        <v/>
      </c>
      <c r="X147">
        <f>HYPERLINK("https://klasma.github.io/Logging_2481/kartor/A 62317-2025 karta.png", "A 62317-2025")</f>
        <v/>
      </c>
      <c r="Y147">
        <f>HYPERLINK("https://klasma.github.io/Logging_2481/kartor_geotiff/A 62317-2025 georefererad karta.tif", "A 62317-2025")</f>
        <v/>
      </c>
      <c r="AA147">
        <f>HYPERLINK("https://klasma.github.io/Logging_2481/klagomål/A 62317-2025 FSC-klagomål.docx", "A 62317-2025")</f>
        <v/>
      </c>
      <c r="AB147">
        <f>HYPERLINK("https://klasma.github.io/Logging_2481/klagomålsmail/A 62317-2025 FSC-klagomål mail.docx", "A 62317-2025")</f>
        <v/>
      </c>
      <c r="AC147">
        <f>HYPERLINK("https://klasma.github.io/Logging_2481/tillsyn/A 62317-2025 tillsynsbegäran.docx", "A 62317-2025")</f>
        <v/>
      </c>
      <c r="AD147">
        <f>HYPERLINK("https://klasma.github.io/Logging_2481/tillsynsmail/A 62317-2025 tillsynsbegäran mail.docx", "A 62317-2025")</f>
        <v/>
      </c>
    </row>
    <row r="148" ht="15" customHeight="1">
      <c r="A148" t="inlineStr">
        <is>
          <t>A 47454-2025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45930</v>
      </c>
      <c r="E148" s="1" t="n">
        <v>46227</v>
      </c>
      <c r="F148" t="inlineStr">
        <is>
          <t>VÄSTERBOTTENS LÄN</t>
        </is>
      </c>
      <c r="G148" t="inlineStr">
        <is>
          <t>LYCKSELE</t>
        </is>
      </c>
      <c r="H148" t="inlineStr">
        <is>
          <t>Sveaskog</t>
        </is>
      </c>
      <c r="I148" t="n">
        <v>3.8</v>
      </c>
      <c r="J148" t="n">
        <v>0</v>
      </c>
      <c r="K148" t="n">
        <v>0</v>
      </c>
      <c r="L148" t="n">
        <v>1</v>
      </c>
      <c r="M148" t="n">
        <v>0</v>
      </c>
      <c r="N148" t="n">
        <v>0</v>
      </c>
      <c r="O148" t="n">
        <v>0</v>
      </c>
      <c r="P148" t="n">
        <v>0</v>
      </c>
      <c r="Q148" t="n">
        <v>1</v>
      </c>
      <c r="R148" t="n">
        <v>0</v>
      </c>
      <c r="S148" t="n">
        <v>1</v>
      </c>
      <c r="T148" t="n">
        <v>1</v>
      </c>
      <c r="U148" t="n">
        <v>1</v>
      </c>
      <c r="V148" s="2" t="inlineStr">
        <is>
          <t>Motaggsvamp</t>
        </is>
      </c>
      <c r="W148">
        <f>HYPERLINK("https://klasma.github.io/Logging_2481/artfynd/A 47454-2025 artfynd.xlsx", "A 47454-2025")</f>
        <v/>
      </c>
      <c r="X148">
        <f>HYPERLINK("https://klasma.github.io/Logging_2481/kartor/A 47454-2025 karta.png", "A 47454-2025")</f>
        <v/>
      </c>
      <c r="Y148">
        <f>HYPERLINK("https://klasma.github.io/Logging_2481/kartor_geotiff/A 47454-2025 georefererad karta.tif", "A 47454-2025")</f>
        <v/>
      </c>
      <c r="AA148">
        <f>HYPERLINK("https://klasma.github.io/Logging_2481/klagomål/A 47454-2025 FSC-klagomål.docx", "A 47454-2025")</f>
        <v/>
      </c>
      <c r="AB148">
        <f>HYPERLINK("https://klasma.github.io/Logging_2481/klagomålsmail/A 47454-2025 FSC-klagomål mail.docx", "A 47454-2025")</f>
        <v/>
      </c>
      <c r="AC148">
        <f>HYPERLINK("https://klasma.github.io/Logging_2481/tillsyn/A 47454-2025 tillsynsbegäran.docx", "A 47454-2025")</f>
        <v/>
      </c>
      <c r="AD148">
        <f>HYPERLINK("https://klasma.github.io/Logging_2481/tillsynsmail/A 47454-2025 tillsynsbegäran mail.docx", "A 47454-2025")</f>
        <v/>
      </c>
    </row>
    <row r="149" ht="15" customHeight="1">
      <c r="A149" t="inlineStr">
        <is>
          <t>A 1339-2026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46031</v>
      </c>
      <c r="E149" s="1" t="n">
        <v>46227</v>
      </c>
      <c r="F149" t="inlineStr">
        <is>
          <t>VÄSTERBOTTENS LÄN</t>
        </is>
      </c>
      <c r="G149" t="inlineStr">
        <is>
          <t>LYCKSELE</t>
        </is>
      </c>
      <c r="I149" t="n">
        <v>4.9</v>
      </c>
      <c r="J149" t="n">
        <v>1</v>
      </c>
      <c r="K149" t="n">
        <v>0</v>
      </c>
      <c r="L149" t="n">
        <v>0</v>
      </c>
      <c r="M149" t="n">
        <v>1</v>
      </c>
      <c r="N149" t="n">
        <v>0</v>
      </c>
      <c r="O149" t="n">
        <v>0</v>
      </c>
      <c r="P149" t="n">
        <v>0</v>
      </c>
      <c r="Q149" t="n">
        <v>1</v>
      </c>
      <c r="R149" t="n">
        <v>1</v>
      </c>
      <c r="S149" t="n">
        <v>1</v>
      </c>
      <c r="T149" t="n">
        <v>7</v>
      </c>
      <c r="U149" t="n">
        <v>3</v>
      </c>
      <c r="V149" s="2" t="inlineStr">
        <is>
          <t>Norna</t>
        </is>
      </c>
      <c r="W149">
        <f>HYPERLINK("https://klasma.github.io/Logging_2481/artfynd/A 1339-2026 artfynd.xlsx", "A 1339-2026")</f>
        <v/>
      </c>
      <c r="X149">
        <f>HYPERLINK("https://klasma.github.io/Logging_2481/kartor/A 1339-2026 karta.png", "A 1339-2026")</f>
        <v/>
      </c>
      <c r="Y149">
        <f>HYPERLINK("https://klasma.github.io/Logging_2481/kartor_geotiff/A 1339-2026 georefererad karta.tif", "A 1339-2026")</f>
        <v/>
      </c>
      <c r="AA149">
        <f>HYPERLINK("https://klasma.github.io/Logging_2481/klagomål/A 1339-2026 FSC-klagomål.docx", "A 1339-2026")</f>
        <v/>
      </c>
      <c r="AB149">
        <f>HYPERLINK("https://klasma.github.io/Logging_2481/klagomålsmail/A 1339-2026 FSC-klagomål mail.docx", "A 1339-2026")</f>
        <v/>
      </c>
      <c r="AC149">
        <f>HYPERLINK("https://klasma.github.io/Logging_2481/tillsyn/A 1339-2026 tillsynsbegäran.docx", "A 1339-2026")</f>
        <v/>
      </c>
      <c r="AD149">
        <f>HYPERLINK("https://klasma.github.io/Logging_2481/tillsynsmail/A 1339-2026 tillsynsbegäran mail.docx", "A 1339-2026")</f>
        <v/>
      </c>
    </row>
    <row r="150" ht="15" customHeight="1">
      <c r="A150" t="inlineStr">
        <is>
          <t>A 2499-2026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46037</v>
      </c>
      <c r="E150" s="1" t="n">
        <v>46227</v>
      </c>
      <c r="F150" t="inlineStr">
        <is>
          <t>VÄSTERBOTTENS LÄN</t>
        </is>
      </c>
      <c r="G150" t="inlineStr">
        <is>
          <t>LYCKSELE</t>
        </is>
      </c>
      <c r="H150" t="inlineStr">
        <is>
          <t>Sveaskog</t>
        </is>
      </c>
      <c r="I150" t="n">
        <v>19.3</v>
      </c>
      <c r="J150" t="n">
        <v>1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1</v>
      </c>
      <c r="T150" t="n">
        <v>1</v>
      </c>
      <c r="U150" t="n">
        <v>0</v>
      </c>
      <c r="V150" s="2" t="inlineStr">
        <is>
          <t>Fläcknycklar</t>
        </is>
      </c>
      <c r="W150">
        <f>HYPERLINK("https://klasma.github.io/Logging_2481/artfynd/A 2499-2026 artfynd.xlsx", "A 2499-2026")</f>
        <v/>
      </c>
      <c r="X150">
        <f>HYPERLINK("https://klasma.github.io/Logging_2481/kartor/A 2499-2026 karta.png", "A 2499-2026")</f>
        <v/>
      </c>
      <c r="Y150">
        <f>HYPERLINK("https://klasma.github.io/Logging_2481/kartor_geotiff/A 2499-2026 georefererad karta.tif", "A 2499-2026")</f>
        <v/>
      </c>
      <c r="AA150">
        <f>HYPERLINK("https://klasma.github.io/Logging_2481/klagomål/A 2499-2026 FSC-klagomål.docx", "A 2499-2026")</f>
        <v/>
      </c>
      <c r="AB150">
        <f>HYPERLINK("https://klasma.github.io/Logging_2481/klagomålsmail/A 2499-2026 FSC-klagomål mail.docx", "A 2499-2026")</f>
        <v/>
      </c>
      <c r="AC150">
        <f>HYPERLINK("https://klasma.github.io/Logging_2481/tillsyn/A 2499-2026 tillsynsbegäran.docx", "A 2499-2026")</f>
        <v/>
      </c>
      <c r="AD150">
        <f>HYPERLINK("https://klasma.github.io/Logging_2481/tillsynsmail/A 2499-2026 tillsynsbegäran mail.docx", "A 2499-2026")</f>
        <v/>
      </c>
    </row>
    <row r="151" ht="15" customHeight="1">
      <c r="A151" t="inlineStr">
        <is>
          <t>A 50463-2025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45945</v>
      </c>
      <c r="E151" s="1" t="n">
        <v>46227</v>
      </c>
      <c r="F151" t="inlineStr">
        <is>
          <t>VÄSTERBOTTENS LÄN</t>
        </is>
      </c>
      <c r="G151" t="inlineStr">
        <is>
          <t>LYCKSELE</t>
        </is>
      </c>
      <c r="H151" t="inlineStr">
        <is>
          <t>Sveaskog</t>
        </is>
      </c>
      <c r="I151" t="n">
        <v>2</v>
      </c>
      <c r="J151" t="n">
        <v>0</v>
      </c>
      <c r="K151" t="n">
        <v>0</v>
      </c>
      <c r="L151" t="n">
        <v>1</v>
      </c>
      <c r="M151" t="n">
        <v>0</v>
      </c>
      <c r="N151" t="n">
        <v>0</v>
      </c>
      <c r="O151" t="n">
        <v>0</v>
      </c>
      <c r="P151" t="n">
        <v>0</v>
      </c>
      <c r="Q151" t="n">
        <v>1</v>
      </c>
      <c r="R151" t="n">
        <v>0</v>
      </c>
      <c r="S151" t="n">
        <v>1</v>
      </c>
      <c r="T151" t="n">
        <v>1</v>
      </c>
      <c r="U151" t="n">
        <v>0</v>
      </c>
      <c r="V151" s="2" t="inlineStr">
        <is>
          <t>Dropptaggsvamp</t>
        </is>
      </c>
      <c r="W151">
        <f>HYPERLINK("https://klasma.github.io/Logging_2481/artfynd/A 50463-2025 artfynd.xlsx", "A 50463-2025")</f>
        <v/>
      </c>
      <c r="X151">
        <f>HYPERLINK("https://klasma.github.io/Logging_2481/kartor/A 50463-2025 karta.png", "A 50463-2025")</f>
        <v/>
      </c>
      <c r="Y151">
        <f>HYPERLINK("https://klasma.github.io/Logging_2481/kartor_geotiff/A 50463-2025 georefererad karta.tif", "A 50463-2025")</f>
        <v/>
      </c>
      <c r="AA151">
        <f>HYPERLINK("https://klasma.github.io/Logging_2481/klagomål/A 50463-2025 FSC-klagomål.docx", "A 50463-2025")</f>
        <v/>
      </c>
      <c r="AB151">
        <f>HYPERLINK("https://klasma.github.io/Logging_2481/klagomålsmail/A 50463-2025 FSC-klagomål mail.docx", "A 50463-2025")</f>
        <v/>
      </c>
      <c r="AC151">
        <f>HYPERLINK("https://klasma.github.io/Logging_2481/tillsyn/A 50463-2025 tillsynsbegäran.docx", "A 50463-2025")</f>
        <v/>
      </c>
      <c r="AD151">
        <f>HYPERLINK("https://klasma.github.io/Logging_2481/tillsynsmail/A 50463-2025 tillsynsbegäran mail.docx", "A 50463-2025")</f>
        <v/>
      </c>
    </row>
    <row r="152" ht="15" customHeight="1">
      <c r="A152" t="inlineStr">
        <is>
          <t>A 8491-2026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46065</v>
      </c>
      <c r="E152" s="1" t="n">
        <v>46227</v>
      </c>
      <c r="F152" t="inlineStr">
        <is>
          <t>VÄSTERBOTTENS LÄN</t>
        </is>
      </c>
      <c r="G152" t="inlineStr">
        <is>
          <t>LYCKSELE</t>
        </is>
      </c>
      <c r="I152" t="n">
        <v>5</v>
      </c>
      <c r="J152" t="n">
        <v>0</v>
      </c>
      <c r="K152" t="n">
        <v>0</v>
      </c>
      <c r="L152" t="n">
        <v>1</v>
      </c>
      <c r="M152" t="n">
        <v>0</v>
      </c>
      <c r="N152" t="n">
        <v>0</v>
      </c>
      <c r="O152" t="n">
        <v>0</v>
      </c>
      <c r="P152" t="n">
        <v>0</v>
      </c>
      <c r="Q152" t="n">
        <v>1</v>
      </c>
      <c r="R152" t="n">
        <v>0</v>
      </c>
      <c r="S152" t="n">
        <v>1</v>
      </c>
      <c r="T152" t="n">
        <v>1</v>
      </c>
      <c r="U152" t="n">
        <v>0</v>
      </c>
      <c r="V152" s="2" t="inlineStr">
        <is>
          <t>Lunglav</t>
        </is>
      </c>
      <c r="W152">
        <f>HYPERLINK("https://klasma.github.io/Logging_2481/artfynd/A 8491-2026 artfynd.xlsx", "A 8491-2026")</f>
        <v/>
      </c>
      <c r="X152">
        <f>HYPERLINK("https://klasma.github.io/Logging_2481/kartor/A 8491-2026 karta.png", "A 8491-2026")</f>
        <v/>
      </c>
      <c r="Y152">
        <f>HYPERLINK("https://klasma.github.io/Logging_2481/kartor_geotiff/A 8491-2026 georefererad karta.tif", "A 8491-2026")</f>
        <v/>
      </c>
      <c r="AA152">
        <f>HYPERLINK("https://klasma.github.io/Logging_2481/klagomål/A 8491-2026 FSC-klagomål.docx", "A 8491-2026")</f>
        <v/>
      </c>
      <c r="AB152">
        <f>HYPERLINK("https://klasma.github.io/Logging_2481/klagomålsmail/A 8491-2026 FSC-klagomål mail.docx", "A 8491-2026")</f>
        <v/>
      </c>
      <c r="AC152">
        <f>HYPERLINK("https://klasma.github.io/Logging_2481/tillsyn/A 8491-2026 tillsynsbegäran.docx", "A 8491-2026")</f>
        <v/>
      </c>
      <c r="AD152">
        <f>HYPERLINK("https://klasma.github.io/Logging_2481/tillsynsmail/A 8491-2026 tillsynsbegäran mail.docx", "A 8491-2026")</f>
        <v/>
      </c>
    </row>
    <row r="153" ht="15" customHeight="1">
      <c r="A153" t="inlineStr">
        <is>
          <t>A 9722-2026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46072</v>
      </c>
      <c r="E153" s="1" t="n">
        <v>46227</v>
      </c>
      <c r="F153" t="inlineStr">
        <is>
          <t>VÄSTERBOTTENS LÄN</t>
        </is>
      </c>
      <c r="G153" t="inlineStr">
        <is>
          <t>LYCKSELE</t>
        </is>
      </c>
      <c r="H153" t="inlineStr">
        <is>
          <t>Holmen skog AB</t>
        </is>
      </c>
      <c r="I153" t="n">
        <v>4.5</v>
      </c>
      <c r="J153" t="n">
        <v>0</v>
      </c>
      <c r="K153" t="n">
        <v>0</v>
      </c>
      <c r="L153" t="n">
        <v>1</v>
      </c>
      <c r="M153" t="n">
        <v>0</v>
      </c>
      <c r="N153" t="n">
        <v>0</v>
      </c>
      <c r="O153" t="n">
        <v>0</v>
      </c>
      <c r="P153" t="n">
        <v>0</v>
      </c>
      <c r="Q153" t="n">
        <v>1</v>
      </c>
      <c r="R153" t="n">
        <v>0</v>
      </c>
      <c r="S153" t="n">
        <v>1</v>
      </c>
      <c r="T153" t="n">
        <v>1</v>
      </c>
      <c r="U153" t="n">
        <v>0</v>
      </c>
      <c r="V153" s="2" t="inlineStr">
        <is>
          <t>Ullticka</t>
        </is>
      </c>
      <c r="W153">
        <f>HYPERLINK("https://klasma.github.io/Logging_2481/artfynd/A 9722-2026 artfynd.xlsx", "A 9722-2026")</f>
        <v/>
      </c>
      <c r="X153">
        <f>HYPERLINK("https://klasma.github.io/Logging_2481/kartor/A 9722-2026 karta.png", "A 9722-2026")</f>
        <v/>
      </c>
      <c r="Y153">
        <f>HYPERLINK("https://klasma.github.io/Logging_2481/kartor_geotiff/A 9722-2026 georefererad karta.tif", "A 9722-2026")</f>
        <v/>
      </c>
      <c r="AA153">
        <f>HYPERLINK("https://klasma.github.io/Logging_2481/klagomål/A 9722-2026 FSC-klagomål.docx", "A 9722-2026")</f>
        <v/>
      </c>
      <c r="AB153">
        <f>HYPERLINK("https://klasma.github.io/Logging_2481/klagomålsmail/A 9722-2026 FSC-klagomål mail.docx", "A 9722-2026")</f>
        <v/>
      </c>
      <c r="AC153">
        <f>HYPERLINK("https://klasma.github.io/Logging_2481/tillsyn/A 9722-2026 tillsynsbegäran.docx", "A 9722-2026")</f>
        <v/>
      </c>
      <c r="AD153">
        <f>HYPERLINK("https://klasma.github.io/Logging_2481/tillsynsmail/A 9722-2026 tillsynsbegäran mail.docx", "A 9722-2026")</f>
        <v/>
      </c>
    </row>
    <row r="154" ht="15" customHeight="1">
      <c r="A154" t="inlineStr">
        <is>
          <t>A 28408-2023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45101</v>
      </c>
      <c r="E154" s="1" t="n">
        <v>46227</v>
      </c>
      <c r="F154" t="inlineStr">
        <is>
          <t>VÄSTERBOTTENS LÄN</t>
        </is>
      </c>
      <c r="G154" t="inlineStr">
        <is>
          <t>LYCKSELE</t>
        </is>
      </c>
      <c r="I154" t="n">
        <v>5.7</v>
      </c>
      <c r="J154" t="n">
        <v>0</v>
      </c>
      <c r="K154" t="n">
        <v>0</v>
      </c>
      <c r="L154" t="n">
        <v>1</v>
      </c>
      <c r="M154" t="n">
        <v>0</v>
      </c>
      <c r="N154" t="n">
        <v>0</v>
      </c>
      <c r="O154" t="n">
        <v>0</v>
      </c>
      <c r="P154" t="n">
        <v>0</v>
      </c>
      <c r="Q154" t="n">
        <v>1</v>
      </c>
      <c r="R154" t="n">
        <v>0</v>
      </c>
      <c r="S154" t="n">
        <v>1</v>
      </c>
      <c r="T154" t="n">
        <v>1</v>
      </c>
      <c r="U154" t="n">
        <v>1</v>
      </c>
      <c r="V154" s="2" t="inlineStr">
        <is>
          <t>Blå taggsvamp</t>
        </is>
      </c>
      <c r="W154">
        <f>HYPERLINK("https://klasma.github.io/Logging_2481/artfynd/A 28408-2023 artfynd.xlsx", "A 28408-2023")</f>
        <v/>
      </c>
      <c r="X154">
        <f>HYPERLINK("https://klasma.github.io/Logging_2481/kartor/A 28408-2023 karta.png", "A 28408-2023")</f>
        <v/>
      </c>
      <c r="Y154">
        <f>HYPERLINK("https://klasma.github.io/Logging_2481/kartor_geotiff/A 28408-2023 georefererad karta.tif", "A 28408-2023")</f>
        <v/>
      </c>
      <c r="AA154">
        <f>HYPERLINK("https://klasma.github.io/Logging_2481/klagomål/A 28408-2023 FSC-klagomål.docx", "A 28408-2023")</f>
        <v/>
      </c>
      <c r="AB154">
        <f>HYPERLINK("https://klasma.github.io/Logging_2481/klagomålsmail/A 28408-2023 FSC-klagomål mail.docx", "A 28408-2023")</f>
        <v/>
      </c>
      <c r="AC154">
        <f>HYPERLINK("https://klasma.github.io/Logging_2481/tillsyn/A 28408-2023 tillsynsbegäran.docx", "A 28408-2023")</f>
        <v/>
      </c>
      <c r="AD154">
        <f>HYPERLINK("https://klasma.github.io/Logging_2481/tillsynsmail/A 28408-2023 tillsynsbegäran mail.docx", "A 28408-2023")</f>
        <v/>
      </c>
    </row>
    <row r="155" ht="15" customHeight="1">
      <c r="A155" t="inlineStr">
        <is>
          <t>A 72131-2021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44543</v>
      </c>
      <c r="E155" s="1" t="n">
        <v>46227</v>
      </c>
      <c r="F155" t="inlineStr">
        <is>
          <t>VÄSTERBOTTENS LÄN</t>
        </is>
      </c>
      <c r="G155" t="inlineStr">
        <is>
          <t>LYCKSELE</t>
        </is>
      </c>
      <c r="I155" t="n">
        <v>19.1</v>
      </c>
      <c r="J155" t="n">
        <v>1</v>
      </c>
      <c r="K155" t="n">
        <v>0</v>
      </c>
      <c r="L155" t="n">
        <v>1</v>
      </c>
      <c r="M155" t="n">
        <v>0</v>
      </c>
      <c r="N155" t="n">
        <v>0</v>
      </c>
      <c r="O155" t="n">
        <v>0</v>
      </c>
      <c r="P155" t="n">
        <v>0</v>
      </c>
      <c r="Q155" t="n">
        <v>1</v>
      </c>
      <c r="R155" t="n">
        <v>0</v>
      </c>
      <c r="S155" t="n">
        <v>1</v>
      </c>
      <c r="T155" t="n">
        <v>1</v>
      </c>
      <c r="U155" t="n">
        <v>1</v>
      </c>
      <c r="V155" s="2" t="inlineStr">
        <is>
          <t>Tretåig hackspett</t>
        </is>
      </c>
      <c r="W155">
        <f>HYPERLINK("https://klasma.github.io/Logging_2481/artfynd/A 72131-2021 artfynd.xlsx", "A 72131-2021")</f>
        <v/>
      </c>
      <c r="X155">
        <f>HYPERLINK("https://klasma.github.io/Logging_2481/kartor/A 72131-2021 karta.png", "A 72131-2021")</f>
        <v/>
      </c>
      <c r="Y155">
        <f>HYPERLINK("https://klasma.github.io/Logging_2481/kartor_geotiff/A 72131-2021 georefererad karta.tif", "A 72131-2021")</f>
        <v/>
      </c>
      <c r="AA155">
        <f>HYPERLINK("https://klasma.github.io/Logging_2481/klagomål/A 72131-2021 FSC-klagomål.docx", "A 72131-2021")</f>
        <v/>
      </c>
      <c r="AB155">
        <f>HYPERLINK("https://klasma.github.io/Logging_2481/klagomålsmail/A 72131-2021 FSC-klagomål mail.docx", "A 72131-2021")</f>
        <v/>
      </c>
      <c r="AC155">
        <f>HYPERLINK("https://klasma.github.io/Logging_2481/tillsyn/A 72131-2021 tillsynsbegäran.docx", "A 72131-2021")</f>
        <v/>
      </c>
      <c r="AD155">
        <f>HYPERLINK("https://klasma.github.io/Logging_2481/tillsynsmail/A 72131-2021 tillsynsbegäran mail.docx", "A 72131-2021")</f>
        <v/>
      </c>
      <c r="AE155">
        <f>HYPERLINK("https://klasma.github.io/Logging_2481/fåglar/A 72131-2021 prioriterade fågelarter.docx", "A 72131-2021")</f>
        <v/>
      </c>
    </row>
    <row r="156" ht="15" customHeight="1">
      <c r="A156" t="inlineStr">
        <is>
          <t>A 28838-2024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45478</v>
      </c>
      <c r="E156" s="1" t="n">
        <v>46227</v>
      </c>
      <c r="F156" t="inlineStr">
        <is>
          <t>VÄSTERBOTTENS LÄN</t>
        </is>
      </c>
      <c r="G156" t="inlineStr">
        <is>
          <t>LYCKSELE</t>
        </is>
      </c>
      <c r="H156" t="inlineStr">
        <is>
          <t>Sveaskog</t>
        </is>
      </c>
      <c r="I156" t="n">
        <v>1.6</v>
      </c>
      <c r="J156" t="n">
        <v>0</v>
      </c>
      <c r="K156" t="n">
        <v>0</v>
      </c>
      <c r="L156" t="n">
        <v>1</v>
      </c>
      <c r="M156" t="n">
        <v>0</v>
      </c>
      <c r="N156" t="n">
        <v>0</v>
      </c>
      <c r="O156" t="n">
        <v>0</v>
      </c>
      <c r="P156" t="n">
        <v>0</v>
      </c>
      <c r="Q156" t="n">
        <v>1</v>
      </c>
      <c r="R156" t="n">
        <v>0</v>
      </c>
      <c r="S156" t="n">
        <v>1</v>
      </c>
      <c r="T156" t="n">
        <v>1</v>
      </c>
      <c r="U156" t="n">
        <v>1</v>
      </c>
      <c r="V156" s="2" t="inlineStr">
        <is>
          <t>Kolflarnlav</t>
        </is>
      </c>
      <c r="W156">
        <f>HYPERLINK("https://klasma.github.io/Logging_2481/artfynd/A 28838-2024 artfynd.xlsx", "A 28838-2024")</f>
        <v/>
      </c>
      <c r="X156">
        <f>HYPERLINK("https://klasma.github.io/Logging_2481/kartor/A 28838-2024 karta.png", "A 28838-2024")</f>
        <v/>
      </c>
      <c r="Y156">
        <f>HYPERLINK("https://klasma.github.io/Logging_2481/kartor_geotiff/A 28838-2024 georefererad karta.tif", "A 28838-2024")</f>
        <v/>
      </c>
      <c r="AA156">
        <f>HYPERLINK("https://klasma.github.io/Logging_2481/klagomål/A 28838-2024 FSC-klagomål.docx", "A 28838-2024")</f>
        <v/>
      </c>
      <c r="AB156">
        <f>HYPERLINK("https://klasma.github.io/Logging_2481/klagomålsmail/A 28838-2024 FSC-klagomål mail.docx", "A 28838-2024")</f>
        <v/>
      </c>
      <c r="AC156">
        <f>HYPERLINK("https://klasma.github.io/Logging_2481/tillsyn/A 28838-2024 tillsynsbegäran.docx", "A 28838-2024")</f>
        <v/>
      </c>
      <c r="AD156">
        <f>HYPERLINK("https://klasma.github.io/Logging_2481/tillsynsmail/A 28838-2024 tillsynsbegäran mail.docx", "A 28838-2024")</f>
        <v/>
      </c>
    </row>
    <row r="157" ht="15" customHeight="1">
      <c r="A157" t="inlineStr">
        <is>
          <t>A 35559-2023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45147</v>
      </c>
      <c r="E157" s="1" t="n">
        <v>46227</v>
      </c>
      <c r="F157" t="inlineStr">
        <is>
          <t>VÄSTERBOTTENS LÄN</t>
        </is>
      </c>
      <c r="G157" t="inlineStr">
        <is>
          <t>LYCKSELE</t>
        </is>
      </c>
      <c r="I157" t="n">
        <v>7</v>
      </c>
      <c r="J157" t="n">
        <v>0</v>
      </c>
      <c r="K157" t="n">
        <v>0</v>
      </c>
      <c r="L157" t="n">
        <v>1</v>
      </c>
      <c r="M157" t="n">
        <v>0</v>
      </c>
      <c r="N157" t="n">
        <v>0</v>
      </c>
      <c r="O157" t="n">
        <v>0</v>
      </c>
      <c r="P157" t="n">
        <v>0</v>
      </c>
      <c r="Q157" t="n">
        <v>1</v>
      </c>
      <c r="R157" t="n">
        <v>0</v>
      </c>
      <c r="S157" t="n">
        <v>1</v>
      </c>
      <c r="T157" t="n">
        <v>1</v>
      </c>
      <c r="U157" t="n">
        <v>1</v>
      </c>
      <c r="V157" s="2" t="inlineStr">
        <is>
          <t>Stjärntagging</t>
        </is>
      </c>
      <c r="W157">
        <f>HYPERLINK("https://klasma.github.io/Logging_2481/artfynd/A 35559-2023 artfynd.xlsx", "A 35559-2023")</f>
        <v/>
      </c>
      <c r="X157">
        <f>HYPERLINK("https://klasma.github.io/Logging_2481/kartor/A 35559-2023 karta.png", "A 35559-2023")</f>
        <v/>
      </c>
      <c r="Y157">
        <f>HYPERLINK("https://klasma.github.io/Logging_2481/kartor_geotiff/A 35559-2023 georefererad karta.tif", "A 35559-2023")</f>
        <v/>
      </c>
      <c r="AA157">
        <f>HYPERLINK("https://klasma.github.io/Logging_2481/klagomål/A 35559-2023 FSC-klagomål.docx", "A 35559-2023")</f>
        <v/>
      </c>
      <c r="AB157">
        <f>HYPERLINK("https://klasma.github.io/Logging_2481/klagomålsmail/A 35559-2023 FSC-klagomål mail.docx", "A 35559-2023")</f>
        <v/>
      </c>
      <c r="AC157">
        <f>HYPERLINK("https://klasma.github.io/Logging_2481/tillsyn/A 35559-2023 tillsynsbegäran.docx", "A 35559-2023")</f>
        <v/>
      </c>
      <c r="AD157">
        <f>HYPERLINK("https://klasma.github.io/Logging_2481/tillsynsmail/A 35559-2023 tillsynsbegäran mail.docx", "A 35559-2023")</f>
        <v/>
      </c>
    </row>
    <row r="158" ht="15" customHeight="1">
      <c r="A158" t="inlineStr">
        <is>
          <t>A 20404-2026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46140</v>
      </c>
      <c r="E158" s="1" t="n">
        <v>46227</v>
      </c>
      <c r="F158" t="inlineStr">
        <is>
          <t>VÄSTERBOTTENS LÄN</t>
        </is>
      </c>
      <c r="G158" t="inlineStr">
        <is>
          <t>LYCKSELE</t>
        </is>
      </c>
      <c r="H158" t="inlineStr">
        <is>
          <t>Sveaskog</t>
        </is>
      </c>
      <c r="I158" t="n">
        <v>20</v>
      </c>
      <c r="J158" t="n">
        <v>1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1</v>
      </c>
      <c r="T158" t="n">
        <v>1</v>
      </c>
      <c r="U158" t="n">
        <v>0</v>
      </c>
      <c r="V158" s="2" t="inlineStr">
        <is>
          <t>Utter</t>
        </is>
      </c>
      <c r="W158">
        <f>HYPERLINK("https://klasma.github.io/Logging_2481/artfynd/A 20404-2026 artfynd.xlsx", "A 20404-2026")</f>
        <v/>
      </c>
      <c r="X158">
        <f>HYPERLINK("https://klasma.github.io/Logging_2481/kartor/A 20404-2026 karta.png", "A 20404-2026")</f>
        <v/>
      </c>
      <c r="Y158">
        <f>HYPERLINK("https://klasma.github.io/Logging_2481/kartor_geotiff/A 20404-2026 georefererad karta.tif", "A 20404-2026")</f>
        <v/>
      </c>
      <c r="AA158">
        <f>HYPERLINK("https://klasma.github.io/Logging_2481/klagomål/A 20404-2026 FSC-klagomål.docx", "A 20404-2026")</f>
        <v/>
      </c>
      <c r="AB158">
        <f>HYPERLINK("https://klasma.github.io/Logging_2481/klagomålsmail/A 20404-2026 FSC-klagomål mail.docx", "A 20404-2026")</f>
        <v/>
      </c>
      <c r="AC158">
        <f>HYPERLINK("https://klasma.github.io/Logging_2481/tillsyn/A 20404-2026 tillsynsbegäran.docx", "A 20404-2026")</f>
        <v/>
      </c>
      <c r="AD158">
        <f>HYPERLINK("https://klasma.github.io/Logging_2481/tillsynsmail/A 20404-2026 tillsynsbegäran mail.docx", "A 20404-2026")</f>
        <v/>
      </c>
    </row>
    <row r="159" ht="15" customHeight="1">
      <c r="A159" t="inlineStr">
        <is>
          <t>A 33726-2022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44789</v>
      </c>
      <c r="E159" s="1" t="n">
        <v>46227</v>
      </c>
      <c r="F159" t="inlineStr">
        <is>
          <t>VÄSTERBOTTENS LÄN</t>
        </is>
      </c>
      <c r="G159" t="inlineStr">
        <is>
          <t>LYCKSELE</t>
        </is>
      </c>
      <c r="H159" t="inlineStr">
        <is>
          <t>SCA</t>
        </is>
      </c>
      <c r="I159" t="n">
        <v>12.7</v>
      </c>
      <c r="J159" t="n">
        <v>1</v>
      </c>
      <c r="K159" t="n">
        <v>0</v>
      </c>
      <c r="L159" t="n">
        <v>0</v>
      </c>
      <c r="M159" t="n">
        <v>0</v>
      </c>
      <c r="N159" t="n">
        <v>1</v>
      </c>
      <c r="O159" t="n">
        <v>0</v>
      </c>
      <c r="P159" t="n">
        <v>0</v>
      </c>
      <c r="Q159" t="n">
        <v>1</v>
      </c>
      <c r="R159" t="n">
        <v>1</v>
      </c>
      <c r="S159" t="n">
        <v>1</v>
      </c>
      <c r="T159" t="n">
        <v>1</v>
      </c>
      <c r="U159" t="n">
        <v>1</v>
      </c>
      <c r="V159" s="2" t="inlineStr">
        <is>
          <t>Pärluggla</t>
        </is>
      </c>
      <c r="W159">
        <f>HYPERLINK("https://klasma.github.io/Logging_2481/artfynd/A 33726-2022 artfynd.xlsx", "A 33726-2022")</f>
        <v/>
      </c>
      <c r="X159">
        <f>HYPERLINK("https://klasma.github.io/Logging_2481/kartor/A 33726-2022 karta.png", "A 33726-2022")</f>
        <v/>
      </c>
      <c r="Y159">
        <f>HYPERLINK("https://klasma.github.io/Logging_2481/kartor_geotiff/A 33726-2022 georefererad karta.tif", "A 33726-2022")</f>
        <v/>
      </c>
      <c r="AA159">
        <f>HYPERLINK("https://klasma.github.io/Logging_2481/klagomål/A 33726-2022 FSC-klagomål.docx", "A 33726-2022")</f>
        <v/>
      </c>
      <c r="AB159">
        <f>HYPERLINK("https://klasma.github.io/Logging_2481/klagomålsmail/A 33726-2022 FSC-klagomål mail.docx", "A 33726-2022")</f>
        <v/>
      </c>
      <c r="AC159">
        <f>HYPERLINK("https://klasma.github.io/Logging_2481/tillsyn/A 33726-2022 tillsynsbegäran.docx", "A 33726-2022")</f>
        <v/>
      </c>
      <c r="AD159">
        <f>HYPERLINK("https://klasma.github.io/Logging_2481/tillsynsmail/A 33726-2022 tillsynsbegäran mail.docx", "A 33726-2022")</f>
        <v/>
      </c>
      <c r="AE159">
        <f>HYPERLINK("https://klasma.github.io/Logging_2481/fåglar/A 33726-2022 prioriterade fågelarter.docx", "A 33726-2022")</f>
        <v/>
      </c>
    </row>
    <row r="160" ht="15" customHeight="1">
      <c r="A160" t="inlineStr">
        <is>
          <t>A 55938-2023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45240</v>
      </c>
      <c r="E160" s="1" t="n">
        <v>46227</v>
      </c>
      <c r="F160" t="inlineStr">
        <is>
          <t>VÄSTERBOTTENS LÄN</t>
        </is>
      </c>
      <c r="G160" t="inlineStr">
        <is>
          <t>LYCKSELE</t>
        </is>
      </c>
      <c r="I160" t="n">
        <v>1.9</v>
      </c>
      <c r="J160" t="n">
        <v>1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1</v>
      </c>
      <c r="T160" t="n">
        <v>1</v>
      </c>
      <c r="U160" t="n">
        <v>1</v>
      </c>
      <c r="V160" s="2" t="inlineStr">
        <is>
          <t>Järpe</t>
        </is>
      </c>
      <c r="W160">
        <f>HYPERLINK("https://klasma.github.io/Logging_2481/artfynd/A 55938-2023 artfynd.xlsx", "A 55938-2023")</f>
        <v/>
      </c>
      <c r="X160">
        <f>HYPERLINK("https://klasma.github.io/Logging_2481/kartor/A 55938-2023 karta.png", "A 55938-2023")</f>
        <v/>
      </c>
      <c r="Y160">
        <f>HYPERLINK("https://klasma.github.io/Logging_2481/kartor_geotiff/A 55938-2023 georefererad karta.tif", "A 55938-2023")</f>
        <v/>
      </c>
      <c r="AA160">
        <f>HYPERLINK("https://klasma.github.io/Logging_2481/klagomål/A 55938-2023 FSC-klagomål.docx", "A 55938-2023")</f>
        <v/>
      </c>
      <c r="AB160">
        <f>HYPERLINK("https://klasma.github.io/Logging_2481/klagomålsmail/A 55938-2023 FSC-klagomål mail.docx", "A 55938-2023")</f>
        <v/>
      </c>
      <c r="AC160">
        <f>HYPERLINK("https://klasma.github.io/Logging_2481/tillsyn/A 55938-2023 tillsynsbegäran.docx", "A 55938-2023")</f>
        <v/>
      </c>
      <c r="AD160">
        <f>HYPERLINK("https://klasma.github.io/Logging_2481/tillsynsmail/A 55938-2023 tillsynsbegäran mail.docx", "A 55938-2023")</f>
        <v/>
      </c>
      <c r="AE160">
        <f>HYPERLINK("https://klasma.github.io/Logging_2481/fåglar/A 55938-2023 prioriterade fågelarter.docx", "A 55938-2023")</f>
        <v/>
      </c>
    </row>
    <row r="161" ht="15" customHeight="1">
      <c r="A161" t="inlineStr">
        <is>
          <t>A 53869-2023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45231</v>
      </c>
      <c r="E161" s="1" t="n">
        <v>46227</v>
      </c>
      <c r="F161" t="inlineStr">
        <is>
          <t>VÄSTERBOTTENS LÄN</t>
        </is>
      </c>
      <c r="G161" t="inlineStr">
        <is>
          <t>LYCKSELE</t>
        </is>
      </c>
      <c r="H161" t="inlineStr">
        <is>
          <t>Sveaskog</t>
        </is>
      </c>
      <c r="I161" t="n">
        <v>5.6</v>
      </c>
      <c r="J161" t="n">
        <v>0</v>
      </c>
      <c r="K161" t="n">
        <v>0</v>
      </c>
      <c r="L161" t="n">
        <v>1</v>
      </c>
      <c r="M161" t="n">
        <v>0</v>
      </c>
      <c r="N161" t="n">
        <v>0</v>
      </c>
      <c r="O161" t="n">
        <v>0</v>
      </c>
      <c r="P161" t="n">
        <v>0</v>
      </c>
      <c r="Q161" t="n">
        <v>1</v>
      </c>
      <c r="R161" t="n">
        <v>0</v>
      </c>
      <c r="S161" t="n">
        <v>1</v>
      </c>
      <c r="T161" t="n">
        <v>1</v>
      </c>
      <c r="U161" t="n">
        <v>1</v>
      </c>
      <c r="V161" s="2" t="inlineStr">
        <is>
          <t>Dropptaggsvamp</t>
        </is>
      </c>
      <c r="W161">
        <f>HYPERLINK("https://klasma.github.io/Logging_2481/artfynd/A 53869-2023 artfynd.xlsx", "A 53869-2023")</f>
        <v/>
      </c>
      <c r="X161">
        <f>HYPERLINK("https://klasma.github.io/Logging_2481/kartor/A 53869-2023 karta.png", "A 53869-2023")</f>
        <v/>
      </c>
      <c r="Y161">
        <f>HYPERLINK("https://klasma.github.io/Logging_2481/kartor_geotiff/A 53869-2023 georefererad karta.tif", "A 53869-2023")</f>
        <v/>
      </c>
      <c r="AA161">
        <f>HYPERLINK("https://klasma.github.io/Logging_2481/klagomål/A 53869-2023 FSC-klagomål.docx", "A 53869-2023")</f>
        <v/>
      </c>
      <c r="AB161">
        <f>HYPERLINK("https://klasma.github.io/Logging_2481/klagomålsmail/A 53869-2023 FSC-klagomål mail.docx", "A 53869-2023")</f>
        <v/>
      </c>
      <c r="AC161">
        <f>HYPERLINK("https://klasma.github.io/Logging_2481/tillsyn/A 53869-2023 tillsynsbegäran.docx", "A 53869-2023")</f>
        <v/>
      </c>
      <c r="AD161">
        <f>HYPERLINK("https://klasma.github.io/Logging_2481/tillsynsmail/A 53869-2023 tillsynsbegäran mail.docx", "A 53869-2023")</f>
        <v/>
      </c>
    </row>
    <row r="162" ht="15" customHeight="1">
      <c r="A162" t="inlineStr">
        <is>
          <t>A 59283-2024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45637</v>
      </c>
      <c r="E162" s="1" t="n">
        <v>46227</v>
      </c>
      <c r="F162" t="inlineStr">
        <is>
          <t>VÄSTERBOTTENS LÄN</t>
        </is>
      </c>
      <c r="G162" t="inlineStr">
        <is>
          <t>LYCKSELE</t>
        </is>
      </c>
      <c r="H162" t="inlineStr">
        <is>
          <t>Sveaskog</t>
        </is>
      </c>
      <c r="I162" t="n">
        <v>2</v>
      </c>
      <c r="J162" t="n">
        <v>0</v>
      </c>
      <c r="K162" t="n">
        <v>0</v>
      </c>
      <c r="L162" t="n">
        <v>1</v>
      </c>
      <c r="M162" t="n">
        <v>0</v>
      </c>
      <c r="N162" t="n">
        <v>0</v>
      </c>
      <c r="O162" t="n">
        <v>0</v>
      </c>
      <c r="P162" t="n">
        <v>0</v>
      </c>
      <c r="Q162" t="n">
        <v>1</v>
      </c>
      <c r="R162" t="n">
        <v>0</v>
      </c>
      <c r="S162" t="n">
        <v>1</v>
      </c>
      <c r="T162" t="n">
        <v>1</v>
      </c>
      <c r="U162" t="n">
        <v>0</v>
      </c>
      <c r="V162" s="2" t="inlineStr">
        <is>
          <t>Dropptaggsvamp</t>
        </is>
      </c>
      <c r="W162">
        <f>HYPERLINK("https://klasma.github.io/Logging_2481/artfynd/A 59283-2024 artfynd.xlsx", "A 59283-2024")</f>
        <v/>
      </c>
      <c r="X162">
        <f>HYPERLINK("https://klasma.github.io/Logging_2481/kartor/A 59283-2024 karta.png", "A 59283-2024")</f>
        <v/>
      </c>
      <c r="Y162">
        <f>HYPERLINK("https://klasma.github.io/Logging_2481/kartor_geotiff/A 59283-2024 georefererad karta.tif", "A 59283-2024")</f>
        <v/>
      </c>
      <c r="AA162">
        <f>HYPERLINK("https://klasma.github.io/Logging_2481/klagomål/A 59283-2024 FSC-klagomål.docx", "A 59283-2024")</f>
        <v/>
      </c>
      <c r="AB162">
        <f>HYPERLINK("https://klasma.github.io/Logging_2481/klagomålsmail/A 59283-2024 FSC-klagomål mail.docx", "A 59283-2024")</f>
        <v/>
      </c>
      <c r="AC162">
        <f>HYPERLINK("https://klasma.github.io/Logging_2481/tillsyn/A 59283-2024 tillsynsbegäran.docx", "A 59283-2024")</f>
        <v/>
      </c>
      <c r="AD162">
        <f>HYPERLINK("https://klasma.github.io/Logging_2481/tillsynsmail/A 59283-2024 tillsynsbegäran mail.docx", "A 59283-2024")</f>
        <v/>
      </c>
    </row>
    <row r="163" ht="15" customHeight="1">
      <c r="A163" t="inlineStr">
        <is>
          <t>A 27161-2026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46188</v>
      </c>
      <c r="E163" s="1" t="n">
        <v>46227</v>
      </c>
      <c r="F163" t="inlineStr">
        <is>
          <t>VÄSTERBOTTENS LÄN</t>
        </is>
      </c>
      <c r="G163" t="inlineStr">
        <is>
          <t>LYCKSELE</t>
        </is>
      </c>
      <c r="H163" t="inlineStr">
        <is>
          <t>Sveaskog</t>
        </is>
      </c>
      <c r="I163" t="n">
        <v>5.2</v>
      </c>
      <c r="J163" t="n">
        <v>0</v>
      </c>
      <c r="K163" t="n">
        <v>0</v>
      </c>
      <c r="L163" t="n">
        <v>1</v>
      </c>
      <c r="M163" t="n">
        <v>0</v>
      </c>
      <c r="N163" t="n">
        <v>0</v>
      </c>
      <c r="O163" t="n">
        <v>0</v>
      </c>
      <c r="P163" t="n">
        <v>0</v>
      </c>
      <c r="Q163" t="n">
        <v>1</v>
      </c>
      <c r="R163" t="n">
        <v>0</v>
      </c>
      <c r="S163" t="n">
        <v>1</v>
      </c>
      <c r="T163" t="n">
        <v>1</v>
      </c>
      <c r="U163" t="n">
        <v>1</v>
      </c>
      <c r="V163" s="2" t="inlineStr">
        <is>
          <t>Lunglav</t>
        </is>
      </c>
      <c r="W163">
        <f>HYPERLINK("https://klasma.github.io/Logging_2481/artfynd/A 27161-2026 artfynd.xlsx", "A 27161-2026")</f>
        <v/>
      </c>
      <c r="X163">
        <f>HYPERLINK("https://klasma.github.io/Logging_2481/kartor/A 27161-2026 karta.png", "A 27161-2026")</f>
        <v/>
      </c>
      <c r="Y163">
        <f>HYPERLINK("https://klasma.github.io/Logging_2481/kartor_geotiff/A 27161-2026 georefererad karta.tif", "A 27161-2026")</f>
        <v/>
      </c>
      <c r="AA163">
        <f>HYPERLINK("https://klasma.github.io/Logging_2481/klagomål/A 27161-2026 FSC-klagomål.docx", "A 27161-2026")</f>
        <v/>
      </c>
      <c r="AB163">
        <f>HYPERLINK("https://klasma.github.io/Logging_2481/klagomålsmail/A 27161-2026 FSC-klagomål mail.docx", "A 27161-2026")</f>
        <v/>
      </c>
      <c r="AC163">
        <f>HYPERLINK("https://klasma.github.io/Logging_2481/tillsyn/A 27161-2026 tillsynsbegäran.docx", "A 27161-2026")</f>
        <v/>
      </c>
      <c r="AD163">
        <f>HYPERLINK("https://klasma.github.io/Logging_2481/tillsynsmail/A 27161-2026 tillsynsbegäran mail.docx", "A 27161-2026")</f>
        <v/>
      </c>
    </row>
    <row r="164" ht="15" customHeight="1">
      <c r="A164" t="inlineStr">
        <is>
          <t>A 38507-2023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45162</v>
      </c>
      <c r="E164" s="1" t="n">
        <v>46227</v>
      </c>
      <c r="F164" t="inlineStr">
        <is>
          <t>VÄSTERBOTTENS LÄN</t>
        </is>
      </c>
      <c r="G164" t="inlineStr">
        <is>
          <t>LYCKSELE</t>
        </is>
      </c>
      <c r="H164" t="inlineStr">
        <is>
          <t>Sveaskog</t>
        </is>
      </c>
      <c r="I164" t="n">
        <v>2.5</v>
      </c>
      <c r="J164" t="n">
        <v>0</v>
      </c>
      <c r="K164" t="n">
        <v>0</v>
      </c>
      <c r="L164" t="n">
        <v>1</v>
      </c>
      <c r="M164" t="n">
        <v>0</v>
      </c>
      <c r="N164" t="n">
        <v>0</v>
      </c>
      <c r="O164" t="n">
        <v>0</v>
      </c>
      <c r="P164" t="n">
        <v>0</v>
      </c>
      <c r="Q164" t="n">
        <v>1</v>
      </c>
      <c r="R164" t="n">
        <v>0</v>
      </c>
      <c r="S164" t="n">
        <v>1</v>
      </c>
      <c r="T164" t="n">
        <v>1</v>
      </c>
      <c r="U164" t="n">
        <v>1</v>
      </c>
      <c r="V164" s="2" t="inlineStr">
        <is>
          <t>Blå taggsvamp</t>
        </is>
      </c>
      <c r="W164">
        <f>HYPERLINK("https://klasma.github.io/Logging_2481/artfynd/A 38507-2023 artfynd.xlsx", "A 38507-2023")</f>
        <v/>
      </c>
      <c r="X164">
        <f>HYPERLINK("https://klasma.github.io/Logging_2481/kartor/A 38507-2023 karta.png", "A 38507-2023")</f>
        <v/>
      </c>
      <c r="Y164">
        <f>HYPERLINK("https://klasma.github.io/Logging_2481/kartor_geotiff/A 38507-2023 georefererad karta.tif", "A 38507-2023")</f>
        <v/>
      </c>
      <c r="AA164">
        <f>HYPERLINK("https://klasma.github.io/Logging_2481/klagomål/A 38507-2023 FSC-klagomål.docx", "A 38507-2023")</f>
        <v/>
      </c>
      <c r="AB164">
        <f>HYPERLINK("https://klasma.github.io/Logging_2481/klagomålsmail/A 38507-2023 FSC-klagomål mail.docx", "A 38507-2023")</f>
        <v/>
      </c>
      <c r="AC164">
        <f>HYPERLINK("https://klasma.github.io/Logging_2481/tillsyn/A 38507-2023 tillsynsbegäran.docx", "A 38507-2023")</f>
        <v/>
      </c>
      <c r="AD164">
        <f>HYPERLINK("https://klasma.github.io/Logging_2481/tillsynsmail/A 38507-2023 tillsynsbegäran mail.docx", "A 38507-2023")</f>
        <v/>
      </c>
    </row>
    <row r="165" ht="15" customHeight="1">
      <c r="A165" t="inlineStr">
        <is>
          <t>A 27830-2026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46191</v>
      </c>
      <c r="E165" s="1" t="n">
        <v>46227</v>
      </c>
      <c r="F165" t="inlineStr">
        <is>
          <t>VÄSTERBOTTENS LÄN</t>
        </is>
      </c>
      <c r="G165" t="inlineStr">
        <is>
          <t>LYCKSELE</t>
        </is>
      </c>
      <c r="H165" t="inlineStr">
        <is>
          <t>Holmen skog AB</t>
        </is>
      </c>
      <c r="I165" t="n">
        <v>1.6</v>
      </c>
      <c r="J165" t="n">
        <v>1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1</v>
      </c>
      <c r="T165" t="n">
        <v>1</v>
      </c>
      <c r="U165" t="n">
        <v>0</v>
      </c>
      <c r="V165" s="2" t="inlineStr">
        <is>
          <t>Fläcknycklar</t>
        </is>
      </c>
      <c r="W165">
        <f>HYPERLINK("https://klasma.github.io/Logging_2481/artfynd/A 27830-2026 artfynd.xlsx", "A 27830-2026")</f>
        <v/>
      </c>
      <c r="X165">
        <f>HYPERLINK("https://klasma.github.io/Logging_2481/kartor/A 27830-2026 karta.png", "A 27830-2026")</f>
        <v/>
      </c>
      <c r="Y165">
        <f>HYPERLINK("https://klasma.github.io/Logging_2481/kartor_geotiff/A 27830-2026 georefererad karta.tif", "A 27830-2026")</f>
        <v/>
      </c>
      <c r="AA165">
        <f>HYPERLINK("https://klasma.github.io/Logging_2481/klagomål/A 27830-2026 FSC-klagomål.docx", "A 27830-2026")</f>
        <v/>
      </c>
      <c r="AB165">
        <f>HYPERLINK("https://klasma.github.io/Logging_2481/klagomålsmail/A 27830-2026 FSC-klagomål mail.docx", "A 27830-2026")</f>
        <v/>
      </c>
      <c r="AC165">
        <f>HYPERLINK("https://klasma.github.io/Logging_2481/tillsyn/A 27830-2026 tillsynsbegäran.docx", "A 27830-2026")</f>
        <v/>
      </c>
      <c r="AD165">
        <f>HYPERLINK("https://klasma.github.io/Logging_2481/tillsynsmail/A 27830-2026 tillsynsbegäran mail.docx", "A 27830-2026")</f>
        <v/>
      </c>
    </row>
    <row r="166" ht="15" customHeight="1">
      <c r="A166" t="inlineStr">
        <is>
          <t>A 22120-2026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46153</v>
      </c>
      <c r="E166" s="1" t="n">
        <v>46227</v>
      </c>
      <c r="F166" t="inlineStr">
        <is>
          <t>VÄSTERBOTTENS LÄN</t>
        </is>
      </c>
      <c r="G166" t="inlineStr">
        <is>
          <t>LYCKSELE</t>
        </is>
      </c>
      <c r="H166" t="inlineStr">
        <is>
          <t>Sveaskog</t>
        </is>
      </c>
      <c r="I166" t="n">
        <v>2.5</v>
      </c>
      <c r="J166" t="n">
        <v>0</v>
      </c>
      <c r="K166" t="n">
        <v>0</v>
      </c>
      <c r="L166" t="n">
        <v>1</v>
      </c>
      <c r="M166" t="n">
        <v>0</v>
      </c>
      <c r="N166" t="n">
        <v>0</v>
      </c>
      <c r="O166" t="n">
        <v>0</v>
      </c>
      <c r="P166" t="n">
        <v>0</v>
      </c>
      <c r="Q166" t="n">
        <v>1</v>
      </c>
      <c r="R166" t="n">
        <v>0</v>
      </c>
      <c r="S166" t="n">
        <v>1</v>
      </c>
      <c r="T166" t="n">
        <v>1</v>
      </c>
      <c r="U166" t="n">
        <v>1</v>
      </c>
      <c r="V166" s="2" t="inlineStr">
        <is>
          <t>Kolflarnlav</t>
        </is>
      </c>
      <c r="W166">
        <f>HYPERLINK("https://klasma.github.io/Logging_2481/artfynd/A 22120-2026 artfynd.xlsx", "A 22120-2026")</f>
        <v/>
      </c>
      <c r="X166">
        <f>HYPERLINK("https://klasma.github.io/Logging_2481/kartor/A 22120-2026 karta.png", "A 22120-2026")</f>
        <v/>
      </c>
      <c r="Y166">
        <f>HYPERLINK("https://klasma.github.io/Logging_2481/kartor_geotiff/A 22120-2026 georefererad karta.tif", "A 22120-2026")</f>
        <v/>
      </c>
      <c r="AA166">
        <f>HYPERLINK("https://klasma.github.io/Logging_2481/klagomål/A 22120-2026 FSC-klagomål.docx", "A 22120-2026")</f>
        <v/>
      </c>
      <c r="AB166">
        <f>HYPERLINK("https://klasma.github.io/Logging_2481/klagomålsmail/A 22120-2026 FSC-klagomål mail.docx", "A 22120-2026")</f>
        <v/>
      </c>
      <c r="AC166">
        <f>HYPERLINK("https://klasma.github.io/Logging_2481/tillsyn/A 22120-2026 tillsynsbegäran.docx", "A 22120-2026")</f>
        <v/>
      </c>
      <c r="AD166">
        <f>HYPERLINK("https://klasma.github.io/Logging_2481/tillsynsmail/A 22120-2026 tillsynsbegäran mail.docx", "A 22120-2026")</f>
        <v/>
      </c>
    </row>
    <row r="167" ht="15" customHeight="1">
      <c r="A167" t="inlineStr">
        <is>
          <t>A 20929-2025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45777</v>
      </c>
      <c r="E167" s="1" t="n">
        <v>46227</v>
      </c>
      <c r="F167" t="inlineStr">
        <is>
          <t>VÄSTERBOTTENS LÄN</t>
        </is>
      </c>
      <c r="G167" t="inlineStr">
        <is>
          <t>LYCKSELE</t>
        </is>
      </c>
      <c r="H167" t="inlineStr">
        <is>
          <t>Sveaskog</t>
        </is>
      </c>
      <c r="I167" t="n">
        <v>3</v>
      </c>
      <c r="J167" t="n">
        <v>0</v>
      </c>
      <c r="K167" t="n">
        <v>0</v>
      </c>
      <c r="L167" t="n">
        <v>1</v>
      </c>
      <c r="M167" t="n">
        <v>0</v>
      </c>
      <c r="N167" t="n">
        <v>0</v>
      </c>
      <c r="O167" t="n">
        <v>0</v>
      </c>
      <c r="P167" t="n">
        <v>0</v>
      </c>
      <c r="Q167" t="n">
        <v>1</v>
      </c>
      <c r="R167" t="n">
        <v>0</v>
      </c>
      <c r="S167" t="n">
        <v>1</v>
      </c>
      <c r="T167" t="n">
        <v>1</v>
      </c>
      <c r="U167" t="n">
        <v>0</v>
      </c>
      <c r="V167" s="2" t="inlineStr">
        <is>
          <t>Dropptaggsvamp</t>
        </is>
      </c>
      <c r="W167">
        <f>HYPERLINK("https://klasma.github.io/Logging_2481/artfynd/A 20929-2025 artfynd.xlsx", "A 20929-2025")</f>
        <v/>
      </c>
      <c r="X167">
        <f>HYPERLINK("https://klasma.github.io/Logging_2481/kartor/A 20929-2025 karta.png", "A 20929-2025")</f>
        <v/>
      </c>
      <c r="Y167">
        <f>HYPERLINK("https://klasma.github.io/Logging_2481/kartor_geotiff/A 20929-2025 georefererad karta.tif", "A 20929-2025")</f>
        <v/>
      </c>
      <c r="AA167">
        <f>HYPERLINK("https://klasma.github.io/Logging_2481/klagomål/A 20929-2025 FSC-klagomål.docx", "A 20929-2025")</f>
        <v/>
      </c>
      <c r="AB167">
        <f>HYPERLINK("https://klasma.github.io/Logging_2481/klagomålsmail/A 20929-2025 FSC-klagomål mail.docx", "A 20929-2025")</f>
        <v/>
      </c>
      <c r="AC167">
        <f>HYPERLINK("https://klasma.github.io/Logging_2481/tillsyn/A 20929-2025 tillsynsbegäran.docx", "A 20929-2025")</f>
        <v/>
      </c>
      <c r="AD167">
        <f>HYPERLINK("https://klasma.github.io/Logging_2481/tillsynsmail/A 20929-2025 tillsynsbegäran mail.docx", "A 20929-2025")</f>
        <v/>
      </c>
    </row>
    <row r="168" ht="15" customHeight="1">
      <c r="A168" t="inlineStr">
        <is>
          <t>A 28806-2026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46198</v>
      </c>
      <c r="E168" s="1" t="n">
        <v>46227</v>
      </c>
      <c r="F168" t="inlineStr">
        <is>
          <t>VÄSTERBOTTENS LÄN</t>
        </is>
      </c>
      <c r="G168" t="inlineStr">
        <is>
          <t>LYCKSELE</t>
        </is>
      </c>
      <c r="H168" t="inlineStr">
        <is>
          <t>Holmen skog AB</t>
        </is>
      </c>
      <c r="I168" t="n">
        <v>3.3</v>
      </c>
      <c r="J168" t="n">
        <v>0</v>
      </c>
      <c r="K168" t="n">
        <v>1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1</v>
      </c>
      <c r="T168" t="n">
        <v>1</v>
      </c>
      <c r="U168" t="n">
        <v>0</v>
      </c>
      <c r="V168" s="2" t="inlineStr">
        <is>
          <t>Skinnlav</t>
        </is>
      </c>
      <c r="W168">
        <f>HYPERLINK("https://klasma.github.io/Logging_2481/artfynd/A 28806-2026 artfynd.xlsx", "A 28806-2026")</f>
        <v/>
      </c>
      <c r="X168">
        <f>HYPERLINK("https://klasma.github.io/Logging_2481/kartor/A 28806-2026 karta.png", "A 28806-2026")</f>
        <v/>
      </c>
      <c r="Y168">
        <f>HYPERLINK("https://klasma.github.io/Logging_2481/kartor_geotiff/A 28806-2026 georefererad karta.tif", "A 28806-2026")</f>
        <v/>
      </c>
      <c r="AA168">
        <f>HYPERLINK("https://klasma.github.io/Logging_2481/klagomål/A 28806-2026 FSC-klagomål.docx", "A 28806-2026")</f>
        <v/>
      </c>
      <c r="AB168">
        <f>HYPERLINK("https://klasma.github.io/Logging_2481/klagomålsmail/A 28806-2026 FSC-klagomål mail.docx", "A 28806-2026")</f>
        <v/>
      </c>
      <c r="AC168">
        <f>HYPERLINK("https://klasma.github.io/Logging_2481/tillsyn/A 28806-2026 tillsynsbegäran.docx", "A 28806-2026")</f>
        <v/>
      </c>
      <c r="AD168">
        <f>HYPERLINK("https://klasma.github.io/Logging_2481/tillsynsmail/A 28806-2026 tillsynsbegäran mail.docx", "A 28806-2026")</f>
        <v/>
      </c>
    </row>
    <row r="169" ht="15" customHeight="1">
      <c r="A169" t="inlineStr">
        <is>
          <t>A 28459-2026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46197</v>
      </c>
      <c r="E169" s="1" t="n">
        <v>46227</v>
      </c>
      <c r="F169" t="inlineStr">
        <is>
          <t>VÄSTERBOTTENS LÄN</t>
        </is>
      </c>
      <c r="G169" t="inlineStr">
        <is>
          <t>LYCKSELE</t>
        </is>
      </c>
      <c r="H169" t="inlineStr">
        <is>
          <t>SCA</t>
        </is>
      </c>
      <c r="I169" t="n">
        <v>1</v>
      </c>
      <c r="J169" t="n">
        <v>1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1</v>
      </c>
      <c r="T169" t="n">
        <v>1</v>
      </c>
      <c r="U169" t="n">
        <v>1</v>
      </c>
      <c r="V169" s="2" t="inlineStr">
        <is>
          <t>Fläcknycklar</t>
        </is>
      </c>
      <c r="W169">
        <f>HYPERLINK("https://klasma.github.io/Logging_2481/artfynd/A 28459-2026 artfynd.xlsx", "A 28459-2026")</f>
        <v/>
      </c>
      <c r="X169">
        <f>HYPERLINK("https://klasma.github.io/Logging_2481/kartor/A 28459-2026 karta.png", "A 28459-2026")</f>
        <v/>
      </c>
      <c r="Y169">
        <f>HYPERLINK("https://klasma.github.io/Logging_2481/kartor_geotiff/A 28459-2026 georefererad karta.tif", "A 28459-2026")</f>
        <v/>
      </c>
      <c r="AA169">
        <f>HYPERLINK("https://klasma.github.io/Logging_2481/klagomål/A 28459-2026 FSC-klagomål.docx", "A 28459-2026")</f>
        <v/>
      </c>
      <c r="AB169">
        <f>HYPERLINK("https://klasma.github.io/Logging_2481/klagomålsmail/A 28459-2026 FSC-klagomål mail.docx", "A 28459-2026")</f>
        <v/>
      </c>
      <c r="AC169">
        <f>HYPERLINK("https://klasma.github.io/Logging_2481/tillsyn/A 28459-2026 tillsynsbegäran.docx", "A 28459-2026")</f>
        <v/>
      </c>
      <c r="AD169">
        <f>HYPERLINK("https://klasma.github.io/Logging_2481/tillsynsmail/A 28459-2026 tillsynsbegäran mail.docx", "A 28459-2026")</f>
        <v/>
      </c>
    </row>
    <row r="170" ht="15" customHeight="1">
      <c r="A170" t="inlineStr">
        <is>
          <t>A 22680-2026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46156</v>
      </c>
      <c r="E170" s="1" t="n">
        <v>46227</v>
      </c>
      <c r="F170" t="inlineStr">
        <is>
          <t>VÄSTERBOTTENS LÄN</t>
        </is>
      </c>
      <c r="G170" t="inlineStr">
        <is>
          <t>LYCKSELE</t>
        </is>
      </c>
      <c r="H170" t="inlineStr">
        <is>
          <t>Sveaskog</t>
        </is>
      </c>
      <c r="I170" t="n">
        <v>22.2</v>
      </c>
      <c r="J170" t="n">
        <v>0</v>
      </c>
      <c r="K170" t="n">
        <v>0</v>
      </c>
      <c r="L170" t="n">
        <v>1</v>
      </c>
      <c r="M170" t="n">
        <v>0</v>
      </c>
      <c r="N170" t="n">
        <v>0</v>
      </c>
      <c r="O170" t="n">
        <v>0</v>
      </c>
      <c r="P170" t="n">
        <v>0</v>
      </c>
      <c r="Q170" t="n">
        <v>1</v>
      </c>
      <c r="R170" t="n">
        <v>0</v>
      </c>
      <c r="S170" t="n">
        <v>1</v>
      </c>
      <c r="T170" t="n">
        <v>1</v>
      </c>
      <c r="U170" t="n">
        <v>0</v>
      </c>
      <c r="V170" s="2" t="inlineStr">
        <is>
          <t>Lunglav</t>
        </is>
      </c>
      <c r="W170">
        <f>HYPERLINK("https://klasma.github.io/Logging_2481/artfynd/A 22680-2026 artfynd.xlsx", "A 22680-2026")</f>
        <v/>
      </c>
      <c r="X170">
        <f>HYPERLINK("https://klasma.github.io/Logging_2481/kartor/A 22680-2026 karta.png", "A 22680-2026")</f>
        <v/>
      </c>
      <c r="Y170">
        <f>HYPERLINK("https://klasma.github.io/Logging_2481/kartor_geotiff/A 22680-2026 georefererad karta.tif", "A 22680-2026")</f>
        <v/>
      </c>
      <c r="AA170">
        <f>HYPERLINK("https://klasma.github.io/Logging_2481/klagomål/A 22680-2026 FSC-klagomål.docx", "A 22680-2026")</f>
        <v/>
      </c>
      <c r="AB170">
        <f>HYPERLINK("https://klasma.github.io/Logging_2481/klagomålsmail/A 22680-2026 FSC-klagomål mail.docx", "A 22680-2026")</f>
        <v/>
      </c>
      <c r="AC170">
        <f>HYPERLINK("https://klasma.github.io/Logging_2481/tillsyn/A 22680-2026 tillsynsbegäran.docx", "A 22680-2026")</f>
        <v/>
      </c>
      <c r="AD170">
        <f>HYPERLINK("https://klasma.github.io/Logging_2481/tillsynsmail/A 22680-2026 tillsynsbegäran mail.docx", "A 22680-2026")</f>
        <v/>
      </c>
    </row>
    <row r="171" ht="15" customHeight="1">
      <c r="A171" t="inlineStr">
        <is>
          <t>A 28716-2026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46198</v>
      </c>
      <c r="E171" s="1" t="n">
        <v>46227</v>
      </c>
      <c r="F171" t="inlineStr">
        <is>
          <t>VÄSTERBOTTENS LÄN</t>
        </is>
      </c>
      <c r="G171" t="inlineStr">
        <is>
          <t>LYCKSELE</t>
        </is>
      </c>
      <c r="H171" t="inlineStr">
        <is>
          <t>Sveaskog</t>
        </is>
      </c>
      <c r="I171" t="n">
        <v>11.2</v>
      </c>
      <c r="J171" t="n">
        <v>0</v>
      </c>
      <c r="K171" t="n">
        <v>0</v>
      </c>
      <c r="L171" t="n">
        <v>1</v>
      </c>
      <c r="M171" t="n">
        <v>0</v>
      </c>
      <c r="N171" t="n">
        <v>0</v>
      </c>
      <c r="O171" t="n">
        <v>0</v>
      </c>
      <c r="P171" t="n">
        <v>0</v>
      </c>
      <c r="Q171" t="n">
        <v>1</v>
      </c>
      <c r="R171" t="n">
        <v>0</v>
      </c>
      <c r="S171" t="n">
        <v>1</v>
      </c>
      <c r="T171" t="n">
        <v>1</v>
      </c>
      <c r="U171" t="n">
        <v>1</v>
      </c>
      <c r="V171" s="2" t="inlineStr">
        <is>
          <t>Kolflarnlav</t>
        </is>
      </c>
      <c r="W171">
        <f>HYPERLINK("https://klasma.github.io/Logging_2481/artfynd/A 28716-2026 artfynd.xlsx", "A 28716-2026")</f>
        <v/>
      </c>
      <c r="X171">
        <f>HYPERLINK("https://klasma.github.io/Logging_2481/kartor/A 28716-2026 karta.png", "A 28716-2026")</f>
        <v/>
      </c>
      <c r="Y171">
        <f>HYPERLINK("https://klasma.github.io/Logging_2481/kartor_geotiff/A 28716-2026 georefererad karta.tif", "A 28716-2026")</f>
        <v/>
      </c>
      <c r="AA171">
        <f>HYPERLINK("https://klasma.github.io/Logging_2481/klagomål/A 28716-2026 FSC-klagomål.docx", "A 28716-2026")</f>
        <v/>
      </c>
      <c r="AB171">
        <f>HYPERLINK("https://klasma.github.io/Logging_2481/klagomålsmail/A 28716-2026 FSC-klagomål mail.docx", "A 28716-2026")</f>
        <v/>
      </c>
      <c r="AC171">
        <f>HYPERLINK("https://klasma.github.io/Logging_2481/tillsyn/A 28716-2026 tillsynsbegäran.docx", "A 28716-2026")</f>
        <v/>
      </c>
      <c r="AD171">
        <f>HYPERLINK("https://klasma.github.io/Logging_2481/tillsynsmail/A 28716-2026 tillsynsbegäran mail.docx", "A 28716-2026")</f>
        <v/>
      </c>
    </row>
    <row r="172" ht="15" customHeight="1">
      <c r="A172" t="inlineStr">
        <is>
          <t>A 50826-2024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45602</v>
      </c>
      <c r="E172" s="1" t="n">
        <v>46227</v>
      </c>
      <c r="F172" t="inlineStr">
        <is>
          <t>VÄSTERBOTTENS LÄN</t>
        </is>
      </c>
      <c r="G172" t="inlineStr">
        <is>
          <t>LYCKSELE</t>
        </is>
      </c>
      <c r="H172" t="inlineStr">
        <is>
          <t>Sveaskog</t>
        </is>
      </c>
      <c r="I172" t="n">
        <v>3.1</v>
      </c>
      <c r="J172" t="n">
        <v>0</v>
      </c>
      <c r="K172" t="n">
        <v>0</v>
      </c>
      <c r="L172" t="n">
        <v>1</v>
      </c>
      <c r="M172" t="n">
        <v>0</v>
      </c>
      <c r="N172" t="n">
        <v>0</v>
      </c>
      <c r="O172" t="n">
        <v>0</v>
      </c>
      <c r="P172" t="n">
        <v>0</v>
      </c>
      <c r="Q172" t="n">
        <v>1</v>
      </c>
      <c r="R172" t="n">
        <v>0</v>
      </c>
      <c r="S172" t="n">
        <v>1</v>
      </c>
      <c r="T172" t="n">
        <v>1</v>
      </c>
      <c r="U172" t="n">
        <v>1</v>
      </c>
      <c r="V172" s="2" t="inlineStr">
        <is>
          <t>Dropptaggsvamp</t>
        </is>
      </c>
      <c r="W172">
        <f>HYPERLINK("https://klasma.github.io/Logging_2481/artfynd/A 50826-2024 artfynd.xlsx", "A 50826-2024")</f>
        <v/>
      </c>
      <c r="X172">
        <f>HYPERLINK("https://klasma.github.io/Logging_2481/kartor/A 50826-2024 karta.png", "A 50826-2024")</f>
        <v/>
      </c>
      <c r="Y172">
        <f>HYPERLINK("https://klasma.github.io/Logging_2481/kartor_geotiff/A 50826-2024 georefererad karta.tif", "A 50826-2024")</f>
        <v/>
      </c>
      <c r="AA172">
        <f>HYPERLINK("https://klasma.github.io/Logging_2481/klagomål/A 50826-2024 FSC-klagomål.docx", "A 50826-2024")</f>
        <v/>
      </c>
      <c r="AB172">
        <f>HYPERLINK("https://klasma.github.io/Logging_2481/klagomålsmail/A 50826-2024 FSC-klagomål mail.docx", "A 50826-2024")</f>
        <v/>
      </c>
      <c r="AC172">
        <f>HYPERLINK("https://klasma.github.io/Logging_2481/tillsyn/A 50826-2024 tillsynsbegäran.docx", "A 50826-2024")</f>
        <v/>
      </c>
      <c r="AD172">
        <f>HYPERLINK("https://klasma.github.io/Logging_2481/tillsynsmail/A 50826-2024 tillsynsbegäran mail.docx", "A 50826-2024")</f>
        <v/>
      </c>
    </row>
    <row r="173" ht="15" customHeight="1">
      <c r="A173" t="inlineStr">
        <is>
          <t>A 57243-2025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45979</v>
      </c>
      <c r="E173" s="1" t="n">
        <v>46227</v>
      </c>
      <c r="F173" t="inlineStr">
        <is>
          <t>VÄSTERBOTTENS LÄN</t>
        </is>
      </c>
      <c r="G173" t="inlineStr">
        <is>
          <t>LYCKSELE</t>
        </is>
      </c>
      <c r="I173" t="n">
        <v>2.1</v>
      </c>
      <c r="J173" t="n">
        <v>0</v>
      </c>
      <c r="K173" t="n">
        <v>0</v>
      </c>
      <c r="L173" t="n">
        <v>1</v>
      </c>
      <c r="M173" t="n">
        <v>0</v>
      </c>
      <c r="N173" t="n">
        <v>0</v>
      </c>
      <c r="O173" t="n">
        <v>0</v>
      </c>
      <c r="P173" t="n">
        <v>0</v>
      </c>
      <c r="Q173" t="n">
        <v>1</v>
      </c>
      <c r="R173" t="n">
        <v>0</v>
      </c>
      <c r="S173" t="n">
        <v>1</v>
      </c>
      <c r="T173" t="n">
        <v>1</v>
      </c>
      <c r="U173" t="n">
        <v>0</v>
      </c>
      <c r="V173" s="2" t="inlineStr">
        <is>
          <t>Lunglav</t>
        </is>
      </c>
      <c r="W173">
        <f>HYPERLINK("https://klasma.github.io/Logging_2481/artfynd/A 57243-2025 artfynd.xlsx", "A 57243-2025")</f>
        <v/>
      </c>
      <c r="X173">
        <f>HYPERLINK("https://klasma.github.io/Logging_2481/kartor/A 57243-2025 karta.png", "A 57243-2025")</f>
        <v/>
      </c>
      <c r="Y173">
        <f>HYPERLINK("https://klasma.github.io/Logging_2481/kartor_geotiff/A 57243-2025 georefererad karta.tif", "A 57243-2025")</f>
        <v/>
      </c>
      <c r="AA173">
        <f>HYPERLINK("https://klasma.github.io/Logging_2481/klagomål/A 57243-2025 FSC-klagomål.docx", "A 57243-2025")</f>
        <v/>
      </c>
      <c r="AB173">
        <f>HYPERLINK("https://klasma.github.io/Logging_2481/klagomålsmail/A 57243-2025 FSC-klagomål mail.docx", "A 57243-2025")</f>
        <v/>
      </c>
      <c r="AC173">
        <f>HYPERLINK("https://klasma.github.io/Logging_2481/tillsyn/A 57243-2025 tillsynsbegäran.docx", "A 57243-2025")</f>
        <v/>
      </c>
      <c r="AD173">
        <f>HYPERLINK("https://klasma.github.io/Logging_2481/tillsynsmail/A 57243-2025 tillsynsbegäran mail.docx", "A 57243-2025")</f>
        <v/>
      </c>
    </row>
    <row r="174" ht="15" customHeight="1">
      <c r="A174" t="inlineStr">
        <is>
          <t>A 23396-2026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46162</v>
      </c>
      <c r="E174" s="1" t="n">
        <v>46227</v>
      </c>
      <c r="F174" t="inlineStr">
        <is>
          <t>VÄSTERBOTTENS LÄN</t>
        </is>
      </c>
      <c r="G174" t="inlineStr">
        <is>
          <t>LYCKSELE</t>
        </is>
      </c>
      <c r="H174" t="inlineStr">
        <is>
          <t>SCA</t>
        </is>
      </c>
      <c r="I174" t="n">
        <v>6</v>
      </c>
      <c r="J174" t="n">
        <v>0</v>
      </c>
      <c r="K174" t="n">
        <v>1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1</v>
      </c>
      <c r="T174" t="n">
        <v>1</v>
      </c>
      <c r="U174" t="n">
        <v>0</v>
      </c>
      <c r="V174" s="2" t="inlineStr">
        <is>
          <t>Källpraktmossa</t>
        </is>
      </c>
      <c r="W174">
        <f>HYPERLINK("https://klasma.github.io/Logging_2481/artfynd/A 23396-2026 artfynd.xlsx", "A 23396-2026")</f>
        <v/>
      </c>
      <c r="X174">
        <f>HYPERLINK("https://klasma.github.io/Logging_2481/kartor/A 23396-2026 karta.png", "A 23396-2026")</f>
        <v/>
      </c>
      <c r="Y174">
        <f>HYPERLINK("https://klasma.github.io/Logging_2481/kartor_geotiff/A 23396-2026 georefererad karta.tif", "A 23396-2026")</f>
        <v/>
      </c>
      <c r="AA174">
        <f>HYPERLINK("https://klasma.github.io/Logging_2481/klagomål/A 23396-2026 FSC-klagomål.docx", "A 23396-2026")</f>
        <v/>
      </c>
      <c r="AB174">
        <f>HYPERLINK("https://klasma.github.io/Logging_2481/klagomålsmail/A 23396-2026 FSC-klagomål mail.docx", "A 23396-2026")</f>
        <v/>
      </c>
      <c r="AC174">
        <f>HYPERLINK("https://klasma.github.io/Logging_2481/tillsyn/A 23396-2026 tillsynsbegäran.docx", "A 23396-2026")</f>
        <v/>
      </c>
      <c r="AD174">
        <f>HYPERLINK("https://klasma.github.io/Logging_2481/tillsynsmail/A 23396-2026 tillsynsbegäran mail.docx", "A 23396-2026")</f>
        <v/>
      </c>
    </row>
    <row r="175" ht="15" customHeight="1">
      <c r="A175" t="inlineStr">
        <is>
          <t>A 45774-2024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45579</v>
      </c>
      <c r="E175" s="1" t="n">
        <v>46227</v>
      </c>
      <c r="F175" t="inlineStr">
        <is>
          <t>VÄSTERBOTTENS LÄN</t>
        </is>
      </c>
      <c r="G175" t="inlineStr">
        <is>
          <t>LYCKSELE</t>
        </is>
      </c>
      <c r="H175" t="inlineStr">
        <is>
          <t>SCA</t>
        </is>
      </c>
      <c r="I175" t="n">
        <v>4.3</v>
      </c>
      <c r="J175" t="n">
        <v>0</v>
      </c>
      <c r="K175" t="n">
        <v>1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1</v>
      </c>
      <c r="T175" t="n">
        <v>1</v>
      </c>
      <c r="U175" t="n">
        <v>0</v>
      </c>
      <c r="V175" s="2" t="inlineStr">
        <is>
          <t>Barkticka</t>
        </is>
      </c>
      <c r="W175">
        <f>HYPERLINK("https://klasma.github.io/Logging_2481/artfynd/A 45774-2024 artfynd.xlsx", "A 45774-2024")</f>
        <v/>
      </c>
      <c r="X175">
        <f>HYPERLINK("https://klasma.github.io/Logging_2481/kartor/A 45774-2024 karta.png", "A 45774-2024")</f>
        <v/>
      </c>
      <c r="Y175">
        <f>HYPERLINK("https://klasma.github.io/Logging_2481/kartor_geotiff/A 45774-2024 georefererad karta.tif", "A 45774-2024")</f>
        <v/>
      </c>
      <c r="AA175">
        <f>HYPERLINK("https://klasma.github.io/Logging_2481/klagomål/A 45774-2024 FSC-klagomål.docx", "A 45774-2024")</f>
        <v/>
      </c>
      <c r="AB175">
        <f>HYPERLINK("https://klasma.github.io/Logging_2481/klagomålsmail/A 45774-2024 FSC-klagomål mail.docx", "A 45774-2024")</f>
        <v/>
      </c>
      <c r="AC175">
        <f>HYPERLINK("https://klasma.github.io/Logging_2481/tillsyn/A 45774-2024 tillsynsbegäran.docx", "A 45774-2024")</f>
        <v/>
      </c>
      <c r="AD175">
        <f>HYPERLINK("https://klasma.github.io/Logging_2481/tillsynsmail/A 45774-2024 tillsynsbegäran mail.docx", "A 45774-2024")</f>
        <v/>
      </c>
    </row>
    <row r="176" ht="15" customHeight="1">
      <c r="A176" t="inlineStr">
        <is>
          <t>A 29828-2026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46205</v>
      </c>
      <c r="E176" s="1" t="n">
        <v>46227</v>
      </c>
      <c r="F176" t="inlineStr">
        <is>
          <t>VÄSTERBOTTENS LÄN</t>
        </is>
      </c>
      <c r="G176" t="inlineStr">
        <is>
          <t>LYCKSELE</t>
        </is>
      </c>
      <c r="H176" t="inlineStr">
        <is>
          <t>Sveaskog</t>
        </is>
      </c>
      <c r="I176" t="n">
        <v>11</v>
      </c>
      <c r="J176" t="n">
        <v>0</v>
      </c>
      <c r="K176" t="n">
        <v>0</v>
      </c>
      <c r="L176" t="n">
        <v>1</v>
      </c>
      <c r="M176" t="n">
        <v>0</v>
      </c>
      <c r="N176" t="n">
        <v>0</v>
      </c>
      <c r="O176" t="n">
        <v>0</v>
      </c>
      <c r="P176" t="n">
        <v>0</v>
      </c>
      <c r="Q176" t="n">
        <v>1</v>
      </c>
      <c r="R176" t="n">
        <v>0</v>
      </c>
      <c r="S176" t="n">
        <v>1</v>
      </c>
      <c r="T176" t="n">
        <v>1</v>
      </c>
      <c r="U176" t="n">
        <v>0</v>
      </c>
      <c r="V176" s="2" t="inlineStr">
        <is>
          <t>Kolflarnlav</t>
        </is>
      </c>
      <c r="W176">
        <f>HYPERLINK("https://klasma.github.io/Logging_2481/artfynd/A 29828-2026 artfynd.xlsx", "A 29828-2026")</f>
        <v/>
      </c>
      <c r="X176">
        <f>HYPERLINK("https://klasma.github.io/Logging_2481/kartor/A 29828-2026 karta.png", "A 29828-2026")</f>
        <v/>
      </c>
      <c r="Y176">
        <f>HYPERLINK("https://klasma.github.io/Logging_2481/kartor_geotiff/A 29828-2026 georefererad karta.tif", "A 29828-2026")</f>
        <v/>
      </c>
      <c r="AA176">
        <f>HYPERLINK("https://klasma.github.io/Logging_2481/klagomål/A 29828-2026 FSC-klagomål.docx", "A 29828-2026")</f>
        <v/>
      </c>
      <c r="AB176">
        <f>HYPERLINK("https://klasma.github.io/Logging_2481/klagomålsmail/A 29828-2026 FSC-klagomål mail.docx", "A 29828-2026")</f>
        <v/>
      </c>
      <c r="AC176">
        <f>HYPERLINK("https://klasma.github.io/Logging_2481/tillsyn/A 29828-2026 tillsynsbegäran.docx", "A 29828-2026")</f>
        <v/>
      </c>
      <c r="AD176">
        <f>HYPERLINK("https://klasma.github.io/Logging_2481/tillsynsmail/A 29828-2026 tillsynsbegäran mail.docx", "A 29828-2026")</f>
        <v/>
      </c>
    </row>
    <row r="177" ht="15" customHeight="1">
      <c r="A177" t="inlineStr">
        <is>
          <t>A 30994-2026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46213</v>
      </c>
      <c r="E177" s="1" t="n">
        <v>46227</v>
      </c>
      <c r="F177" t="inlineStr">
        <is>
          <t>VÄSTERBOTTENS LÄN</t>
        </is>
      </c>
      <c r="G177" t="inlineStr">
        <is>
          <t>LYCKSELE</t>
        </is>
      </c>
      <c r="H177" t="inlineStr">
        <is>
          <t>Sveaskog</t>
        </is>
      </c>
      <c r="I177" t="n">
        <v>4.4</v>
      </c>
      <c r="J177" t="n">
        <v>0</v>
      </c>
      <c r="K177" t="n">
        <v>0</v>
      </c>
      <c r="L177" t="n">
        <v>1</v>
      </c>
      <c r="M177" t="n">
        <v>0</v>
      </c>
      <c r="N177" t="n">
        <v>0</v>
      </c>
      <c r="O177" t="n">
        <v>0</v>
      </c>
      <c r="P177" t="n">
        <v>0</v>
      </c>
      <c r="Q177" t="n">
        <v>1</v>
      </c>
      <c r="R177" t="n">
        <v>0</v>
      </c>
      <c r="S177" t="n">
        <v>1</v>
      </c>
      <c r="T177" t="n">
        <v>1</v>
      </c>
      <c r="U177" t="n">
        <v>0</v>
      </c>
      <c r="V177" s="2" t="inlineStr">
        <is>
          <t>Violettgrå tagellav</t>
        </is>
      </c>
      <c r="W177">
        <f>HYPERLINK("https://klasma.github.io/Logging_2481/artfynd/A 30994-2026 artfynd.xlsx", "A 30994-2026")</f>
        <v/>
      </c>
      <c r="X177">
        <f>HYPERLINK("https://klasma.github.io/Logging_2481/kartor/A 30994-2026 karta.png", "A 30994-2026")</f>
        <v/>
      </c>
      <c r="Y177">
        <f>HYPERLINK("https://klasma.github.io/Logging_2481/kartor_geotiff/A 30994-2026 georefererad karta.tif", "A 30994-2026")</f>
        <v/>
      </c>
      <c r="AA177">
        <f>HYPERLINK("https://klasma.github.io/Logging_2481/klagomål/A 30994-2026 FSC-klagomål.docx", "A 30994-2026")</f>
        <v/>
      </c>
      <c r="AB177">
        <f>HYPERLINK("https://klasma.github.io/Logging_2481/klagomålsmail/A 30994-2026 FSC-klagomål mail.docx", "A 30994-2026")</f>
        <v/>
      </c>
      <c r="AC177">
        <f>HYPERLINK("https://klasma.github.io/Logging_2481/tillsyn/A 30994-2026 tillsynsbegäran.docx", "A 30994-2026")</f>
        <v/>
      </c>
      <c r="AD177">
        <f>HYPERLINK("https://klasma.github.io/Logging_2481/tillsynsmail/A 30994-2026 tillsynsbegäran mail.docx", "A 30994-2026")</f>
        <v/>
      </c>
    </row>
    <row r="178" ht="15" customHeight="1">
      <c r="A178" t="inlineStr">
        <is>
          <t>A 50018-2024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45599</v>
      </c>
      <c r="E178" s="1" t="n">
        <v>46227</v>
      </c>
      <c r="F178" t="inlineStr">
        <is>
          <t>VÄSTERBOTTENS LÄN</t>
        </is>
      </c>
      <c r="G178" t="inlineStr">
        <is>
          <t>LYCKSELE</t>
        </is>
      </c>
      <c r="H178" t="inlineStr">
        <is>
          <t>Sveaskog</t>
        </is>
      </c>
      <c r="I178" t="n">
        <v>0.9</v>
      </c>
      <c r="J178" t="n">
        <v>0</v>
      </c>
      <c r="K178" t="n">
        <v>0</v>
      </c>
      <c r="L178" t="n">
        <v>1</v>
      </c>
      <c r="M178" t="n">
        <v>0</v>
      </c>
      <c r="N178" t="n">
        <v>0</v>
      </c>
      <c r="O178" t="n">
        <v>0</v>
      </c>
      <c r="P178" t="n">
        <v>0</v>
      </c>
      <c r="Q178" t="n">
        <v>1</v>
      </c>
      <c r="R178" t="n">
        <v>0</v>
      </c>
      <c r="S178" t="n">
        <v>1</v>
      </c>
      <c r="T178" t="n">
        <v>1</v>
      </c>
      <c r="U178" t="n">
        <v>0</v>
      </c>
      <c r="V178" s="2" t="inlineStr">
        <is>
          <t>Lunglav</t>
        </is>
      </c>
      <c r="W178">
        <f>HYPERLINK("https://klasma.github.io/Logging_2481/artfynd/A 50018-2024 artfynd.xlsx", "A 50018-2024")</f>
        <v/>
      </c>
      <c r="X178">
        <f>HYPERLINK("https://klasma.github.io/Logging_2481/kartor/A 50018-2024 karta.png", "A 50018-2024")</f>
        <v/>
      </c>
      <c r="Y178">
        <f>HYPERLINK("https://klasma.github.io/Logging_2481/kartor_geotiff/A 50018-2024 georefererad karta.tif", "A 50018-2024")</f>
        <v/>
      </c>
      <c r="AA178">
        <f>HYPERLINK("https://klasma.github.io/Logging_2481/klagomål/A 50018-2024 FSC-klagomål.docx", "A 50018-2024")</f>
        <v/>
      </c>
      <c r="AB178">
        <f>HYPERLINK("https://klasma.github.io/Logging_2481/klagomålsmail/A 50018-2024 FSC-klagomål mail.docx", "A 50018-2024")</f>
        <v/>
      </c>
      <c r="AC178">
        <f>HYPERLINK("https://klasma.github.io/Logging_2481/tillsyn/A 50018-2024 tillsynsbegäran.docx", "A 50018-2024")</f>
        <v/>
      </c>
      <c r="AD178">
        <f>HYPERLINK("https://klasma.github.io/Logging_2481/tillsynsmail/A 50018-2024 tillsynsbegäran mail.docx", "A 50018-2024")</f>
        <v/>
      </c>
    </row>
    <row r="179" ht="15" customHeight="1">
      <c r="A179" t="inlineStr">
        <is>
          <t>A 24824-2024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45461</v>
      </c>
      <c r="E179" s="1" t="n">
        <v>46227</v>
      </c>
      <c r="F179" t="inlineStr">
        <is>
          <t>VÄSTERBOTTENS LÄN</t>
        </is>
      </c>
      <c r="G179" t="inlineStr">
        <is>
          <t>LYCKSELE</t>
        </is>
      </c>
      <c r="H179" t="inlineStr">
        <is>
          <t>Sveaskog</t>
        </is>
      </c>
      <c r="I179" t="n">
        <v>6.1</v>
      </c>
      <c r="J179" t="n">
        <v>1</v>
      </c>
      <c r="K179" t="n">
        <v>0</v>
      </c>
      <c r="L179" t="n">
        <v>1</v>
      </c>
      <c r="M179" t="n">
        <v>0</v>
      </c>
      <c r="N179" t="n">
        <v>0</v>
      </c>
      <c r="O179" t="n">
        <v>0</v>
      </c>
      <c r="P179" t="n">
        <v>0</v>
      </c>
      <c r="Q179" t="n">
        <v>1</v>
      </c>
      <c r="R179" t="n">
        <v>0</v>
      </c>
      <c r="S179" t="n">
        <v>1</v>
      </c>
      <c r="T179" t="n">
        <v>1</v>
      </c>
      <c r="U179" t="n">
        <v>0</v>
      </c>
      <c r="V179" s="2" t="inlineStr">
        <is>
          <t>Kungsörn</t>
        </is>
      </c>
      <c r="W179">
        <f>HYPERLINK("https://klasma.github.io/Logging_2481/artfynd/A 24824-2024 artfynd.xlsx", "A 24824-2024")</f>
        <v/>
      </c>
      <c r="X179">
        <f>HYPERLINK("https://klasma.github.io/Logging_2481/kartor/A 24824-2024 karta.png", "A 24824-2024")</f>
        <v/>
      </c>
      <c r="Y179">
        <f>HYPERLINK("https://klasma.github.io/Logging_2481/kartor_geotiff/A 24824-2024 georefererad karta.tif", "A 24824-2024")</f>
        <v/>
      </c>
      <c r="AA179">
        <f>HYPERLINK("https://klasma.github.io/Logging_2481/klagomål/A 24824-2024 FSC-klagomål.docx", "A 24824-2024")</f>
        <v/>
      </c>
      <c r="AB179">
        <f>HYPERLINK("https://klasma.github.io/Logging_2481/klagomålsmail/A 24824-2024 FSC-klagomål mail.docx", "A 24824-2024")</f>
        <v/>
      </c>
      <c r="AC179">
        <f>HYPERLINK("https://klasma.github.io/Logging_2481/tillsyn/A 24824-2024 tillsynsbegäran.docx", "A 24824-2024")</f>
        <v/>
      </c>
      <c r="AD179">
        <f>HYPERLINK("https://klasma.github.io/Logging_2481/tillsynsmail/A 24824-2024 tillsynsbegäran mail.docx", "A 24824-2024")</f>
        <v/>
      </c>
      <c r="AE179">
        <f>HYPERLINK("https://klasma.github.io/Logging_2481/fåglar/A 24824-2024 prioriterade fågelarter.docx", "A 24824-2024")</f>
        <v/>
      </c>
    </row>
    <row r="180" ht="15" customHeight="1">
      <c r="A180" t="inlineStr">
        <is>
          <t>A 31290-2026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46218</v>
      </c>
      <c r="E180" s="1" t="n">
        <v>46227</v>
      </c>
      <c r="F180" t="inlineStr">
        <is>
          <t>VÄSTERBOTTENS LÄN</t>
        </is>
      </c>
      <c r="G180" t="inlineStr">
        <is>
          <t>LYCKSELE</t>
        </is>
      </c>
      <c r="H180" t="inlineStr">
        <is>
          <t>Sveaskog</t>
        </is>
      </c>
      <c r="I180" t="n">
        <v>10.8</v>
      </c>
      <c r="J180" t="n">
        <v>0</v>
      </c>
      <c r="K180" t="n">
        <v>0</v>
      </c>
      <c r="L180" t="n">
        <v>1</v>
      </c>
      <c r="M180" t="n">
        <v>0</v>
      </c>
      <c r="N180" t="n">
        <v>0</v>
      </c>
      <c r="O180" t="n">
        <v>0</v>
      </c>
      <c r="P180" t="n">
        <v>0</v>
      </c>
      <c r="Q180" t="n">
        <v>1</v>
      </c>
      <c r="R180" t="n">
        <v>0</v>
      </c>
      <c r="S180" t="n">
        <v>1</v>
      </c>
      <c r="T180" t="n">
        <v>1</v>
      </c>
      <c r="U180" t="n">
        <v>1</v>
      </c>
      <c r="V180" s="2" t="inlineStr">
        <is>
          <t>Kolflarnlav</t>
        </is>
      </c>
      <c r="W180">
        <f>HYPERLINK("https://klasma.github.io/Logging_2481/artfynd/A 31290-2026 artfynd.xlsx", "A 31290-2026")</f>
        <v/>
      </c>
      <c r="X180">
        <f>HYPERLINK("https://klasma.github.io/Logging_2481/kartor/A 31290-2026 karta.png", "A 31290-2026")</f>
        <v/>
      </c>
      <c r="Y180">
        <f>HYPERLINK("https://klasma.github.io/Logging_2481/kartor_geotiff/A 31290-2026 georefererad karta.tif", "A 31290-2026")</f>
        <v/>
      </c>
      <c r="AA180">
        <f>HYPERLINK("https://klasma.github.io/Logging_2481/klagomål/A 31290-2026 FSC-klagomål.docx", "A 31290-2026")</f>
        <v/>
      </c>
      <c r="AB180">
        <f>HYPERLINK("https://klasma.github.io/Logging_2481/klagomålsmail/A 31290-2026 FSC-klagomål mail.docx", "A 31290-2026")</f>
        <v/>
      </c>
      <c r="AC180">
        <f>HYPERLINK("https://klasma.github.io/Logging_2481/tillsyn/A 31290-2026 tillsynsbegäran.docx", "A 31290-2026")</f>
        <v/>
      </c>
      <c r="AD180">
        <f>HYPERLINK("https://klasma.github.io/Logging_2481/tillsynsmail/A 31290-2026 tillsynsbegäran mail.docx", "A 31290-2026")</f>
        <v/>
      </c>
    </row>
    <row r="181" ht="15" customHeight="1">
      <c r="A181" t="inlineStr">
        <is>
          <t>A 25591-2026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46177</v>
      </c>
      <c r="E181" s="1" t="n">
        <v>46227</v>
      </c>
      <c r="F181" t="inlineStr">
        <is>
          <t>VÄSTERBOTTENS LÄN</t>
        </is>
      </c>
      <c r="G181" t="inlineStr">
        <is>
          <t>LYCKSELE</t>
        </is>
      </c>
      <c r="H181" t="inlineStr">
        <is>
          <t>Sveaskog</t>
        </is>
      </c>
      <c r="I181" t="n">
        <v>15.9</v>
      </c>
      <c r="J181" t="n">
        <v>0</v>
      </c>
      <c r="K181" t="n">
        <v>0</v>
      </c>
      <c r="L181" t="n">
        <v>0</v>
      </c>
      <c r="M181" t="n">
        <v>1</v>
      </c>
      <c r="N181" t="n">
        <v>0</v>
      </c>
      <c r="O181" t="n">
        <v>0</v>
      </c>
      <c r="P181" t="n">
        <v>0</v>
      </c>
      <c r="Q181" t="n">
        <v>1</v>
      </c>
      <c r="R181" t="n">
        <v>1</v>
      </c>
      <c r="S181" t="n">
        <v>1</v>
      </c>
      <c r="T181" t="n">
        <v>1</v>
      </c>
      <c r="U181" t="n">
        <v>1</v>
      </c>
      <c r="V181" s="2" t="inlineStr">
        <is>
          <t>Gränsticka</t>
        </is>
      </c>
      <c r="W181">
        <f>HYPERLINK("https://klasma.github.io/Logging_2481/artfynd/A 25591-2026 artfynd.xlsx", "A 25591-2026")</f>
        <v/>
      </c>
      <c r="X181">
        <f>HYPERLINK("https://klasma.github.io/Logging_2481/kartor/A 25591-2026 karta.png", "A 25591-2026")</f>
        <v/>
      </c>
      <c r="Y181">
        <f>HYPERLINK("https://klasma.github.io/Logging_2481/kartor_geotiff/A 25591-2026 georefererad karta.tif", "A 25591-2026")</f>
        <v/>
      </c>
      <c r="AA181">
        <f>HYPERLINK("https://klasma.github.io/Logging_2481/klagomål/A 25591-2026 FSC-klagomål.docx", "A 25591-2026")</f>
        <v/>
      </c>
      <c r="AB181">
        <f>HYPERLINK("https://klasma.github.io/Logging_2481/klagomålsmail/A 25591-2026 FSC-klagomål mail.docx", "A 25591-2026")</f>
        <v/>
      </c>
      <c r="AC181">
        <f>HYPERLINK("https://klasma.github.io/Logging_2481/tillsyn/A 25591-2026 tillsynsbegäran.docx", "A 25591-2026")</f>
        <v/>
      </c>
      <c r="AD181">
        <f>HYPERLINK("https://klasma.github.io/Logging_2481/tillsynsmail/A 25591-2026 tillsynsbegäran mail.docx", "A 25591-2026")</f>
        <v/>
      </c>
    </row>
    <row r="182" ht="15" customHeight="1">
      <c r="A182" t="inlineStr">
        <is>
          <t>A 25701-2026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46178</v>
      </c>
      <c r="E182" s="1" t="n">
        <v>46227</v>
      </c>
      <c r="F182" t="inlineStr">
        <is>
          <t>VÄSTERBOTTENS LÄN</t>
        </is>
      </c>
      <c r="G182" t="inlineStr">
        <is>
          <t>LYCKSELE</t>
        </is>
      </c>
      <c r="H182" t="inlineStr">
        <is>
          <t>Sveaskog</t>
        </is>
      </c>
      <c r="I182" t="n">
        <v>8</v>
      </c>
      <c r="J182" t="n">
        <v>0</v>
      </c>
      <c r="K182" t="n">
        <v>0</v>
      </c>
      <c r="L182" t="n">
        <v>1</v>
      </c>
      <c r="M182" t="n">
        <v>0</v>
      </c>
      <c r="N182" t="n">
        <v>0</v>
      </c>
      <c r="O182" t="n">
        <v>0</v>
      </c>
      <c r="P182" t="n">
        <v>0</v>
      </c>
      <c r="Q182" t="n">
        <v>1</v>
      </c>
      <c r="R182" t="n">
        <v>0</v>
      </c>
      <c r="S182" t="n">
        <v>1</v>
      </c>
      <c r="T182" t="n">
        <v>1</v>
      </c>
      <c r="U182" t="n">
        <v>0</v>
      </c>
      <c r="V182" s="2" t="inlineStr">
        <is>
          <t>Skrovellav</t>
        </is>
      </c>
      <c r="W182">
        <f>HYPERLINK("https://klasma.github.io/Logging_2481/artfynd/A 25701-2026 artfynd.xlsx", "A 25701-2026")</f>
        <v/>
      </c>
      <c r="X182">
        <f>HYPERLINK("https://klasma.github.io/Logging_2481/kartor/A 25701-2026 karta.png", "A 25701-2026")</f>
        <v/>
      </c>
      <c r="Y182">
        <f>HYPERLINK("https://klasma.github.io/Logging_2481/kartor_geotiff/A 25701-2026 georefererad karta.tif", "A 25701-2026")</f>
        <v/>
      </c>
      <c r="AA182">
        <f>HYPERLINK("https://klasma.github.io/Logging_2481/klagomål/A 25701-2026 FSC-klagomål.docx", "A 25701-2026")</f>
        <v/>
      </c>
      <c r="AB182">
        <f>HYPERLINK("https://klasma.github.io/Logging_2481/klagomålsmail/A 25701-2026 FSC-klagomål mail.docx", "A 25701-2026")</f>
        <v/>
      </c>
      <c r="AC182">
        <f>HYPERLINK("https://klasma.github.io/Logging_2481/tillsyn/A 25701-2026 tillsynsbegäran.docx", "A 25701-2026")</f>
        <v/>
      </c>
      <c r="AD182">
        <f>HYPERLINK("https://klasma.github.io/Logging_2481/tillsynsmail/A 25701-2026 tillsynsbegäran mail.docx", "A 25701-2026")</f>
        <v/>
      </c>
    </row>
    <row r="183" ht="15" customHeight="1">
      <c r="A183" t="inlineStr">
        <is>
          <t>A 41793-2024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45561</v>
      </c>
      <c r="E183" s="1" t="n">
        <v>46227</v>
      </c>
      <c r="F183" t="inlineStr">
        <is>
          <t>VÄSTERBOTTENS LÄN</t>
        </is>
      </c>
      <c r="G183" t="inlineStr">
        <is>
          <t>LYCKSELE</t>
        </is>
      </c>
      <c r="H183" t="inlineStr">
        <is>
          <t>Sveaskog</t>
        </is>
      </c>
      <c r="I183" t="n">
        <v>7.1</v>
      </c>
      <c r="J183" t="n">
        <v>0</v>
      </c>
      <c r="K183" t="n">
        <v>0</v>
      </c>
      <c r="L183" t="n">
        <v>1</v>
      </c>
      <c r="M183" t="n">
        <v>0</v>
      </c>
      <c r="N183" t="n">
        <v>0</v>
      </c>
      <c r="O183" t="n">
        <v>0</v>
      </c>
      <c r="P183" t="n">
        <v>0</v>
      </c>
      <c r="Q183" t="n">
        <v>1</v>
      </c>
      <c r="R183" t="n">
        <v>0</v>
      </c>
      <c r="S183" t="n">
        <v>1</v>
      </c>
      <c r="T183" t="n">
        <v>1</v>
      </c>
      <c r="U183" t="n">
        <v>1</v>
      </c>
      <c r="V183" s="2" t="inlineStr">
        <is>
          <t>Lunglav</t>
        </is>
      </c>
      <c r="W183">
        <f>HYPERLINK("https://klasma.github.io/Logging_2481/artfynd/A 41793-2024 artfynd.xlsx", "A 41793-2024")</f>
        <v/>
      </c>
      <c r="X183">
        <f>HYPERLINK("https://klasma.github.io/Logging_2481/kartor/A 41793-2024 karta.png", "A 41793-2024")</f>
        <v/>
      </c>
      <c r="Y183">
        <f>HYPERLINK("https://klasma.github.io/Logging_2481/kartor_geotiff/A 41793-2024 georefererad karta.tif", "A 41793-2024")</f>
        <v/>
      </c>
      <c r="AA183">
        <f>HYPERLINK("https://klasma.github.io/Logging_2481/klagomål/A 41793-2024 FSC-klagomål.docx", "A 41793-2024")</f>
        <v/>
      </c>
      <c r="AB183">
        <f>HYPERLINK("https://klasma.github.io/Logging_2481/klagomålsmail/A 41793-2024 FSC-klagomål mail.docx", "A 41793-2024")</f>
        <v/>
      </c>
      <c r="AC183">
        <f>HYPERLINK("https://klasma.github.io/Logging_2481/tillsyn/A 41793-2024 tillsynsbegäran.docx", "A 41793-2024")</f>
        <v/>
      </c>
      <c r="AD183">
        <f>HYPERLINK("https://klasma.github.io/Logging_2481/tillsynsmail/A 41793-2024 tillsynsbegäran mail.docx", "A 41793-2024")</f>
        <v/>
      </c>
    </row>
    <row r="184" ht="15" customHeight="1">
      <c r="A184" t="inlineStr">
        <is>
          <t>A 25720-2026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46178</v>
      </c>
      <c r="E184" s="1" t="n">
        <v>46227</v>
      </c>
      <c r="F184" t="inlineStr">
        <is>
          <t>VÄSTERBOTTENS LÄN</t>
        </is>
      </c>
      <c r="G184" t="inlineStr">
        <is>
          <t>LYCKSELE</t>
        </is>
      </c>
      <c r="H184" t="inlineStr">
        <is>
          <t>Sveaskog</t>
        </is>
      </c>
      <c r="I184" t="n">
        <v>10.5</v>
      </c>
      <c r="J184" t="n">
        <v>0</v>
      </c>
      <c r="K184" t="n">
        <v>0</v>
      </c>
      <c r="L184" t="n">
        <v>1</v>
      </c>
      <c r="M184" t="n">
        <v>0</v>
      </c>
      <c r="N184" t="n">
        <v>0</v>
      </c>
      <c r="O184" t="n">
        <v>0</v>
      </c>
      <c r="P184" t="n">
        <v>0</v>
      </c>
      <c r="Q184" t="n">
        <v>1</v>
      </c>
      <c r="R184" t="n">
        <v>0</v>
      </c>
      <c r="S184" t="n">
        <v>1</v>
      </c>
      <c r="T184" t="n">
        <v>1</v>
      </c>
      <c r="U184" t="n">
        <v>1</v>
      </c>
      <c r="V184" s="2" t="inlineStr">
        <is>
          <t>Orange taggsvamp</t>
        </is>
      </c>
      <c r="W184">
        <f>HYPERLINK("https://klasma.github.io/Logging_2481/artfynd/A 25720-2026 artfynd.xlsx", "A 25720-2026")</f>
        <v/>
      </c>
      <c r="X184">
        <f>HYPERLINK("https://klasma.github.io/Logging_2481/kartor/A 25720-2026 karta.png", "A 25720-2026")</f>
        <v/>
      </c>
      <c r="Y184">
        <f>HYPERLINK("https://klasma.github.io/Logging_2481/kartor_geotiff/A 25720-2026 georefererad karta.tif", "A 25720-2026")</f>
        <v/>
      </c>
      <c r="AA184">
        <f>HYPERLINK("https://klasma.github.io/Logging_2481/klagomål/A 25720-2026 FSC-klagomål.docx", "A 25720-2026")</f>
        <v/>
      </c>
      <c r="AB184">
        <f>HYPERLINK("https://klasma.github.io/Logging_2481/klagomålsmail/A 25720-2026 FSC-klagomål mail.docx", "A 25720-2026")</f>
        <v/>
      </c>
      <c r="AC184">
        <f>HYPERLINK("https://klasma.github.io/Logging_2481/tillsyn/A 25720-2026 tillsynsbegäran.docx", "A 25720-2026")</f>
        <v/>
      </c>
      <c r="AD184">
        <f>HYPERLINK("https://klasma.github.io/Logging_2481/tillsynsmail/A 25720-2026 tillsynsbegäran mail.docx", "A 25720-2026")</f>
        <v/>
      </c>
    </row>
    <row r="185" ht="15" customHeight="1">
      <c r="A185" t="inlineStr">
        <is>
          <t>A 25706-2026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46178</v>
      </c>
      <c r="E185" s="1" t="n">
        <v>46227</v>
      </c>
      <c r="F185" t="inlineStr">
        <is>
          <t>VÄSTERBOTTENS LÄN</t>
        </is>
      </c>
      <c r="G185" t="inlineStr">
        <is>
          <t>LYCKSELE</t>
        </is>
      </c>
      <c r="H185" t="inlineStr">
        <is>
          <t>Sveaskog</t>
        </is>
      </c>
      <c r="I185" t="n">
        <v>7.9</v>
      </c>
      <c r="J185" t="n">
        <v>0</v>
      </c>
      <c r="K185" t="n">
        <v>0</v>
      </c>
      <c r="L185" t="n">
        <v>1</v>
      </c>
      <c r="M185" t="n">
        <v>0</v>
      </c>
      <c r="N185" t="n">
        <v>0</v>
      </c>
      <c r="O185" t="n">
        <v>0</v>
      </c>
      <c r="P185" t="n">
        <v>0</v>
      </c>
      <c r="Q185" t="n">
        <v>1</v>
      </c>
      <c r="R185" t="n">
        <v>0</v>
      </c>
      <c r="S185" t="n">
        <v>1</v>
      </c>
      <c r="T185" t="n">
        <v>1</v>
      </c>
      <c r="U185" t="n">
        <v>0</v>
      </c>
      <c r="V185" s="2" t="inlineStr">
        <is>
          <t>Lunglav</t>
        </is>
      </c>
      <c r="W185">
        <f>HYPERLINK("https://klasma.github.io/Logging_2481/artfynd/A 25706-2026 artfynd.xlsx", "A 25706-2026")</f>
        <v/>
      </c>
      <c r="X185">
        <f>HYPERLINK("https://klasma.github.io/Logging_2481/kartor/A 25706-2026 karta.png", "A 25706-2026")</f>
        <v/>
      </c>
      <c r="Y185">
        <f>HYPERLINK("https://klasma.github.io/Logging_2481/kartor_geotiff/A 25706-2026 georefererad karta.tif", "A 25706-2026")</f>
        <v/>
      </c>
      <c r="AA185">
        <f>HYPERLINK("https://klasma.github.io/Logging_2481/klagomål/A 25706-2026 FSC-klagomål.docx", "A 25706-2026")</f>
        <v/>
      </c>
      <c r="AB185">
        <f>HYPERLINK("https://klasma.github.io/Logging_2481/klagomålsmail/A 25706-2026 FSC-klagomål mail.docx", "A 25706-2026")</f>
        <v/>
      </c>
      <c r="AC185">
        <f>HYPERLINK("https://klasma.github.io/Logging_2481/tillsyn/A 25706-2026 tillsynsbegäran.docx", "A 25706-2026")</f>
        <v/>
      </c>
      <c r="AD185">
        <f>HYPERLINK("https://klasma.github.io/Logging_2481/tillsynsmail/A 25706-2026 tillsynsbegäran mail.docx", "A 25706-2026")</f>
        <v/>
      </c>
    </row>
    <row r="186" ht="15" customHeight="1">
      <c r="A186" t="inlineStr">
        <is>
          <t>S 156-2023</t>
        </is>
      </c>
      <c r="B186" t="inlineStr">
        <is>
          <t>samrådsanmälan</t>
        </is>
      </c>
      <c r="C186" t="inlineStr">
        <is>
          <t>Skogsgödsling</t>
        </is>
      </c>
      <c r="D186" s="1" t="n">
        <v>44943</v>
      </c>
      <c r="E186" s="1" t="n">
        <v>46227</v>
      </c>
      <c r="F186" t="inlineStr">
        <is>
          <t>VÄSTERBOTTENS LÄN</t>
        </is>
      </c>
      <c r="G186" t="inlineStr">
        <is>
          <t>LYCKSELE</t>
        </is>
      </c>
      <c r="H186" t="inlineStr">
        <is>
          <t>SCA</t>
        </is>
      </c>
      <c r="I186" t="n">
        <v>356.6</v>
      </c>
      <c r="J186" t="n">
        <v>0</v>
      </c>
      <c r="K186" t="n">
        <v>1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1</v>
      </c>
      <c r="T186" t="n">
        <v>1</v>
      </c>
      <c r="U186" t="n">
        <v>1</v>
      </c>
      <c r="V186" s="2" t="inlineStr">
        <is>
          <t>Norrlandslav</t>
        </is>
      </c>
      <c r="W186">
        <f>HYPERLINK("https://klasma.github.io/Logging_2481/artfynd/S 156-2023 artfynd.xlsx", "S 156-2023")</f>
        <v/>
      </c>
      <c r="X186">
        <f>HYPERLINK("https://klasma.github.io/Logging_2481/kartor/S 156-2023 karta.png", "S 156-2023")</f>
        <v/>
      </c>
      <c r="Y186">
        <f>HYPERLINK("https://klasma.github.io/Logging_2481/kartor_geotiff/S 156-2023 georefererad karta.tif", "S 156-2023")</f>
        <v/>
      </c>
      <c r="AA186">
        <f>HYPERLINK("https://klasma.github.io/Logging_2481/klagomål/S 156-2023 FSC-klagomål.docx", "S 156-2023")</f>
        <v/>
      </c>
      <c r="AB186">
        <f>HYPERLINK("https://klasma.github.io/Logging_2481/klagomålsmail/S 156-2023 FSC-klagomål mail.docx", "S 156-2023")</f>
        <v/>
      </c>
      <c r="AC186">
        <f>HYPERLINK("https://klasma.github.io/Logging_2481/tillsyn/S 156-2023 tillsynsbegäran.docx", "S 156-2023")</f>
        <v/>
      </c>
      <c r="AD186">
        <f>HYPERLINK("https://klasma.github.io/Logging_2481/tillsynsmail/S 156-2023 tillsynsbegäran mail.docx", "S 156-2023")</f>
        <v/>
      </c>
    </row>
    <row r="187" ht="15" customHeight="1">
      <c r="A187" t="inlineStr">
        <is>
          <t>S 454-2025</t>
        </is>
      </c>
      <c r="B187" t="inlineStr">
        <is>
          <t>samrådsanmälan</t>
        </is>
      </c>
      <c r="C187" t="inlineStr">
        <is>
          <t>Skogsgödsling</t>
        </is>
      </c>
      <c r="D187" s="1" t="n">
        <v>45701</v>
      </c>
      <c r="E187" s="1" t="n">
        <v>46227</v>
      </c>
      <c r="F187" t="inlineStr">
        <is>
          <t>VÄSTERBOTTENS LÄN</t>
        </is>
      </c>
      <c r="G187" t="inlineStr">
        <is>
          <t>LYCKSELE</t>
        </is>
      </c>
      <c r="H187" t="inlineStr">
        <is>
          <t>Holmen skog AB</t>
        </is>
      </c>
      <c r="I187" t="n">
        <v>74.3</v>
      </c>
      <c r="J187" t="n">
        <v>1</v>
      </c>
      <c r="K187" t="n">
        <v>0</v>
      </c>
      <c r="L187" t="n">
        <v>0</v>
      </c>
      <c r="M187" t="n">
        <v>1</v>
      </c>
      <c r="N187" t="n">
        <v>0</v>
      </c>
      <c r="O187" t="n">
        <v>0</v>
      </c>
      <c r="P187" t="n">
        <v>0</v>
      </c>
      <c r="Q187" t="n">
        <v>1</v>
      </c>
      <c r="R187" t="n">
        <v>1</v>
      </c>
      <c r="S187" t="n">
        <v>1</v>
      </c>
      <c r="T187" t="n">
        <v>1</v>
      </c>
      <c r="U187" t="n">
        <v>0</v>
      </c>
      <c r="V187" s="2" t="inlineStr">
        <is>
          <t>Doftticka</t>
        </is>
      </c>
      <c r="W187">
        <f>HYPERLINK("https://klasma.github.io/Logging_2481/artfynd/S 454-2025 artfynd.xlsx", "S 454-2025")</f>
        <v/>
      </c>
      <c r="X187">
        <f>HYPERLINK("https://klasma.github.io/Logging_2481/kartor/S 454-2025 karta.png", "S 454-2025")</f>
        <v/>
      </c>
      <c r="Y187">
        <f>HYPERLINK("https://klasma.github.io/Logging_2481/kartor_geotiff/S 454-2025 georefererad karta.tif", "S 454-2025")</f>
        <v/>
      </c>
      <c r="AA187">
        <f>HYPERLINK("https://klasma.github.io/Logging_2481/klagomål/S 454-2025 FSC-klagomål.docx", "S 454-2025")</f>
        <v/>
      </c>
      <c r="AB187">
        <f>HYPERLINK("https://klasma.github.io/Logging_2481/klagomålsmail/S 454-2025 FSC-klagomål mail.docx", "S 454-2025")</f>
        <v/>
      </c>
      <c r="AC187">
        <f>HYPERLINK("https://klasma.github.io/Logging_2481/tillsyn/S 454-2025 tillsynsbegäran.docx", "S 454-2025")</f>
        <v/>
      </c>
      <c r="AD187">
        <f>HYPERLINK("https://klasma.github.io/Logging_2481/tillsynsmail/S 454-2025 tillsynsbegäran mail.docx", "S 454-2025")</f>
        <v/>
      </c>
    </row>
    <row r="188" ht="15" customHeight="1">
      <c r="A188" t="inlineStr">
        <is>
          <t>A 37987-2021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44403</v>
      </c>
      <c r="E188" s="1" t="n">
        <v>46227</v>
      </c>
      <c r="F188" t="inlineStr">
        <is>
          <t>VÄSTERBOTTENS LÄN</t>
        </is>
      </c>
      <c r="G188" t="inlineStr">
        <is>
          <t>LYCKSELE</t>
        </is>
      </c>
      <c r="I188" t="n">
        <v>4.6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60044-2021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44495</v>
      </c>
      <c r="E189" s="1" t="n">
        <v>46227</v>
      </c>
      <c r="F189" t="inlineStr">
        <is>
          <t>VÄSTERBOTTENS LÄN</t>
        </is>
      </c>
      <c r="G189" t="inlineStr">
        <is>
          <t>LYCKSELE</t>
        </is>
      </c>
      <c r="H189" t="inlineStr">
        <is>
          <t>Sveaskog</t>
        </is>
      </c>
      <c r="I189" t="n">
        <v>3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36846-2022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44805</v>
      </c>
      <c r="E190" s="1" t="n">
        <v>46227</v>
      </c>
      <c r="F190" t="inlineStr">
        <is>
          <t>VÄSTERBOTTENS LÄN</t>
        </is>
      </c>
      <c r="G190" t="inlineStr">
        <is>
          <t>LYCKSELE</t>
        </is>
      </c>
      <c r="H190" t="inlineStr">
        <is>
          <t>Holmen skog AB</t>
        </is>
      </c>
      <c r="I190" t="n">
        <v>5.5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615-2022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44567</v>
      </c>
      <c r="E191" s="1" t="n">
        <v>46227</v>
      </c>
      <c r="F191" t="inlineStr">
        <is>
          <t>VÄSTERBOTTENS LÄN</t>
        </is>
      </c>
      <c r="G191" t="inlineStr">
        <is>
          <t>LYCKSELE</t>
        </is>
      </c>
      <c r="I191" t="n">
        <v>2.1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42144-2021</t>
        </is>
      </c>
      <c r="B192" t="inlineStr">
        <is>
          <t>avverkningsanmälan</t>
        </is>
      </c>
      <c r="C192" t="inlineStr">
        <is>
          <t>Avverkning för annat ändamål</t>
        </is>
      </c>
      <c r="D192" s="1" t="n">
        <v>44426</v>
      </c>
      <c r="E192" s="1" t="n">
        <v>46227</v>
      </c>
      <c r="F192" t="inlineStr">
        <is>
          <t>VÄSTERBOTTENS LÄN</t>
        </is>
      </c>
      <c r="G192" t="inlineStr">
        <is>
          <t>LYCKSELE</t>
        </is>
      </c>
      <c r="H192" t="inlineStr">
        <is>
          <t>Sveaskog</t>
        </is>
      </c>
      <c r="I192" t="n">
        <v>0.9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57821-2021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44484</v>
      </c>
      <c r="E193" s="1" t="n">
        <v>46227</v>
      </c>
      <c r="F193" t="inlineStr">
        <is>
          <t>VÄSTERBOTTENS LÄN</t>
        </is>
      </c>
      <c r="G193" t="inlineStr">
        <is>
          <t>LYCKSELE</t>
        </is>
      </c>
      <c r="I193" t="n">
        <v>1.9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3368-2022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44585</v>
      </c>
      <c r="E194" s="1" t="n">
        <v>46227</v>
      </c>
      <c r="F194" t="inlineStr">
        <is>
          <t>VÄSTERBOTTENS LÄN</t>
        </is>
      </c>
      <c r="G194" t="inlineStr">
        <is>
          <t>LYCKSELE</t>
        </is>
      </c>
      <c r="I194" t="n">
        <v>11.8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47018-2021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44446</v>
      </c>
      <c r="E195" s="1" t="n">
        <v>46227</v>
      </c>
      <c r="F195" t="inlineStr">
        <is>
          <t>VÄSTERBOTTENS LÄN</t>
        </is>
      </c>
      <c r="G195" t="inlineStr">
        <is>
          <t>LYCKSELE</t>
        </is>
      </c>
      <c r="I195" t="n">
        <v>1.8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53979-2021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44469</v>
      </c>
      <c r="E196" s="1" t="n">
        <v>46227</v>
      </c>
      <c r="F196" t="inlineStr">
        <is>
          <t>VÄSTERBOTTENS LÄN</t>
        </is>
      </c>
      <c r="G196" t="inlineStr">
        <is>
          <t>LYCKSELE</t>
        </is>
      </c>
      <c r="I196" t="n">
        <v>1.1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70213-2021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44535</v>
      </c>
      <c r="E197" s="1" t="n">
        <v>46227</v>
      </c>
      <c r="F197" t="inlineStr">
        <is>
          <t>VÄSTERBOTTENS LÄN</t>
        </is>
      </c>
      <c r="G197" t="inlineStr">
        <is>
          <t>LYCKSELE</t>
        </is>
      </c>
      <c r="I197" t="n">
        <v>0.3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37979-2021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44403</v>
      </c>
      <c r="E198" s="1" t="n">
        <v>46227</v>
      </c>
      <c r="F198" t="inlineStr">
        <is>
          <t>VÄSTERBOTTENS LÄN</t>
        </is>
      </c>
      <c r="G198" t="inlineStr">
        <is>
          <t>LYCKSELE</t>
        </is>
      </c>
      <c r="I198" t="n">
        <v>2.4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33235-2022</t>
        </is>
      </c>
      <c r="B199" t="inlineStr">
        <is>
          <t>avverkningsanmälan</t>
        </is>
      </c>
      <c r="C199" t="inlineStr">
        <is>
          <t>Avverkning för att bevara och utveckla /försöksver</t>
        </is>
      </c>
      <c r="D199" s="1" t="n">
        <v>44785</v>
      </c>
      <c r="E199" s="1" t="n">
        <v>46227</v>
      </c>
      <c r="F199" t="inlineStr">
        <is>
          <t>VÄSTERBOTTENS LÄN</t>
        </is>
      </c>
      <c r="G199" t="inlineStr">
        <is>
          <t>LYCKSELE</t>
        </is>
      </c>
      <c r="H199" t="inlineStr">
        <is>
          <t>SCA</t>
        </is>
      </c>
      <c r="I199" t="n">
        <v>1.7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53389-2022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44874</v>
      </c>
      <c r="E200" s="1" t="n">
        <v>46227</v>
      </c>
      <c r="F200" t="inlineStr">
        <is>
          <t>VÄSTERBOTTENS LÄN</t>
        </is>
      </c>
      <c r="G200" t="inlineStr">
        <is>
          <t>LYCKSELE</t>
        </is>
      </c>
      <c r="I200" t="n">
        <v>0.7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32663-2022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44783</v>
      </c>
      <c r="E201" s="1" t="n">
        <v>46227</v>
      </c>
      <c r="F201" t="inlineStr">
        <is>
          <t>VÄSTERBOTTENS LÄN</t>
        </is>
      </c>
      <c r="G201" t="inlineStr">
        <is>
          <t>LYCKSELE</t>
        </is>
      </c>
      <c r="H201" t="inlineStr">
        <is>
          <t>Sveaskog</t>
        </is>
      </c>
      <c r="I201" t="n">
        <v>3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36054-2022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44802</v>
      </c>
      <c r="E202" s="1" t="n">
        <v>46227</v>
      </c>
      <c r="F202" t="inlineStr">
        <is>
          <t>VÄSTERBOTTENS LÄN</t>
        </is>
      </c>
      <c r="G202" t="inlineStr">
        <is>
          <t>LYCKSELE</t>
        </is>
      </c>
      <c r="H202" t="inlineStr">
        <is>
          <t>Holmen skog AB</t>
        </is>
      </c>
      <c r="I202" t="n">
        <v>0.5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22076-2022</t>
        </is>
      </c>
      <c r="B203" t="inlineStr">
        <is>
          <t>avverkningsanmälan</t>
        </is>
      </c>
      <c r="C203" t="inlineStr">
        <is>
          <t>Avverkning för annat ändamål</t>
        </is>
      </c>
      <c r="D203" s="1" t="n">
        <v>44711</v>
      </c>
      <c r="E203" s="1" t="n">
        <v>46227</v>
      </c>
      <c r="F203" t="inlineStr">
        <is>
          <t>VÄSTERBOTTENS LÄN</t>
        </is>
      </c>
      <c r="G203" t="inlineStr">
        <is>
          <t>LYCKSELE</t>
        </is>
      </c>
      <c r="I203" t="n">
        <v>1.3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55565-2021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44475</v>
      </c>
      <c r="E204" s="1" t="n">
        <v>46227</v>
      </c>
      <c r="F204" t="inlineStr">
        <is>
          <t>VÄSTERBOTTENS LÄN</t>
        </is>
      </c>
      <c r="G204" t="inlineStr">
        <is>
          <t>LYCKSELE</t>
        </is>
      </c>
      <c r="H204" t="inlineStr">
        <is>
          <t>Holmen skog AB</t>
        </is>
      </c>
      <c r="I204" t="n">
        <v>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32998-2022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44784</v>
      </c>
      <c r="E205" s="1" t="n">
        <v>46227</v>
      </c>
      <c r="F205" t="inlineStr">
        <is>
          <t>VÄSTERBOTTENS LÄN</t>
        </is>
      </c>
      <c r="G205" t="inlineStr">
        <is>
          <t>LYCKSELE</t>
        </is>
      </c>
      <c r="H205" t="inlineStr">
        <is>
          <t>SCA</t>
        </is>
      </c>
      <c r="I205" t="n">
        <v>10.4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10302-2022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44622</v>
      </c>
      <c r="E206" s="1" t="n">
        <v>46227</v>
      </c>
      <c r="F206" t="inlineStr">
        <is>
          <t>VÄSTERBOTTENS LÄN</t>
        </is>
      </c>
      <c r="G206" t="inlineStr">
        <is>
          <t>LYCKSELE</t>
        </is>
      </c>
      <c r="I206" t="n">
        <v>13.8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38544-2021</t>
        </is>
      </c>
      <c r="B207" t="inlineStr">
        <is>
          <t>avverkningsanmälan</t>
        </is>
      </c>
      <c r="C207" t="inlineStr">
        <is>
          <t>Avverkning för annat ändamål</t>
        </is>
      </c>
      <c r="D207" s="1" t="n">
        <v>44407</v>
      </c>
      <c r="E207" s="1" t="n">
        <v>46227</v>
      </c>
      <c r="F207" t="inlineStr">
        <is>
          <t>VÄSTERBOTTENS LÄN</t>
        </is>
      </c>
      <c r="G207" t="inlineStr">
        <is>
          <t>LYCKSELE</t>
        </is>
      </c>
      <c r="H207" t="inlineStr">
        <is>
          <t>Sveaskog</t>
        </is>
      </c>
      <c r="I207" t="n">
        <v>2.9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38712-2021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44405</v>
      </c>
      <c r="E208" s="1" t="n">
        <v>46227</v>
      </c>
      <c r="F208" t="inlineStr">
        <is>
          <t>VÄSTERBOTTENS LÄN</t>
        </is>
      </c>
      <c r="G208" t="inlineStr">
        <is>
          <t>LYCKSELE</t>
        </is>
      </c>
      <c r="I208" t="n">
        <v>2.1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61511-2021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44501</v>
      </c>
      <c r="E209" s="1" t="n">
        <v>46227</v>
      </c>
      <c r="F209" t="inlineStr">
        <is>
          <t>VÄSTERBOTTENS LÄN</t>
        </is>
      </c>
      <c r="G209" t="inlineStr">
        <is>
          <t>LYCKSELE</t>
        </is>
      </c>
      <c r="H209" t="inlineStr">
        <is>
          <t>Sveaskog</t>
        </is>
      </c>
      <c r="I209" t="n">
        <v>1.2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59445-2021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44490</v>
      </c>
      <c r="E210" s="1" t="n">
        <v>46227</v>
      </c>
      <c r="F210" t="inlineStr">
        <is>
          <t>VÄSTERBOTTENS LÄN</t>
        </is>
      </c>
      <c r="G210" t="inlineStr">
        <is>
          <t>LYCKSELE</t>
        </is>
      </c>
      <c r="I210" t="n">
        <v>1.9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44097-2022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44839</v>
      </c>
      <c r="E211" s="1" t="n">
        <v>46227</v>
      </c>
      <c r="F211" t="inlineStr">
        <is>
          <t>VÄSTERBOTTENS LÄN</t>
        </is>
      </c>
      <c r="G211" t="inlineStr">
        <is>
          <t>LYCKSELE</t>
        </is>
      </c>
      <c r="H211" t="inlineStr">
        <is>
          <t>Holmen skog AB</t>
        </is>
      </c>
      <c r="I211" t="n">
        <v>3.1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30474-2022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44761</v>
      </c>
      <c r="E212" s="1" t="n">
        <v>46227</v>
      </c>
      <c r="F212" t="inlineStr">
        <is>
          <t>VÄSTERBOTTENS LÄN</t>
        </is>
      </c>
      <c r="G212" t="inlineStr">
        <is>
          <t>LYCKSELE</t>
        </is>
      </c>
      <c r="H212" t="inlineStr">
        <is>
          <t>SCA</t>
        </is>
      </c>
      <c r="I212" t="n">
        <v>14.9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36819-2022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44805</v>
      </c>
      <c r="E213" s="1" t="n">
        <v>46227</v>
      </c>
      <c r="F213" t="inlineStr">
        <is>
          <t>VÄSTERBOTTENS LÄN</t>
        </is>
      </c>
      <c r="G213" t="inlineStr">
        <is>
          <t>LYCKSELE</t>
        </is>
      </c>
      <c r="H213" t="inlineStr">
        <is>
          <t>Holmen skog AB</t>
        </is>
      </c>
      <c r="I213" t="n">
        <v>3.5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45270-2021</t>
        </is>
      </c>
      <c r="B214" t="inlineStr">
        <is>
          <t>avverkningsanmälan</t>
        </is>
      </c>
      <c r="C214" t="inlineStr">
        <is>
          <t>Avverkning för annat ändamål</t>
        </is>
      </c>
      <c r="D214" s="1" t="n">
        <v>44439</v>
      </c>
      <c r="E214" s="1" t="n">
        <v>46227</v>
      </c>
      <c r="F214" t="inlineStr">
        <is>
          <t>VÄSTERBOTTENS LÄN</t>
        </is>
      </c>
      <c r="G214" t="inlineStr">
        <is>
          <t>LYCKSELE</t>
        </is>
      </c>
      <c r="H214" t="inlineStr">
        <is>
          <t>Sveaskog</t>
        </is>
      </c>
      <c r="I214" t="n">
        <v>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27548-2022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44742</v>
      </c>
      <c r="E215" s="1" t="n">
        <v>46227</v>
      </c>
      <c r="F215" t="inlineStr">
        <is>
          <t>VÄSTERBOTTENS LÄN</t>
        </is>
      </c>
      <c r="G215" t="inlineStr">
        <is>
          <t>LYCKSELE</t>
        </is>
      </c>
      <c r="H215" t="inlineStr">
        <is>
          <t>Holmen skog AB</t>
        </is>
      </c>
      <c r="I215" t="n">
        <v>2.2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22075-2022</t>
        </is>
      </c>
      <c r="B216" t="inlineStr">
        <is>
          <t>avverkningsanmälan</t>
        </is>
      </c>
      <c r="C216" t="inlineStr">
        <is>
          <t>Avverkning för annat ändamål</t>
        </is>
      </c>
      <c r="D216" s="1" t="n">
        <v>44711</v>
      </c>
      <c r="E216" s="1" t="n">
        <v>46227</v>
      </c>
      <c r="F216" t="inlineStr">
        <is>
          <t>VÄSTERBOTTENS LÄN</t>
        </is>
      </c>
      <c r="G216" t="inlineStr">
        <is>
          <t>LYCKSELE</t>
        </is>
      </c>
      <c r="I216" t="n">
        <v>2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36869-2022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44805</v>
      </c>
      <c r="E217" s="1" t="n">
        <v>46227</v>
      </c>
      <c r="F217" t="inlineStr">
        <is>
          <t>VÄSTERBOTTENS LÄN</t>
        </is>
      </c>
      <c r="G217" t="inlineStr">
        <is>
          <t>LYCKSELE</t>
        </is>
      </c>
      <c r="H217" t="inlineStr">
        <is>
          <t>Holmen skog AB</t>
        </is>
      </c>
      <c r="I217" t="n">
        <v>2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61900-2021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44502</v>
      </c>
      <c r="E218" s="1" t="n">
        <v>46227</v>
      </c>
      <c r="F218" t="inlineStr">
        <is>
          <t>VÄSTERBOTTENS LÄN</t>
        </is>
      </c>
      <c r="G218" t="inlineStr">
        <is>
          <t>LYCKSELE</t>
        </is>
      </c>
      <c r="H218" t="inlineStr">
        <is>
          <t>Sveaskog</t>
        </is>
      </c>
      <c r="I218" t="n">
        <v>11.5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61907-2021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44502</v>
      </c>
      <c r="E219" s="1" t="n">
        <v>46227</v>
      </c>
      <c r="F219" t="inlineStr">
        <is>
          <t>VÄSTERBOTTENS LÄN</t>
        </is>
      </c>
      <c r="G219" t="inlineStr">
        <is>
          <t>LYCKSELE</t>
        </is>
      </c>
      <c r="H219" t="inlineStr">
        <is>
          <t>Sveaskog</t>
        </is>
      </c>
      <c r="I219" t="n">
        <v>4.2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61573-2021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44501</v>
      </c>
      <c r="E220" s="1" t="n">
        <v>46227</v>
      </c>
      <c r="F220" t="inlineStr">
        <is>
          <t>VÄSTERBOTTENS LÄN</t>
        </is>
      </c>
      <c r="G220" t="inlineStr">
        <is>
          <t>LYCKSELE</t>
        </is>
      </c>
      <c r="H220" t="inlineStr">
        <is>
          <t>Sveaskog</t>
        </is>
      </c>
      <c r="I220" t="n">
        <v>7.5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65487-2021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44515</v>
      </c>
      <c r="E221" s="1" t="n">
        <v>46227</v>
      </c>
      <c r="F221" t="inlineStr">
        <is>
          <t>VÄSTERBOTTENS LÄN</t>
        </is>
      </c>
      <c r="G221" t="inlineStr">
        <is>
          <t>LYCKSELE</t>
        </is>
      </c>
      <c r="I221" t="n">
        <v>0.5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61651-2021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44501</v>
      </c>
      <c r="E222" s="1" t="n">
        <v>46227</v>
      </c>
      <c r="F222" t="inlineStr">
        <is>
          <t>VÄSTERBOTTENS LÄN</t>
        </is>
      </c>
      <c r="G222" t="inlineStr">
        <is>
          <t>LYCKSELE</t>
        </is>
      </c>
      <c r="H222" t="inlineStr">
        <is>
          <t>Sveaskog</t>
        </is>
      </c>
      <c r="I222" t="n">
        <v>10.7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54794-2021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44473</v>
      </c>
      <c r="E223" s="1" t="n">
        <v>46227</v>
      </c>
      <c r="F223" t="inlineStr">
        <is>
          <t>VÄSTERBOTTENS LÄN</t>
        </is>
      </c>
      <c r="G223" t="inlineStr">
        <is>
          <t>LYCKSELE</t>
        </is>
      </c>
      <c r="H223" t="inlineStr">
        <is>
          <t>SCA</t>
        </is>
      </c>
      <c r="I223" t="n">
        <v>1.2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32668-2022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44783</v>
      </c>
      <c r="E224" s="1" t="n">
        <v>46227</v>
      </c>
      <c r="F224" t="inlineStr">
        <is>
          <t>VÄSTERBOTTENS LÄN</t>
        </is>
      </c>
      <c r="G224" t="inlineStr">
        <is>
          <t>LYCKSELE</t>
        </is>
      </c>
      <c r="H224" t="inlineStr">
        <is>
          <t>Sveaskog</t>
        </is>
      </c>
      <c r="I224" t="n">
        <v>5.4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56898-2021</t>
        </is>
      </c>
      <c r="B225" t="inlineStr">
        <is>
          <t>avverkningsanmälan</t>
        </is>
      </c>
      <c r="C225" t="inlineStr">
        <is>
          <t>Avverkning för annat ändamål</t>
        </is>
      </c>
      <c r="D225" s="1" t="n">
        <v>44481</v>
      </c>
      <c r="E225" s="1" t="n">
        <v>46227</v>
      </c>
      <c r="F225" t="inlineStr">
        <is>
          <t>VÄSTERBOTTENS LÄN</t>
        </is>
      </c>
      <c r="G225" t="inlineStr">
        <is>
          <t>LYCKSELE</t>
        </is>
      </c>
      <c r="H225" t="inlineStr">
        <is>
          <t>Naturvårdsverket</t>
        </is>
      </c>
      <c r="I225" t="n">
        <v>1.5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50779-2022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44867</v>
      </c>
      <c r="E226" s="1" t="n">
        <v>46227</v>
      </c>
      <c r="F226" t="inlineStr">
        <is>
          <t>VÄSTERBOTTENS LÄN</t>
        </is>
      </c>
      <c r="G226" t="inlineStr">
        <is>
          <t>LYCKSELE</t>
        </is>
      </c>
      <c r="H226" t="inlineStr">
        <is>
          <t>Sveaskog</t>
        </is>
      </c>
      <c r="I226" t="n">
        <v>2.6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25308-2022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44731</v>
      </c>
      <c r="E227" s="1" t="n">
        <v>46227</v>
      </c>
      <c r="F227" t="inlineStr">
        <is>
          <t>VÄSTERBOTTENS LÄN</t>
        </is>
      </c>
      <c r="G227" t="inlineStr">
        <is>
          <t>LYCKSELE</t>
        </is>
      </c>
      <c r="H227" t="inlineStr">
        <is>
          <t>Holmen skog AB</t>
        </is>
      </c>
      <c r="I227" t="n">
        <v>4.7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37423-2022</t>
        </is>
      </c>
      <c r="B228" t="inlineStr">
        <is>
          <t>avverkningsanmälan</t>
        </is>
      </c>
      <c r="C228" t="inlineStr">
        <is>
          <t>Avverkning för annat ändamål</t>
        </is>
      </c>
      <c r="D228" s="1" t="n">
        <v>44809</v>
      </c>
      <c r="E228" s="1" t="n">
        <v>46227</v>
      </c>
      <c r="F228" t="inlineStr">
        <is>
          <t>VÄSTERBOTTENS LÄN</t>
        </is>
      </c>
      <c r="G228" t="inlineStr">
        <is>
          <t>LYCKSELE</t>
        </is>
      </c>
      <c r="H228" t="inlineStr">
        <is>
          <t>SCA</t>
        </is>
      </c>
      <c r="I228" t="n">
        <v>2.6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42818-2021</t>
        </is>
      </c>
      <c r="B229" t="inlineStr">
        <is>
          <t>avverkningsanmälan</t>
        </is>
      </c>
      <c r="C229" t="inlineStr">
        <is>
          <t>Avverkning för annat ändamål</t>
        </is>
      </c>
      <c r="D229" s="1" t="n">
        <v>44429</v>
      </c>
      <c r="E229" s="1" t="n">
        <v>46227</v>
      </c>
      <c r="F229" t="inlineStr">
        <is>
          <t>VÄSTERBOTTENS LÄN</t>
        </is>
      </c>
      <c r="G229" t="inlineStr">
        <is>
          <t>LYCKSELE</t>
        </is>
      </c>
      <c r="I229" t="n">
        <v>0.9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53974-2021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44469</v>
      </c>
      <c r="E230" s="1" t="n">
        <v>46227</v>
      </c>
      <c r="F230" t="inlineStr">
        <is>
          <t>VÄSTERBOTTENS LÄN</t>
        </is>
      </c>
      <c r="G230" t="inlineStr">
        <is>
          <t>LYCKSELE</t>
        </is>
      </c>
      <c r="I230" t="n">
        <v>3.2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43579-2021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44433</v>
      </c>
      <c r="E231" s="1" t="n">
        <v>46227</v>
      </c>
      <c r="F231" t="inlineStr">
        <is>
          <t>VÄSTERBOTTENS LÄN</t>
        </is>
      </c>
      <c r="G231" t="inlineStr">
        <is>
          <t>LYCKSELE</t>
        </is>
      </c>
      <c r="I231" t="n">
        <v>7.7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16845-2022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44673</v>
      </c>
      <c r="E232" s="1" t="n">
        <v>46227</v>
      </c>
      <c r="F232" t="inlineStr">
        <is>
          <t>VÄSTERBOTTENS LÄN</t>
        </is>
      </c>
      <c r="G232" t="inlineStr">
        <is>
          <t>LYCKSELE</t>
        </is>
      </c>
      <c r="H232" t="inlineStr">
        <is>
          <t>SCA</t>
        </is>
      </c>
      <c r="I232" t="n">
        <v>1.7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63827-2021</t>
        </is>
      </c>
      <c r="B233" t="inlineStr">
        <is>
          <t>avverkningsanmälan</t>
        </is>
      </c>
      <c r="C233" t="inlineStr">
        <is>
          <t>Avverkning för annat ändamål</t>
        </is>
      </c>
      <c r="D233" s="1" t="n">
        <v>44509</v>
      </c>
      <c r="E233" s="1" t="n">
        <v>46227</v>
      </c>
      <c r="F233" t="inlineStr">
        <is>
          <t>VÄSTERBOTTENS LÄN</t>
        </is>
      </c>
      <c r="G233" t="inlineStr">
        <is>
          <t>LYCKSELE</t>
        </is>
      </c>
      <c r="H233" t="inlineStr">
        <is>
          <t>Sveaskog</t>
        </is>
      </c>
      <c r="I233" t="n">
        <v>0.8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229-2022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44564</v>
      </c>
      <c r="E234" s="1" t="n">
        <v>46227</v>
      </c>
      <c r="F234" t="inlineStr">
        <is>
          <t>VÄSTERBOTTENS LÄN</t>
        </is>
      </c>
      <c r="G234" t="inlineStr">
        <is>
          <t>LYCKSELE</t>
        </is>
      </c>
      <c r="I234" t="n">
        <v>5.6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72332-2021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44545</v>
      </c>
      <c r="E235" s="1" t="n">
        <v>46227</v>
      </c>
      <c r="F235" t="inlineStr">
        <is>
          <t>VÄSTERBOTTENS LÄN</t>
        </is>
      </c>
      <c r="G235" t="inlineStr">
        <is>
          <t>LYCKSELE</t>
        </is>
      </c>
      <c r="H235" t="inlineStr">
        <is>
          <t>Sveaskog</t>
        </is>
      </c>
      <c r="I235" t="n">
        <v>3.2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46474-2022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44846</v>
      </c>
      <c r="E236" s="1" t="n">
        <v>46227</v>
      </c>
      <c r="F236" t="inlineStr">
        <is>
          <t>VÄSTERBOTTENS LÄN</t>
        </is>
      </c>
      <c r="G236" t="inlineStr">
        <is>
          <t>LYCKSELE</t>
        </is>
      </c>
      <c r="I236" t="n">
        <v>7.2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69627-2021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44532</v>
      </c>
      <c r="E237" s="1" t="n">
        <v>46227</v>
      </c>
      <c r="F237" t="inlineStr">
        <is>
          <t>VÄSTERBOTTENS LÄN</t>
        </is>
      </c>
      <c r="G237" t="inlineStr">
        <is>
          <t>LYCKSELE</t>
        </is>
      </c>
      <c r="H237" t="inlineStr">
        <is>
          <t>Sveaskog</t>
        </is>
      </c>
      <c r="I237" t="n">
        <v>1.1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72377-2021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44544</v>
      </c>
      <c r="E238" s="1" t="n">
        <v>46227</v>
      </c>
      <c r="F238" t="inlineStr">
        <is>
          <t>VÄSTERBOTTENS LÄN</t>
        </is>
      </c>
      <c r="G238" t="inlineStr">
        <is>
          <t>LYCKSELE</t>
        </is>
      </c>
      <c r="I238" t="n">
        <v>2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45964-2022</t>
        </is>
      </c>
      <c r="B239" t="inlineStr">
        <is>
          <t>avverkningsanmälan</t>
        </is>
      </c>
      <c r="C239" t="inlineStr">
        <is>
          <t>Avverkning för annat ändamål</t>
        </is>
      </c>
      <c r="D239" s="1" t="n">
        <v>44846</v>
      </c>
      <c r="E239" s="1" t="n">
        <v>46227</v>
      </c>
      <c r="F239" t="inlineStr">
        <is>
          <t>VÄSTERBOTTENS LÄN</t>
        </is>
      </c>
      <c r="G239" t="inlineStr">
        <is>
          <t>LYCKSELE</t>
        </is>
      </c>
      <c r="H239" t="inlineStr">
        <is>
          <t>Holmen skog AB</t>
        </is>
      </c>
      <c r="I239" t="n">
        <v>1.2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28994-2022</t>
        </is>
      </c>
      <c r="B240" t="inlineStr">
        <is>
          <t>avverkningsanmälan</t>
        </is>
      </c>
      <c r="C240" t="inlineStr">
        <is>
          <t>Avverkning för annat ändamål</t>
        </is>
      </c>
      <c r="D240" s="1" t="n">
        <v>44749</v>
      </c>
      <c r="E240" s="1" t="n">
        <v>46227</v>
      </c>
      <c r="F240" t="inlineStr">
        <is>
          <t>VÄSTERBOTTENS LÄN</t>
        </is>
      </c>
      <c r="G240" t="inlineStr">
        <is>
          <t>LYCKSELE</t>
        </is>
      </c>
      <c r="I240" t="n">
        <v>1.6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57848-2021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44484</v>
      </c>
      <c r="E241" s="1" t="n">
        <v>46227</v>
      </c>
      <c r="F241" t="inlineStr">
        <is>
          <t>VÄSTERBOTTENS LÄN</t>
        </is>
      </c>
      <c r="G241" t="inlineStr">
        <is>
          <t>LYCKSELE</t>
        </is>
      </c>
      <c r="I241" t="n">
        <v>3.3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43556-2022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44837</v>
      </c>
      <c r="E242" s="1" t="n">
        <v>46227</v>
      </c>
      <c r="F242" t="inlineStr">
        <is>
          <t>VÄSTERBOTTENS LÄN</t>
        </is>
      </c>
      <c r="G242" t="inlineStr">
        <is>
          <t>LYCKSELE</t>
        </is>
      </c>
      <c r="I242" t="n">
        <v>2.7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53027-2022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44875</v>
      </c>
      <c r="E243" s="1" t="n">
        <v>46227</v>
      </c>
      <c r="F243" t="inlineStr">
        <is>
          <t>VÄSTERBOTTENS LÄN</t>
        </is>
      </c>
      <c r="G243" t="inlineStr">
        <is>
          <t>LYCKSELE</t>
        </is>
      </c>
      <c r="H243" t="inlineStr">
        <is>
          <t>SCA</t>
        </is>
      </c>
      <c r="I243" t="n">
        <v>4.5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69226-2021</t>
        </is>
      </c>
      <c r="B244" t="inlineStr">
        <is>
          <t>avverkningsanmälan</t>
        </is>
      </c>
      <c r="C244" t="inlineStr">
        <is>
          <t>Avverkning för annat ändamål</t>
        </is>
      </c>
      <c r="D244" s="1" t="n">
        <v>44531</v>
      </c>
      <c r="E244" s="1" t="n">
        <v>46227</v>
      </c>
      <c r="F244" t="inlineStr">
        <is>
          <t>VÄSTERBOTTENS LÄN</t>
        </is>
      </c>
      <c r="G244" t="inlineStr">
        <is>
          <t>LYCKSELE</t>
        </is>
      </c>
      <c r="I244" t="n">
        <v>0.6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65231-2021</t>
        </is>
      </c>
      <c r="B245" t="inlineStr">
        <is>
          <t>avverkningsanmälan</t>
        </is>
      </c>
      <c r="C245" t="inlineStr">
        <is>
          <t>Avverkning för annat ändamål</t>
        </is>
      </c>
      <c r="D245" s="1" t="n">
        <v>44513</v>
      </c>
      <c r="E245" s="1" t="n">
        <v>46227</v>
      </c>
      <c r="F245" t="inlineStr">
        <is>
          <t>VÄSTERBOTTENS LÄN</t>
        </is>
      </c>
      <c r="G245" t="inlineStr">
        <is>
          <t>LYCKSELE</t>
        </is>
      </c>
      <c r="I245" t="n">
        <v>1.3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45266-2021</t>
        </is>
      </c>
      <c r="B246" t="inlineStr">
        <is>
          <t>avverkningsanmälan</t>
        </is>
      </c>
      <c r="C246" t="inlineStr">
        <is>
          <t>Avverkning för annat ändamål</t>
        </is>
      </c>
      <c r="D246" s="1" t="n">
        <v>44439</v>
      </c>
      <c r="E246" s="1" t="n">
        <v>46227</v>
      </c>
      <c r="F246" t="inlineStr">
        <is>
          <t>VÄSTERBOTTENS LÄN</t>
        </is>
      </c>
      <c r="G246" t="inlineStr">
        <is>
          <t>LYCKSELE</t>
        </is>
      </c>
      <c r="H246" t="inlineStr">
        <is>
          <t>Sveaskog</t>
        </is>
      </c>
      <c r="I246" t="n">
        <v>0.6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70817-2021</t>
        </is>
      </c>
      <c r="B247" t="inlineStr">
        <is>
          <t>avverkningsanmälan</t>
        </is>
      </c>
      <c r="C247" t="inlineStr">
        <is>
          <t>Avverkning för att bevara och utveckla /försöksver</t>
        </is>
      </c>
      <c r="D247" s="1" t="n">
        <v>44537</v>
      </c>
      <c r="E247" s="1" t="n">
        <v>46227</v>
      </c>
      <c r="F247" t="inlineStr">
        <is>
          <t>VÄSTERBOTTENS LÄN</t>
        </is>
      </c>
      <c r="G247" t="inlineStr">
        <is>
          <t>LYCKSELE</t>
        </is>
      </c>
      <c r="H247" t="inlineStr">
        <is>
          <t>Naturvårdsverket</t>
        </is>
      </c>
      <c r="I247" t="n">
        <v>2.8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61554-2021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44501</v>
      </c>
      <c r="E248" s="1" t="n">
        <v>46227</v>
      </c>
      <c r="F248" t="inlineStr">
        <is>
          <t>VÄSTERBOTTENS LÄN</t>
        </is>
      </c>
      <c r="G248" t="inlineStr">
        <is>
          <t>LYCKSELE</t>
        </is>
      </c>
      <c r="H248" t="inlineStr">
        <is>
          <t>Sveaskog</t>
        </is>
      </c>
      <c r="I248" t="n">
        <v>2.5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44632-2021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44437</v>
      </c>
      <c r="E249" s="1" t="n">
        <v>46227</v>
      </c>
      <c r="F249" t="inlineStr">
        <is>
          <t>VÄSTERBOTTENS LÄN</t>
        </is>
      </c>
      <c r="G249" t="inlineStr">
        <is>
          <t>LYCKSELE</t>
        </is>
      </c>
      <c r="I249" t="n">
        <v>3.2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21058-2022</t>
        </is>
      </c>
      <c r="B250" t="inlineStr">
        <is>
          <t>avverkningsanmälan</t>
        </is>
      </c>
      <c r="C250" t="inlineStr">
        <is>
          <t>Avverkning för annat ändamål</t>
        </is>
      </c>
      <c r="D250" s="1" t="n">
        <v>44704</v>
      </c>
      <c r="E250" s="1" t="n">
        <v>46227</v>
      </c>
      <c r="F250" t="inlineStr">
        <is>
          <t>VÄSTERBOTTENS LÄN</t>
        </is>
      </c>
      <c r="G250" t="inlineStr">
        <is>
          <t>LYCKSELE</t>
        </is>
      </c>
      <c r="I250" t="n">
        <v>2.7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24478-2022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44726</v>
      </c>
      <c r="E251" s="1" t="n">
        <v>46227</v>
      </c>
      <c r="F251" t="inlineStr">
        <is>
          <t>VÄSTERBOTTENS LÄN</t>
        </is>
      </c>
      <c r="G251" t="inlineStr">
        <is>
          <t>LYCKSELE</t>
        </is>
      </c>
      <c r="I251" t="n">
        <v>2.5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49816-2021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44454</v>
      </c>
      <c r="E252" s="1" t="n">
        <v>46227</v>
      </c>
      <c r="F252" t="inlineStr">
        <is>
          <t>VÄSTERBOTTENS LÄN</t>
        </is>
      </c>
      <c r="G252" t="inlineStr">
        <is>
          <t>LYCKSELE</t>
        </is>
      </c>
      <c r="I252" t="n">
        <v>4.5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60437-2021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44496</v>
      </c>
      <c r="E253" s="1" t="n">
        <v>46227</v>
      </c>
      <c r="F253" t="inlineStr">
        <is>
          <t>VÄSTERBOTTENS LÄN</t>
        </is>
      </c>
      <c r="G253" t="inlineStr">
        <is>
          <t>LYCKSELE</t>
        </is>
      </c>
      <c r="H253" t="inlineStr">
        <is>
          <t>Sveaskog</t>
        </is>
      </c>
      <c r="I253" t="n">
        <v>4.9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47067-2021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44446</v>
      </c>
      <c r="E254" s="1" t="n">
        <v>46227</v>
      </c>
      <c r="F254" t="inlineStr">
        <is>
          <t>VÄSTERBOTTENS LÄN</t>
        </is>
      </c>
      <c r="G254" t="inlineStr">
        <is>
          <t>LYCKSELE</t>
        </is>
      </c>
      <c r="I254" t="n">
        <v>5.5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35485-2022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44798</v>
      </c>
      <c r="E255" s="1" t="n">
        <v>46227</v>
      </c>
      <c r="F255" t="inlineStr">
        <is>
          <t>VÄSTERBOTTENS LÄN</t>
        </is>
      </c>
      <c r="G255" t="inlineStr">
        <is>
          <t>LYCKSELE</t>
        </is>
      </c>
      <c r="I255" t="n">
        <v>0.4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41256-2022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44826</v>
      </c>
      <c r="E256" s="1" t="n">
        <v>46227</v>
      </c>
      <c r="F256" t="inlineStr">
        <is>
          <t>VÄSTERBOTTENS LÄN</t>
        </is>
      </c>
      <c r="G256" t="inlineStr">
        <is>
          <t>LYCKSELE</t>
        </is>
      </c>
      <c r="I256" t="n">
        <v>3.3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41101-2022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44820</v>
      </c>
      <c r="E257" s="1" t="n">
        <v>46227</v>
      </c>
      <c r="F257" t="inlineStr">
        <is>
          <t>VÄSTERBOTTENS LÄN</t>
        </is>
      </c>
      <c r="G257" t="inlineStr">
        <is>
          <t>LYCKSELE</t>
        </is>
      </c>
      <c r="I257" t="n">
        <v>13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30899-2024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45498</v>
      </c>
      <c r="E258" s="1" t="n">
        <v>46227</v>
      </c>
      <c r="F258" t="inlineStr">
        <is>
          <t>VÄSTERBOTTENS LÄN</t>
        </is>
      </c>
      <c r="G258" t="inlineStr">
        <is>
          <t>LYCKSELE</t>
        </is>
      </c>
      <c r="I258" t="n">
        <v>14.4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54234-2023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45232</v>
      </c>
      <c r="E259" s="1" t="n">
        <v>46227</v>
      </c>
      <c r="F259" t="inlineStr">
        <is>
          <t>VÄSTERBOTTENS LÄN</t>
        </is>
      </c>
      <c r="G259" t="inlineStr">
        <is>
          <t>LYCKSELE</t>
        </is>
      </c>
      <c r="H259" t="inlineStr">
        <is>
          <t>Holmen skog AB</t>
        </is>
      </c>
      <c r="I259" t="n">
        <v>4.2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20344-2025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45775</v>
      </c>
      <c r="E260" s="1" t="n">
        <v>46227</v>
      </c>
      <c r="F260" t="inlineStr">
        <is>
          <t>VÄSTERBOTTENS LÄN</t>
        </is>
      </c>
      <c r="G260" t="inlineStr">
        <is>
          <t>LYCKSELE</t>
        </is>
      </c>
      <c r="H260" t="inlineStr">
        <is>
          <t>Sveaskog</t>
        </is>
      </c>
      <c r="I260" t="n">
        <v>3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12336-2024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45378</v>
      </c>
      <c r="E261" s="1" t="n">
        <v>46227</v>
      </c>
      <c r="F261" t="inlineStr">
        <is>
          <t>VÄSTERBOTTENS LÄN</t>
        </is>
      </c>
      <c r="G261" t="inlineStr">
        <is>
          <t>LYCKSELE</t>
        </is>
      </c>
      <c r="I261" t="n">
        <v>1.1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14623-2025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45742</v>
      </c>
      <c r="E262" s="1" t="n">
        <v>46227</v>
      </c>
      <c r="F262" t="inlineStr">
        <is>
          <t>VÄSTERBOTTENS LÄN</t>
        </is>
      </c>
      <c r="G262" t="inlineStr">
        <is>
          <t>LYCKSELE</t>
        </is>
      </c>
      <c r="H262" t="inlineStr">
        <is>
          <t>Naturvårdsverket</t>
        </is>
      </c>
      <c r="I262" t="n">
        <v>10.4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38112-2024</t>
        </is>
      </c>
      <c r="B263" t="inlineStr">
        <is>
          <t>avverkningsanmälan</t>
        </is>
      </c>
      <c r="C263" t="inlineStr">
        <is>
          <t>Avverkning för att bevara och utveckla /försöksver</t>
        </is>
      </c>
      <c r="D263" s="1" t="n">
        <v>45545</v>
      </c>
      <c r="E263" s="1" t="n">
        <v>46227</v>
      </c>
      <c r="F263" t="inlineStr">
        <is>
          <t>VÄSTERBOTTENS LÄN</t>
        </is>
      </c>
      <c r="G263" t="inlineStr">
        <is>
          <t>LYCKSELE</t>
        </is>
      </c>
      <c r="H263" t="inlineStr">
        <is>
          <t>SCA</t>
        </is>
      </c>
      <c r="I263" t="n">
        <v>2.5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34043-2023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45135</v>
      </c>
      <c r="E264" s="1" t="n">
        <v>46227</v>
      </c>
      <c r="F264" t="inlineStr">
        <is>
          <t>VÄSTERBOTTENS LÄN</t>
        </is>
      </c>
      <c r="G264" t="inlineStr">
        <is>
          <t>LYCKSELE</t>
        </is>
      </c>
      <c r="H264" t="inlineStr">
        <is>
          <t>Holmen skog AB</t>
        </is>
      </c>
      <c r="I264" t="n">
        <v>1.6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51048-2023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45218</v>
      </c>
      <c r="E265" s="1" t="n">
        <v>46227</v>
      </c>
      <c r="F265" t="inlineStr">
        <is>
          <t>VÄSTERBOTTENS LÄN</t>
        </is>
      </c>
      <c r="G265" t="inlineStr">
        <is>
          <t>LYCKSELE</t>
        </is>
      </c>
      <c r="H265" t="inlineStr">
        <is>
          <t>Sveaskog</t>
        </is>
      </c>
      <c r="I265" t="n">
        <v>2.5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8727-2024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45356</v>
      </c>
      <c r="E266" s="1" t="n">
        <v>46227</v>
      </c>
      <c r="F266" t="inlineStr">
        <is>
          <t>VÄSTERBOTTENS LÄN</t>
        </is>
      </c>
      <c r="G266" t="inlineStr">
        <is>
          <t>LYCKSELE</t>
        </is>
      </c>
      <c r="I266" t="n">
        <v>1.6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13883-2025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45737</v>
      </c>
      <c r="E267" s="1" t="n">
        <v>46227</v>
      </c>
      <c r="F267" t="inlineStr">
        <is>
          <t>VÄSTERBOTTENS LÄN</t>
        </is>
      </c>
      <c r="G267" t="inlineStr">
        <is>
          <t>LYCKSELE</t>
        </is>
      </c>
      <c r="H267" t="inlineStr">
        <is>
          <t>Naturvårdsverket</t>
        </is>
      </c>
      <c r="I267" t="n">
        <v>7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9976-2024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45363</v>
      </c>
      <c r="E268" s="1" t="n">
        <v>46227</v>
      </c>
      <c r="F268" t="inlineStr">
        <is>
          <t>VÄSTERBOTTENS LÄN</t>
        </is>
      </c>
      <c r="G268" t="inlineStr">
        <is>
          <t>LYCKSELE</t>
        </is>
      </c>
      <c r="H268" t="inlineStr">
        <is>
          <t>Holmen skog AB</t>
        </is>
      </c>
      <c r="I268" t="n">
        <v>2.9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16183-2025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45750</v>
      </c>
      <c r="E269" s="1" t="n">
        <v>46227</v>
      </c>
      <c r="F269" t="inlineStr">
        <is>
          <t>VÄSTERBOTTENS LÄN</t>
        </is>
      </c>
      <c r="G269" t="inlineStr">
        <is>
          <t>LYCKSELE</t>
        </is>
      </c>
      <c r="H269" t="inlineStr">
        <is>
          <t>Sveaskog</t>
        </is>
      </c>
      <c r="I269" t="n">
        <v>2.1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24234-2023</t>
        </is>
      </c>
      <c r="B270" t="inlineStr">
        <is>
          <t>avverkningsanmälan</t>
        </is>
      </c>
      <c r="C270" t="inlineStr">
        <is>
          <t>Avverkning för annat ändamål</t>
        </is>
      </c>
      <c r="D270" s="1" t="n">
        <v>45079</v>
      </c>
      <c r="E270" s="1" t="n">
        <v>46227</v>
      </c>
      <c r="F270" t="inlineStr">
        <is>
          <t>VÄSTERBOTTENS LÄN</t>
        </is>
      </c>
      <c r="G270" t="inlineStr">
        <is>
          <t>LYCKSELE</t>
        </is>
      </c>
      <c r="I270" t="n">
        <v>3.3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11626-2024</t>
        </is>
      </c>
      <c r="B271" t="inlineStr">
        <is>
          <t>avverkningsanmälan</t>
        </is>
      </c>
      <c r="C271" t="inlineStr">
        <is>
          <t>Avverkning för annat ändamål</t>
        </is>
      </c>
      <c r="D271" s="1" t="n">
        <v>45373</v>
      </c>
      <c r="E271" s="1" t="n">
        <v>46227</v>
      </c>
      <c r="F271" t="inlineStr">
        <is>
          <t>VÄSTERBOTTENS LÄN</t>
        </is>
      </c>
      <c r="G271" t="inlineStr">
        <is>
          <t>LYCKSELE</t>
        </is>
      </c>
      <c r="I271" t="n">
        <v>0.1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51859-2025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45952</v>
      </c>
      <c r="E272" s="1" t="n">
        <v>46227</v>
      </c>
      <c r="F272" t="inlineStr">
        <is>
          <t>VÄSTERBOTTENS LÄN</t>
        </is>
      </c>
      <c r="G272" t="inlineStr">
        <is>
          <t>LYCKSELE</t>
        </is>
      </c>
      <c r="I272" t="n">
        <v>13.5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52755-2023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45225</v>
      </c>
      <c r="E273" s="1" t="n">
        <v>46227</v>
      </c>
      <c r="F273" t="inlineStr">
        <is>
          <t>VÄSTERBOTTENS LÄN</t>
        </is>
      </c>
      <c r="G273" t="inlineStr">
        <is>
          <t>LYCKSELE</t>
        </is>
      </c>
      <c r="H273" t="inlineStr">
        <is>
          <t>SCA</t>
        </is>
      </c>
      <c r="I273" t="n">
        <v>1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51748-2025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45951</v>
      </c>
      <c r="E274" s="1" t="n">
        <v>46227</v>
      </c>
      <c r="F274" t="inlineStr">
        <is>
          <t>VÄSTERBOTTENS LÄN</t>
        </is>
      </c>
      <c r="G274" t="inlineStr">
        <is>
          <t>LYCKSELE</t>
        </is>
      </c>
      <c r="H274" t="inlineStr">
        <is>
          <t>SCA</t>
        </is>
      </c>
      <c r="I274" t="n">
        <v>19.8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20685-2025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45776</v>
      </c>
      <c r="E275" s="1" t="n">
        <v>46227</v>
      </c>
      <c r="F275" t="inlineStr">
        <is>
          <t>VÄSTERBOTTENS LÄN</t>
        </is>
      </c>
      <c r="G275" t="inlineStr">
        <is>
          <t>LYCKSELE</t>
        </is>
      </c>
      <c r="I275" t="n">
        <v>0.9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39135-2025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45888</v>
      </c>
      <c r="E276" s="1" t="n">
        <v>46227</v>
      </c>
      <c r="F276" t="inlineStr">
        <is>
          <t>VÄSTERBOTTENS LÄN</t>
        </is>
      </c>
      <c r="G276" t="inlineStr">
        <is>
          <t>LYCKSELE</t>
        </is>
      </c>
      <c r="H276" t="inlineStr">
        <is>
          <t>Sveaskog</t>
        </is>
      </c>
      <c r="I276" t="n">
        <v>12.7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39162-2025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45888</v>
      </c>
      <c r="E277" s="1" t="n">
        <v>46227</v>
      </c>
      <c r="F277" t="inlineStr">
        <is>
          <t>VÄSTERBOTTENS LÄN</t>
        </is>
      </c>
      <c r="G277" t="inlineStr">
        <is>
          <t>LYCKSELE</t>
        </is>
      </c>
      <c r="H277" t="inlineStr">
        <is>
          <t>SCA</t>
        </is>
      </c>
      <c r="I277" t="n">
        <v>2.9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24810-2024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45460</v>
      </c>
      <c r="E278" s="1" t="n">
        <v>46227</v>
      </c>
      <c r="F278" t="inlineStr">
        <is>
          <t>VÄSTERBOTTENS LÄN</t>
        </is>
      </c>
      <c r="G278" t="inlineStr">
        <is>
          <t>LYCKSELE</t>
        </is>
      </c>
      <c r="H278" t="inlineStr">
        <is>
          <t>SCA</t>
        </is>
      </c>
      <c r="I278" t="n">
        <v>5.3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21046-2025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45777</v>
      </c>
      <c r="E279" s="1" t="n">
        <v>46227</v>
      </c>
      <c r="F279" t="inlineStr">
        <is>
          <t>VÄSTERBOTTENS LÄN</t>
        </is>
      </c>
      <c r="G279" t="inlineStr">
        <is>
          <t>LYCKSELE</t>
        </is>
      </c>
      <c r="H279" t="inlineStr">
        <is>
          <t>Holmen skog AB</t>
        </is>
      </c>
      <c r="I279" t="n">
        <v>1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20979-2025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45777</v>
      </c>
      <c r="E280" s="1" t="n">
        <v>46227</v>
      </c>
      <c r="F280" t="inlineStr">
        <is>
          <t>VÄSTERBOTTENS LÄN</t>
        </is>
      </c>
      <c r="G280" t="inlineStr">
        <is>
          <t>LYCKSELE</t>
        </is>
      </c>
      <c r="H280" t="inlineStr">
        <is>
          <t>Sveaskog</t>
        </is>
      </c>
      <c r="I280" t="n">
        <v>2.1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61281-2022</t>
        </is>
      </c>
      <c r="B281" t="inlineStr">
        <is>
          <t>avverkningsanmälan</t>
        </is>
      </c>
      <c r="C281" t="inlineStr">
        <is>
          <t>Avverkning för annat ändamål</t>
        </is>
      </c>
      <c r="D281" s="1" t="n">
        <v>44909</v>
      </c>
      <c r="E281" s="1" t="n">
        <v>46227</v>
      </c>
      <c r="F281" t="inlineStr">
        <is>
          <t>VÄSTERBOTTENS LÄN</t>
        </is>
      </c>
      <c r="G281" t="inlineStr">
        <is>
          <t>LYCKSELE</t>
        </is>
      </c>
      <c r="I281" t="n">
        <v>0.2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12333-2024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45378</v>
      </c>
      <c r="E282" s="1" t="n">
        <v>46227</v>
      </c>
      <c r="F282" t="inlineStr">
        <is>
          <t>VÄSTERBOTTENS LÄN</t>
        </is>
      </c>
      <c r="G282" t="inlineStr">
        <is>
          <t>LYCKSELE</t>
        </is>
      </c>
      <c r="I282" t="n">
        <v>2.3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38925-2025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45887</v>
      </c>
      <c r="E283" s="1" t="n">
        <v>46227</v>
      </c>
      <c r="F283" t="inlineStr">
        <is>
          <t>VÄSTERBOTTENS LÄN</t>
        </is>
      </c>
      <c r="G283" t="inlineStr">
        <is>
          <t>LYCKSELE</t>
        </is>
      </c>
      <c r="H283" t="inlineStr">
        <is>
          <t>Sveaskog</t>
        </is>
      </c>
      <c r="I283" t="n">
        <v>12.7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21266-2025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45779</v>
      </c>
      <c r="E284" s="1" t="n">
        <v>46227</v>
      </c>
      <c r="F284" t="inlineStr">
        <is>
          <t>VÄSTERBOTTENS LÄN</t>
        </is>
      </c>
      <c r="G284" t="inlineStr">
        <is>
          <t>LYCKSELE</t>
        </is>
      </c>
      <c r="H284" t="inlineStr">
        <is>
          <t>SCA</t>
        </is>
      </c>
      <c r="I284" t="n">
        <v>3.3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38777-2025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45887</v>
      </c>
      <c r="E285" s="1" t="n">
        <v>46227</v>
      </c>
      <c r="F285" t="inlineStr">
        <is>
          <t>VÄSTERBOTTENS LÄN</t>
        </is>
      </c>
      <c r="G285" t="inlineStr">
        <is>
          <t>LYCKSELE</t>
        </is>
      </c>
      <c r="H285" t="inlineStr">
        <is>
          <t>Sveaskog</t>
        </is>
      </c>
      <c r="I285" t="n">
        <v>3.5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39151-2025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45888</v>
      </c>
      <c r="E286" s="1" t="n">
        <v>46227</v>
      </c>
      <c r="F286" t="inlineStr">
        <is>
          <t>VÄSTERBOTTENS LÄN</t>
        </is>
      </c>
      <c r="G286" t="inlineStr">
        <is>
          <t>LYCKSELE</t>
        </is>
      </c>
      <c r="H286" t="inlineStr">
        <is>
          <t>Sveaskog</t>
        </is>
      </c>
      <c r="I286" t="n">
        <v>9.300000000000001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21861-2025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45784</v>
      </c>
      <c r="E287" s="1" t="n">
        <v>46227</v>
      </c>
      <c r="F287" t="inlineStr">
        <is>
          <t>VÄSTERBOTTENS LÄN</t>
        </is>
      </c>
      <c r="G287" t="inlineStr">
        <is>
          <t>LYCKSELE</t>
        </is>
      </c>
      <c r="H287" t="inlineStr">
        <is>
          <t>SCA</t>
        </is>
      </c>
      <c r="I287" t="n">
        <v>10.5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38922-2025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45887</v>
      </c>
      <c r="E288" s="1" t="n">
        <v>46227</v>
      </c>
      <c r="F288" t="inlineStr">
        <is>
          <t>VÄSTERBOTTENS LÄN</t>
        </is>
      </c>
      <c r="G288" t="inlineStr">
        <is>
          <t>LYCKSELE</t>
        </is>
      </c>
      <c r="H288" t="inlineStr">
        <is>
          <t>Sveaskog</t>
        </is>
      </c>
      <c r="I288" t="n">
        <v>12.2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38774-2025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45887</v>
      </c>
      <c r="E289" s="1" t="n">
        <v>46227</v>
      </c>
      <c r="F289" t="inlineStr">
        <is>
          <t>VÄSTERBOTTENS LÄN</t>
        </is>
      </c>
      <c r="G289" t="inlineStr">
        <is>
          <t>LYCKSELE</t>
        </is>
      </c>
      <c r="H289" t="inlineStr">
        <is>
          <t>Sveaskog</t>
        </is>
      </c>
      <c r="I289" t="n">
        <v>10.7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8941-2025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45713</v>
      </c>
      <c r="E290" s="1" t="n">
        <v>46227</v>
      </c>
      <c r="F290" t="inlineStr">
        <is>
          <t>VÄSTERBOTTENS LÄN</t>
        </is>
      </c>
      <c r="G290" t="inlineStr">
        <is>
          <t>LYCKSELE</t>
        </is>
      </c>
      <c r="I290" t="n">
        <v>3.7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21888-2025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45784</v>
      </c>
      <c r="E291" s="1" t="n">
        <v>46227</v>
      </c>
      <c r="F291" t="inlineStr">
        <is>
          <t>VÄSTERBOTTENS LÄN</t>
        </is>
      </c>
      <c r="G291" t="inlineStr">
        <is>
          <t>LYCKSELE</t>
        </is>
      </c>
      <c r="H291" t="inlineStr">
        <is>
          <t>Holmen skog AB</t>
        </is>
      </c>
      <c r="I291" t="n">
        <v>4.4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22309-2025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45786</v>
      </c>
      <c r="E292" s="1" t="n">
        <v>46227</v>
      </c>
      <c r="F292" t="inlineStr">
        <is>
          <t>VÄSTERBOTTENS LÄN</t>
        </is>
      </c>
      <c r="G292" t="inlineStr">
        <is>
          <t>LYCKSELE</t>
        </is>
      </c>
      <c r="H292" t="inlineStr">
        <is>
          <t>Holmen skog AB</t>
        </is>
      </c>
      <c r="I292" t="n">
        <v>3.1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41749-2024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45561</v>
      </c>
      <c r="E293" s="1" t="n">
        <v>46227</v>
      </c>
      <c r="F293" t="inlineStr">
        <is>
          <t>VÄSTERBOTTENS LÄN</t>
        </is>
      </c>
      <c r="G293" t="inlineStr">
        <is>
          <t>LYCKSELE</t>
        </is>
      </c>
      <c r="H293" t="inlineStr">
        <is>
          <t>Sveaskog</t>
        </is>
      </c>
      <c r="I293" t="n">
        <v>2.6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64391-2023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45280</v>
      </c>
      <c r="E294" s="1" t="n">
        <v>46227</v>
      </c>
      <c r="F294" t="inlineStr">
        <is>
          <t>VÄSTERBOTTENS LÄN</t>
        </is>
      </c>
      <c r="G294" t="inlineStr">
        <is>
          <t>LYCKSELE</t>
        </is>
      </c>
      <c r="I294" t="n">
        <v>5.8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19765-2024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45432</v>
      </c>
      <c r="E295" s="1" t="n">
        <v>46227</v>
      </c>
      <c r="F295" t="inlineStr">
        <is>
          <t>VÄSTERBOTTENS LÄN</t>
        </is>
      </c>
      <c r="G295" t="inlineStr">
        <is>
          <t>LYCKSELE</t>
        </is>
      </c>
      <c r="I295" t="n">
        <v>3.7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53320-2021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44468</v>
      </c>
      <c r="E296" s="1" t="n">
        <v>46227</v>
      </c>
      <c r="F296" t="inlineStr">
        <is>
          <t>VÄSTERBOTTENS LÄN</t>
        </is>
      </c>
      <c r="G296" t="inlineStr">
        <is>
          <t>LYCKSELE</t>
        </is>
      </c>
      <c r="I296" t="n">
        <v>0.9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22453-2025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45786</v>
      </c>
      <c r="E297" s="1" t="n">
        <v>46227</v>
      </c>
      <c r="F297" t="inlineStr">
        <is>
          <t>VÄSTERBOTTENS LÄN</t>
        </is>
      </c>
      <c r="G297" t="inlineStr">
        <is>
          <t>LYCKSELE</t>
        </is>
      </c>
      <c r="H297" t="inlineStr">
        <is>
          <t>Sveaskog</t>
        </is>
      </c>
      <c r="I297" t="n">
        <v>5.9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24361-2024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45457</v>
      </c>
      <c r="E298" s="1" t="n">
        <v>46227</v>
      </c>
      <c r="F298" t="inlineStr">
        <is>
          <t>VÄSTERBOTTENS LÄN</t>
        </is>
      </c>
      <c r="G298" t="inlineStr">
        <is>
          <t>LYCKSELE</t>
        </is>
      </c>
      <c r="H298" t="inlineStr">
        <is>
          <t>Sveaskog</t>
        </is>
      </c>
      <c r="I298" t="n">
        <v>7.3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22452-2025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45786</v>
      </c>
      <c r="E299" s="1" t="n">
        <v>46227</v>
      </c>
      <c r="F299" t="inlineStr">
        <is>
          <t>VÄSTERBOTTENS LÄN</t>
        </is>
      </c>
      <c r="G299" t="inlineStr">
        <is>
          <t>LYCKSELE</t>
        </is>
      </c>
      <c r="H299" t="inlineStr">
        <is>
          <t>Sveaskog</t>
        </is>
      </c>
      <c r="I299" t="n">
        <v>11.4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22343-2025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45786</v>
      </c>
      <c r="E300" s="1" t="n">
        <v>46227</v>
      </c>
      <c r="F300" t="inlineStr">
        <is>
          <t>VÄSTERBOTTENS LÄN</t>
        </is>
      </c>
      <c r="G300" t="inlineStr">
        <is>
          <t>LYCKSELE</t>
        </is>
      </c>
      <c r="H300" t="inlineStr">
        <is>
          <t>SCA</t>
        </is>
      </c>
      <c r="I300" t="n">
        <v>4.7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22127-2025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45785</v>
      </c>
      <c r="E301" s="1" t="n">
        <v>46227</v>
      </c>
      <c r="F301" t="inlineStr">
        <is>
          <t>VÄSTERBOTTENS LÄN</t>
        </is>
      </c>
      <c r="G301" t="inlineStr">
        <is>
          <t>LYCKSELE</t>
        </is>
      </c>
      <c r="H301" t="inlineStr">
        <is>
          <t>Sveaskog</t>
        </is>
      </c>
      <c r="I301" t="n">
        <v>0.7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58920-2022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44896</v>
      </c>
      <c r="E302" s="1" t="n">
        <v>46227</v>
      </c>
      <c r="F302" t="inlineStr">
        <is>
          <t>VÄSTERBOTTENS LÄN</t>
        </is>
      </c>
      <c r="G302" t="inlineStr">
        <is>
          <t>LYCKSELE</t>
        </is>
      </c>
      <c r="I302" t="n">
        <v>20.5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38960-2025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45887</v>
      </c>
      <c r="E303" s="1" t="n">
        <v>46227</v>
      </c>
      <c r="F303" t="inlineStr">
        <is>
          <t>VÄSTERBOTTENS LÄN</t>
        </is>
      </c>
      <c r="G303" t="inlineStr">
        <is>
          <t>LYCKSELE</t>
        </is>
      </c>
      <c r="H303" t="inlineStr">
        <is>
          <t>SCA</t>
        </is>
      </c>
      <c r="I303" t="n">
        <v>3.6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39517-2025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45890</v>
      </c>
      <c r="E304" s="1" t="n">
        <v>46227</v>
      </c>
      <c r="F304" t="inlineStr">
        <is>
          <t>VÄSTERBOTTENS LÄN</t>
        </is>
      </c>
      <c r="G304" t="inlineStr">
        <is>
          <t>LYCKSELE</t>
        </is>
      </c>
      <c r="H304" t="inlineStr">
        <is>
          <t>Sveaskog</t>
        </is>
      </c>
      <c r="I304" t="n">
        <v>2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39543-2025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45890</v>
      </c>
      <c r="E305" s="1" t="n">
        <v>46227</v>
      </c>
      <c r="F305" t="inlineStr">
        <is>
          <t>VÄSTERBOTTENS LÄN</t>
        </is>
      </c>
      <c r="G305" t="inlineStr">
        <is>
          <t>LYCKSELE</t>
        </is>
      </c>
      <c r="H305" t="inlineStr">
        <is>
          <t>Sveaskog</t>
        </is>
      </c>
      <c r="I305" t="n">
        <v>12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22456-2025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45786</v>
      </c>
      <c r="E306" s="1" t="n">
        <v>46227</v>
      </c>
      <c r="F306" t="inlineStr">
        <is>
          <t>VÄSTERBOTTENS LÄN</t>
        </is>
      </c>
      <c r="G306" t="inlineStr">
        <is>
          <t>LYCKSELE</t>
        </is>
      </c>
      <c r="H306" t="inlineStr">
        <is>
          <t>Sveaskog</t>
        </is>
      </c>
      <c r="I306" t="n">
        <v>4.2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52941-2025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45957</v>
      </c>
      <c r="E307" s="1" t="n">
        <v>46227</v>
      </c>
      <c r="F307" t="inlineStr">
        <is>
          <t>VÄSTERBOTTENS LÄN</t>
        </is>
      </c>
      <c r="G307" t="inlineStr">
        <is>
          <t>LYCKSELE</t>
        </is>
      </c>
      <c r="I307" t="n">
        <v>0.6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32474-2024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45513</v>
      </c>
      <c r="E308" s="1" t="n">
        <v>46227</v>
      </c>
      <c r="F308" t="inlineStr">
        <is>
          <t>VÄSTERBOTTENS LÄN</t>
        </is>
      </c>
      <c r="G308" t="inlineStr">
        <is>
          <t>LYCKSELE</t>
        </is>
      </c>
      <c r="H308" t="inlineStr">
        <is>
          <t>Holmen skog AB</t>
        </is>
      </c>
      <c r="I308" t="n">
        <v>3.8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58975-2022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44903</v>
      </c>
      <c r="E309" s="1" t="n">
        <v>46227</v>
      </c>
      <c r="F309" t="inlineStr">
        <is>
          <t>VÄSTERBOTTENS LÄN</t>
        </is>
      </c>
      <c r="G309" t="inlineStr">
        <is>
          <t>LYCKSELE</t>
        </is>
      </c>
      <c r="H309" t="inlineStr">
        <is>
          <t>Holmen skog AB</t>
        </is>
      </c>
      <c r="I309" t="n">
        <v>2.2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39165-2021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44412</v>
      </c>
      <c r="E310" s="1" t="n">
        <v>46227</v>
      </c>
      <c r="F310" t="inlineStr">
        <is>
          <t>VÄSTERBOTTENS LÄN</t>
        </is>
      </c>
      <c r="G310" t="inlineStr">
        <is>
          <t>LYCKSELE</t>
        </is>
      </c>
      <c r="I310" t="n">
        <v>6.2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32854-2024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45516</v>
      </c>
      <c r="E311" s="1" t="n">
        <v>46227</v>
      </c>
      <c r="F311" t="inlineStr">
        <is>
          <t>VÄSTERBOTTENS LÄN</t>
        </is>
      </c>
      <c r="G311" t="inlineStr">
        <is>
          <t>LYCKSELE</t>
        </is>
      </c>
      <c r="I311" t="n">
        <v>0.9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39562-2025</t>
        </is>
      </c>
      <c r="B312" t="inlineStr">
        <is>
          <t>avverkningsanmälan</t>
        </is>
      </c>
      <c r="C312" t="inlineStr">
        <is>
          <t>Avverkning för att bevara och utveckla /försöksver</t>
        </is>
      </c>
      <c r="D312" s="1" t="n">
        <v>45890</v>
      </c>
      <c r="E312" s="1" t="n">
        <v>46227</v>
      </c>
      <c r="F312" t="inlineStr">
        <is>
          <t>VÄSTERBOTTENS LÄN</t>
        </is>
      </c>
      <c r="G312" t="inlineStr">
        <is>
          <t>LYCKSELE</t>
        </is>
      </c>
      <c r="H312" t="inlineStr">
        <is>
          <t>Sveaskog</t>
        </is>
      </c>
      <c r="I312" t="n">
        <v>2.3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39239-2025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45889</v>
      </c>
      <c r="E313" s="1" t="n">
        <v>46227</v>
      </c>
      <c r="F313" t="inlineStr">
        <is>
          <t>VÄSTERBOTTENS LÄN</t>
        </is>
      </c>
      <c r="G313" t="inlineStr">
        <is>
          <t>LYCKSELE</t>
        </is>
      </c>
      <c r="H313" t="inlineStr">
        <is>
          <t>Sveaskog</t>
        </is>
      </c>
      <c r="I313" t="n">
        <v>0.8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39436-2025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45889</v>
      </c>
      <c r="E314" s="1" t="n">
        <v>46227</v>
      </c>
      <c r="F314" t="inlineStr">
        <is>
          <t>VÄSTERBOTTENS LÄN</t>
        </is>
      </c>
      <c r="G314" t="inlineStr">
        <is>
          <t>LYCKSELE</t>
        </is>
      </c>
      <c r="H314" t="inlineStr">
        <is>
          <t>SCA</t>
        </is>
      </c>
      <c r="I314" t="n">
        <v>13.5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39458-2025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45889</v>
      </c>
      <c r="E315" s="1" t="n">
        <v>46227</v>
      </c>
      <c r="F315" t="inlineStr">
        <is>
          <t>VÄSTERBOTTENS LÄN</t>
        </is>
      </c>
      <c r="G315" t="inlineStr">
        <is>
          <t>LYCKSELE</t>
        </is>
      </c>
      <c r="H315" t="inlineStr">
        <is>
          <t>Sveaskog</t>
        </is>
      </c>
      <c r="I315" t="n">
        <v>7.8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39521-2025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45890</v>
      </c>
      <c r="E316" s="1" t="n">
        <v>46227</v>
      </c>
      <c r="F316" t="inlineStr">
        <is>
          <t>VÄSTERBOTTENS LÄN</t>
        </is>
      </c>
      <c r="G316" t="inlineStr">
        <is>
          <t>LYCKSELE</t>
        </is>
      </c>
      <c r="H316" t="inlineStr">
        <is>
          <t>Sveaskog</t>
        </is>
      </c>
      <c r="I316" t="n">
        <v>20.2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16563-2024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45408</v>
      </c>
      <c r="E317" s="1" t="n">
        <v>46227</v>
      </c>
      <c r="F317" t="inlineStr">
        <is>
          <t>VÄSTERBOTTENS LÄN</t>
        </is>
      </c>
      <c r="G317" t="inlineStr">
        <is>
          <t>LYCKSELE</t>
        </is>
      </c>
      <c r="I317" t="n">
        <v>2.3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22759-2025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45789</v>
      </c>
      <c r="E318" s="1" t="n">
        <v>46227</v>
      </c>
      <c r="F318" t="inlineStr">
        <is>
          <t>VÄSTERBOTTENS LÄN</t>
        </is>
      </c>
      <c r="G318" t="inlineStr">
        <is>
          <t>LYCKSELE</t>
        </is>
      </c>
      <c r="H318" t="inlineStr">
        <is>
          <t>Sveaskog</t>
        </is>
      </c>
      <c r="I318" t="n">
        <v>25.5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32690-2024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45515</v>
      </c>
      <c r="E319" s="1" t="n">
        <v>46227</v>
      </c>
      <c r="F319" t="inlineStr">
        <is>
          <t>VÄSTERBOTTENS LÄN</t>
        </is>
      </c>
      <c r="G319" t="inlineStr">
        <is>
          <t>LYCKSELE</t>
        </is>
      </c>
      <c r="I319" t="n">
        <v>2.1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22344-2025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45786</v>
      </c>
      <c r="E320" s="1" t="n">
        <v>46227</v>
      </c>
      <c r="F320" t="inlineStr">
        <is>
          <t>VÄSTERBOTTENS LÄN</t>
        </is>
      </c>
      <c r="G320" t="inlineStr">
        <is>
          <t>LYCKSELE</t>
        </is>
      </c>
      <c r="H320" t="inlineStr">
        <is>
          <t>SCA</t>
        </is>
      </c>
      <c r="I320" t="n">
        <v>2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60267-2022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44910</v>
      </c>
      <c r="E321" s="1" t="n">
        <v>46227</v>
      </c>
      <c r="F321" t="inlineStr">
        <is>
          <t>VÄSTERBOTTENS LÄN</t>
        </is>
      </c>
      <c r="G321" t="inlineStr">
        <is>
          <t>LYCKSELE</t>
        </is>
      </c>
      <c r="H321" t="inlineStr">
        <is>
          <t>Sveaskog</t>
        </is>
      </c>
      <c r="I321" t="n">
        <v>3.5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47182-2024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45586</v>
      </c>
      <c r="E322" s="1" t="n">
        <v>46227</v>
      </c>
      <c r="F322" t="inlineStr">
        <is>
          <t>VÄSTERBOTTENS LÄN</t>
        </is>
      </c>
      <c r="G322" t="inlineStr">
        <is>
          <t>LYCKSELE</t>
        </is>
      </c>
      <c r="H322" t="inlineStr">
        <is>
          <t>Sveaskog</t>
        </is>
      </c>
      <c r="I322" t="n">
        <v>0.4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39342-2025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45889</v>
      </c>
      <c r="E323" s="1" t="n">
        <v>46227</v>
      </c>
      <c r="F323" t="inlineStr">
        <is>
          <t>VÄSTERBOTTENS LÄN</t>
        </is>
      </c>
      <c r="G323" t="inlineStr">
        <is>
          <t>LYCKSELE</t>
        </is>
      </c>
      <c r="H323" t="inlineStr">
        <is>
          <t>Sveaskog</t>
        </is>
      </c>
      <c r="I323" t="n">
        <v>7.9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39552-2025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45890</v>
      </c>
      <c r="E324" s="1" t="n">
        <v>46227</v>
      </c>
      <c r="F324" t="inlineStr">
        <is>
          <t>VÄSTERBOTTENS LÄN</t>
        </is>
      </c>
      <c r="G324" t="inlineStr">
        <is>
          <t>LYCKSELE</t>
        </is>
      </c>
      <c r="H324" t="inlineStr">
        <is>
          <t>Sveaskog</t>
        </is>
      </c>
      <c r="I324" t="n">
        <v>3.7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31251-2024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45503</v>
      </c>
      <c r="E325" s="1" t="n">
        <v>46227</v>
      </c>
      <c r="F325" t="inlineStr">
        <is>
          <t>VÄSTERBOTTENS LÄN</t>
        </is>
      </c>
      <c r="G325" t="inlineStr">
        <is>
          <t>LYCKSELE</t>
        </is>
      </c>
      <c r="H325" t="inlineStr">
        <is>
          <t>Sveaskog</t>
        </is>
      </c>
      <c r="I325" t="n">
        <v>7.4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52945-2025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45957</v>
      </c>
      <c r="E326" s="1" t="n">
        <v>46227</v>
      </c>
      <c r="F326" t="inlineStr">
        <is>
          <t>VÄSTERBOTTENS LÄN</t>
        </is>
      </c>
      <c r="G326" t="inlineStr">
        <is>
          <t>LYCKSELE</t>
        </is>
      </c>
      <c r="I326" t="n">
        <v>1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39482-2025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45890</v>
      </c>
      <c r="E327" s="1" t="n">
        <v>46227</v>
      </c>
      <c r="F327" t="inlineStr">
        <is>
          <t>VÄSTERBOTTENS LÄN</t>
        </is>
      </c>
      <c r="G327" t="inlineStr">
        <is>
          <t>LYCKSELE</t>
        </is>
      </c>
      <c r="H327" t="inlineStr">
        <is>
          <t>Sveaskog</t>
        </is>
      </c>
      <c r="I327" t="n">
        <v>12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26071-2024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45468</v>
      </c>
      <c r="E328" s="1" t="n">
        <v>46227</v>
      </c>
      <c r="F328" t="inlineStr">
        <is>
          <t>VÄSTERBOTTENS LÄN</t>
        </is>
      </c>
      <c r="G328" t="inlineStr">
        <is>
          <t>LYCKSELE</t>
        </is>
      </c>
      <c r="I328" t="n">
        <v>8.1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40238-2025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45894</v>
      </c>
      <c r="E329" s="1" t="n">
        <v>46227</v>
      </c>
      <c r="F329" t="inlineStr">
        <is>
          <t>VÄSTERBOTTENS LÄN</t>
        </is>
      </c>
      <c r="G329" t="inlineStr">
        <is>
          <t>LYCKSELE</t>
        </is>
      </c>
      <c r="I329" t="n">
        <v>6.4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60117-2022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44909</v>
      </c>
      <c r="E330" s="1" t="n">
        <v>46227</v>
      </c>
      <c r="F330" t="inlineStr">
        <is>
          <t>VÄSTERBOTTENS LÄN</t>
        </is>
      </c>
      <c r="G330" t="inlineStr">
        <is>
          <t>LYCKSELE</t>
        </is>
      </c>
      <c r="H330" t="inlineStr">
        <is>
          <t>Sveaskog</t>
        </is>
      </c>
      <c r="I330" t="n">
        <v>1.8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60122-2022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44909</v>
      </c>
      <c r="E331" s="1" t="n">
        <v>46227</v>
      </c>
      <c r="F331" t="inlineStr">
        <is>
          <t>VÄSTERBOTTENS LÄN</t>
        </is>
      </c>
      <c r="G331" t="inlineStr">
        <is>
          <t>LYCKSELE</t>
        </is>
      </c>
      <c r="H331" t="inlineStr">
        <is>
          <t>Sveaskog</t>
        </is>
      </c>
      <c r="I331" t="n">
        <v>1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34567-2023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45140</v>
      </c>
      <c r="E332" s="1" t="n">
        <v>46227</v>
      </c>
      <c r="F332" t="inlineStr">
        <is>
          <t>VÄSTERBOTTENS LÄN</t>
        </is>
      </c>
      <c r="G332" t="inlineStr">
        <is>
          <t>LYCKSELE</t>
        </is>
      </c>
      <c r="H332" t="inlineStr">
        <is>
          <t>Sveaskog</t>
        </is>
      </c>
      <c r="I332" t="n">
        <v>1.3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36900-2023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45154</v>
      </c>
      <c r="E333" s="1" t="n">
        <v>46227</v>
      </c>
      <c r="F333" t="inlineStr">
        <is>
          <t>VÄSTERBOTTENS LÄN</t>
        </is>
      </c>
      <c r="G333" t="inlineStr">
        <is>
          <t>LYCKSELE</t>
        </is>
      </c>
      <c r="H333" t="inlineStr">
        <is>
          <t>Holmen skog AB</t>
        </is>
      </c>
      <c r="I333" t="n">
        <v>3.9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23801-2025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45793</v>
      </c>
      <c r="E334" s="1" t="n">
        <v>46227</v>
      </c>
      <c r="F334" t="inlineStr">
        <is>
          <t>VÄSTERBOTTENS LÄN</t>
        </is>
      </c>
      <c r="G334" t="inlineStr">
        <is>
          <t>LYCKSELE</t>
        </is>
      </c>
      <c r="H334" t="inlineStr">
        <is>
          <t>Holmen skog AB</t>
        </is>
      </c>
      <c r="I334" t="n">
        <v>4.6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33701-2024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45520</v>
      </c>
      <c r="E335" s="1" t="n">
        <v>46227</v>
      </c>
      <c r="F335" t="inlineStr">
        <is>
          <t>VÄSTERBOTTENS LÄN</t>
        </is>
      </c>
      <c r="G335" t="inlineStr">
        <is>
          <t>LYCKSELE</t>
        </is>
      </c>
      <c r="H335" t="inlineStr">
        <is>
          <t>Sveaskog</t>
        </is>
      </c>
      <c r="I335" t="n">
        <v>12.1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48997-2021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44453</v>
      </c>
      <c r="E336" s="1" t="n">
        <v>46227</v>
      </c>
      <c r="F336" t="inlineStr">
        <is>
          <t>VÄSTERBOTTENS LÄN</t>
        </is>
      </c>
      <c r="G336" t="inlineStr">
        <is>
          <t>LYCKSELE</t>
        </is>
      </c>
      <c r="I336" t="n">
        <v>4.6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53451-2025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45959</v>
      </c>
      <c r="E337" s="1" t="n">
        <v>46227</v>
      </c>
      <c r="F337" t="inlineStr">
        <is>
          <t>VÄSTERBOTTENS LÄN</t>
        </is>
      </c>
      <c r="G337" t="inlineStr">
        <is>
          <t>LYCKSELE</t>
        </is>
      </c>
      <c r="H337" t="inlineStr">
        <is>
          <t>SCA</t>
        </is>
      </c>
      <c r="I337" t="n">
        <v>12.1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60226-2022</t>
        </is>
      </c>
      <c r="B338" t="inlineStr">
        <is>
          <t>avverkningsanmälan</t>
        </is>
      </c>
      <c r="C338" t="inlineStr">
        <is>
          <t>Avverkning för att bevara och utveckla /försöksver</t>
        </is>
      </c>
      <c r="D338" s="1" t="n">
        <v>44910</v>
      </c>
      <c r="E338" s="1" t="n">
        <v>46227</v>
      </c>
      <c r="F338" t="inlineStr">
        <is>
          <t>VÄSTERBOTTENS LÄN</t>
        </is>
      </c>
      <c r="G338" t="inlineStr">
        <is>
          <t>LYCKSELE</t>
        </is>
      </c>
      <c r="I338" t="n">
        <v>5.4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24129-2025</t>
        </is>
      </c>
      <c r="B339" t="inlineStr">
        <is>
          <t>avverkningsanmälan</t>
        </is>
      </c>
      <c r="C339" t="inlineStr">
        <is>
          <t>Avverkning för annat ändamål</t>
        </is>
      </c>
      <c r="D339" s="1" t="n">
        <v>45796</v>
      </c>
      <c r="E339" s="1" t="n">
        <v>46227</v>
      </c>
      <c r="F339" t="inlineStr">
        <is>
          <t>VÄSTERBOTTENS LÄN</t>
        </is>
      </c>
      <c r="G339" t="inlineStr">
        <is>
          <t>LYCKSELE</t>
        </is>
      </c>
      <c r="H339" t="inlineStr">
        <is>
          <t>Holmen skog AB</t>
        </is>
      </c>
      <c r="I339" t="n">
        <v>4.9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58192-2023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45245</v>
      </c>
      <c r="E340" s="1" t="n">
        <v>46227</v>
      </c>
      <c r="F340" t="inlineStr">
        <is>
          <t>VÄSTERBOTTENS LÄN</t>
        </is>
      </c>
      <c r="G340" t="inlineStr">
        <is>
          <t>LYCKSELE</t>
        </is>
      </c>
      <c r="I340" t="n">
        <v>2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45503-2021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44440</v>
      </c>
      <c r="E341" s="1" t="n">
        <v>46227</v>
      </c>
      <c r="F341" t="inlineStr">
        <is>
          <t>VÄSTERBOTTENS LÄN</t>
        </is>
      </c>
      <c r="G341" t="inlineStr">
        <is>
          <t>LYCKSELE</t>
        </is>
      </c>
      <c r="I341" t="n">
        <v>29.1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17393-2023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45035</v>
      </c>
      <c r="E342" s="1" t="n">
        <v>46227</v>
      </c>
      <c r="F342" t="inlineStr">
        <is>
          <t>VÄSTERBOTTENS LÄN</t>
        </is>
      </c>
      <c r="G342" t="inlineStr">
        <is>
          <t>LYCKSELE</t>
        </is>
      </c>
      <c r="I342" t="n">
        <v>1.6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23315-2024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45453</v>
      </c>
      <c r="E343" s="1" t="n">
        <v>46227</v>
      </c>
      <c r="F343" t="inlineStr">
        <is>
          <t>VÄSTERBOTTENS LÄN</t>
        </is>
      </c>
      <c r="G343" t="inlineStr">
        <is>
          <t>LYCKSELE</t>
        </is>
      </c>
      <c r="I343" t="n">
        <v>7.3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40079-2025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45894</v>
      </c>
      <c r="E344" s="1" t="n">
        <v>46227</v>
      </c>
      <c r="F344" t="inlineStr">
        <is>
          <t>VÄSTERBOTTENS LÄN</t>
        </is>
      </c>
      <c r="G344" t="inlineStr">
        <is>
          <t>LYCKSELE</t>
        </is>
      </c>
      <c r="H344" t="inlineStr">
        <is>
          <t>Sveaskog</t>
        </is>
      </c>
      <c r="I344" t="n">
        <v>2.9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19270-2024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45428</v>
      </c>
      <c r="E345" s="1" t="n">
        <v>46227</v>
      </c>
      <c r="F345" t="inlineStr">
        <is>
          <t>VÄSTERBOTTENS LÄN</t>
        </is>
      </c>
      <c r="G345" t="inlineStr">
        <is>
          <t>LYCKSELE</t>
        </is>
      </c>
      <c r="H345" t="inlineStr">
        <is>
          <t>Holmen skog AB</t>
        </is>
      </c>
      <c r="I345" t="n">
        <v>11.1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31848-2024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45509</v>
      </c>
      <c r="E346" s="1" t="n">
        <v>46227</v>
      </c>
      <c r="F346" t="inlineStr">
        <is>
          <t>VÄSTERBOTTENS LÄN</t>
        </is>
      </c>
      <c r="G346" t="inlineStr">
        <is>
          <t>LYCKSELE</t>
        </is>
      </c>
      <c r="H346" t="inlineStr">
        <is>
          <t>Holmen skog AB</t>
        </is>
      </c>
      <c r="I346" t="n">
        <v>1.2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70195-2021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44534</v>
      </c>
      <c r="E347" s="1" t="n">
        <v>46227</v>
      </c>
      <c r="F347" t="inlineStr">
        <is>
          <t>VÄSTERBOTTENS LÄN</t>
        </is>
      </c>
      <c r="G347" t="inlineStr">
        <is>
          <t>LYCKSELE</t>
        </is>
      </c>
      <c r="I347" t="n">
        <v>1.4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24603-2025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45798</v>
      </c>
      <c r="E348" s="1" t="n">
        <v>46227</v>
      </c>
      <c r="F348" t="inlineStr">
        <is>
          <t>VÄSTERBOTTENS LÄN</t>
        </is>
      </c>
      <c r="G348" t="inlineStr">
        <is>
          <t>LYCKSELE</t>
        </is>
      </c>
      <c r="H348" t="inlineStr">
        <is>
          <t>SCA</t>
        </is>
      </c>
      <c r="I348" t="n">
        <v>8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29449-2024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45483</v>
      </c>
      <c r="E349" s="1" t="n">
        <v>46227</v>
      </c>
      <c r="F349" t="inlineStr">
        <is>
          <t>VÄSTERBOTTENS LÄN</t>
        </is>
      </c>
      <c r="G349" t="inlineStr">
        <is>
          <t>LYCKSELE</t>
        </is>
      </c>
      <c r="I349" t="n">
        <v>3.2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26483-2024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45469</v>
      </c>
      <c r="E350" s="1" t="n">
        <v>46227</v>
      </c>
      <c r="F350" t="inlineStr">
        <is>
          <t>VÄSTERBOTTENS LÄN</t>
        </is>
      </c>
      <c r="G350" t="inlineStr">
        <is>
          <t>LYCKSELE</t>
        </is>
      </c>
      <c r="H350" t="inlineStr">
        <is>
          <t>Sveaskog</t>
        </is>
      </c>
      <c r="I350" t="n">
        <v>0.2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66460-2021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44518</v>
      </c>
      <c r="E351" s="1" t="n">
        <v>46227</v>
      </c>
      <c r="F351" t="inlineStr">
        <is>
          <t>VÄSTERBOTTENS LÄN</t>
        </is>
      </c>
      <c r="G351" t="inlineStr">
        <is>
          <t>LYCKSELE</t>
        </is>
      </c>
      <c r="I351" t="n">
        <v>6.3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41711-2023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45176</v>
      </c>
      <c r="E352" s="1" t="n">
        <v>46227</v>
      </c>
      <c r="F352" t="inlineStr">
        <is>
          <t>VÄSTERBOTTENS LÄN</t>
        </is>
      </c>
      <c r="G352" t="inlineStr">
        <is>
          <t>LYCKSELE</t>
        </is>
      </c>
      <c r="H352" t="inlineStr">
        <is>
          <t>Holmen skog AB</t>
        </is>
      </c>
      <c r="I352" t="n">
        <v>2.9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24514-2025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45798</v>
      </c>
      <c r="E353" s="1" t="n">
        <v>46227</v>
      </c>
      <c r="F353" t="inlineStr">
        <is>
          <t>VÄSTERBOTTENS LÄN</t>
        </is>
      </c>
      <c r="G353" t="inlineStr">
        <is>
          <t>LYCKSELE</t>
        </is>
      </c>
      <c r="H353" t="inlineStr">
        <is>
          <t>Sveaskog</t>
        </is>
      </c>
      <c r="I353" t="n">
        <v>8.300000000000001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54893-2023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45236</v>
      </c>
      <c r="E354" s="1" t="n">
        <v>46227</v>
      </c>
      <c r="F354" t="inlineStr">
        <is>
          <t>VÄSTERBOTTENS LÄN</t>
        </is>
      </c>
      <c r="G354" t="inlineStr">
        <is>
          <t>LYCKSELE</t>
        </is>
      </c>
      <c r="H354" t="inlineStr">
        <is>
          <t>Sveaskog</t>
        </is>
      </c>
      <c r="I354" t="n">
        <v>6.5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14343-2024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45393</v>
      </c>
      <c r="E355" s="1" t="n">
        <v>46227</v>
      </c>
      <c r="F355" t="inlineStr">
        <is>
          <t>VÄSTERBOTTENS LÄN</t>
        </is>
      </c>
      <c r="G355" t="inlineStr">
        <is>
          <t>LYCKSELE</t>
        </is>
      </c>
      <c r="I355" t="n">
        <v>2.9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24729-2025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45799</v>
      </c>
      <c r="E356" s="1" t="n">
        <v>46227</v>
      </c>
      <c r="F356" t="inlineStr">
        <is>
          <t>VÄSTERBOTTENS LÄN</t>
        </is>
      </c>
      <c r="G356" t="inlineStr">
        <is>
          <t>LYCKSELE</t>
        </is>
      </c>
      <c r="H356" t="inlineStr">
        <is>
          <t>Holmen skog AB</t>
        </is>
      </c>
      <c r="I356" t="n">
        <v>4.8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25061-2025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45799</v>
      </c>
      <c r="E357" s="1" t="n">
        <v>46227</v>
      </c>
      <c r="F357" t="inlineStr">
        <is>
          <t>VÄSTERBOTTENS LÄN</t>
        </is>
      </c>
      <c r="G357" t="inlineStr">
        <is>
          <t>LYCKSELE</t>
        </is>
      </c>
      <c r="H357" t="inlineStr">
        <is>
          <t>SCA</t>
        </is>
      </c>
      <c r="I357" t="n">
        <v>13.7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24906-2025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45799</v>
      </c>
      <c r="E358" s="1" t="n">
        <v>46227</v>
      </c>
      <c r="F358" t="inlineStr">
        <is>
          <t>VÄSTERBOTTENS LÄN</t>
        </is>
      </c>
      <c r="G358" t="inlineStr">
        <is>
          <t>LYCKSELE</t>
        </is>
      </c>
      <c r="I358" t="n">
        <v>1.4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28893-2024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45479</v>
      </c>
      <c r="E359" s="1" t="n">
        <v>46227</v>
      </c>
      <c r="F359" t="inlineStr">
        <is>
          <t>VÄSTERBOTTENS LÄN</t>
        </is>
      </c>
      <c r="G359" t="inlineStr">
        <is>
          <t>LYCKSELE</t>
        </is>
      </c>
      <c r="H359" t="inlineStr">
        <is>
          <t>SCA</t>
        </is>
      </c>
      <c r="I359" t="n">
        <v>2.2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24770-2025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45799</v>
      </c>
      <c r="E360" s="1" t="n">
        <v>46227</v>
      </c>
      <c r="F360" t="inlineStr">
        <is>
          <t>VÄSTERBOTTENS LÄN</t>
        </is>
      </c>
      <c r="G360" t="inlineStr">
        <is>
          <t>LYCKSELE</t>
        </is>
      </c>
      <c r="H360" t="inlineStr">
        <is>
          <t>Holmen skog AB</t>
        </is>
      </c>
      <c r="I360" t="n">
        <v>8.5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47016-2022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44851</v>
      </c>
      <c r="E361" s="1" t="n">
        <v>46227</v>
      </c>
      <c r="F361" t="inlineStr">
        <is>
          <t>VÄSTERBOTTENS LÄN</t>
        </is>
      </c>
      <c r="G361" t="inlineStr">
        <is>
          <t>LYCKSELE</t>
        </is>
      </c>
      <c r="I361" t="n">
        <v>3.2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2758-2023</t>
        </is>
      </c>
      <c r="B362" t="inlineStr">
        <is>
          <t>avverkningsanmälan</t>
        </is>
      </c>
      <c r="C362" t="inlineStr">
        <is>
          <t>Avverkning för annat ändamål</t>
        </is>
      </c>
      <c r="D362" s="1" t="n">
        <v>44943</v>
      </c>
      <c r="E362" s="1" t="n">
        <v>46227</v>
      </c>
      <c r="F362" t="inlineStr">
        <is>
          <t>VÄSTERBOTTENS LÄN</t>
        </is>
      </c>
      <c r="G362" t="inlineStr">
        <is>
          <t>LYCKSELE</t>
        </is>
      </c>
      <c r="I362" t="n">
        <v>0.1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25581-2025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45803</v>
      </c>
      <c r="E363" s="1" t="n">
        <v>46227</v>
      </c>
      <c r="F363" t="inlineStr">
        <is>
          <t>VÄSTERBOTTENS LÄN</t>
        </is>
      </c>
      <c r="G363" t="inlineStr">
        <is>
          <t>LYCKSELE</t>
        </is>
      </c>
      <c r="I363" t="n">
        <v>1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25590-2025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45803</v>
      </c>
      <c r="E364" s="1" t="n">
        <v>46227</v>
      </c>
      <c r="F364" t="inlineStr">
        <is>
          <t>VÄSTERBOTTENS LÄN</t>
        </is>
      </c>
      <c r="G364" t="inlineStr">
        <is>
          <t>LYCKSELE</t>
        </is>
      </c>
      <c r="I364" t="n">
        <v>2.7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14773-2025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45742</v>
      </c>
      <c r="E365" s="1" t="n">
        <v>46227</v>
      </c>
      <c r="F365" t="inlineStr">
        <is>
          <t>VÄSTERBOTTENS LÄN</t>
        </is>
      </c>
      <c r="G365" t="inlineStr">
        <is>
          <t>LYCKSELE</t>
        </is>
      </c>
      <c r="H365" t="inlineStr">
        <is>
          <t>Holmen skog AB</t>
        </is>
      </c>
      <c r="I365" t="n">
        <v>50.1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25537-2025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45803</v>
      </c>
      <c r="E366" s="1" t="n">
        <v>46227</v>
      </c>
      <c r="F366" t="inlineStr">
        <is>
          <t>VÄSTERBOTTENS LÄN</t>
        </is>
      </c>
      <c r="G366" t="inlineStr">
        <is>
          <t>LYCKSELE</t>
        </is>
      </c>
      <c r="H366" t="inlineStr">
        <is>
          <t>Holmen skog AB</t>
        </is>
      </c>
      <c r="I366" t="n">
        <v>2.5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25655-2025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45803</v>
      </c>
      <c r="E367" s="1" t="n">
        <v>46227</v>
      </c>
      <c r="F367" t="inlineStr">
        <is>
          <t>VÄSTERBOTTENS LÄN</t>
        </is>
      </c>
      <c r="G367" t="inlineStr">
        <is>
          <t>LYCKSELE</t>
        </is>
      </c>
      <c r="H367" t="inlineStr">
        <is>
          <t>Sveaskog</t>
        </is>
      </c>
      <c r="I367" t="n">
        <v>1.3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60714-2022</t>
        </is>
      </c>
      <c r="B368" t="inlineStr">
        <is>
          <t>avverkningsanmälan</t>
        </is>
      </c>
      <c r="C368" t="inlineStr">
        <is>
          <t>Avverkning för att bevara och utveckla /försöksver</t>
        </is>
      </c>
      <c r="D368" s="1" t="n">
        <v>44912</v>
      </c>
      <c r="E368" s="1" t="n">
        <v>46227</v>
      </c>
      <c r="F368" t="inlineStr">
        <is>
          <t>VÄSTERBOTTENS LÄN</t>
        </is>
      </c>
      <c r="G368" t="inlineStr">
        <is>
          <t>LYCKSELE</t>
        </is>
      </c>
      <c r="H368" t="inlineStr">
        <is>
          <t>Sveaskog</t>
        </is>
      </c>
      <c r="I368" t="n">
        <v>1.9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64893-2021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44512</v>
      </c>
      <c r="E369" s="1" t="n">
        <v>46227</v>
      </c>
      <c r="F369" t="inlineStr">
        <is>
          <t>VÄSTERBOTTENS LÄN</t>
        </is>
      </c>
      <c r="G369" t="inlineStr">
        <is>
          <t>LYCKSELE</t>
        </is>
      </c>
      <c r="I369" t="n">
        <v>7.3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1812-2024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45307</v>
      </c>
      <c r="E370" s="1" t="n">
        <v>46227</v>
      </c>
      <c r="F370" t="inlineStr">
        <is>
          <t>VÄSTERBOTTENS LÄN</t>
        </is>
      </c>
      <c r="G370" t="inlineStr">
        <is>
          <t>LYCKSELE</t>
        </is>
      </c>
      <c r="H370" t="inlineStr">
        <is>
          <t>Sveaskog</t>
        </is>
      </c>
      <c r="I370" t="n">
        <v>14.9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54778-2024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45618</v>
      </c>
      <c r="E371" s="1" t="n">
        <v>46227</v>
      </c>
      <c r="F371" t="inlineStr">
        <is>
          <t>VÄSTERBOTTENS LÄN</t>
        </is>
      </c>
      <c r="G371" t="inlineStr">
        <is>
          <t>LYCKSELE</t>
        </is>
      </c>
      <c r="H371" t="inlineStr">
        <is>
          <t>Sveaskog</t>
        </is>
      </c>
      <c r="I371" t="n">
        <v>1.3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26318-2024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45468</v>
      </c>
      <c r="E372" s="1" t="n">
        <v>46227</v>
      </c>
      <c r="F372" t="inlineStr">
        <is>
          <t>VÄSTERBOTTENS LÄN</t>
        </is>
      </c>
      <c r="G372" t="inlineStr">
        <is>
          <t>LYCKSELE</t>
        </is>
      </c>
      <c r="H372" t="inlineStr">
        <is>
          <t>SCA</t>
        </is>
      </c>
      <c r="I372" t="n">
        <v>4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26228-2025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45805</v>
      </c>
      <c r="E373" s="1" t="n">
        <v>46227</v>
      </c>
      <c r="F373" t="inlineStr">
        <is>
          <t>VÄSTERBOTTENS LÄN</t>
        </is>
      </c>
      <c r="G373" t="inlineStr">
        <is>
          <t>LYCKSELE</t>
        </is>
      </c>
      <c r="H373" t="inlineStr">
        <is>
          <t>Sveaskog</t>
        </is>
      </c>
      <c r="I373" t="n">
        <v>3.2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55250-2024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45621</v>
      </c>
      <c r="E374" s="1" t="n">
        <v>46227</v>
      </c>
      <c r="F374" t="inlineStr">
        <is>
          <t>VÄSTERBOTTENS LÄN</t>
        </is>
      </c>
      <c r="G374" t="inlineStr">
        <is>
          <t>LYCKSELE</t>
        </is>
      </c>
      <c r="I374" t="n">
        <v>2.8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26622-2025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45810</v>
      </c>
      <c r="E375" s="1" t="n">
        <v>46227</v>
      </c>
      <c r="F375" t="inlineStr">
        <is>
          <t>VÄSTERBOTTENS LÄN</t>
        </is>
      </c>
      <c r="G375" t="inlineStr">
        <is>
          <t>LYCKSELE</t>
        </is>
      </c>
      <c r="I375" t="n">
        <v>3.6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73113-2021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44550</v>
      </c>
      <c r="E376" s="1" t="n">
        <v>46227</v>
      </c>
      <c r="F376" t="inlineStr">
        <is>
          <t>VÄSTERBOTTENS LÄN</t>
        </is>
      </c>
      <c r="G376" t="inlineStr">
        <is>
          <t>LYCKSELE</t>
        </is>
      </c>
      <c r="I376" t="n">
        <v>2.2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57108-2024</t>
        </is>
      </c>
      <c r="B377" t="inlineStr">
        <is>
          <t>avverkningsanmälan</t>
        </is>
      </c>
      <c r="C377" t="inlineStr">
        <is>
          <t>Avverkning för annat ändamål</t>
        </is>
      </c>
      <c r="D377" s="1" t="n">
        <v>45629</v>
      </c>
      <c r="E377" s="1" t="n">
        <v>46227</v>
      </c>
      <c r="F377" t="inlineStr">
        <is>
          <t>VÄSTERBOTTENS LÄN</t>
        </is>
      </c>
      <c r="G377" t="inlineStr">
        <is>
          <t>LYCKSELE</t>
        </is>
      </c>
      <c r="I377" t="n">
        <v>1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12261-2022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44637</v>
      </c>
      <c r="E378" s="1" t="n">
        <v>46227</v>
      </c>
      <c r="F378" t="inlineStr">
        <is>
          <t>VÄSTERBOTTENS LÄN</t>
        </is>
      </c>
      <c r="G378" t="inlineStr">
        <is>
          <t>LYCKSELE</t>
        </is>
      </c>
      <c r="I378" t="n">
        <v>30.8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3303-2024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45316</v>
      </c>
      <c r="E379" s="1" t="n">
        <v>46227</v>
      </c>
      <c r="F379" t="inlineStr">
        <is>
          <t>VÄSTERBOTTENS LÄN</t>
        </is>
      </c>
      <c r="G379" t="inlineStr">
        <is>
          <t>LYCKSELE</t>
        </is>
      </c>
      <c r="I379" t="n">
        <v>2.1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54906-2025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45967</v>
      </c>
      <c r="E380" s="1" t="n">
        <v>46227</v>
      </c>
      <c r="F380" t="inlineStr">
        <is>
          <t>VÄSTERBOTTENS LÄN</t>
        </is>
      </c>
      <c r="G380" t="inlineStr">
        <is>
          <t>LYCKSELE</t>
        </is>
      </c>
      <c r="I380" t="n">
        <v>24.9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60685-2022</t>
        </is>
      </c>
      <c r="B381" t="inlineStr">
        <is>
          <t>avverkningsanmälan</t>
        </is>
      </c>
      <c r="C381" t="inlineStr">
        <is>
          <t>Avverkning för annat ändamål</t>
        </is>
      </c>
      <c r="D381" s="1" t="n">
        <v>44911</v>
      </c>
      <c r="E381" s="1" t="n">
        <v>46227</v>
      </c>
      <c r="F381" t="inlineStr">
        <is>
          <t>VÄSTERBOTTENS LÄN</t>
        </is>
      </c>
      <c r="G381" t="inlineStr">
        <is>
          <t>LYCKSELE</t>
        </is>
      </c>
      <c r="H381" t="inlineStr">
        <is>
          <t>SCA</t>
        </is>
      </c>
      <c r="I381" t="n">
        <v>1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54943-2025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45967</v>
      </c>
      <c r="E382" s="1" t="n">
        <v>46227</v>
      </c>
      <c r="F382" t="inlineStr">
        <is>
          <t>VÄSTERBOTTENS LÄN</t>
        </is>
      </c>
      <c r="G382" t="inlineStr">
        <is>
          <t>LYCKSELE</t>
        </is>
      </c>
      <c r="H382" t="inlineStr">
        <is>
          <t>Sveaskog</t>
        </is>
      </c>
      <c r="I382" t="n">
        <v>1.6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55216-2025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45968</v>
      </c>
      <c r="E383" s="1" t="n">
        <v>46227</v>
      </c>
      <c r="F383" t="inlineStr">
        <is>
          <t>VÄSTERBOTTENS LÄN</t>
        </is>
      </c>
      <c r="G383" t="inlineStr">
        <is>
          <t>LYCKSELE</t>
        </is>
      </c>
      <c r="H383" t="inlineStr">
        <is>
          <t>Naturvårdsverket</t>
        </is>
      </c>
      <c r="I383" t="n">
        <v>8.699999999999999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54942-2025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45967</v>
      </c>
      <c r="E384" s="1" t="n">
        <v>46227</v>
      </c>
      <c r="F384" t="inlineStr">
        <is>
          <t>VÄSTERBOTTENS LÄN</t>
        </is>
      </c>
      <c r="G384" t="inlineStr">
        <is>
          <t>LYCKSELE</t>
        </is>
      </c>
      <c r="H384" t="inlineStr">
        <is>
          <t>Sveaskog</t>
        </is>
      </c>
      <c r="I384" t="n">
        <v>3.2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55187-2025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45968</v>
      </c>
      <c r="E385" s="1" t="n">
        <v>46227</v>
      </c>
      <c r="F385" t="inlineStr">
        <is>
          <t>VÄSTERBOTTENS LÄN</t>
        </is>
      </c>
      <c r="G385" t="inlineStr">
        <is>
          <t>LYCKSELE</t>
        </is>
      </c>
      <c r="H385" t="inlineStr">
        <is>
          <t>Sveaskog</t>
        </is>
      </c>
      <c r="I385" t="n">
        <v>8.9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26398-2025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45807</v>
      </c>
      <c r="E386" s="1" t="n">
        <v>46227</v>
      </c>
      <c r="F386" t="inlineStr">
        <is>
          <t>VÄSTERBOTTENS LÄN</t>
        </is>
      </c>
      <c r="G386" t="inlineStr">
        <is>
          <t>LYCKSELE</t>
        </is>
      </c>
      <c r="H386" t="inlineStr">
        <is>
          <t>Holmen skog AB</t>
        </is>
      </c>
      <c r="I386" t="n">
        <v>4.9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52039-2023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45223</v>
      </c>
      <c r="E387" s="1" t="n">
        <v>46227</v>
      </c>
      <c r="F387" t="inlineStr">
        <is>
          <t>VÄSTERBOTTENS LÄN</t>
        </is>
      </c>
      <c r="G387" t="inlineStr">
        <is>
          <t>LYCKSELE</t>
        </is>
      </c>
      <c r="H387" t="inlineStr">
        <is>
          <t>Sveaskog</t>
        </is>
      </c>
      <c r="I387" t="n">
        <v>4.4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38212-2024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45545</v>
      </c>
      <c r="E388" s="1" t="n">
        <v>46227</v>
      </c>
      <c r="F388" t="inlineStr">
        <is>
          <t>VÄSTERBOTTENS LÄN</t>
        </is>
      </c>
      <c r="G388" t="inlineStr">
        <is>
          <t>LYCKSELE</t>
        </is>
      </c>
      <c r="H388" t="inlineStr">
        <is>
          <t>Holmen skog AB</t>
        </is>
      </c>
      <c r="I388" t="n">
        <v>1.3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57818-2021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44484</v>
      </c>
      <c r="E389" s="1" t="n">
        <v>46227</v>
      </c>
      <c r="F389" t="inlineStr">
        <is>
          <t>VÄSTERBOTTENS LÄN</t>
        </is>
      </c>
      <c r="G389" t="inlineStr">
        <is>
          <t>LYCKSELE</t>
        </is>
      </c>
      <c r="I389" t="n">
        <v>5.4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26410-2025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45807</v>
      </c>
      <c r="E390" s="1" t="n">
        <v>46227</v>
      </c>
      <c r="F390" t="inlineStr">
        <is>
          <t>VÄSTERBOTTENS LÄN</t>
        </is>
      </c>
      <c r="G390" t="inlineStr">
        <is>
          <t>LYCKSELE</t>
        </is>
      </c>
      <c r="H390" t="inlineStr">
        <is>
          <t>Holmen skog AB</t>
        </is>
      </c>
      <c r="I390" t="n">
        <v>2.2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38114-2024</t>
        </is>
      </c>
      <c r="B391" t="inlineStr">
        <is>
          <t>avverkningsanmälan</t>
        </is>
      </c>
      <c r="C391" t="inlineStr">
        <is>
          <t>Avverkning för att bevara och utveckla /försöksver</t>
        </is>
      </c>
      <c r="D391" s="1" t="n">
        <v>45545</v>
      </c>
      <c r="E391" s="1" t="n">
        <v>46227</v>
      </c>
      <c r="F391" t="inlineStr">
        <is>
          <t>VÄSTERBOTTENS LÄN</t>
        </is>
      </c>
      <c r="G391" t="inlineStr">
        <is>
          <t>LYCKSELE</t>
        </is>
      </c>
      <c r="H391" t="inlineStr">
        <is>
          <t>SCA</t>
        </is>
      </c>
      <c r="I391" t="n">
        <v>1.6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41087-2025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45898</v>
      </c>
      <c r="E392" s="1" t="n">
        <v>46227</v>
      </c>
      <c r="F392" t="inlineStr">
        <is>
          <t>VÄSTERBOTTENS LÄN</t>
        </is>
      </c>
      <c r="G392" t="inlineStr">
        <is>
          <t>LYCKSELE</t>
        </is>
      </c>
      <c r="H392" t="inlineStr">
        <is>
          <t>Holmen skog AB</t>
        </is>
      </c>
      <c r="I392" t="n">
        <v>3.6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26951-2025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45811</v>
      </c>
      <c r="E393" s="1" t="n">
        <v>46227</v>
      </c>
      <c r="F393" t="inlineStr">
        <is>
          <t>VÄSTERBOTTENS LÄN</t>
        </is>
      </c>
      <c r="G393" t="inlineStr">
        <is>
          <t>LYCKSELE</t>
        </is>
      </c>
      <c r="H393" t="inlineStr">
        <is>
          <t>Holmen skog AB</t>
        </is>
      </c>
      <c r="I393" t="n">
        <v>3.1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64334-2023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45279</v>
      </c>
      <c r="E394" s="1" t="n">
        <v>46227</v>
      </c>
      <c r="F394" t="inlineStr">
        <is>
          <t>VÄSTERBOTTENS LÄN</t>
        </is>
      </c>
      <c r="G394" t="inlineStr">
        <is>
          <t>LYCKSELE</t>
        </is>
      </c>
      <c r="I394" t="n">
        <v>4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55627-2025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45972</v>
      </c>
      <c r="E395" s="1" t="n">
        <v>46227</v>
      </c>
      <c r="F395" t="inlineStr">
        <is>
          <t>VÄSTERBOTTENS LÄN</t>
        </is>
      </c>
      <c r="G395" t="inlineStr">
        <is>
          <t>LYCKSELE</t>
        </is>
      </c>
      <c r="I395" t="n">
        <v>14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55545-2025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45971</v>
      </c>
      <c r="E396" s="1" t="n">
        <v>46227</v>
      </c>
      <c r="F396" t="inlineStr">
        <is>
          <t>VÄSTERBOTTENS LÄN</t>
        </is>
      </c>
      <c r="G396" t="inlineStr">
        <is>
          <t>LYCKSELE</t>
        </is>
      </c>
      <c r="H396" t="inlineStr">
        <is>
          <t>SCA</t>
        </is>
      </c>
      <c r="I396" t="n">
        <v>8.300000000000001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30421-2024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45491</v>
      </c>
      <c r="E397" s="1" t="n">
        <v>46227</v>
      </c>
      <c r="F397" t="inlineStr">
        <is>
          <t>VÄSTERBOTTENS LÄN</t>
        </is>
      </c>
      <c r="G397" t="inlineStr">
        <is>
          <t>LYCKSELE</t>
        </is>
      </c>
      <c r="H397" t="inlineStr">
        <is>
          <t>Sveaskog</t>
        </is>
      </c>
      <c r="I397" t="n">
        <v>2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55666-2025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45972</v>
      </c>
      <c r="E398" s="1" t="n">
        <v>46227</v>
      </c>
      <c r="F398" t="inlineStr">
        <is>
          <t>VÄSTERBOTTENS LÄN</t>
        </is>
      </c>
      <c r="G398" t="inlineStr">
        <is>
          <t>LYCKSELE</t>
        </is>
      </c>
      <c r="H398" t="inlineStr">
        <is>
          <t>Holmen skog AB</t>
        </is>
      </c>
      <c r="I398" t="n">
        <v>2.9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27072-2025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45811</v>
      </c>
      <c r="E399" s="1" t="n">
        <v>46227</v>
      </c>
      <c r="F399" t="inlineStr">
        <is>
          <t>VÄSTERBOTTENS LÄN</t>
        </is>
      </c>
      <c r="G399" t="inlineStr">
        <is>
          <t>LYCKSELE</t>
        </is>
      </c>
      <c r="H399" t="inlineStr">
        <is>
          <t>Sveaskog</t>
        </is>
      </c>
      <c r="I399" t="n">
        <v>4.2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13563-2023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45006</v>
      </c>
      <c r="E400" s="1" t="n">
        <v>46227</v>
      </c>
      <c r="F400" t="inlineStr">
        <is>
          <t>VÄSTERBOTTENS LÄN</t>
        </is>
      </c>
      <c r="G400" t="inlineStr">
        <is>
          <t>LYCKSELE</t>
        </is>
      </c>
      <c r="I400" t="n">
        <v>2.6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27471-2025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45813</v>
      </c>
      <c r="E401" s="1" t="n">
        <v>46227</v>
      </c>
      <c r="F401" t="inlineStr">
        <is>
          <t>VÄSTERBOTTENS LÄN</t>
        </is>
      </c>
      <c r="G401" t="inlineStr">
        <is>
          <t>LYCKSELE</t>
        </is>
      </c>
      <c r="I401" t="n">
        <v>6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27595-2025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45813</v>
      </c>
      <c r="E402" s="1" t="n">
        <v>46227</v>
      </c>
      <c r="F402" t="inlineStr">
        <is>
          <t>VÄSTERBOTTENS LÄN</t>
        </is>
      </c>
      <c r="G402" t="inlineStr">
        <is>
          <t>LYCKSELE</t>
        </is>
      </c>
      <c r="I402" t="n">
        <v>10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27610-2025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45813</v>
      </c>
      <c r="E403" s="1" t="n">
        <v>46227</v>
      </c>
      <c r="F403" t="inlineStr">
        <is>
          <t>VÄSTERBOTTENS LÄN</t>
        </is>
      </c>
      <c r="G403" t="inlineStr">
        <is>
          <t>LYCKSELE</t>
        </is>
      </c>
      <c r="H403" t="inlineStr">
        <is>
          <t>Holmen skog AB</t>
        </is>
      </c>
      <c r="I403" t="n">
        <v>15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42887-2024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45566</v>
      </c>
      <c r="E404" s="1" t="n">
        <v>46227</v>
      </c>
      <c r="F404" t="inlineStr">
        <is>
          <t>VÄSTERBOTTENS LÄN</t>
        </is>
      </c>
      <c r="G404" t="inlineStr">
        <is>
          <t>LYCKSELE</t>
        </is>
      </c>
      <c r="I404" t="n">
        <v>0.5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27643-2025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45813</v>
      </c>
      <c r="E405" s="1" t="n">
        <v>46227</v>
      </c>
      <c r="F405" t="inlineStr">
        <is>
          <t>VÄSTERBOTTENS LÄN</t>
        </is>
      </c>
      <c r="G405" t="inlineStr">
        <is>
          <t>LYCKSELE</t>
        </is>
      </c>
      <c r="H405" t="inlineStr">
        <is>
          <t>SCA</t>
        </is>
      </c>
      <c r="I405" t="n">
        <v>6.3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21668-2024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45441</v>
      </c>
      <c r="E406" s="1" t="n">
        <v>46227</v>
      </c>
      <c r="F406" t="inlineStr">
        <is>
          <t>VÄSTERBOTTENS LÄN</t>
        </is>
      </c>
      <c r="G406" t="inlineStr">
        <is>
          <t>LYCKSELE</t>
        </is>
      </c>
      <c r="I406" t="n">
        <v>0.4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42075-2025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45902</v>
      </c>
      <c r="E407" s="1" t="n">
        <v>46227</v>
      </c>
      <c r="F407" t="inlineStr">
        <is>
          <t>VÄSTERBOTTENS LÄN</t>
        </is>
      </c>
      <c r="G407" t="inlineStr">
        <is>
          <t>LYCKSELE</t>
        </is>
      </c>
      <c r="I407" t="n">
        <v>4.5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55333-2025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45971</v>
      </c>
      <c r="E408" s="1" t="n">
        <v>46227</v>
      </c>
      <c r="F408" t="inlineStr">
        <is>
          <t>VÄSTERBOTTENS LÄN</t>
        </is>
      </c>
      <c r="G408" t="inlineStr">
        <is>
          <t>LYCKSELE</t>
        </is>
      </c>
      <c r="I408" t="n">
        <v>1.3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29277-2023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45105</v>
      </c>
      <c r="E409" s="1" t="n">
        <v>46227</v>
      </c>
      <c r="F409" t="inlineStr">
        <is>
          <t>VÄSTERBOTTENS LÄN</t>
        </is>
      </c>
      <c r="G409" t="inlineStr">
        <is>
          <t>LYCKSELE</t>
        </is>
      </c>
      <c r="H409" t="inlineStr">
        <is>
          <t>Naturvårdsverket</t>
        </is>
      </c>
      <c r="I409" t="n">
        <v>6.4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56172-2025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45974</v>
      </c>
      <c r="E410" s="1" t="n">
        <v>46227</v>
      </c>
      <c r="F410" t="inlineStr">
        <is>
          <t>VÄSTERBOTTENS LÄN</t>
        </is>
      </c>
      <c r="G410" t="inlineStr">
        <is>
          <t>LYCKSELE</t>
        </is>
      </c>
      <c r="I410" t="n">
        <v>0.6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30161-2024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45488</v>
      </c>
      <c r="E411" s="1" t="n">
        <v>46227</v>
      </c>
      <c r="F411" t="inlineStr">
        <is>
          <t>VÄSTERBOTTENS LÄN</t>
        </is>
      </c>
      <c r="G411" t="inlineStr">
        <is>
          <t>LYCKSELE</t>
        </is>
      </c>
      <c r="H411" t="inlineStr">
        <is>
          <t>Sveaskog</t>
        </is>
      </c>
      <c r="I411" t="n">
        <v>16.1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28306-2025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45818</v>
      </c>
      <c r="E412" s="1" t="n">
        <v>46227</v>
      </c>
      <c r="F412" t="inlineStr">
        <is>
          <t>VÄSTERBOTTENS LÄN</t>
        </is>
      </c>
      <c r="G412" t="inlineStr">
        <is>
          <t>LYCKSELE</t>
        </is>
      </c>
      <c r="H412" t="inlineStr">
        <is>
          <t>Sveaskog</t>
        </is>
      </c>
      <c r="I412" t="n">
        <v>3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41604-2025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45901</v>
      </c>
      <c r="E413" s="1" t="n">
        <v>46227</v>
      </c>
      <c r="F413" t="inlineStr">
        <is>
          <t>VÄSTERBOTTENS LÄN</t>
        </is>
      </c>
      <c r="G413" t="inlineStr">
        <is>
          <t>LYCKSELE</t>
        </is>
      </c>
      <c r="I413" t="n">
        <v>16.6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37950-2024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45544</v>
      </c>
      <c r="E414" s="1" t="n">
        <v>46227</v>
      </c>
      <c r="F414" t="inlineStr">
        <is>
          <t>VÄSTERBOTTENS LÄN</t>
        </is>
      </c>
      <c r="G414" t="inlineStr">
        <is>
          <t>LYCKSELE</t>
        </is>
      </c>
      <c r="H414" t="inlineStr">
        <is>
          <t>Sveaskog</t>
        </is>
      </c>
      <c r="I414" t="n">
        <v>2.3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5039-2025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45691</v>
      </c>
      <c r="E415" s="1" t="n">
        <v>46227</v>
      </c>
      <c r="F415" t="inlineStr">
        <is>
          <t>VÄSTERBOTTENS LÄN</t>
        </is>
      </c>
      <c r="G415" t="inlineStr">
        <is>
          <t>LYCKSELE</t>
        </is>
      </c>
      <c r="I415" t="n">
        <v>6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8313-2025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45708</v>
      </c>
      <c r="E416" s="1" t="n">
        <v>46227</v>
      </c>
      <c r="F416" t="inlineStr">
        <is>
          <t>VÄSTERBOTTENS LÄN</t>
        </is>
      </c>
      <c r="G416" t="inlineStr">
        <is>
          <t>LYCKSELE</t>
        </is>
      </c>
      <c r="H416" t="inlineStr">
        <is>
          <t>SCA</t>
        </is>
      </c>
      <c r="I416" t="n">
        <v>4.6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38623-2024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45546</v>
      </c>
      <c r="E417" s="1" t="n">
        <v>46227</v>
      </c>
      <c r="F417" t="inlineStr">
        <is>
          <t>VÄSTERBOTTENS LÄN</t>
        </is>
      </c>
      <c r="G417" t="inlineStr">
        <is>
          <t>LYCKSELE</t>
        </is>
      </c>
      <c r="I417" t="n">
        <v>5.9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28486-2025</t>
        </is>
      </c>
      <c r="B418" t="inlineStr">
        <is>
          <t>avverkningsanmälan</t>
        </is>
      </c>
      <c r="C418" t="inlineStr">
        <is>
          <t>Avverkning för annat ändamål</t>
        </is>
      </c>
      <c r="D418" s="1" t="n">
        <v>45819</v>
      </c>
      <c r="E418" s="1" t="n">
        <v>46227</v>
      </c>
      <c r="F418" t="inlineStr">
        <is>
          <t>VÄSTERBOTTENS LÄN</t>
        </is>
      </c>
      <c r="G418" t="inlineStr">
        <is>
          <t>LYCKSELE</t>
        </is>
      </c>
      <c r="H418" t="inlineStr">
        <is>
          <t>Holmen skog AB</t>
        </is>
      </c>
      <c r="I418" t="n">
        <v>3.5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28833-2025</t>
        </is>
      </c>
      <c r="B419" t="inlineStr">
        <is>
          <t>avverkningsanmälan</t>
        </is>
      </c>
      <c r="C419" t="inlineStr">
        <is>
          <t>Avverkning för att bevara och utveckla /försöksver</t>
        </is>
      </c>
      <c r="D419" s="1" t="n">
        <v>45820</v>
      </c>
      <c r="E419" s="1" t="n">
        <v>46227</v>
      </c>
      <c r="F419" t="inlineStr">
        <is>
          <t>VÄSTERBOTTENS LÄN</t>
        </is>
      </c>
      <c r="G419" t="inlineStr">
        <is>
          <t>LYCKSELE</t>
        </is>
      </c>
      <c r="H419" t="inlineStr">
        <is>
          <t>Sveaskog</t>
        </is>
      </c>
      <c r="I419" t="n">
        <v>2.5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39605-2024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45552</v>
      </c>
      <c r="E420" s="1" t="n">
        <v>46227</v>
      </c>
      <c r="F420" t="inlineStr">
        <is>
          <t>VÄSTERBOTTENS LÄN</t>
        </is>
      </c>
      <c r="G420" t="inlineStr">
        <is>
          <t>LYCKSELE</t>
        </is>
      </c>
      <c r="I420" t="n">
        <v>3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42051-2025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45903</v>
      </c>
      <c r="E421" s="1" t="n">
        <v>46227</v>
      </c>
      <c r="F421" t="inlineStr">
        <is>
          <t>VÄSTERBOTTENS LÄN</t>
        </is>
      </c>
      <c r="G421" t="inlineStr">
        <is>
          <t>LYCKSELE</t>
        </is>
      </c>
      <c r="I421" t="n">
        <v>3.7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32800-2024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45516</v>
      </c>
      <c r="E422" s="1" t="n">
        <v>46227</v>
      </c>
      <c r="F422" t="inlineStr">
        <is>
          <t>VÄSTERBOTTENS LÄN</t>
        </is>
      </c>
      <c r="G422" t="inlineStr">
        <is>
          <t>LYCKSELE</t>
        </is>
      </c>
      <c r="H422" t="inlineStr">
        <is>
          <t>Sveaskog</t>
        </is>
      </c>
      <c r="I422" t="n">
        <v>1.5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41906-2025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45903</v>
      </c>
      <c r="E423" s="1" t="n">
        <v>46227</v>
      </c>
      <c r="F423" t="inlineStr">
        <is>
          <t>VÄSTERBOTTENS LÄN</t>
        </is>
      </c>
      <c r="G423" t="inlineStr">
        <is>
          <t>LYCKSELE</t>
        </is>
      </c>
      <c r="H423" t="inlineStr">
        <is>
          <t>Sveaskog</t>
        </is>
      </c>
      <c r="I423" t="n">
        <v>10.9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41911-2025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45903</v>
      </c>
      <c r="E424" s="1" t="n">
        <v>46227</v>
      </c>
      <c r="F424" t="inlineStr">
        <is>
          <t>VÄSTERBOTTENS LÄN</t>
        </is>
      </c>
      <c r="G424" t="inlineStr">
        <is>
          <t>LYCKSELE</t>
        </is>
      </c>
      <c r="H424" t="inlineStr">
        <is>
          <t>Sveaskog</t>
        </is>
      </c>
      <c r="I424" t="n">
        <v>9.4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29235-2025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45824</v>
      </c>
      <c r="E425" s="1" t="n">
        <v>46227</v>
      </c>
      <c r="F425" t="inlineStr">
        <is>
          <t>VÄSTERBOTTENS LÄN</t>
        </is>
      </c>
      <c r="G425" t="inlineStr">
        <is>
          <t>LYCKSELE</t>
        </is>
      </c>
      <c r="I425" t="n">
        <v>3.3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29236-2025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45824</v>
      </c>
      <c r="E426" s="1" t="n">
        <v>46227</v>
      </c>
      <c r="F426" t="inlineStr">
        <is>
          <t>VÄSTERBOTTENS LÄN</t>
        </is>
      </c>
      <c r="G426" t="inlineStr">
        <is>
          <t>LYCKSELE</t>
        </is>
      </c>
      <c r="I426" t="n">
        <v>1.4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29088-2025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45821</v>
      </c>
      <c r="E427" s="1" t="n">
        <v>46227</v>
      </c>
      <c r="F427" t="inlineStr">
        <is>
          <t>VÄSTERBOTTENS LÄN</t>
        </is>
      </c>
      <c r="G427" t="inlineStr">
        <is>
          <t>LYCKSELE</t>
        </is>
      </c>
      <c r="I427" t="n">
        <v>1.5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42019-2025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45903</v>
      </c>
      <c r="E428" s="1" t="n">
        <v>46227</v>
      </c>
      <c r="F428" t="inlineStr">
        <is>
          <t>VÄSTERBOTTENS LÄN</t>
        </is>
      </c>
      <c r="G428" t="inlineStr">
        <is>
          <t>LYCKSELE</t>
        </is>
      </c>
      <c r="H428" t="inlineStr">
        <is>
          <t>Holmen skog AB</t>
        </is>
      </c>
      <c r="I428" t="n">
        <v>2.9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42028-2025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45903</v>
      </c>
      <c r="E429" s="1" t="n">
        <v>46227</v>
      </c>
      <c r="F429" t="inlineStr">
        <is>
          <t>VÄSTERBOTTENS LÄN</t>
        </is>
      </c>
      <c r="G429" t="inlineStr">
        <is>
          <t>LYCKSELE</t>
        </is>
      </c>
      <c r="I429" t="n">
        <v>2.6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29123-2025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45821</v>
      </c>
      <c r="E430" s="1" t="n">
        <v>46227</v>
      </c>
      <c r="F430" t="inlineStr">
        <is>
          <t>VÄSTERBOTTENS LÄN</t>
        </is>
      </c>
      <c r="G430" t="inlineStr">
        <is>
          <t>LYCKSELE</t>
        </is>
      </c>
      <c r="I430" t="n">
        <v>5.2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16292-2025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45751</v>
      </c>
      <c r="E431" s="1" t="n">
        <v>46227</v>
      </c>
      <c r="F431" t="inlineStr">
        <is>
          <t>VÄSTERBOTTENS LÄN</t>
        </is>
      </c>
      <c r="G431" t="inlineStr">
        <is>
          <t>LYCKSELE</t>
        </is>
      </c>
      <c r="H431" t="inlineStr">
        <is>
          <t>Holmen skog AB</t>
        </is>
      </c>
      <c r="I431" t="n">
        <v>7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43134-2023</t>
        </is>
      </c>
      <c r="B432" t="inlineStr">
        <is>
          <t>avverkningsanmälan</t>
        </is>
      </c>
      <c r="C432" t="inlineStr">
        <is>
          <t>Avverkning för annat ändamål</t>
        </is>
      </c>
      <c r="D432" s="1" t="n">
        <v>45182</v>
      </c>
      <c r="E432" s="1" t="n">
        <v>46227</v>
      </c>
      <c r="F432" t="inlineStr">
        <is>
          <t>VÄSTERBOTTENS LÄN</t>
        </is>
      </c>
      <c r="G432" t="inlineStr">
        <is>
          <t>LYCKSELE</t>
        </is>
      </c>
      <c r="H432" t="inlineStr">
        <is>
          <t>SCA</t>
        </is>
      </c>
      <c r="I432" t="n">
        <v>2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42500-2025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45905</v>
      </c>
      <c r="E433" s="1" t="n">
        <v>46227</v>
      </c>
      <c r="F433" t="inlineStr">
        <is>
          <t>VÄSTERBOTTENS LÄN</t>
        </is>
      </c>
      <c r="G433" t="inlineStr">
        <is>
          <t>LYCKSELE</t>
        </is>
      </c>
      <c r="H433" t="inlineStr">
        <is>
          <t>Sveaskog</t>
        </is>
      </c>
      <c r="I433" t="n">
        <v>24.3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56744-2025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45978</v>
      </c>
      <c r="E434" s="1" t="n">
        <v>46227</v>
      </c>
      <c r="F434" t="inlineStr">
        <is>
          <t>VÄSTERBOTTENS LÄN</t>
        </is>
      </c>
      <c r="G434" t="inlineStr">
        <is>
          <t>LYCKSELE</t>
        </is>
      </c>
      <c r="I434" t="n">
        <v>3.2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29866-2025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45826</v>
      </c>
      <c r="E435" s="1" t="n">
        <v>46227</v>
      </c>
      <c r="F435" t="inlineStr">
        <is>
          <t>VÄSTERBOTTENS LÄN</t>
        </is>
      </c>
      <c r="G435" t="inlineStr">
        <is>
          <t>LYCKSELE</t>
        </is>
      </c>
      <c r="H435" t="inlineStr">
        <is>
          <t>Holmen skog AB</t>
        </is>
      </c>
      <c r="I435" t="n">
        <v>6.7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29784-2025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45825</v>
      </c>
      <c r="E436" s="1" t="n">
        <v>46227</v>
      </c>
      <c r="F436" t="inlineStr">
        <is>
          <t>VÄSTERBOTTENS LÄN</t>
        </is>
      </c>
      <c r="G436" t="inlineStr">
        <is>
          <t>LYCKSELE</t>
        </is>
      </c>
      <c r="H436" t="inlineStr">
        <is>
          <t>Holmen skog AB</t>
        </is>
      </c>
      <c r="I436" t="n">
        <v>2.7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57330-2025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45980</v>
      </c>
      <c r="E437" s="1" t="n">
        <v>46227</v>
      </c>
      <c r="F437" t="inlineStr">
        <is>
          <t>VÄSTERBOTTENS LÄN</t>
        </is>
      </c>
      <c r="G437" t="inlineStr">
        <is>
          <t>LYCKSELE</t>
        </is>
      </c>
      <c r="H437" t="inlineStr">
        <is>
          <t>Sveaskog</t>
        </is>
      </c>
      <c r="I437" t="n">
        <v>9.300000000000001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57531-2025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45980</v>
      </c>
      <c r="E438" s="1" t="n">
        <v>46227</v>
      </c>
      <c r="F438" t="inlineStr">
        <is>
          <t>VÄSTERBOTTENS LÄN</t>
        </is>
      </c>
      <c r="G438" t="inlineStr">
        <is>
          <t>LYCKSELE</t>
        </is>
      </c>
      <c r="I438" t="n">
        <v>5.8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36150-2024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45534</v>
      </c>
      <c r="E439" s="1" t="n">
        <v>46227</v>
      </c>
      <c r="F439" t="inlineStr">
        <is>
          <t>VÄSTERBOTTENS LÄN</t>
        </is>
      </c>
      <c r="G439" t="inlineStr">
        <is>
          <t>LYCKSELE</t>
        </is>
      </c>
      <c r="H439" t="inlineStr">
        <is>
          <t>Holmen skog AB</t>
        </is>
      </c>
      <c r="I439" t="n">
        <v>1.7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37817-2024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45544</v>
      </c>
      <c r="E440" s="1" t="n">
        <v>46227</v>
      </c>
      <c r="F440" t="inlineStr">
        <is>
          <t>VÄSTERBOTTENS LÄN</t>
        </is>
      </c>
      <c r="G440" t="inlineStr">
        <is>
          <t>LYCKSELE</t>
        </is>
      </c>
      <c r="I440" t="n">
        <v>12.3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42616-2025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45905</v>
      </c>
      <c r="E441" s="1" t="n">
        <v>46227</v>
      </c>
      <c r="F441" t="inlineStr">
        <is>
          <t>VÄSTERBOTTENS LÄN</t>
        </is>
      </c>
      <c r="G441" t="inlineStr">
        <is>
          <t>LYCKSELE</t>
        </is>
      </c>
      <c r="I441" t="n">
        <v>2.2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62094-2023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45266</v>
      </c>
      <c r="E442" s="1" t="n">
        <v>46227</v>
      </c>
      <c r="F442" t="inlineStr">
        <is>
          <t>VÄSTERBOTTENS LÄN</t>
        </is>
      </c>
      <c r="G442" t="inlineStr">
        <is>
          <t>LYCKSELE</t>
        </is>
      </c>
      <c r="I442" t="n">
        <v>2.3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30154-2025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45827</v>
      </c>
      <c r="E443" s="1" t="n">
        <v>46227</v>
      </c>
      <c r="F443" t="inlineStr">
        <is>
          <t>VÄSTERBOTTENS LÄN</t>
        </is>
      </c>
      <c r="G443" t="inlineStr">
        <is>
          <t>LYCKSELE</t>
        </is>
      </c>
      <c r="I443" t="n">
        <v>3.7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30258-2025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45827</v>
      </c>
      <c r="E444" s="1" t="n">
        <v>46227</v>
      </c>
      <c r="F444" t="inlineStr">
        <is>
          <t>VÄSTERBOTTENS LÄN</t>
        </is>
      </c>
      <c r="G444" t="inlineStr">
        <is>
          <t>LYCKSELE</t>
        </is>
      </c>
      <c r="H444" t="inlineStr">
        <is>
          <t>Holmen skog AB</t>
        </is>
      </c>
      <c r="I444" t="n">
        <v>19.5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31689-2023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45117</v>
      </c>
      <c r="E445" s="1" t="n">
        <v>46227</v>
      </c>
      <c r="F445" t="inlineStr">
        <is>
          <t>VÄSTERBOTTENS LÄN</t>
        </is>
      </c>
      <c r="G445" t="inlineStr">
        <is>
          <t>LYCKSELE</t>
        </is>
      </c>
      <c r="H445" t="inlineStr">
        <is>
          <t>Holmen skog AB</t>
        </is>
      </c>
      <c r="I445" t="n">
        <v>3.7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57197-2025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45979</v>
      </c>
      <c r="E446" s="1" t="n">
        <v>46227</v>
      </c>
      <c r="F446" t="inlineStr">
        <is>
          <t>VÄSTERBOTTENS LÄN</t>
        </is>
      </c>
      <c r="G446" t="inlineStr">
        <is>
          <t>LYCKSELE</t>
        </is>
      </c>
      <c r="H446" t="inlineStr">
        <is>
          <t>Sveaskog</t>
        </is>
      </c>
      <c r="I446" t="n">
        <v>1.5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57241-2025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45979</v>
      </c>
      <c r="E447" s="1" t="n">
        <v>46227</v>
      </c>
      <c r="F447" t="inlineStr">
        <is>
          <t>VÄSTERBOTTENS LÄN</t>
        </is>
      </c>
      <c r="G447" t="inlineStr">
        <is>
          <t>LYCKSELE</t>
        </is>
      </c>
      <c r="H447" t="inlineStr">
        <is>
          <t>Sveaskog</t>
        </is>
      </c>
      <c r="I447" t="n">
        <v>5.1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30632-2025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45831</v>
      </c>
      <c r="E448" s="1" t="n">
        <v>46227</v>
      </c>
      <c r="F448" t="inlineStr">
        <is>
          <t>VÄSTERBOTTENS LÄN</t>
        </is>
      </c>
      <c r="G448" t="inlineStr">
        <is>
          <t>LYCKSELE</t>
        </is>
      </c>
      <c r="I448" t="n">
        <v>1.9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57669-2025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45981</v>
      </c>
      <c r="E449" s="1" t="n">
        <v>46227</v>
      </c>
      <c r="F449" t="inlineStr">
        <is>
          <t>VÄSTERBOTTENS LÄN</t>
        </is>
      </c>
      <c r="G449" t="inlineStr">
        <is>
          <t>LYCKSELE</t>
        </is>
      </c>
      <c r="I449" t="n">
        <v>1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58094-2025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45982</v>
      </c>
      <c r="E450" s="1" t="n">
        <v>46227</v>
      </c>
      <c r="F450" t="inlineStr">
        <is>
          <t>VÄSTERBOTTENS LÄN</t>
        </is>
      </c>
      <c r="G450" t="inlineStr">
        <is>
          <t>LYCKSELE</t>
        </is>
      </c>
      <c r="H450" t="inlineStr">
        <is>
          <t>Sveaskog</t>
        </is>
      </c>
      <c r="I450" t="n">
        <v>2.1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57668-2025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45981</v>
      </c>
      <c r="E451" s="1" t="n">
        <v>46227</v>
      </c>
      <c r="F451" t="inlineStr">
        <is>
          <t>VÄSTERBOTTENS LÄN</t>
        </is>
      </c>
      <c r="G451" t="inlineStr">
        <is>
          <t>LYCKSELE</t>
        </is>
      </c>
      <c r="I451" t="n">
        <v>1.9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31022-2025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45832</v>
      </c>
      <c r="E452" s="1" t="n">
        <v>46227</v>
      </c>
      <c r="F452" t="inlineStr">
        <is>
          <t>VÄSTERBOTTENS LÄN</t>
        </is>
      </c>
      <c r="G452" t="inlineStr">
        <is>
          <t>LYCKSELE</t>
        </is>
      </c>
      <c r="H452" t="inlineStr">
        <is>
          <t>Sveaskog</t>
        </is>
      </c>
      <c r="I452" t="n">
        <v>1.5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42405-2025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45905</v>
      </c>
      <c r="E453" s="1" t="n">
        <v>46227</v>
      </c>
      <c r="F453" t="inlineStr">
        <is>
          <t>VÄSTERBOTTENS LÄN</t>
        </is>
      </c>
      <c r="G453" t="inlineStr">
        <is>
          <t>LYCKSELE</t>
        </is>
      </c>
      <c r="H453" t="inlineStr">
        <is>
          <t>Sveaskog</t>
        </is>
      </c>
      <c r="I453" t="n">
        <v>23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4673-2023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44952</v>
      </c>
      <c r="E454" s="1" t="n">
        <v>46227</v>
      </c>
      <c r="F454" t="inlineStr">
        <is>
          <t>VÄSTERBOTTENS LÄN</t>
        </is>
      </c>
      <c r="G454" t="inlineStr">
        <is>
          <t>LYCKSELE</t>
        </is>
      </c>
      <c r="I454" t="n">
        <v>3.4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30623-2025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45831</v>
      </c>
      <c r="E455" s="1" t="n">
        <v>46227</v>
      </c>
      <c r="F455" t="inlineStr">
        <is>
          <t>VÄSTERBOTTENS LÄN</t>
        </is>
      </c>
      <c r="G455" t="inlineStr">
        <is>
          <t>LYCKSELE</t>
        </is>
      </c>
      <c r="I455" t="n">
        <v>2.6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58171-2025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45982</v>
      </c>
      <c r="E456" s="1" t="n">
        <v>46227</v>
      </c>
      <c r="F456" t="inlineStr">
        <is>
          <t>VÄSTERBOTTENS LÄN</t>
        </is>
      </c>
      <c r="G456" t="inlineStr">
        <is>
          <t>LYCKSELE</t>
        </is>
      </c>
      <c r="I456" t="n">
        <v>1.3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30624-2025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45831</v>
      </c>
      <c r="E457" s="1" t="n">
        <v>46227</v>
      </c>
      <c r="F457" t="inlineStr">
        <is>
          <t>VÄSTERBOTTENS LÄN</t>
        </is>
      </c>
      <c r="G457" t="inlineStr">
        <is>
          <t>LYCKSELE</t>
        </is>
      </c>
      <c r="H457" t="inlineStr">
        <is>
          <t>Holmen skog AB</t>
        </is>
      </c>
      <c r="I457" t="n">
        <v>9.5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30656-2025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45831</v>
      </c>
      <c r="E458" s="1" t="n">
        <v>46227</v>
      </c>
      <c r="F458" t="inlineStr">
        <is>
          <t>VÄSTERBOTTENS LÄN</t>
        </is>
      </c>
      <c r="G458" t="inlineStr">
        <is>
          <t>LYCKSELE</t>
        </is>
      </c>
      <c r="H458" t="inlineStr">
        <is>
          <t>Sveaskog</t>
        </is>
      </c>
      <c r="I458" t="n">
        <v>5.9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42984-2025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45909</v>
      </c>
      <c r="E459" s="1" t="n">
        <v>46227</v>
      </c>
      <c r="F459" t="inlineStr">
        <is>
          <t>VÄSTERBOTTENS LÄN</t>
        </is>
      </c>
      <c r="G459" t="inlineStr">
        <is>
          <t>LYCKSELE</t>
        </is>
      </c>
      <c r="I459" t="n">
        <v>2.5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31693-2025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45834</v>
      </c>
      <c r="E460" s="1" t="n">
        <v>46227</v>
      </c>
      <c r="F460" t="inlineStr">
        <is>
          <t>VÄSTERBOTTENS LÄN</t>
        </is>
      </c>
      <c r="G460" t="inlineStr">
        <is>
          <t>LYCKSELE</t>
        </is>
      </c>
      <c r="H460" t="inlineStr">
        <is>
          <t>SCA</t>
        </is>
      </c>
      <c r="I460" t="n">
        <v>18.9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58097-2025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45982</v>
      </c>
      <c r="E461" s="1" t="n">
        <v>46227</v>
      </c>
      <c r="F461" t="inlineStr">
        <is>
          <t>VÄSTERBOTTENS LÄN</t>
        </is>
      </c>
      <c r="G461" t="inlineStr">
        <is>
          <t>LYCKSELE</t>
        </is>
      </c>
      <c r="H461" t="inlineStr">
        <is>
          <t>Sveaskog</t>
        </is>
      </c>
      <c r="I461" t="n">
        <v>1.1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31897-2025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45834</v>
      </c>
      <c r="E462" s="1" t="n">
        <v>46227</v>
      </c>
      <c r="F462" t="inlineStr">
        <is>
          <t>VÄSTERBOTTENS LÄN</t>
        </is>
      </c>
      <c r="G462" t="inlineStr">
        <is>
          <t>LYCKSELE</t>
        </is>
      </c>
      <c r="H462" t="inlineStr">
        <is>
          <t>Holmen skog AB</t>
        </is>
      </c>
      <c r="I462" t="n">
        <v>1.7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42986-2025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45909</v>
      </c>
      <c r="E463" s="1" t="n">
        <v>46227</v>
      </c>
      <c r="F463" t="inlineStr">
        <is>
          <t>VÄSTERBOTTENS LÄN</t>
        </is>
      </c>
      <c r="G463" t="inlineStr">
        <is>
          <t>LYCKSELE</t>
        </is>
      </c>
      <c r="I463" t="n">
        <v>6.5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58140-2025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45981</v>
      </c>
      <c r="E464" s="1" t="n">
        <v>46227</v>
      </c>
      <c r="F464" t="inlineStr">
        <is>
          <t>VÄSTERBOTTENS LÄN</t>
        </is>
      </c>
      <c r="G464" t="inlineStr">
        <is>
          <t>LYCKSELE</t>
        </is>
      </c>
      <c r="I464" t="n">
        <v>4.9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36274-2024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45534</v>
      </c>
      <c r="E465" s="1" t="n">
        <v>46227</v>
      </c>
      <c r="F465" t="inlineStr">
        <is>
          <t>VÄSTERBOTTENS LÄN</t>
        </is>
      </c>
      <c r="G465" t="inlineStr">
        <is>
          <t>LYCKSELE</t>
        </is>
      </c>
      <c r="H465" t="inlineStr">
        <is>
          <t>Holmen skog AB</t>
        </is>
      </c>
      <c r="I465" t="n">
        <v>1.7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34635-2024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45526</v>
      </c>
      <c r="E466" s="1" t="n">
        <v>46227</v>
      </c>
      <c r="F466" t="inlineStr">
        <is>
          <t>VÄSTERBOTTENS LÄN</t>
        </is>
      </c>
      <c r="G466" t="inlineStr">
        <is>
          <t>LYCKSELE</t>
        </is>
      </c>
      <c r="H466" t="inlineStr">
        <is>
          <t>Holmen skog AB</t>
        </is>
      </c>
      <c r="I466" t="n">
        <v>0.7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32619-2025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45838</v>
      </c>
      <c r="E467" s="1" t="n">
        <v>46227</v>
      </c>
      <c r="F467" t="inlineStr">
        <is>
          <t>VÄSTERBOTTENS LÄN</t>
        </is>
      </c>
      <c r="G467" t="inlineStr">
        <is>
          <t>LYCKSELE</t>
        </is>
      </c>
      <c r="I467" t="n">
        <v>4.3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58610-2025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45986</v>
      </c>
      <c r="E468" s="1" t="n">
        <v>46227</v>
      </c>
      <c r="F468" t="inlineStr">
        <is>
          <t>VÄSTERBOTTENS LÄN</t>
        </is>
      </c>
      <c r="G468" t="inlineStr">
        <is>
          <t>LYCKSELE</t>
        </is>
      </c>
      <c r="H468" t="inlineStr">
        <is>
          <t>Sveaskog</t>
        </is>
      </c>
      <c r="I468" t="n">
        <v>1.7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32783-2025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45839</v>
      </c>
      <c r="E469" s="1" t="n">
        <v>46227</v>
      </c>
      <c r="F469" t="inlineStr">
        <is>
          <t>VÄSTERBOTTENS LÄN</t>
        </is>
      </c>
      <c r="G469" t="inlineStr">
        <is>
          <t>LYCKSELE</t>
        </is>
      </c>
      <c r="I469" t="n">
        <v>4.5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71407-2021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44540</v>
      </c>
      <c r="E470" s="1" t="n">
        <v>46227</v>
      </c>
      <c r="F470" t="inlineStr">
        <is>
          <t>VÄSTERBOTTENS LÄN</t>
        </is>
      </c>
      <c r="G470" t="inlineStr">
        <is>
          <t>LYCKSELE</t>
        </is>
      </c>
      <c r="I470" t="n">
        <v>9.4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32722-2025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45839</v>
      </c>
      <c r="E471" s="1" t="n">
        <v>46227</v>
      </c>
      <c r="F471" t="inlineStr">
        <is>
          <t>VÄSTERBOTTENS LÄN</t>
        </is>
      </c>
      <c r="G471" t="inlineStr">
        <is>
          <t>LYCKSELE</t>
        </is>
      </c>
      <c r="I471" t="n">
        <v>2.1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33067-2025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45840</v>
      </c>
      <c r="E472" s="1" t="n">
        <v>46227</v>
      </c>
      <c r="F472" t="inlineStr">
        <is>
          <t>VÄSTERBOTTENS LÄN</t>
        </is>
      </c>
      <c r="G472" t="inlineStr">
        <is>
          <t>LYCKSELE</t>
        </is>
      </c>
      <c r="I472" t="n">
        <v>4.6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41523-2024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45560</v>
      </c>
      <c r="E473" s="1" t="n">
        <v>46227</v>
      </c>
      <c r="F473" t="inlineStr">
        <is>
          <t>VÄSTERBOTTENS LÄN</t>
        </is>
      </c>
      <c r="G473" t="inlineStr">
        <is>
          <t>LYCKSELE</t>
        </is>
      </c>
      <c r="H473" t="inlineStr">
        <is>
          <t>Holmen skog AB</t>
        </is>
      </c>
      <c r="I473" t="n">
        <v>2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33966-2025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45842</v>
      </c>
      <c r="E474" s="1" t="n">
        <v>46227</v>
      </c>
      <c r="F474" t="inlineStr">
        <is>
          <t>VÄSTERBOTTENS LÄN</t>
        </is>
      </c>
      <c r="G474" t="inlineStr">
        <is>
          <t>LYCKSELE</t>
        </is>
      </c>
      <c r="I474" t="n">
        <v>12.5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1289-2022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44572</v>
      </c>
      <c r="E475" s="1" t="n">
        <v>46227</v>
      </c>
      <c r="F475" t="inlineStr">
        <is>
          <t>VÄSTERBOTTENS LÄN</t>
        </is>
      </c>
      <c r="G475" t="inlineStr">
        <is>
          <t>LYCKSELE</t>
        </is>
      </c>
      <c r="I475" t="n">
        <v>3.3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33527-2025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45841</v>
      </c>
      <c r="E476" s="1" t="n">
        <v>46227</v>
      </c>
      <c r="F476" t="inlineStr">
        <is>
          <t>VÄSTERBOTTENS LÄN</t>
        </is>
      </c>
      <c r="G476" t="inlineStr">
        <is>
          <t>LYCKSELE</t>
        </is>
      </c>
      <c r="I476" t="n">
        <v>0.7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33431-2025</t>
        </is>
      </c>
      <c r="B477" t="inlineStr">
        <is>
          <t>avverkningsanmälan</t>
        </is>
      </c>
      <c r="C477" t="inlineStr">
        <is>
          <t>Avverkning för annat ändamål</t>
        </is>
      </c>
      <c r="D477" s="1" t="n">
        <v>45841</v>
      </c>
      <c r="E477" s="1" t="n">
        <v>46227</v>
      </c>
      <c r="F477" t="inlineStr">
        <is>
          <t>VÄSTERBOTTENS LÄN</t>
        </is>
      </c>
      <c r="G477" t="inlineStr">
        <is>
          <t>LYCKSELE</t>
        </is>
      </c>
      <c r="I477" t="n">
        <v>0.1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59080-2025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45988</v>
      </c>
      <c r="E478" s="1" t="n">
        <v>46227</v>
      </c>
      <c r="F478" t="inlineStr">
        <is>
          <t>VÄSTERBOTTENS LÄN</t>
        </is>
      </c>
      <c r="G478" t="inlineStr">
        <is>
          <t>LYCKSELE</t>
        </is>
      </c>
      <c r="H478" t="inlineStr">
        <is>
          <t>Sveaskog</t>
        </is>
      </c>
      <c r="I478" t="n">
        <v>1.7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33415-2025</t>
        </is>
      </c>
      <c r="B479" t="inlineStr">
        <is>
          <t>avverkningsanmälan</t>
        </is>
      </c>
      <c r="C479" t="inlineStr">
        <is>
          <t>Avverkning för annat ändamål</t>
        </is>
      </c>
      <c r="D479" s="1" t="n">
        <v>45841</v>
      </c>
      <c r="E479" s="1" t="n">
        <v>46227</v>
      </c>
      <c r="F479" t="inlineStr">
        <is>
          <t>VÄSTERBOTTENS LÄN</t>
        </is>
      </c>
      <c r="G479" t="inlineStr">
        <is>
          <t>LYCKSELE</t>
        </is>
      </c>
      <c r="I479" t="n">
        <v>1.5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44340-2025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45916</v>
      </c>
      <c r="E480" s="1" t="n">
        <v>46227</v>
      </c>
      <c r="F480" t="inlineStr">
        <is>
          <t>VÄSTERBOTTENS LÄN</t>
        </is>
      </c>
      <c r="G480" t="inlineStr">
        <is>
          <t>LYCKSELE</t>
        </is>
      </c>
      <c r="H480" t="inlineStr">
        <is>
          <t>Sveaskog</t>
        </is>
      </c>
      <c r="I480" t="n">
        <v>19.6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33423-2025</t>
        </is>
      </c>
      <c r="B481" t="inlineStr">
        <is>
          <t>avverkningsanmälan</t>
        </is>
      </c>
      <c r="C481" t="inlineStr">
        <is>
          <t>Avverkning för annat ändamål</t>
        </is>
      </c>
      <c r="D481" s="1" t="n">
        <v>45841</v>
      </c>
      <c r="E481" s="1" t="n">
        <v>46227</v>
      </c>
      <c r="F481" t="inlineStr">
        <is>
          <t>VÄSTERBOTTENS LÄN</t>
        </is>
      </c>
      <c r="G481" t="inlineStr">
        <is>
          <t>LYCKSELE</t>
        </is>
      </c>
      <c r="I481" t="n">
        <v>0.6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43931-2025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45915</v>
      </c>
      <c r="E482" s="1" t="n">
        <v>46227</v>
      </c>
      <c r="F482" t="inlineStr">
        <is>
          <t>VÄSTERBOTTENS LÄN</t>
        </is>
      </c>
      <c r="G482" t="inlineStr">
        <is>
          <t>LYCKSELE</t>
        </is>
      </c>
      <c r="H482" t="inlineStr">
        <is>
          <t>Sveaskog</t>
        </is>
      </c>
      <c r="I482" t="n">
        <v>9.9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44299-2025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45916</v>
      </c>
      <c r="E483" s="1" t="n">
        <v>46227</v>
      </c>
      <c r="F483" t="inlineStr">
        <is>
          <t>VÄSTERBOTTENS LÄN</t>
        </is>
      </c>
      <c r="G483" t="inlineStr">
        <is>
          <t>LYCKSELE</t>
        </is>
      </c>
      <c r="H483" t="inlineStr">
        <is>
          <t>Sveaskog</t>
        </is>
      </c>
      <c r="I483" t="n">
        <v>18.1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44337-2025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45916</v>
      </c>
      <c r="E484" s="1" t="n">
        <v>46227</v>
      </c>
      <c r="F484" t="inlineStr">
        <is>
          <t>VÄSTERBOTTENS LÄN</t>
        </is>
      </c>
      <c r="G484" t="inlineStr">
        <is>
          <t>LYCKSELE</t>
        </is>
      </c>
      <c r="H484" t="inlineStr">
        <is>
          <t>Sveaskog</t>
        </is>
      </c>
      <c r="I484" t="n">
        <v>1.7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44345-2025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45916</v>
      </c>
      <c r="E485" s="1" t="n">
        <v>46227</v>
      </c>
      <c r="F485" t="inlineStr">
        <is>
          <t>VÄSTERBOTTENS LÄN</t>
        </is>
      </c>
      <c r="G485" t="inlineStr">
        <is>
          <t>LYCKSELE</t>
        </is>
      </c>
      <c r="H485" t="inlineStr">
        <is>
          <t>Sveaskog</t>
        </is>
      </c>
      <c r="I485" t="n">
        <v>5.4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43924-2025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45915</v>
      </c>
      <c r="E486" s="1" t="n">
        <v>46227</v>
      </c>
      <c r="F486" t="inlineStr">
        <is>
          <t>VÄSTERBOTTENS LÄN</t>
        </is>
      </c>
      <c r="G486" t="inlineStr">
        <is>
          <t>LYCKSELE</t>
        </is>
      </c>
      <c r="H486" t="inlineStr">
        <is>
          <t>Sveaskog</t>
        </is>
      </c>
      <c r="I486" t="n">
        <v>6.9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33992-2025</t>
        </is>
      </c>
      <c r="B487" t="inlineStr">
        <is>
          <t>avverkningsanmälan</t>
        </is>
      </c>
      <c r="C487" t="inlineStr">
        <is>
          <t>Avverkning för annat ändamål</t>
        </is>
      </c>
      <c r="D487" s="1" t="n">
        <v>45843</v>
      </c>
      <c r="E487" s="1" t="n">
        <v>46227</v>
      </c>
      <c r="F487" t="inlineStr">
        <is>
          <t>VÄSTERBOTTENS LÄN</t>
        </is>
      </c>
      <c r="G487" t="inlineStr">
        <is>
          <t>LYCKSELE</t>
        </is>
      </c>
      <c r="H487" t="inlineStr">
        <is>
          <t>Sveaskog</t>
        </is>
      </c>
      <c r="I487" t="n">
        <v>1.2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59736-2025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45992</v>
      </c>
      <c r="E488" s="1" t="n">
        <v>46227</v>
      </c>
      <c r="F488" t="inlineStr">
        <is>
          <t>VÄSTERBOTTENS LÄN</t>
        </is>
      </c>
      <c r="G488" t="inlineStr">
        <is>
          <t>LYCKSELE</t>
        </is>
      </c>
      <c r="I488" t="n">
        <v>1.6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12335-2024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45378</v>
      </c>
      <c r="E489" s="1" t="n">
        <v>46227</v>
      </c>
      <c r="F489" t="inlineStr">
        <is>
          <t>VÄSTERBOTTENS LÄN</t>
        </is>
      </c>
      <c r="G489" t="inlineStr">
        <is>
          <t>LYCKSELE</t>
        </is>
      </c>
      <c r="I489" t="n">
        <v>1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34110-2025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45845</v>
      </c>
      <c r="E490" s="1" t="n">
        <v>46227</v>
      </c>
      <c r="F490" t="inlineStr">
        <is>
          <t>VÄSTERBOTTENS LÄN</t>
        </is>
      </c>
      <c r="G490" t="inlineStr">
        <is>
          <t>LYCKSELE</t>
        </is>
      </c>
      <c r="H490" t="inlineStr">
        <is>
          <t>Holmen skog AB</t>
        </is>
      </c>
      <c r="I490" t="n">
        <v>2.7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34903-2023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45142</v>
      </c>
      <c r="E491" s="1" t="n">
        <v>46227</v>
      </c>
      <c r="F491" t="inlineStr">
        <is>
          <t>VÄSTERBOTTENS LÄN</t>
        </is>
      </c>
      <c r="G491" t="inlineStr">
        <is>
          <t>LYCKSELE</t>
        </is>
      </c>
      <c r="H491" t="inlineStr">
        <is>
          <t>Holmen skog AB</t>
        </is>
      </c>
      <c r="I491" t="n">
        <v>2.9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59818-2025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45992</v>
      </c>
      <c r="E492" s="1" t="n">
        <v>46227</v>
      </c>
      <c r="F492" t="inlineStr">
        <is>
          <t>VÄSTERBOTTENS LÄN</t>
        </is>
      </c>
      <c r="G492" t="inlineStr">
        <is>
          <t>LYCKSELE</t>
        </is>
      </c>
      <c r="H492" t="inlineStr">
        <is>
          <t>Sveaskog</t>
        </is>
      </c>
      <c r="I492" t="n">
        <v>3.5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43928-2025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45915</v>
      </c>
      <c r="E493" s="1" t="n">
        <v>46227</v>
      </c>
      <c r="F493" t="inlineStr">
        <is>
          <t>VÄSTERBOTTENS LÄN</t>
        </is>
      </c>
      <c r="G493" t="inlineStr">
        <is>
          <t>LYCKSELE</t>
        </is>
      </c>
      <c r="H493" t="inlineStr">
        <is>
          <t>Sveaskog</t>
        </is>
      </c>
      <c r="I493" t="n">
        <v>9.9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43929-2025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45915</v>
      </c>
      <c r="E494" s="1" t="n">
        <v>46227</v>
      </c>
      <c r="F494" t="inlineStr">
        <is>
          <t>VÄSTERBOTTENS LÄN</t>
        </is>
      </c>
      <c r="G494" t="inlineStr">
        <is>
          <t>LYCKSELE</t>
        </is>
      </c>
      <c r="H494" t="inlineStr">
        <is>
          <t>Sveaskog</t>
        </is>
      </c>
      <c r="I494" t="n">
        <v>5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59821-2025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45992</v>
      </c>
      <c r="E495" s="1" t="n">
        <v>46227</v>
      </c>
      <c r="F495" t="inlineStr">
        <is>
          <t>VÄSTERBOTTENS LÄN</t>
        </is>
      </c>
      <c r="G495" t="inlineStr">
        <is>
          <t>LYCKSELE</t>
        </is>
      </c>
      <c r="H495" t="inlineStr">
        <is>
          <t>Sveaskog</t>
        </is>
      </c>
      <c r="I495" t="n">
        <v>3.3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33991-2025</t>
        </is>
      </c>
      <c r="B496" t="inlineStr">
        <is>
          <t>avverkningsanmälan</t>
        </is>
      </c>
      <c r="C496" t="inlineStr">
        <is>
          <t>Avverkning för annat ändamål</t>
        </is>
      </c>
      <c r="D496" s="1" t="n">
        <v>45843</v>
      </c>
      <c r="E496" s="1" t="n">
        <v>46227</v>
      </c>
      <c r="F496" t="inlineStr">
        <is>
          <t>VÄSTERBOTTENS LÄN</t>
        </is>
      </c>
      <c r="G496" t="inlineStr">
        <is>
          <t>LYCKSELE</t>
        </is>
      </c>
      <c r="H496" t="inlineStr">
        <is>
          <t>Sveaskog</t>
        </is>
      </c>
      <c r="I496" t="n">
        <v>1.7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59825-2025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45992</v>
      </c>
      <c r="E497" s="1" t="n">
        <v>46227</v>
      </c>
      <c r="F497" t="inlineStr">
        <is>
          <t>VÄSTERBOTTENS LÄN</t>
        </is>
      </c>
      <c r="G497" t="inlineStr">
        <is>
          <t>LYCKSELE</t>
        </is>
      </c>
      <c r="I497" t="n">
        <v>1.2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34465-2025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45847</v>
      </c>
      <c r="E498" s="1" t="n">
        <v>46227</v>
      </c>
      <c r="F498" t="inlineStr">
        <is>
          <t>VÄSTERBOTTENS LÄN</t>
        </is>
      </c>
      <c r="G498" t="inlineStr">
        <is>
          <t>LYCKSELE</t>
        </is>
      </c>
      <c r="H498" t="inlineStr">
        <is>
          <t>SCA</t>
        </is>
      </c>
      <c r="I498" t="n">
        <v>26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44342-2025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45916</v>
      </c>
      <c r="E499" s="1" t="n">
        <v>46227</v>
      </c>
      <c r="F499" t="inlineStr">
        <is>
          <t>VÄSTERBOTTENS LÄN</t>
        </is>
      </c>
      <c r="G499" t="inlineStr">
        <is>
          <t>LYCKSELE</t>
        </is>
      </c>
      <c r="H499" t="inlineStr">
        <is>
          <t>Sveaskog</t>
        </is>
      </c>
      <c r="I499" t="n">
        <v>4.1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44346-2025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45916</v>
      </c>
      <c r="E500" s="1" t="n">
        <v>46227</v>
      </c>
      <c r="F500" t="inlineStr">
        <is>
          <t>VÄSTERBOTTENS LÄN</t>
        </is>
      </c>
      <c r="G500" t="inlineStr">
        <is>
          <t>LYCKSELE</t>
        </is>
      </c>
      <c r="H500" t="inlineStr">
        <is>
          <t>Sveaskog</t>
        </is>
      </c>
      <c r="I500" t="n">
        <v>18.4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44098-2025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45915</v>
      </c>
      <c r="E501" s="1" t="n">
        <v>46227</v>
      </c>
      <c r="F501" t="inlineStr">
        <is>
          <t>VÄSTERBOTTENS LÄN</t>
        </is>
      </c>
      <c r="G501" t="inlineStr">
        <is>
          <t>LYCKSELE</t>
        </is>
      </c>
      <c r="I501" t="n">
        <v>8.4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59812-2025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45992</v>
      </c>
      <c r="E502" s="1" t="n">
        <v>46227</v>
      </c>
      <c r="F502" t="inlineStr">
        <is>
          <t>VÄSTERBOTTENS LÄN</t>
        </is>
      </c>
      <c r="G502" t="inlineStr">
        <is>
          <t>LYCKSELE</t>
        </is>
      </c>
      <c r="H502" t="inlineStr">
        <is>
          <t>Sveaskog</t>
        </is>
      </c>
      <c r="I502" t="n">
        <v>3.7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57571-2025</t>
        </is>
      </c>
      <c r="B503" t="inlineStr">
        <is>
          <t>avverkningsanmälan</t>
        </is>
      </c>
      <c r="C503" t="inlineStr">
        <is>
          <t>Avverkning för annat ändamål</t>
        </is>
      </c>
      <c r="D503" s="1" t="n">
        <v>45980</v>
      </c>
      <c r="E503" s="1" t="n">
        <v>46227</v>
      </c>
      <c r="F503" t="inlineStr">
        <is>
          <t>VÄSTERBOTTENS LÄN</t>
        </is>
      </c>
      <c r="G503" t="inlineStr">
        <is>
          <t>LYCKSELE</t>
        </is>
      </c>
      <c r="I503" t="n">
        <v>1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44087-2025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45915</v>
      </c>
      <c r="E504" s="1" t="n">
        <v>46227</v>
      </c>
      <c r="F504" t="inlineStr">
        <is>
          <t>VÄSTERBOTTENS LÄN</t>
        </is>
      </c>
      <c r="G504" t="inlineStr">
        <is>
          <t>LYCKSELE</t>
        </is>
      </c>
      <c r="I504" t="n">
        <v>1.4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34918-2025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45849</v>
      </c>
      <c r="E505" s="1" t="n">
        <v>46227</v>
      </c>
      <c r="F505" t="inlineStr">
        <is>
          <t>VÄSTERBOTTENS LÄN</t>
        </is>
      </c>
      <c r="G505" t="inlineStr">
        <is>
          <t>LYCKSELE</t>
        </is>
      </c>
      <c r="H505" t="inlineStr">
        <is>
          <t>Sveaskog</t>
        </is>
      </c>
      <c r="I505" t="n">
        <v>9.300000000000001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34940-2025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45849</v>
      </c>
      <c r="E506" s="1" t="n">
        <v>46227</v>
      </c>
      <c r="F506" t="inlineStr">
        <is>
          <t>VÄSTERBOTTENS LÄN</t>
        </is>
      </c>
      <c r="G506" t="inlineStr">
        <is>
          <t>LYCKSELE</t>
        </is>
      </c>
      <c r="H506" t="inlineStr">
        <is>
          <t>Sveaskog</t>
        </is>
      </c>
      <c r="I506" t="n">
        <v>7.2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34955-2025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45849</v>
      </c>
      <c r="E507" s="1" t="n">
        <v>46227</v>
      </c>
      <c r="F507" t="inlineStr">
        <is>
          <t>VÄSTERBOTTENS LÄN</t>
        </is>
      </c>
      <c r="G507" t="inlineStr">
        <is>
          <t>LYCKSELE</t>
        </is>
      </c>
      <c r="H507" t="inlineStr">
        <is>
          <t>Sveaskog</t>
        </is>
      </c>
      <c r="I507" t="n">
        <v>9.4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48230-2023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45205</v>
      </c>
      <c r="E508" s="1" t="n">
        <v>46227</v>
      </c>
      <c r="F508" t="inlineStr">
        <is>
          <t>VÄSTERBOTTENS LÄN</t>
        </is>
      </c>
      <c r="G508" t="inlineStr">
        <is>
          <t>LYCKSELE</t>
        </is>
      </c>
      <c r="H508" t="inlineStr">
        <is>
          <t>Holmen skog AB</t>
        </is>
      </c>
      <c r="I508" t="n">
        <v>7.2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34915-2025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45849</v>
      </c>
      <c r="E509" s="1" t="n">
        <v>46227</v>
      </c>
      <c r="F509" t="inlineStr">
        <is>
          <t>VÄSTERBOTTENS LÄN</t>
        </is>
      </c>
      <c r="G509" t="inlineStr">
        <is>
          <t>LYCKSELE</t>
        </is>
      </c>
      <c r="H509" t="inlineStr">
        <is>
          <t>Sveaskog</t>
        </is>
      </c>
      <c r="I509" t="n">
        <v>6.5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11743-2023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44994</v>
      </c>
      <c r="E510" s="1" t="n">
        <v>46227</v>
      </c>
      <c r="F510" t="inlineStr">
        <is>
          <t>VÄSTERBOTTENS LÄN</t>
        </is>
      </c>
      <c r="G510" t="inlineStr">
        <is>
          <t>LYCKSELE</t>
        </is>
      </c>
      <c r="I510" t="n">
        <v>2.2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62584-2022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44924</v>
      </c>
      <c r="E511" s="1" t="n">
        <v>46227</v>
      </c>
      <c r="F511" t="inlineStr">
        <is>
          <t>VÄSTERBOTTENS LÄN</t>
        </is>
      </c>
      <c r="G511" t="inlineStr">
        <is>
          <t>LYCKSELE</t>
        </is>
      </c>
      <c r="H511" t="inlineStr">
        <is>
          <t>SCA</t>
        </is>
      </c>
      <c r="I511" t="n">
        <v>1.7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44107-2025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45915</v>
      </c>
      <c r="E512" s="1" t="n">
        <v>46227</v>
      </c>
      <c r="F512" t="inlineStr">
        <is>
          <t>VÄSTERBOTTENS LÄN</t>
        </is>
      </c>
      <c r="G512" t="inlineStr">
        <is>
          <t>LYCKSELE</t>
        </is>
      </c>
      <c r="I512" t="n">
        <v>1.1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45444-2024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45576</v>
      </c>
      <c r="E513" s="1" t="n">
        <v>46227</v>
      </c>
      <c r="F513" t="inlineStr">
        <is>
          <t>VÄSTERBOTTENS LÄN</t>
        </is>
      </c>
      <c r="G513" t="inlineStr">
        <is>
          <t>LYCKSELE</t>
        </is>
      </c>
      <c r="H513" t="inlineStr">
        <is>
          <t>Sveaskog</t>
        </is>
      </c>
      <c r="I513" t="n">
        <v>2.8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34954-2025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45849</v>
      </c>
      <c r="E514" s="1" t="n">
        <v>46227</v>
      </c>
      <c r="F514" t="inlineStr">
        <is>
          <t>VÄSTERBOTTENS LÄN</t>
        </is>
      </c>
      <c r="G514" t="inlineStr">
        <is>
          <t>LYCKSELE</t>
        </is>
      </c>
      <c r="H514" t="inlineStr">
        <is>
          <t>Holmen skog AB</t>
        </is>
      </c>
      <c r="I514" t="n">
        <v>1.9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60309-2025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45994</v>
      </c>
      <c r="E515" s="1" t="n">
        <v>46227</v>
      </c>
      <c r="F515" t="inlineStr">
        <is>
          <t>VÄSTERBOTTENS LÄN</t>
        </is>
      </c>
      <c r="G515" t="inlineStr">
        <is>
          <t>LYCKSELE</t>
        </is>
      </c>
      <c r="I515" t="n">
        <v>3.6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35130-2025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45852</v>
      </c>
      <c r="E516" s="1" t="n">
        <v>46227</v>
      </c>
      <c r="F516" t="inlineStr">
        <is>
          <t>VÄSTERBOTTENS LÄN</t>
        </is>
      </c>
      <c r="G516" t="inlineStr">
        <is>
          <t>LYCKSELE</t>
        </is>
      </c>
      <c r="H516" t="inlineStr">
        <is>
          <t>SCA</t>
        </is>
      </c>
      <c r="I516" t="n">
        <v>6.2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59927-2025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45993</v>
      </c>
      <c r="E517" s="1" t="n">
        <v>46227</v>
      </c>
      <c r="F517" t="inlineStr">
        <is>
          <t>VÄSTERBOTTENS LÄN</t>
        </is>
      </c>
      <c r="G517" t="inlineStr">
        <is>
          <t>LYCKSELE</t>
        </is>
      </c>
      <c r="I517" t="n">
        <v>2.9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13566-2023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45006</v>
      </c>
      <c r="E518" s="1" t="n">
        <v>46227</v>
      </c>
      <c r="F518" t="inlineStr">
        <is>
          <t>VÄSTERBOTTENS LÄN</t>
        </is>
      </c>
      <c r="G518" t="inlineStr">
        <is>
          <t>LYCKSELE</t>
        </is>
      </c>
      <c r="I518" t="n">
        <v>1.3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35303-2025</t>
        </is>
      </c>
      <c r="B519" t="inlineStr">
        <is>
          <t>avverkningsanmälan</t>
        </is>
      </c>
      <c r="C519" t="inlineStr">
        <is>
          <t>Avverkning för att bevara och utveckla /försöksver</t>
        </is>
      </c>
      <c r="D519" s="1" t="n">
        <v>45854</v>
      </c>
      <c r="E519" s="1" t="n">
        <v>46227</v>
      </c>
      <c r="F519" t="inlineStr">
        <is>
          <t>VÄSTERBOTTENS LÄN</t>
        </is>
      </c>
      <c r="G519" t="inlineStr">
        <is>
          <t>LYCKSELE</t>
        </is>
      </c>
      <c r="H519" t="inlineStr">
        <is>
          <t>Sveaskog</t>
        </is>
      </c>
      <c r="I519" t="n">
        <v>2.5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35333-2025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45854</v>
      </c>
      <c r="E520" s="1" t="n">
        <v>46227</v>
      </c>
      <c r="F520" t="inlineStr">
        <is>
          <t>VÄSTERBOTTENS LÄN</t>
        </is>
      </c>
      <c r="G520" t="inlineStr">
        <is>
          <t>LYCKSELE</t>
        </is>
      </c>
      <c r="H520" t="inlineStr">
        <is>
          <t>SCA</t>
        </is>
      </c>
      <c r="I520" t="n">
        <v>1.5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35225-2025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45853</v>
      </c>
      <c r="E521" s="1" t="n">
        <v>46227</v>
      </c>
      <c r="F521" t="inlineStr">
        <is>
          <t>VÄSTERBOTTENS LÄN</t>
        </is>
      </c>
      <c r="G521" t="inlineStr">
        <is>
          <t>LYCKSELE</t>
        </is>
      </c>
      <c r="H521" t="inlineStr">
        <is>
          <t>Sveaskog</t>
        </is>
      </c>
      <c r="I521" t="n">
        <v>4.1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35234-2025</t>
        </is>
      </c>
      <c r="B522" t="inlineStr">
        <is>
          <t>avverkningsanmälan</t>
        </is>
      </c>
      <c r="C522" t="inlineStr">
        <is>
          <t>Avverkning för att bevara och utveckla /försöksver</t>
        </is>
      </c>
      <c r="D522" s="1" t="n">
        <v>45853</v>
      </c>
      <c r="E522" s="1" t="n">
        <v>46227</v>
      </c>
      <c r="F522" t="inlineStr">
        <is>
          <t>VÄSTERBOTTENS LÄN</t>
        </is>
      </c>
      <c r="G522" t="inlineStr">
        <is>
          <t>LYCKSELE</t>
        </is>
      </c>
      <c r="H522" t="inlineStr">
        <is>
          <t>Sveaskog</t>
        </is>
      </c>
      <c r="I522" t="n">
        <v>1.8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35192-2025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45853</v>
      </c>
      <c r="E523" s="1" t="n">
        <v>46227</v>
      </c>
      <c r="F523" t="inlineStr">
        <is>
          <t>VÄSTERBOTTENS LÄN</t>
        </is>
      </c>
      <c r="G523" t="inlineStr">
        <is>
          <t>LYCKSELE</t>
        </is>
      </c>
      <c r="H523" t="inlineStr">
        <is>
          <t>Sveaskog</t>
        </is>
      </c>
      <c r="I523" t="n">
        <v>3.4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57618-2022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44897</v>
      </c>
      <c r="E524" s="1" t="n">
        <v>46227</v>
      </c>
      <c r="F524" t="inlineStr">
        <is>
          <t>VÄSTERBOTTENS LÄN</t>
        </is>
      </c>
      <c r="G524" t="inlineStr">
        <is>
          <t>LYCKSELE</t>
        </is>
      </c>
      <c r="H524" t="inlineStr">
        <is>
          <t>Holmen skog AB</t>
        </is>
      </c>
      <c r="I524" t="n">
        <v>3.4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35232-2025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45853</v>
      </c>
      <c r="E525" s="1" t="n">
        <v>46227</v>
      </c>
      <c r="F525" t="inlineStr">
        <is>
          <t>VÄSTERBOTTENS LÄN</t>
        </is>
      </c>
      <c r="G525" t="inlineStr">
        <is>
          <t>LYCKSELE</t>
        </is>
      </c>
      <c r="H525" t="inlineStr">
        <is>
          <t>Sveaskog</t>
        </is>
      </c>
      <c r="I525" t="n">
        <v>4.1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35237-2025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45853</v>
      </c>
      <c r="E526" s="1" t="n">
        <v>46227</v>
      </c>
      <c r="F526" t="inlineStr">
        <is>
          <t>VÄSTERBOTTENS LÄN</t>
        </is>
      </c>
      <c r="G526" t="inlineStr">
        <is>
          <t>LYCKSELE</t>
        </is>
      </c>
      <c r="H526" t="inlineStr">
        <is>
          <t>Sveaskog</t>
        </is>
      </c>
      <c r="I526" t="n">
        <v>5.9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35332-2025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45854</v>
      </c>
      <c r="E527" s="1" t="n">
        <v>46227</v>
      </c>
      <c r="F527" t="inlineStr">
        <is>
          <t>VÄSTERBOTTENS LÄN</t>
        </is>
      </c>
      <c r="G527" t="inlineStr">
        <is>
          <t>LYCKSELE</t>
        </is>
      </c>
      <c r="H527" t="inlineStr">
        <is>
          <t>SCA</t>
        </is>
      </c>
      <c r="I527" t="n">
        <v>5.2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44094-2025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45915</v>
      </c>
      <c r="E528" s="1" t="n">
        <v>46227</v>
      </c>
      <c r="F528" t="inlineStr">
        <is>
          <t>VÄSTERBOTTENS LÄN</t>
        </is>
      </c>
      <c r="G528" t="inlineStr">
        <is>
          <t>LYCKSELE</t>
        </is>
      </c>
      <c r="I528" t="n">
        <v>1.7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44547-2025</t>
        </is>
      </c>
      <c r="B529" t="inlineStr">
        <is>
          <t>avverkningsanmälan</t>
        </is>
      </c>
      <c r="C529" t="inlineStr">
        <is>
          <t>Avverkning för annat ändamål</t>
        </is>
      </c>
      <c r="D529" s="1" t="n">
        <v>45917</v>
      </c>
      <c r="E529" s="1" t="n">
        <v>46227</v>
      </c>
      <c r="F529" t="inlineStr">
        <is>
          <t>VÄSTERBOTTENS LÄN</t>
        </is>
      </c>
      <c r="G529" t="inlineStr">
        <is>
          <t>LYCKSELE</t>
        </is>
      </c>
      <c r="H529" t="inlineStr">
        <is>
          <t>Sveaskog</t>
        </is>
      </c>
      <c r="I529" t="n">
        <v>0.9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60594-2025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45996</v>
      </c>
      <c r="E530" s="1" t="n">
        <v>46227</v>
      </c>
      <c r="F530" t="inlineStr">
        <is>
          <t>VÄSTERBOTTENS LÄN</t>
        </is>
      </c>
      <c r="G530" t="inlineStr">
        <is>
          <t>LYCKSELE</t>
        </is>
      </c>
      <c r="I530" t="n">
        <v>3.8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53037-2023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45226</v>
      </c>
      <c r="E531" s="1" t="n">
        <v>46227</v>
      </c>
      <c r="F531" t="inlineStr">
        <is>
          <t>VÄSTERBOTTENS LÄN</t>
        </is>
      </c>
      <c r="G531" t="inlineStr">
        <is>
          <t>LYCKSELE</t>
        </is>
      </c>
      <c r="H531" t="inlineStr">
        <is>
          <t>SCA</t>
        </is>
      </c>
      <c r="I531" t="n">
        <v>7.4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35604-2025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45859</v>
      </c>
      <c r="E532" s="1" t="n">
        <v>46227</v>
      </c>
      <c r="F532" t="inlineStr">
        <is>
          <t>VÄSTERBOTTENS LÄN</t>
        </is>
      </c>
      <c r="G532" t="inlineStr">
        <is>
          <t>LYCKSELE</t>
        </is>
      </c>
      <c r="I532" t="n">
        <v>5.2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35662-2025</t>
        </is>
      </c>
      <c r="B533" t="inlineStr">
        <is>
          <t>avverkningsanmälan</t>
        </is>
      </c>
      <c r="C533" t="inlineStr">
        <is>
          <t>Avverkning för att bevara och utveckla /försöksver</t>
        </is>
      </c>
      <c r="D533" s="1" t="n">
        <v>45859</v>
      </c>
      <c r="E533" s="1" t="n">
        <v>46227</v>
      </c>
      <c r="F533" t="inlineStr">
        <is>
          <t>VÄSTERBOTTENS LÄN</t>
        </is>
      </c>
      <c r="G533" t="inlineStr">
        <is>
          <t>LYCKSELE</t>
        </is>
      </c>
      <c r="H533" t="inlineStr">
        <is>
          <t>Sveaskog</t>
        </is>
      </c>
      <c r="I533" t="n">
        <v>20.8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35606-2025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45859</v>
      </c>
      <c r="E534" s="1" t="n">
        <v>46227</v>
      </c>
      <c r="F534" t="inlineStr">
        <is>
          <t>VÄSTERBOTTENS LÄN</t>
        </is>
      </c>
      <c r="G534" t="inlineStr">
        <is>
          <t>LYCKSELE</t>
        </is>
      </c>
      <c r="I534" t="n">
        <v>0.4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35671-2025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45859</v>
      </c>
      <c r="E535" s="1" t="n">
        <v>46227</v>
      </c>
      <c r="F535" t="inlineStr">
        <is>
          <t>VÄSTERBOTTENS LÄN</t>
        </is>
      </c>
      <c r="G535" t="inlineStr">
        <is>
          <t>LYCKSELE</t>
        </is>
      </c>
      <c r="H535" t="inlineStr">
        <is>
          <t>Sveaskog</t>
        </is>
      </c>
      <c r="I535" t="n">
        <v>1.7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61088-2025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46000</v>
      </c>
      <c r="E536" s="1" t="n">
        <v>46227</v>
      </c>
      <c r="F536" t="inlineStr">
        <is>
          <t>VÄSTERBOTTENS LÄN</t>
        </is>
      </c>
      <c r="G536" t="inlineStr">
        <is>
          <t>LYCKSELE</t>
        </is>
      </c>
      <c r="I536" t="n">
        <v>0.5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61096-2025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46000</v>
      </c>
      <c r="E537" s="1" t="n">
        <v>46227</v>
      </c>
      <c r="F537" t="inlineStr">
        <is>
          <t>VÄSTERBOTTENS LÄN</t>
        </is>
      </c>
      <c r="G537" t="inlineStr">
        <is>
          <t>LYCKSELE</t>
        </is>
      </c>
      <c r="I537" t="n">
        <v>1.2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35833-2025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45861</v>
      </c>
      <c r="E538" s="1" t="n">
        <v>46227</v>
      </c>
      <c r="F538" t="inlineStr">
        <is>
          <t>VÄSTERBOTTENS LÄN</t>
        </is>
      </c>
      <c r="G538" t="inlineStr">
        <is>
          <t>LYCKSELE</t>
        </is>
      </c>
      <c r="H538" t="inlineStr">
        <is>
          <t>Sveaskog</t>
        </is>
      </c>
      <c r="I538" t="n">
        <v>7.9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35920-2025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45862</v>
      </c>
      <c r="E539" s="1" t="n">
        <v>46227</v>
      </c>
      <c r="F539" t="inlineStr">
        <is>
          <t>VÄSTERBOTTENS LÄN</t>
        </is>
      </c>
      <c r="G539" t="inlineStr">
        <is>
          <t>LYCKSELE</t>
        </is>
      </c>
      <c r="H539" t="inlineStr">
        <is>
          <t>Holmen skog AB</t>
        </is>
      </c>
      <c r="I539" t="n">
        <v>4.2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61115-2025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46000</v>
      </c>
      <c r="E540" s="1" t="n">
        <v>46227</v>
      </c>
      <c r="F540" t="inlineStr">
        <is>
          <t>VÄSTERBOTTENS LÄN</t>
        </is>
      </c>
      <c r="G540" t="inlineStr">
        <is>
          <t>LYCKSELE</t>
        </is>
      </c>
      <c r="H540" t="inlineStr">
        <is>
          <t>Sveaskog</t>
        </is>
      </c>
      <c r="I540" t="n">
        <v>7.1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26397-2022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44735</v>
      </c>
      <c r="E541" s="1" t="n">
        <v>46227</v>
      </c>
      <c r="F541" t="inlineStr">
        <is>
          <t>VÄSTERBOTTENS LÄN</t>
        </is>
      </c>
      <c r="G541" t="inlineStr">
        <is>
          <t>LYCKSELE</t>
        </is>
      </c>
      <c r="I541" t="n">
        <v>1.2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45174-2025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45919</v>
      </c>
      <c r="E542" s="1" t="n">
        <v>46227</v>
      </c>
      <c r="F542" t="inlineStr">
        <is>
          <t>VÄSTERBOTTENS LÄN</t>
        </is>
      </c>
      <c r="G542" t="inlineStr">
        <is>
          <t>LYCKSELE</t>
        </is>
      </c>
      <c r="H542" t="inlineStr">
        <is>
          <t>Holmen skog AB</t>
        </is>
      </c>
      <c r="I542" t="n">
        <v>0.7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61091-2025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46000</v>
      </c>
      <c r="E543" s="1" t="n">
        <v>46227</v>
      </c>
      <c r="F543" t="inlineStr">
        <is>
          <t>VÄSTERBOTTENS LÄN</t>
        </is>
      </c>
      <c r="G543" t="inlineStr">
        <is>
          <t>LYCKSELE</t>
        </is>
      </c>
      <c r="I543" t="n">
        <v>6.3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64663-2023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45281</v>
      </c>
      <c r="E544" s="1" t="n">
        <v>46227</v>
      </c>
      <c r="F544" t="inlineStr">
        <is>
          <t>VÄSTERBOTTENS LÄN</t>
        </is>
      </c>
      <c r="G544" t="inlineStr">
        <is>
          <t>LYCKSELE</t>
        </is>
      </c>
      <c r="I544" t="n">
        <v>1.8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35832-2025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45861</v>
      </c>
      <c r="E545" s="1" t="n">
        <v>46227</v>
      </c>
      <c r="F545" t="inlineStr">
        <is>
          <t>VÄSTERBOTTENS LÄN</t>
        </is>
      </c>
      <c r="G545" t="inlineStr">
        <is>
          <t>LYCKSELE</t>
        </is>
      </c>
      <c r="H545" t="inlineStr">
        <is>
          <t>Sveaskog</t>
        </is>
      </c>
      <c r="I545" t="n">
        <v>6.5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61128-2025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46000</v>
      </c>
      <c r="E546" s="1" t="n">
        <v>46227</v>
      </c>
      <c r="F546" t="inlineStr">
        <is>
          <t>VÄSTERBOTTENS LÄN</t>
        </is>
      </c>
      <c r="G546" t="inlineStr">
        <is>
          <t>LYCKSELE</t>
        </is>
      </c>
      <c r="H546" t="inlineStr">
        <is>
          <t>Sveaskog</t>
        </is>
      </c>
      <c r="I546" t="n">
        <v>1.7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45837-2025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45923</v>
      </c>
      <c r="E547" s="1" t="n">
        <v>46227</v>
      </c>
      <c r="F547" t="inlineStr">
        <is>
          <t>VÄSTERBOTTENS LÄN</t>
        </is>
      </c>
      <c r="G547" t="inlineStr">
        <is>
          <t>LYCKSELE</t>
        </is>
      </c>
      <c r="H547" t="inlineStr">
        <is>
          <t>Sveaskog</t>
        </is>
      </c>
      <c r="I547" t="n">
        <v>1.6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61086-2025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46000</v>
      </c>
      <c r="E548" s="1" t="n">
        <v>46227</v>
      </c>
      <c r="F548" t="inlineStr">
        <is>
          <t>VÄSTERBOTTENS LÄN</t>
        </is>
      </c>
      <c r="G548" t="inlineStr">
        <is>
          <t>LYCKSELE</t>
        </is>
      </c>
      <c r="I548" t="n">
        <v>1.5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36542-2025</t>
        </is>
      </c>
      <c r="B549" t="inlineStr">
        <is>
          <t>avverkningsanmälan</t>
        </is>
      </c>
      <c r="C549" t="inlineStr">
        <is>
          <t>Avverkning för att bevara och utveckla /försöksver</t>
        </is>
      </c>
      <c r="D549" s="1" t="n">
        <v>45869</v>
      </c>
      <c r="E549" s="1" t="n">
        <v>46227</v>
      </c>
      <c r="F549" t="inlineStr">
        <is>
          <t>VÄSTERBOTTENS LÄN</t>
        </is>
      </c>
      <c r="G549" t="inlineStr">
        <is>
          <t>LYCKSELE</t>
        </is>
      </c>
      <c r="H549" t="inlineStr">
        <is>
          <t>SCA</t>
        </is>
      </c>
      <c r="I549" t="n">
        <v>2.1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61799-2023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45265</v>
      </c>
      <c r="E550" s="1" t="n">
        <v>46227</v>
      </c>
      <c r="F550" t="inlineStr">
        <is>
          <t>VÄSTERBOTTENS LÄN</t>
        </is>
      </c>
      <c r="G550" t="inlineStr">
        <is>
          <t>LYCKSELE</t>
        </is>
      </c>
      <c r="H550" t="inlineStr">
        <is>
          <t>SCA</t>
        </is>
      </c>
      <c r="I550" t="n">
        <v>3.3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36439-2025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45869</v>
      </c>
      <c r="E551" s="1" t="n">
        <v>46227</v>
      </c>
      <c r="F551" t="inlineStr">
        <is>
          <t>VÄSTERBOTTENS LÄN</t>
        </is>
      </c>
      <c r="G551" t="inlineStr">
        <is>
          <t>LYCKSELE</t>
        </is>
      </c>
      <c r="H551" t="inlineStr">
        <is>
          <t>Holmen skog AB</t>
        </is>
      </c>
      <c r="I551" t="n">
        <v>14.3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31648-2024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45506</v>
      </c>
      <c r="E552" s="1" t="n">
        <v>46227</v>
      </c>
      <c r="F552" t="inlineStr">
        <is>
          <t>VÄSTERBOTTENS LÄN</t>
        </is>
      </c>
      <c r="G552" t="inlineStr">
        <is>
          <t>LYCKSELE</t>
        </is>
      </c>
      <c r="H552" t="inlineStr">
        <is>
          <t>Sveaskog</t>
        </is>
      </c>
      <c r="I552" t="n">
        <v>1.4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46074-2025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45924</v>
      </c>
      <c r="E553" s="1" t="n">
        <v>46227</v>
      </c>
      <c r="F553" t="inlineStr">
        <is>
          <t>VÄSTERBOTTENS LÄN</t>
        </is>
      </c>
      <c r="G553" t="inlineStr">
        <is>
          <t>LYCKSELE</t>
        </is>
      </c>
      <c r="H553" t="inlineStr">
        <is>
          <t>Holmen skog AB</t>
        </is>
      </c>
      <c r="I553" t="n">
        <v>0.6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21289-2025</t>
        </is>
      </c>
      <c r="B554" t="inlineStr">
        <is>
          <t>avverkningsanmälan</t>
        </is>
      </c>
      <c r="C554" t="inlineStr">
        <is>
          <t>Avverkning för annat ändamål</t>
        </is>
      </c>
      <c r="D554" s="1" t="n">
        <v>45779</v>
      </c>
      <c r="E554" s="1" t="n">
        <v>46227</v>
      </c>
      <c r="F554" t="inlineStr">
        <is>
          <t>VÄSTERBOTTENS LÄN</t>
        </is>
      </c>
      <c r="G554" t="inlineStr">
        <is>
          <t>LYCKSELE</t>
        </is>
      </c>
      <c r="I554" t="n">
        <v>0.7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61353-2025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46001</v>
      </c>
      <c r="E555" s="1" t="n">
        <v>46227</v>
      </c>
      <c r="F555" t="inlineStr">
        <is>
          <t>VÄSTERBOTTENS LÄN</t>
        </is>
      </c>
      <c r="G555" t="inlineStr">
        <is>
          <t>LYCKSELE</t>
        </is>
      </c>
      <c r="I555" t="n">
        <v>1.3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5687-2025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45694</v>
      </c>
      <c r="E556" s="1" t="n">
        <v>46227</v>
      </c>
      <c r="F556" t="inlineStr">
        <is>
          <t>VÄSTERBOTTENS LÄN</t>
        </is>
      </c>
      <c r="G556" t="inlineStr">
        <is>
          <t>LYCKSELE</t>
        </is>
      </c>
      <c r="I556" t="n">
        <v>3.4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61335-2025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46001</v>
      </c>
      <c r="E557" s="1" t="n">
        <v>46227</v>
      </c>
      <c r="F557" t="inlineStr">
        <is>
          <t>VÄSTERBOTTENS LÄN</t>
        </is>
      </c>
      <c r="G557" t="inlineStr">
        <is>
          <t>LYCKSELE</t>
        </is>
      </c>
      <c r="I557" t="n">
        <v>1.3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12424-2025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45730</v>
      </c>
      <c r="E558" s="1" t="n">
        <v>46227</v>
      </c>
      <c r="F558" t="inlineStr">
        <is>
          <t>VÄSTERBOTTENS LÄN</t>
        </is>
      </c>
      <c r="G558" t="inlineStr">
        <is>
          <t>LYCKSELE</t>
        </is>
      </c>
      <c r="I558" t="n">
        <v>0.6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61351-2025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46001</v>
      </c>
      <c r="E559" s="1" t="n">
        <v>46227</v>
      </c>
      <c r="F559" t="inlineStr">
        <is>
          <t>VÄSTERBOTTENS LÄN</t>
        </is>
      </c>
      <c r="G559" t="inlineStr">
        <is>
          <t>LYCKSELE</t>
        </is>
      </c>
      <c r="I559" t="n">
        <v>8.199999999999999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59516-2021</t>
        </is>
      </c>
      <c r="B560" t="inlineStr">
        <is>
          <t>avverkningsanmälan</t>
        </is>
      </c>
      <c r="C560" t="inlineStr">
        <is>
          <t>Avverkning för annat ändamål</t>
        </is>
      </c>
      <c r="D560" s="1" t="n">
        <v>44491</v>
      </c>
      <c r="E560" s="1" t="n">
        <v>46227</v>
      </c>
      <c r="F560" t="inlineStr">
        <is>
          <t>VÄSTERBOTTENS LÄN</t>
        </is>
      </c>
      <c r="G560" t="inlineStr">
        <is>
          <t>LYCKSELE</t>
        </is>
      </c>
      <c r="H560" t="inlineStr">
        <is>
          <t>Holmen skog AB</t>
        </is>
      </c>
      <c r="I560" t="n">
        <v>2.7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23295-2023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45075</v>
      </c>
      <c r="E561" s="1" t="n">
        <v>46227</v>
      </c>
      <c r="F561" t="inlineStr">
        <is>
          <t>VÄSTERBOTTENS LÄN</t>
        </is>
      </c>
      <c r="G561" t="inlineStr">
        <is>
          <t>LYCKSELE</t>
        </is>
      </c>
      <c r="H561" t="inlineStr">
        <is>
          <t>SCA</t>
        </is>
      </c>
      <c r="I561" t="n">
        <v>7.4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61590-2025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46002</v>
      </c>
      <c r="E562" s="1" t="n">
        <v>46227</v>
      </c>
      <c r="F562" t="inlineStr">
        <is>
          <t>VÄSTERBOTTENS LÄN</t>
        </is>
      </c>
      <c r="G562" t="inlineStr">
        <is>
          <t>LYCKSELE</t>
        </is>
      </c>
      <c r="I562" t="n">
        <v>12.4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61472-2025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46001</v>
      </c>
      <c r="E563" s="1" t="n">
        <v>46227</v>
      </c>
      <c r="F563" t="inlineStr">
        <is>
          <t>VÄSTERBOTTENS LÄN</t>
        </is>
      </c>
      <c r="G563" t="inlineStr">
        <is>
          <t>LYCKSELE</t>
        </is>
      </c>
      <c r="I563" t="n">
        <v>1.1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36689-2025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45873</v>
      </c>
      <c r="E564" s="1" t="n">
        <v>46227</v>
      </c>
      <c r="F564" t="inlineStr">
        <is>
          <t>VÄSTERBOTTENS LÄN</t>
        </is>
      </c>
      <c r="G564" t="inlineStr">
        <is>
          <t>LYCKSELE</t>
        </is>
      </c>
      <c r="H564" t="inlineStr">
        <is>
          <t>Sveaskog</t>
        </is>
      </c>
      <c r="I564" t="n">
        <v>2.4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36709-2025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45873</v>
      </c>
      <c r="E565" s="1" t="n">
        <v>46227</v>
      </c>
      <c r="F565" t="inlineStr">
        <is>
          <t>VÄSTERBOTTENS LÄN</t>
        </is>
      </c>
      <c r="G565" t="inlineStr">
        <is>
          <t>LYCKSELE</t>
        </is>
      </c>
      <c r="H565" t="inlineStr">
        <is>
          <t>Holmen skog AB</t>
        </is>
      </c>
      <c r="I565" t="n">
        <v>3.9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46077-2025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45924</v>
      </c>
      <c r="E566" s="1" t="n">
        <v>46227</v>
      </c>
      <c r="F566" t="inlineStr">
        <is>
          <t>VÄSTERBOTTENS LÄN</t>
        </is>
      </c>
      <c r="G566" t="inlineStr">
        <is>
          <t>LYCKSELE</t>
        </is>
      </c>
      <c r="H566" t="inlineStr">
        <is>
          <t>Holmen skog AB</t>
        </is>
      </c>
      <c r="I566" t="n">
        <v>1.8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61334-2025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46001</v>
      </c>
      <c r="E567" s="1" t="n">
        <v>46227</v>
      </c>
      <c r="F567" t="inlineStr">
        <is>
          <t>VÄSTERBOTTENS LÄN</t>
        </is>
      </c>
      <c r="G567" t="inlineStr">
        <is>
          <t>LYCKSELE</t>
        </is>
      </c>
      <c r="I567" t="n">
        <v>8.9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61593-2025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46002</v>
      </c>
      <c r="E568" s="1" t="n">
        <v>46227</v>
      </c>
      <c r="F568" t="inlineStr">
        <is>
          <t>VÄSTERBOTTENS LÄN</t>
        </is>
      </c>
      <c r="G568" t="inlineStr">
        <is>
          <t>LYCKSELE</t>
        </is>
      </c>
      <c r="H568" t="inlineStr">
        <is>
          <t>Sveaskog</t>
        </is>
      </c>
      <c r="I568" t="n">
        <v>25.2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36702-2025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45873</v>
      </c>
      <c r="E569" s="1" t="n">
        <v>46227</v>
      </c>
      <c r="F569" t="inlineStr">
        <is>
          <t>VÄSTERBOTTENS LÄN</t>
        </is>
      </c>
      <c r="G569" t="inlineStr">
        <is>
          <t>LYCKSELE</t>
        </is>
      </c>
      <c r="H569" t="inlineStr">
        <is>
          <t>Sveaskog</t>
        </is>
      </c>
      <c r="I569" t="n">
        <v>4.4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936-2023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44933</v>
      </c>
      <c r="E570" s="1" t="n">
        <v>46227</v>
      </c>
      <c r="F570" t="inlineStr">
        <is>
          <t>VÄSTERBOTTENS LÄN</t>
        </is>
      </c>
      <c r="G570" t="inlineStr">
        <is>
          <t>LYCKSELE</t>
        </is>
      </c>
      <c r="I570" t="n">
        <v>1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36787-2025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45873</v>
      </c>
      <c r="E571" s="1" t="n">
        <v>46227</v>
      </c>
      <c r="F571" t="inlineStr">
        <is>
          <t>VÄSTERBOTTENS LÄN</t>
        </is>
      </c>
      <c r="G571" t="inlineStr">
        <is>
          <t>LYCKSELE</t>
        </is>
      </c>
      <c r="H571" t="inlineStr">
        <is>
          <t>Sveaskog</t>
        </is>
      </c>
      <c r="I571" t="n">
        <v>20.1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36736-2025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45873</v>
      </c>
      <c r="E572" s="1" t="n">
        <v>46227</v>
      </c>
      <c r="F572" t="inlineStr">
        <is>
          <t>VÄSTERBOTTENS LÄN</t>
        </is>
      </c>
      <c r="G572" t="inlineStr">
        <is>
          <t>LYCKSELE</t>
        </is>
      </c>
      <c r="H572" t="inlineStr">
        <is>
          <t>Sveaskog</t>
        </is>
      </c>
      <c r="I572" t="n">
        <v>4.7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37105-2025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45875</v>
      </c>
      <c r="E573" s="1" t="n">
        <v>46227</v>
      </c>
      <c r="F573" t="inlineStr">
        <is>
          <t>VÄSTERBOTTENS LÄN</t>
        </is>
      </c>
      <c r="G573" t="inlineStr">
        <is>
          <t>LYCKSELE</t>
        </is>
      </c>
      <c r="H573" t="inlineStr">
        <is>
          <t>Holmen skog AB</t>
        </is>
      </c>
      <c r="I573" t="n">
        <v>16.4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37078-2025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45875</v>
      </c>
      <c r="E574" s="1" t="n">
        <v>46227</v>
      </c>
      <c r="F574" t="inlineStr">
        <is>
          <t>VÄSTERBOTTENS LÄN</t>
        </is>
      </c>
      <c r="G574" t="inlineStr">
        <is>
          <t>LYCKSELE</t>
        </is>
      </c>
      <c r="H574" t="inlineStr">
        <is>
          <t>Sveaskog</t>
        </is>
      </c>
      <c r="I574" t="n">
        <v>3.2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54697-2024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45618</v>
      </c>
      <c r="E575" s="1" t="n">
        <v>46227</v>
      </c>
      <c r="F575" t="inlineStr">
        <is>
          <t>VÄSTERBOTTENS LÄN</t>
        </is>
      </c>
      <c r="G575" t="inlineStr">
        <is>
          <t>LYCKSELE</t>
        </is>
      </c>
      <c r="H575" t="inlineStr">
        <is>
          <t>Sveaskog</t>
        </is>
      </c>
      <c r="I575" t="n">
        <v>5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53096-2024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45611</v>
      </c>
      <c r="E576" s="1" t="n">
        <v>46227</v>
      </c>
      <c r="F576" t="inlineStr">
        <is>
          <t>VÄSTERBOTTENS LÄN</t>
        </is>
      </c>
      <c r="G576" t="inlineStr">
        <is>
          <t>LYCKSELE</t>
        </is>
      </c>
      <c r="H576" t="inlineStr">
        <is>
          <t>Sveaskog</t>
        </is>
      </c>
      <c r="I576" t="n">
        <v>8.4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53335-2024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45614</v>
      </c>
      <c r="E577" s="1" t="n">
        <v>46227</v>
      </c>
      <c r="F577" t="inlineStr">
        <is>
          <t>VÄSTERBOTTENS LÄN</t>
        </is>
      </c>
      <c r="G577" t="inlineStr">
        <is>
          <t>LYCKSELE</t>
        </is>
      </c>
      <c r="H577" t="inlineStr">
        <is>
          <t>Sveaskog</t>
        </is>
      </c>
      <c r="I577" t="n">
        <v>5.5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2193-2023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44942</v>
      </c>
      <c r="E578" s="1" t="n">
        <v>46227</v>
      </c>
      <c r="F578" t="inlineStr">
        <is>
          <t>VÄSTERBOTTENS LÄN</t>
        </is>
      </c>
      <c r="G578" t="inlineStr">
        <is>
          <t>LYCKSELE</t>
        </is>
      </c>
      <c r="I578" t="n">
        <v>2.8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11604-2023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44994</v>
      </c>
      <c r="E579" s="1" t="n">
        <v>46227</v>
      </c>
      <c r="F579" t="inlineStr">
        <is>
          <t>VÄSTERBOTTENS LÄN</t>
        </is>
      </c>
      <c r="G579" t="inlineStr">
        <is>
          <t>LYCKSELE</t>
        </is>
      </c>
      <c r="I579" t="n">
        <v>4.3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4056-2023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44952</v>
      </c>
      <c r="E580" s="1" t="n">
        <v>46227</v>
      </c>
      <c r="F580" t="inlineStr">
        <is>
          <t>VÄSTERBOTTENS LÄN</t>
        </is>
      </c>
      <c r="G580" t="inlineStr">
        <is>
          <t>LYCKSELE</t>
        </is>
      </c>
      <c r="H580" t="inlineStr">
        <is>
          <t>Sveaskog</t>
        </is>
      </c>
      <c r="I580" t="n">
        <v>2.8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61854-2025</t>
        </is>
      </c>
      <c r="B581" t="inlineStr">
        <is>
          <t>avverkningsanmälan</t>
        </is>
      </c>
      <c r="C581" t="inlineStr">
        <is>
          <t>Avverkning för att bevara och utveckla /försöksver</t>
        </is>
      </c>
      <c r="D581" s="1" t="n">
        <v>46003</v>
      </c>
      <c r="E581" s="1" t="n">
        <v>46227</v>
      </c>
      <c r="F581" t="inlineStr">
        <is>
          <t>VÄSTERBOTTENS LÄN</t>
        </is>
      </c>
      <c r="G581" t="inlineStr">
        <is>
          <t>LYCKSELE</t>
        </is>
      </c>
      <c r="H581" t="inlineStr">
        <is>
          <t>Sveaskog</t>
        </is>
      </c>
      <c r="I581" t="n">
        <v>2.3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37970-2025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45881</v>
      </c>
      <c r="E582" s="1" t="n">
        <v>46227</v>
      </c>
      <c r="F582" t="inlineStr">
        <is>
          <t>VÄSTERBOTTENS LÄN</t>
        </is>
      </c>
      <c r="G582" t="inlineStr">
        <is>
          <t>LYCKSELE</t>
        </is>
      </c>
      <c r="H582" t="inlineStr">
        <is>
          <t>Holmen skog AB</t>
        </is>
      </c>
      <c r="I582" t="n">
        <v>2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62476-2025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46007</v>
      </c>
      <c r="E583" s="1" t="n">
        <v>46227</v>
      </c>
      <c r="F583" t="inlineStr">
        <is>
          <t>VÄSTERBOTTENS LÄN</t>
        </is>
      </c>
      <c r="G583" t="inlineStr">
        <is>
          <t>LYCKSELE</t>
        </is>
      </c>
      <c r="I583" t="n">
        <v>36.8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59209-2024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45637</v>
      </c>
      <c r="E584" s="1" t="n">
        <v>46227</v>
      </c>
      <c r="F584" t="inlineStr">
        <is>
          <t>VÄSTERBOTTENS LÄN</t>
        </is>
      </c>
      <c r="G584" t="inlineStr">
        <is>
          <t>LYCKSELE</t>
        </is>
      </c>
      <c r="H584" t="inlineStr">
        <is>
          <t>Sveaskog</t>
        </is>
      </c>
      <c r="I584" t="n">
        <v>2.3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63096-2025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46009</v>
      </c>
      <c r="E585" s="1" t="n">
        <v>46227</v>
      </c>
      <c r="F585" t="inlineStr">
        <is>
          <t>VÄSTERBOTTENS LÄN</t>
        </is>
      </c>
      <c r="G585" t="inlineStr">
        <is>
          <t>LYCKSELE</t>
        </is>
      </c>
      <c r="I585" t="n">
        <v>7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57298-2025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45979</v>
      </c>
      <c r="E586" s="1" t="n">
        <v>46227</v>
      </c>
      <c r="F586" t="inlineStr">
        <is>
          <t>VÄSTERBOTTENS LÄN</t>
        </is>
      </c>
      <c r="G586" t="inlineStr">
        <is>
          <t>LYCKSELE</t>
        </is>
      </c>
      <c r="I586" t="n">
        <v>0.4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47461-2025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45930</v>
      </c>
      <c r="E587" s="1" t="n">
        <v>46227</v>
      </c>
      <c r="F587" t="inlineStr">
        <is>
          <t>VÄSTERBOTTENS LÄN</t>
        </is>
      </c>
      <c r="G587" t="inlineStr">
        <is>
          <t>LYCKSELE</t>
        </is>
      </c>
      <c r="H587" t="inlineStr">
        <is>
          <t>Sveaskog</t>
        </is>
      </c>
      <c r="I587" t="n">
        <v>1.2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63100-2025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46009</v>
      </c>
      <c r="E588" s="1" t="n">
        <v>46227</v>
      </c>
      <c r="F588" t="inlineStr">
        <is>
          <t>VÄSTERBOTTENS LÄN</t>
        </is>
      </c>
      <c r="G588" t="inlineStr">
        <is>
          <t>LYCKSELE</t>
        </is>
      </c>
      <c r="I588" t="n">
        <v>1.9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47093-2025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45929</v>
      </c>
      <c r="E589" s="1" t="n">
        <v>46227</v>
      </c>
      <c r="F589" t="inlineStr">
        <is>
          <t>VÄSTERBOTTENS LÄN</t>
        </is>
      </c>
      <c r="G589" t="inlineStr">
        <is>
          <t>LYCKSELE</t>
        </is>
      </c>
      <c r="I589" t="n">
        <v>5.7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47456-2025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45930</v>
      </c>
      <c r="E590" s="1" t="n">
        <v>46227</v>
      </c>
      <c r="F590" t="inlineStr">
        <is>
          <t>VÄSTERBOTTENS LÄN</t>
        </is>
      </c>
      <c r="G590" t="inlineStr">
        <is>
          <t>LYCKSELE</t>
        </is>
      </c>
      <c r="H590" t="inlineStr">
        <is>
          <t>Sveaskog</t>
        </is>
      </c>
      <c r="I590" t="n">
        <v>4.3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35765-2023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45147</v>
      </c>
      <c r="E591" s="1" t="n">
        <v>46227</v>
      </c>
      <c r="F591" t="inlineStr">
        <is>
          <t>VÄSTERBOTTENS LÄN</t>
        </is>
      </c>
      <c r="G591" t="inlineStr">
        <is>
          <t>LYCKSELE</t>
        </is>
      </c>
      <c r="H591" t="inlineStr">
        <is>
          <t>SCA</t>
        </is>
      </c>
      <c r="I591" t="n">
        <v>3.8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47459-2025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45930</v>
      </c>
      <c r="E592" s="1" t="n">
        <v>46227</v>
      </c>
      <c r="F592" t="inlineStr">
        <is>
          <t>VÄSTERBOTTENS LÄN</t>
        </is>
      </c>
      <c r="G592" t="inlineStr">
        <is>
          <t>LYCKSELE</t>
        </is>
      </c>
      <c r="H592" t="inlineStr">
        <is>
          <t>Sveaskog</t>
        </is>
      </c>
      <c r="I592" t="n">
        <v>1.8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24340-2024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45457</v>
      </c>
      <c r="E593" s="1" t="n">
        <v>46227</v>
      </c>
      <c r="F593" t="inlineStr">
        <is>
          <t>VÄSTERBOTTENS LÄN</t>
        </is>
      </c>
      <c r="G593" t="inlineStr">
        <is>
          <t>LYCKSELE</t>
        </is>
      </c>
      <c r="H593" t="inlineStr">
        <is>
          <t>Sveaskog</t>
        </is>
      </c>
      <c r="I593" t="n">
        <v>12.3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62906-2025</t>
        </is>
      </c>
      <c r="B594" t="inlineStr">
        <is>
          <t>avverkningsanmälan</t>
        </is>
      </c>
      <c r="C594" t="inlineStr">
        <is>
          <t>Avverkning för annat ändamål</t>
        </is>
      </c>
      <c r="D594" s="1" t="n">
        <v>46009</v>
      </c>
      <c r="E594" s="1" t="n">
        <v>46227</v>
      </c>
      <c r="F594" t="inlineStr">
        <is>
          <t>VÄSTERBOTTENS LÄN</t>
        </is>
      </c>
      <c r="G594" t="inlineStr">
        <is>
          <t>LYCKSELE</t>
        </is>
      </c>
      <c r="H594" t="inlineStr">
        <is>
          <t>Holmen skog AB</t>
        </is>
      </c>
      <c r="I594" t="n">
        <v>0.9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8917-2023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44979</v>
      </c>
      <c r="E595" s="1" t="n">
        <v>46227</v>
      </c>
      <c r="F595" t="inlineStr">
        <is>
          <t>VÄSTERBOTTENS LÄN</t>
        </is>
      </c>
      <c r="G595" t="inlineStr">
        <is>
          <t>LYCKSELE</t>
        </is>
      </c>
      <c r="I595" t="n">
        <v>12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63315-2025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46010</v>
      </c>
      <c r="E596" s="1" t="n">
        <v>46227</v>
      </c>
      <c r="F596" t="inlineStr">
        <is>
          <t>VÄSTERBOTTENS LÄN</t>
        </is>
      </c>
      <c r="G596" t="inlineStr">
        <is>
          <t>LYCKSELE</t>
        </is>
      </c>
      <c r="I596" t="n">
        <v>9.199999999999999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27495-2024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45474</v>
      </c>
      <c r="E597" s="1" t="n">
        <v>46227</v>
      </c>
      <c r="F597" t="inlineStr">
        <is>
          <t>VÄSTERBOTTENS LÄN</t>
        </is>
      </c>
      <c r="G597" t="inlineStr">
        <is>
          <t>LYCKSELE</t>
        </is>
      </c>
      <c r="H597" t="inlineStr">
        <is>
          <t>Sveaskog</t>
        </is>
      </c>
      <c r="I597" t="n">
        <v>1.9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62715-2022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44925</v>
      </c>
      <c r="E598" s="1" t="n">
        <v>46227</v>
      </c>
      <c r="F598" t="inlineStr">
        <is>
          <t>VÄSTERBOTTENS LÄN</t>
        </is>
      </c>
      <c r="G598" t="inlineStr">
        <is>
          <t>LYCKSELE</t>
        </is>
      </c>
      <c r="I598" t="n">
        <v>0.7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47700-2025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45931</v>
      </c>
      <c r="E599" s="1" t="n">
        <v>46227</v>
      </c>
      <c r="F599" t="inlineStr">
        <is>
          <t>VÄSTERBOTTENS LÄN</t>
        </is>
      </c>
      <c r="G599" t="inlineStr">
        <is>
          <t>LYCKSELE</t>
        </is>
      </c>
      <c r="I599" t="n">
        <v>5.6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59559-2022</t>
        </is>
      </c>
      <c r="B600" t="inlineStr">
        <is>
          <t>avverkningsanmälan</t>
        </is>
      </c>
      <c r="C600" t="inlineStr">
        <is>
          <t>Avverkning för annat ändamål</t>
        </is>
      </c>
      <c r="D600" s="1" t="n">
        <v>44900</v>
      </c>
      <c r="E600" s="1" t="n">
        <v>46227</v>
      </c>
      <c r="F600" t="inlineStr">
        <is>
          <t>VÄSTERBOTTENS LÄN</t>
        </is>
      </c>
      <c r="G600" t="inlineStr">
        <is>
          <t>LYCKSELE</t>
        </is>
      </c>
      <c r="I600" t="n">
        <v>0.3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24377-2024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45457</v>
      </c>
      <c r="E601" s="1" t="n">
        <v>46227</v>
      </c>
      <c r="F601" t="inlineStr">
        <is>
          <t>VÄSTERBOTTENS LÄN</t>
        </is>
      </c>
      <c r="G601" t="inlineStr">
        <is>
          <t>LYCKSELE</t>
        </is>
      </c>
      <c r="H601" t="inlineStr">
        <is>
          <t>Holmen skog AB</t>
        </is>
      </c>
      <c r="I601" t="n">
        <v>3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29937-2024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45488</v>
      </c>
      <c r="E602" s="1" t="n">
        <v>46227</v>
      </c>
      <c r="F602" t="inlineStr">
        <is>
          <t>VÄSTERBOTTENS LÄN</t>
        </is>
      </c>
      <c r="G602" t="inlineStr">
        <is>
          <t>LYCKSELE</t>
        </is>
      </c>
      <c r="I602" t="n">
        <v>0.6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48330-2024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45590</v>
      </c>
      <c r="E603" s="1" t="n">
        <v>46227</v>
      </c>
      <c r="F603" t="inlineStr">
        <is>
          <t>VÄSTERBOTTENS LÄN</t>
        </is>
      </c>
      <c r="G603" t="inlineStr">
        <is>
          <t>LYCKSELE</t>
        </is>
      </c>
      <c r="H603" t="inlineStr">
        <is>
          <t>Sveaskog</t>
        </is>
      </c>
      <c r="I603" t="n">
        <v>1.9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28525-2023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45103</v>
      </c>
      <c r="E604" s="1" t="n">
        <v>46227</v>
      </c>
      <c r="F604" t="inlineStr">
        <is>
          <t>VÄSTERBOTTENS LÄN</t>
        </is>
      </c>
      <c r="G604" t="inlineStr">
        <is>
          <t>LYCKSELE</t>
        </is>
      </c>
      <c r="H604" t="inlineStr">
        <is>
          <t>Sveaskog</t>
        </is>
      </c>
      <c r="I604" t="n">
        <v>1.4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28528-2023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45103</v>
      </c>
      <c r="E605" s="1" t="n">
        <v>46227</v>
      </c>
      <c r="F605" t="inlineStr">
        <is>
          <t>VÄSTERBOTTENS LÄN</t>
        </is>
      </c>
      <c r="G605" t="inlineStr">
        <is>
          <t>LYCKSELE</t>
        </is>
      </c>
      <c r="H605" t="inlineStr">
        <is>
          <t>Sveaskog</t>
        </is>
      </c>
      <c r="I605" t="n">
        <v>4.1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28545-2023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45103</v>
      </c>
      <c r="E606" s="1" t="n">
        <v>46227</v>
      </c>
      <c r="F606" t="inlineStr">
        <is>
          <t>VÄSTERBOTTENS LÄN</t>
        </is>
      </c>
      <c r="G606" t="inlineStr">
        <is>
          <t>LYCKSELE</t>
        </is>
      </c>
      <c r="H606" t="inlineStr">
        <is>
          <t>Sveaskog</t>
        </is>
      </c>
      <c r="I606" t="n">
        <v>1.6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63639-2025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46014</v>
      </c>
      <c r="E607" s="1" t="n">
        <v>46227</v>
      </c>
      <c r="F607" t="inlineStr">
        <is>
          <t>VÄSTERBOTTENS LÄN</t>
        </is>
      </c>
      <c r="G607" t="inlineStr">
        <is>
          <t>LYCKSELE</t>
        </is>
      </c>
      <c r="H607" t="inlineStr">
        <is>
          <t>Sveaskog</t>
        </is>
      </c>
      <c r="I607" t="n">
        <v>10.6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34929-2023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45142</v>
      </c>
      <c r="E608" s="1" t="n">
        <v>46227</v>
      </c>
      <c r="F608" t="inlineStr">
        <is>
          <t>VÄSTERBOTTENS LÄN</t>
        </is>
      </c>
      <c r="G608" t="inlineStr">
        <is>
          <t>LYCKSELE</t>
        </is>
      </c>
      <c r="H608" t="inlineStr">
        <is>
          <t>Sveaskog</t>
        </is>
      </c>
      <c r="I608" t="n">
        <v>1.5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52124-2024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45608</v>
      </c>
      <c r="E609" s="1" t="n">
        <v>46227</v>
      </c>
      <c r="F609" t="inlineStr">
        <is>
          <t>VÄSTERBOTTENS LÄN</t>
        </is>
      </c>
      <c r="G609" t="inlineStr">
        <is>
          <t>LYCKSELE</t>
        </is>
      </c>
      <c r="H609" t="inlineStr">
        <is>
          <t>Sveaskog</t>
        </is>
      </c>
      <c r="I609" t="n">
        <v>6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52144-2024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45608</v>
      </c>
      <c r="E610" s="1" t="n">
        <v>46227</v>
      </c>
      <c r="F610" t="inlineStr">
        <is>
          <t>VÄSTERBOTTENS LÄN</t>
        </is>
      </c>
      <c r="G610" t="inlineStr">
        <is>
          <t>LYCKSELE</t>
        </is>
      </c>
      <c r="I610" t="n">
        <v>5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2109-2025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45672</v>
      </c>
      <c r="E611" s="1" t="n">
        <v>46227</v>
      </c>
      <c r="F611" t="inlineStr">
        <is>
          <t>VÄSTERBOTTENS LÄN</t>
        </is>
      </c>
      <c r="G611" t="inlineStr">
        <is>
          <t>LYCKSELE</t>
        </is>
      </c>
      <c r="I611" t="n">
        <v>5.6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9090-2025</t>
        </is>
      </c>
      <c r="B612" t="inlineStr">
        <is>
          <t>avverkningsanmälan</t>
        </is>
      </c>
      <c r="C612" t="inlineStr">
        <is>
          <t>Avverkning för att bevara och utveckla /försöksver</t>
        </is>
      </c>
      <c r="D612" s="1" t="n">
        <v>45713</v>
      </c>
      <c r="E612" s="1" t="n">
        <v>46227</v>
      </c>
      <c r="F612" t="inlineStr">
        <is>
          <t>VÄSTERBOTTENS LÄN</t>
        </is>
      </c>
      <c r="G612" t="inlineStr">
        <is>
          <t>LYCKSELE</t>
        </is>
      </c>
      <c r="H612" t="inlineStr">
        <is>
          <t>SCA</t>
        </is>
      </c>
      <c r="I612" t="n">
        <v>3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47930-2025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45932</v>
      </c>
      <c r="E613" s="1" t="n">
        <v>46227</v>
      </c>
      <c r="F613" t="inlineStr">
        <is>
          <t>VÄSTERBOTTENS LÄN</t>
        </is>
      </c>
      <c r="G613" t="inlineStr">
        <is>
          <t>LYCKSELE</t>
        </is>
      </c>
      <c r="I613" t="n">
        <v>17.8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46692-2025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45926</v>
      </c>
      <c r="E614" s="1" t="n">
        <v>46227</v>
      </c>
      <c r="F614" t="inlineStr">
        <is>
          <t>VÄSTERBOTTENS LÄN</t>
        </is>
      </c>
      <c r="G614" t="inlineStr">
        <is>
          <t>LYCKSELE</t>
        </is>
      </c>
      <c r="H614" t="inlineStr">
        <is>
          <t>Holmen skog AB</t>
        </is>
      </c>
      <c r="I614" t="n">
        <v>3.9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62870-2023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45271</v>
      </c>
      <c r="E615" s="1" t="n">
        <v>46227</v>
      </c>
      <c r="F615" t="inlineStr">
        <is>
          <t>VÄSTERBOTTENS LÄN</t>
        </is>
      </c>
      <c r="G615" t="inlineStr">
        <is>
          <t>LYCKSELE</t>
        </is>
      </c>
      <c r="I615" t="n">
        <v>4.3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26396-2022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44735</v>
      </c>
      <c r="E616" s="1" t="n">
        <v>46227</v>
      </c>
      <c r="F616" t="inlineStr">
        <is>
          <t>VÄSTERBOTTENS LÄN</t>
        </is>
      </c>
      <c r="G616" t="inlineStr">
        <is>
          <t>LYCKSELE</t>
        </is>
      </c>
      <c r="I616" t="n">
        <v>4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46181-2025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45924</v>
      </c>
      <c r="E617" s="1" t="n">
        <v>46227</v>
      </c>
      <c r="F617" t="inlineStr">
        <is>
          <t>VÄSTERBOTTENS LÄN</t>
        </is>
      </c>
      <c r="G617" t="inlineStr">
        <is>
          <t>LYCKSELE</t>
        </is>
      </c>
      <c r="H617" t="inlineStr">
        <is>
          <t>SCA</t>
        </is>
      </c>
      <c r="I617" t="n">
        <v>11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3632-2024</t>
        </is>
      </c>
      <c r="B618" t="inlineStr">
        <is>
          <t>avverkningsanmälan</t>
        </is>
      </c>
      <c r="C618" t="inlineStr">
        <is>
          <t>Avverkning för att bevara och utveckla /försöksver</t>
        </is>
      </c>
      <c r="D618" s="1" t="n">
        <v>45320</v>
      </c>
      <c r="E618" s="1" t="n">
        <v>46227</v>
      </c>
      <c r="F618" t="inlineStr">
        <is>
          <t>VÄSTERBOTTENS LÄN</t>
        </is>
      </c>
      <c r="G618" t="inlineStr">
        <is>
          <t>LYCKSELE</t>
        </is>
      </c>
      <c r="H618" t="inlineStr">
        <is>
          <t>SCA</t>
        </is>
      </c>
      <c r="I618" t="n">
        <v>1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25902-2022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44733</v>
      </c>
      <c r="E619" s="1" t="n">
        <v>46227</v>
      </c>
      <c r="F619" t="inlineStr">
        <is>
          <t>VÄSTERBOTTENS LÄN</t>
        </is>
      </c>
      <c r="G619" t="inlineStr">
        <is>
          <t>LYCKSELE</t>
        </is>
      </c>
      <c r="I619" t="n">
        <v>8.199999999999999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3791-2025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45681</v>
      </c>
      <c r="E620" s="1" t="n">
        <v>46227</v>
      </c>
      <c r="F620" t="inlineStr">
        <is>
          <t>VÄSTERBOTTENS LÄN</t>
        </is>
      </c>
      <c r="G620" t="inlineStr">
        <is>
          <t>LYCKSELE</t>
        </is>
      </c>
      <c r="I620" t="n">
        <v>2.3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48493-2025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45936</v>
      </c>
      <c r="E621" s="1" t="n">
        <v>46227</v>
      </c>
      <c r="F621" t="inlineStr">
        <is>
          <t>VÄSTERBOTTENS LÄN</t>
        </is>
      </c>
      <c r="G621" t="inlineStr">
        <is>
          <t>LYCKSELE</t>
        </is>
      </c>
      <c r="H621" t="inlineStr">
        <is>
          <t>Holmen skog AB</t>
        </is>
      </c>
      <c r="I621" t="n">
        <v>5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48208-2025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45933</v>
      </c>
      <c r="E622" s="1" t="n">
        <v>46227</v>
      </c>
      <c r="F622" t="inlineStr">
        <is>
          <t>VÄSTERBOTTENS LÄN</t>
        </is>
      </c>
      <c r="G622" t="inlineStr">
        <is>
          <t>LYCKSELE</t>
        </is>
      </c>
      <c r="H622" t="inlineStr">
        <is>
          <t>Holmen skog AB</t>
        </is>
      </c>
      <c r="I622" t="n">
        <v>2.2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58716-2024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45635</v>
      </c>
      <c r="E623" s="1" t="n">
        <v>46227</v>
      </c>
      <c r="F623" t="inlineStr">
        <is>
          <t>VÄSTERBOTTENS LÄN</t>
        </is>
      </c>
      <c r="G623" t="inlineStr">
        <is>
          <t>LYCKSELE</t>
        </is>
      </c>
      <c r="H623" t="inlineStr">
        <is>
          <t>Holmen skog AB</t>
        </is>
      </c>
      <c r="I623" t="n">
        <v>1.6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48205-2025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45933</v>
      </c>
      <c r="E624" s="1" t="n">
        <v>46227</v>
      </c>
      <c r="F624" t="inlineStr">
        <is>
          <t>VÄSTERBOTTENS LÄN</t>
        </is>
      </c>
      <c r="G624" t="inlineStr">
        <is>
          <t>LYCKSELE</t>
        </is>
      </c>
      <c r="H624" t="inlineStr">
        <is>
          <t>Holmen skog AB</t>
        </is>
      </c>
      <c r="I624" t="n">
        <v>4.2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36875-2023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45154</v>
      </c>
      <c r="E625" s="1" t="n">
        <v>46227</v>
      </c>
      <c r="F625" t="inlineStr">
        <is>
          <t>VÄSTERBOTTENS LÄN</t>
        </is>
      </c>
      <c r="G625" t="inlineStr">
        <is>
          <t>LYCKSELE</t>
        </is>
      </c>
      <c r="H625" t="inlineStr">
        <is>
          <t>Sveaskog</t>
        </is>
      </c>
      <c r="I625" t="n">
        <v>3.3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57263-2024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45629</v>
      </c>
      <c r="E626" s="1" t="n">
        <v>46227</v>
      </c>
      <c r="F626" t="inlineStr">
        <is>
          <t>VÄSTERBOTTENS LÄN</t>
        </is>
      </c>
      <c r="G626" t="inlineStr">
        <is>
          <t>LYCKSELE</t>
        </is>
      </c>
      <c r="H626" t="inlineStr">
        <is>
          <t>Sveaskog</t>
        </is>
      </c>
      <c r="I626" t="n">
        <v>3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26351-2022</t>
        </is>
      </c>
      <c r="B627" t="inlineStr">
        <is>
          <t>avverkningsanmälan</t>
        </is>
      </c>
      <c r="C627" t="inlineStr">
        <is>
          <t>Avverkning för annat ändamål</t>
        </is>
      </c>
      <c r="D627" s="1" t="n">
        <v>44735</v>
      </c>
      <c r="E627" s="1" t="n">
        <v>46227</v>
      </c>
      <c r="F627" t="inlineStr">
        <is>
          <t>VÄSTERBOTTENS LÄN</t>
        </is>
      </c>
      <c r="G627" t="inlineStr">
        <is>
          <t>LYCKSELE</t>
        </is>
      </c>
      <c r="I627" t="n">
        <v>0.5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6943-2025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45701</v>
      </c>
      <c r="E628" s="1" t="n">
        <v>46227</v>
      </c>
      <c r="F628" t="inlineStr">
        <is>
          <t>VÄSTERBOTTENS LÄN</t>
        </is>
      </c>
      <c r="G628" t="inlineStr">
        <is>
          <t>LYCKSELE</t>
        </is>
      </c>
      <c r="I628" t="n">
        <v>3.4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49196-2025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45938</v>
      </c>
      <c r="E629" s="1" t="n">
        <v>46227</v>
      </c>
      <c r="F629" t="inlineStr">
        <is>
          <t>VÄSTERBOTTENS LÄN</t>
        </is>
      </c>
      <c r="G629" t="inlineStr">
        <is>
          <t>LYCKSELE</t>
        </is>
      </c>
      <c r="I629" t="n">
        <v>2.6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49366-2025</t>
        </is>
      </c>
      <c r="B630" t="inlineStr">
        <is>
          <t>avverkningsanmälan</t>
        </is>
      </c>
      <c r="C630" t="inlineStr">
        <is>
          <t>Avverkning för annat ändamål</t>
        </is>
      </c>
      <c r="D630" s="1" t="n">
        <v>45938</v>
      </c>
      <c r="E630" s="1" t="n">
        <v>46227</v>
      </c>
      <c r="F630" t="inlineStr">
        <is>
          <t>VÄSTERBOTTENS LÄN</t>
        </is>
      </c>
      <c r="G630" t="inlineStr">
        <is>
          <t>LYCKSELE</t>
        </is>
      </c>
      <c r="H630" t="inlineStr">
        <is>
          <t>Holmen skog AB</t>
        </is>
      </c>
      <c r="I630" t="n">
        <v>3.2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57471-2024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45630</v>
      </c>
      <c r="E631" s="1" t="n">
        <v>46227</v>
      </c>
      <c r="F631" t="inlineStr">
        <is>
          <t>VÄSTERBOTTENS LÄN</t>
        </is>
      </c>
      <c r="G631" t="inlineStr">
        <is>
          <t>LYCKSELE</t>
        </is>
      </c>
      <c r="H631" t="inlineStr">
        <is>
          <t>SCA</t>
        </is>
      </c>
      <c r="I631" t="n">
        <v>0.8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46826-2023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45198</v>
      </c>
      <c r="E632" s="1" t="n">
        <v>46227</v>
      </c>
      <c r="F632" t="inlineStr">
        <is>
          <t>VÄSTERBOTTENS LÄN</t>
        </is>
      </c>
      <c r="G632" t="inlineStr">
        <is>
          <t>LYCKSELE</t>
        </is>
      </c>
      <c r="H632" t="inlineStr">
        <is>
          <t>SCA</t>
        </is>
      </c>
      <c r="I632" t="n">
        <v>2.7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1103-2026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46030</v>
      </c>
      <c r="E633" s="1" t="n">
        <v>46227</v>
      </c>
      <c r="F633" t="inlineStr">
        <is>
          <t>VÄSTERBOTTENS LÄN</t>
        </is>
      </c>
      <c r="G633" t="inlineStr">
        <is>
          <t>LYCKSELE</t>
        </is>
      </c>
      <c r="I633" t="n">
        <v>16.3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1085-2026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46030</v>
      </c>
      <c r="E634" s="1" t="n">
        <v>46227</v>
      </c>
      <c r="F634" t="inlineStr">
        <is>
          <t>VÄSTERBOTTENS LÄN</t>
        </is>
      </c>
      <c r="G634" t="inlineStr">
        <is>
          <t>LYCKSELE</t>
        </is>
      </c>
      <c r="I634" t="n">
        <v>5.5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46654-2025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45926</v>
      </c>
      <c r="E635" s="1" t="n">
        <v>46227</v>
      </c>
      <c r="F635" t="inlineStr">
        <is>
          <t>VÄSTERBOTTENS LÄN</t>
        </is>
      </c>
      <c r="G635" t="inlineStr">
        <is>
          <t>LYCKSELE</t>
        </is>
      </c>
      <c r="H635" t="inlineStr">
        <is>
          <t>Holmen skog AB</t>
        </is>
      </c>
      <c r="I635" t="n">
        <v>1.2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1751-2026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46034</v>
      </c>
      <c r="E636" s="1" t="n">
        <v>46227</v>
      </c>
      <c r="F636" t="inlineStr">
        <is>
          <t>VÄSTERBOTTENS LÄN</t>
        </is>
      </c>
      <c r="G636" t="inlineStr">
        <is>
          <t>LYCKSELE</t>
        </is>
      </c>
      <c r="I636" t="n">
        <v>8.4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49859-2025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45940</v>
      </c>
      <c r="E637" s="1" t="n">
        <v>46227</v>
      </c>
      <c r="F637" t="inlineStr">
        <is>
          <t>VÄSTERBOTTENS LÄN</t>
        </is>
      </c>
      <c r="G637" t="inlineStr">
        <is>
          <t>LYCKSELE</t>
        </is>
      </c>
      <c r="H637" t="inlineStr">
        <is>
          <t>SCA</t>
        </is>
      </c>
      <c r="I637" t="n">
        <v>6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43973-2023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45187</v>
      </c>
      <c r="E638" s="1" t="n">
        <v>46227</v>
      </c>
      <c r="F638" t="inlineStr">
        <is>
          <t>VÄSTERBOTTENS LÄN</t>
        </is>
      </c>
      <c r="G638" t="inlineStr">
        <is>
          <t>LYCKSELE</t>
        </is>
      </c>
      <c r="H638" t="inlineStr">
        <is>
          <t>SCA</t>
        </is>
      </c>
      <c r="I638" t="n">
        <v>1.9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29709-2025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45825</v>
      </c>
      <c r="E639" s="1" t="n">
        <v>46227</v>
      </c>
      <c r="F639" t="inlineStr">
        <is>
          <t>VÄSTERBOTTENS LÄN</t>
        </is>
      </c>
      <c r="G639" t="inlineStr">
        <is>
          <t>LYCKSELE</t>
        </is>
      </c>
      <c r="H639" t="inlineStr">
        <is>
          <t>Holmen skog AB</t>
        </is>
      </c>
      <c r="I639" t="n">
        <v>52.4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46562-2025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45926</v>
      </c>
      <c r="E640" s="1" t="n">
        <v>46227</v>
      </c>
      <c r="F640" t="inlineStr">
        <is>
          <t>VÄSTERBOTTENS LÄN</t>
        </is>
      </c>
      <c r="G640" t="inlineStr">
        <is>
          <t>LYCKSELE</t>
        </is>
      </c>
      <c r="H640" t="inlineStr">
        <is>
          <t>Holmen skog AB</t>
        </is>
      </c>
      <c r="I640" t="n">
        <v>4.6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1613-2026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46034</v>
      </c>
      <c r="E641" s="1" t="n">
        <v>46227</v>
      </c>
      <c r="F641" t="inlineStr">
        <is>
          <t>VÄSTERBOTTENS LÄN</t>
        </is>
      </c>
      <c r="G641" t="inlineStr">
        <is>
          <t>LYCKSELE</t>
        </is>
      </c>
      <c r="I641" t="n">
        <v>3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38178-2022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44812</v>
      </c>
      <c r="E642" s="1" t="n">
        <v>46227</v>
      </c>
      <c r="F642" t="inlineStr">
        <is>
          <t>VÄSTERBOTTENS LÄN</t>
        </is>
      </c>
      <c r="G642" t="inlineStr">
        <is>
          <t>LYCKSELE</t>
        </is>
      </c>
      <c r="H642" t="inlineStr">
        <is>
          <t>Holmen skog AB</t>
        </is>
      </c>
      <c r="I642" t="n">
        <v>6.5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1561-2026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46034</v>
      </c>
      <c r="E643" s="1" t="n">
        <v>46227</v>
      </c>
      <c r="F643" t="inlineStr">
        <is>
          <t>VÄSTERBOTTENS LÄN</t>
        </is>
      </c>
      <c r="G643" t="inlineStr">
        <is>
          <t>LYCKSELE</t>
        </is>
      </c>
      <c r="I643" t="n">
        <v>10.7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49968-2025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45941</v>
      </c>
      <c r="E644" s="1" t="n">
        <v>46227</v>
      </c>
      <c r="F644" t="inlineStr">
        <is>
          <t>VÄSTERBOTTENS LÄN</t>
        </is>
      </c>
      <c r="G644" t="inlineStr">
        <is>
          <t>LYCKSELE</t>
        </is>
      </c>
      <c r="I644" t="n">
        <v>3.4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51957-2023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45223</v>
      </c>
      <c r="E645" s="1" t="n">
        <v>46227</v>
      </c>
      <c r="F645" t="inlineStr">
        <is>
          <t>VÄSTERBOTTENS LÄN</t>
        </is>
      </c>
      <c r="G645" t="inlineStr">
        <is>
          <t>LYCKSELE</t>
        </is>
      </c>
      <c r="H645" t="inlineStr">
        <is>
          <t>Sveaskog</t>
        </is>
      </c>
      <c r="I645" t="n">
        <v>3.2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49977-2025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45942</v>
      </c>
      <c r="E646" s="1" t="n">
        <v>46227</v>
      </c>
      <c r="F646" t="inlineStr">
        <is>
          <t>VÄSTERBOTTENS LÄN</t>
        </is>
      </c>
      <c r="G646" t="inlineStr">
        <is>
          <t>LYCKSELE</t>
        </is>
      </c>
      <c r="I646" t="n">
        <v>1.3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50021-2025</t>
        </is>
      </c>
      <c r="B647" t="inlineStr">
        <is>
          <t>avverkningsanmälan</t>
        </is>
      </c>
      <c r="C647" t="inlineStr">
        <is>
          <t>Avverkning för annat ändamål</t>
        </is>
      </c>
      <c r="D647" s="1" t="n">
        <v>45943</v>
      </c>
      <c r="E647" s="1" t="n">
        <v>46227</v>
      </c>
      <c r="F647" t="inlineStr">
        <is>
          <t>VÄSTERBOTTENS LÄN</t>
        </is>
      </c>
      <c r="G647" t="inlineStr">
        <is>
          <t>LYCKSELE</t>
        </is>
      </c>
      <c r="I647" t="n">
        <v>1.3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987-2025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45666</v>
      </c>
      <c r="E648" s="1" t="n">
        <v>46227</v>
      </c>
      <c r="F648" t="inlineStr">
        <is>
          <t>VÄSTERBOTTENS LÄN</t>
        </is>
      </c>
      <c r="G648" t="inlineStr">
        <is>
          <t>LYCKSELE</t>
        </is>
      </c>
      <c r="I648" t="n">
        <v>3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37984-2021</t>
        </is>
      </c>
      <c r="B649" t="inlineStr">
        <is>
          <t>avverkningsanmälan</t>
        </is>
      </c>
      <c r="C649" t="inlineStr">
        <is>
          <t>Avverkning för annat ändamål</t>
        </is>
      </c>
      <c r="D649" s="1" t="n">
        <v>44403</v>
      </c>
      <c r="E649" s="1" t="n">
        <v>46227</v>
      </c>
      <c r="F649" t="inlineStr">
        <is>
          <t>VÄSTERBOTTENS LÄN</t>
        </is>
      </c>
      <c r="G649" t="inlineStr">
        <is>
          <t>LYCKSELE</t>
        </is>
      </c>
      <c r="I649" t="n">
        <v>0.5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15037-2025</t>
        </is>
      </c>
      <c r="B650" t="inlineStr">
        <is>
          <t>avverkningsanmälan</t>
        </is>
      </c>
      <c r="C650" t="inlineStr">
        <is>
          <t>Avverkning för att bevara och utveckla /försöksver</t>
        </is>
      </c>
      <c r="D650" s="1" t="n">
        <v>45743</v>
      </c>
      <c r="E650" s="1" t="n">
        <v>46227</v>
      </c>
      <c r="F650" t="inlineStr">
        <is>
          <t>VÄSTERBOTTENS LÄN</t>
        </is>
      </c>
      <c r="G650" t="inlineStr">
        <is>
          <t>LYCKSELE</t>
        </is>
      </c>
      <c r="I650" t="n">
        <v>12.1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40262-2022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44820</v>
      </c>
      <c r="E651" s="1" t="n">
        <v>46227</v>
      </c>
      <c r="F651" t="inlineStr">
        <is>
          <t>VÄSTERBOTTENS LÄN</t>
        </is>
      </c>
      <c r="G651" t="inlineStr">
        <is>
          <t>LYCKSELE</t>
        </is>
      </c>
      <c r="I651" t="n">
        <v>2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59653-2022</t>
        </is>
      </c>
      <c r="B652" t="inlineStr">
        <is>
          <t>avverkningsanmälan</t>
        </is>
      </c>
      <c r="C652" t="inlineStr">
        <is>
          <t>Avverkning för annat ändamål</t>
        </is>
      </c>
      <c r="D652" s="1" t="n">
        <v>44907</v>
      </c>
      <c r="E652" s="1" t="n">
        <v>46227</v>
      </c>
      <c r="F652" t="inlineStr">
        <is>
          <t>VÄSTERBOTTENS LÄN</t>
        </is>
      </c>
      <c r="G652" t="inlineStr">
        <is>
          <t>LYCKSELE</t>
        </is>
      </c>
      <c r="I652" t="n">
        <v>2.5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41419-2022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44826</v>
      </c>
      <c r="E653" s="1" t="n">
        <v>46227</v>
      </c>
      <c r="F653" t="inlineStr">
        <is>
          <t>VÄSTERBOTTENS LÄN</t>
        </is>
      </c>
      <c r="G653" t="inlineStr">
        <is>
          <t>LYCKSELE</t>
        </is>
      </c>
      <c r="H653" t="inlineStr">
        <is>
          <t>Naturvårdsverket</t>
        </is>
      </c>
      <c r="I653" t="n">
        <v>32.1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51207-2025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45947</v>
      </c>
      <c r="E654" s="1" t="n">
        <v>46227</v>
      </c>
      <c r="F654" t="inlineStr">
        <is>
          <t>VÄSTERBOTTENS LÄN</t>
        </is>
      </c>
      <c r="G654" t="inlineStr">
        <is>
          <t>LYCKSELE</t>
        </is>
      </c>
      <c r="H654" t="inlineStr">
        <is>
          <t>Holmen skog AB</t>
        </is>
      </c>
      <c r="I654" t="n">
        <v>7.8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41703-2023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45176</v>
      </c>
      <c r="E655" s="1" t="n">
        <v>46227</v>
      </c>
      <c r="F655" t="inlineStr">
        <is>
          <t>VÄSTERBOTTENS LÄN</t>
        </is>
      </c>
      <c r="G655" t="inlineStr">
        <is>
          <t>LYCKSELE</t>
        </is>
      </c>
      <c r="I655" t="n">
        <v>1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5856-2025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45695</v>
      </c>
      <c r="E656" s="1" t="n">
        <v>46227</v>
      </c>
      <c r="F656" t="inlineStr">
        <is>
          <t>VÄSTERBOTTENS LÄN</t>
        </is>
      </c>
      <c r="G656" t="inlineStr">
        <is>
          <t>LYCKSELE</t>
        </is>
      </c>
      <c r="H656" t="inlineStr">
        <is>
          <t>SCA</t>
        </is>
      </c>
      <c r="I656" t="n">
        <v>1.3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64346-2023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45279</v>
      </c>
      <c r="E657" s="1" t="n">
        <v>46227</v>
      </c>
      <c r="F657" t="inlineStr">
        <is>
          <t>VÄSTERBOTTENS LÄN</t>
        </is>
      </c>
      <c r="G657" t="inlineStr">
        <is>
          <t>LYCKSELE</t>
        </is>
      </c>
      <c r="I657" t="n">
        <v>5.8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52370-2022</t>
        </is>
      </c>
      <c r="B658" t="inlineStr">
        <is>
          <t>avverkningsanmälan</t>
        </is>
      </c>
      <c r="C658" t="inlineStr">
        <is>
          <t>Avverkning för annat ändamål</t>
        </is>
      </c>
      <c r="D658" s="1" t="n">
        <v>44874</v>
      </c>
      <c r="E658" s="1" t="n">
        <v>46227</v>
      </c>
      <c r="F658" t="inlineStr">
        <is>
          <t>VÄSTERBOTTENS LÄN</t>
        </is>
      </c>
      <c r="G658" t="inlineStr">
        <is>
          <t>LYCKSELE</t>
        </is>
      </c>
      <c r="H658" t="inlineStr">
        <is>
          <t>Sveaskog</t>
        </is>
      </c>
      <c r="I658" t="n">
        <v>3.1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51473-2025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45950</v>
      </c>
      <c r="E659" s="1" t="n">
        <v>46227</v>
      </c>
      <c r="F659" t="inlineStr">
        <is>
          <t>VÄSTERBOTTENS LÄN</t>
        </is>
      </c>
      <c r="G659" t="inlineStr">
        <is>
          <t>LYCKSELE</t>
        </is>
      </c>
      <c r="H659" t="inlineStr">
        <is>
          <t>Sveaskog</t>
        </is>
      </c>
      <c r="I659" t="n">
        <v>1.7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16274-2022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44670</v>
      </c>
      <c r="E660" s="1" t="n">
        <v>46227</v>
      </c>
      <c r="F660" t="inlineStr">
        <is>
          <t>VÄSTERBOTTENS LÄN</t>
        </is>
      </c>
      <c r="G660" t="inlineStr">
        <is>
          <t>LYCKSELE</t>
        </is>
      </c>
      <c r="I660" t="n">
        <v>4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31453-2024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45505</v>
      </c>
      <c r="E661" s="1" t="n">
        <v>46227</v>
      </c>
      <c r="F661" t="inlineStr">
        <is>
          <t>VÄSTERBOTTENS LÄN</t>
        </is>
      </c>
      <c r="G661" t="inlineStr">
        <is>
          <t>LYCKSELE</t>
        </is>
      </c>
      <c r="H661" t="inlineStr">
        <is>
          <t>SCA</t>
        </is>
      </c>
      <c r="I661" t="n">
        <v>8.300000000000001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4215-2025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45685</v>
      </c>
      <c r="E662" s="1" t="n">
        <v>46227</v>
      </c>
      <c r="F662" t="inlineStr">
        <is>
          <t>VÄSTERBOTTENS LÄN</t>
        </is>
      </c>
      <c r="G662" t="inlineStr">
        <is>
          <t>LYCKSELE</t>
        </is>
      </c>
      <c r="H662" t="inlineStr">
        <is>
          <t>Sveaskog</t>
        </is>
      </c>
      <c r="I662" t="n">
        <v>4.8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4102-2026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46044</v>
      </c>
      <c r="E663" s="1" t="n">
        <v>46227</v>
      </c>
      <c r="F663" t="inlineStr">
        <is>
          <t>VÄSTERBOTTENS LÄN</t>
        </is>
      </c>
      <c r="G663" t="inlineStr">
        <is>
          <t>LYCKSELE</t>
        </is>
      </c>
      <c r="I663" t="n">
        <v>0.7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3982-2026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46044</v>
      </c>
      <c r="E664" s="1" t="n">
        <v>46227</v>
      </c>
      <c r="F664" t="inlineStr">
        <is>
          <t>VÄSTERBOTTENS LÄN</t>
        </is>
      </c>
      <c r="G664" t="inlineStr">
        <is>
          <t>LYCKSELE</t>
        </is>
      </c>
      <c r="I664" t="n">
        <v>1.3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29675-2023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45107</v>
      </c>
      <c r="E665" s="1" t="n">
        <v>46227</v>
      </c>
      <c r="F665" t="inlineStr">
        <is>
          <t>VÄSTERBOTTENS LÄN</t>
        </is>
      </c>
      <c r="G665" t="inlineStr">
        <is>
          <t>LYCKSELE</t>
        </is>
      </c>
      <c r="H665" t="inlineStr">
        <is>
          <t>Holmen skog AB</t>
        </is>
      </c>
      <c r="I665" t="n">
        <v>7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53614-2021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44469</v>
      </c>
      <c r="E666" s="1" t="n">
        <v>46227</v>
      </c>
      <c r="F666" t="inlineStr">
        <is>
          <t>VÄSTERBOTTENS LÄN</t>
        </is>
      </c>
      <c r="G666" t="inlineStr">
        <is>
          <t>LYCKSELE</t>
        </is>
      </c>
      <c r="H666" t="inlineStr">
        <is>
          <t>Holmen skog AB</t>
        </is>
      </c>
      <c r="I666" t="n">
        <v>2.1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47697-2021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44448</v>
      </c>
      <c r="E667" s="1" t="n">
        <v>46227</v>
      </c>
      <c r="F667" t="inlineStr">
        <is>
          <t>VÄSTERBOTTENS LÄN</t>
        </is>
      </c>
      <c r="G667" t="inlineStr">
        <is>
          <t>LYCKSELE</t>
        </is>
      </c>
      <c r="I667" t="n">
        <v>3.9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4388-2026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46045</v>
      </c>
      <c r="E668" s="1" t="n">
        <v>46227</v>
      </c>
      <c r="F668" t="inlineStr">
        <is>
          <t>VÄSTERBOTTENS LÄN</t>
        </is>
      </c>
      <c r="G668" t="inlineStr">
        <is>
          <t>LYCKSELE</t>
        </is>
      </c>
      <c r="I668" t="n">
        <v>4.4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8600-2025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45709</v>
      </c>
      <c r="E669" s="1" t="n">
        <v>46227</v>
      </c>
      <c r="F669" t="inlineStr">
        <is>
          <t>VÄSTERBOTTENS LÄN</t>
        </is>
      </c>
      <c r="G669" t="inlineStr">
        <is>
          <t>LYCKSELE</t>
        </is>
      </c>
      <c r="I669" t="n">
        <v>3.4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9892-2022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44620</v>
      </c>
      <c r="E670" s="1" t="n">
        <v>46227</v>
      </c>
      <c r="F670" t="inlineStr">
        <is>
          <t>VÄSTERBOTTENS LÄN</t>
        </is>
      </c>
      <c r="G670" t="inlineStr">
        <is>
          <t>LYCKSELE</t>
        </is>
      </c>
      <c r="I670" t="n">
        <v>14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4254-2026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46045</v>
      </c>
      <c r="E671" s="1" t="n">
        <v>46227</v>
      </c>
      <c r="F671" t="inlineStr">
        <is>
          <t>VÄSTERBOTTENS LÄN</t>
        </is>
      </c>
      <c r="G671" t="inlineStr">
        <is>
          <t>LYCKSELE</t>
        </is>
      </c>
      <c r="I671" t="n">
        <v>4.2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12839-2022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44642</v>
      </c>
      <c r="E672" s="1" t="n">
        <v>46227</v>
      </c>
      <c r="F672" t="inlineStr">
        <is>
          <t>VÄSTERBOTTENS LÄN</t>
        </is>
      </c>
      <c r="G672" t="inlineStr">
        <is>
          <t>LYCKSELE</t>
        </is>
      </c>
      <c r="I672" t="n">
        <v>7.3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5026-2026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46049</v>
      </c>
      <c r="E673" s="1" t="n">
        <v>46227</v>
      </c>
      <c r="F673" t="inlineStr">
        <is>
          <t>VÄSTERBOTTENS LÄN</t>
        </is>
      </c>
      <c r="G673" t="inlineStr">
        <is>
          <t>LYCKSELE</t>
        </is>
      </c>
      <c r="H673" t="inlineStr">
        <is>
          <t>Sveaskog</t>
        </is>
      </c>
      <c r="I673" t="n">
        <v>24.6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27964-2023</t>
        </is>
      </c>
      <c r="B674" t="inlineStr">
        <is>
          <t>avverkningsanmälan</t>
        </is>
      </c>
      <c r="C674" t="inlineStr">
        <is>
          <t>Avverkning för annat ändamål</t>
        </is>
      </c>
      <c r="D674" s="1" t="n">
        <v>45098</v>
      </c>
      <c r="E674" s="1" t="n">
        <v>46227</v>
      </c>
      <c r="F674" t="inlineStr">
        <is>
          <t>VÄSTERBOTTENS LÄN</t>
        </is>
      </c>
      <c r="G674" t="inlineStr">
        <is>
          <t>LYCKSELE</t>
        </is>
      </c>
      <c r="I674" t="n">
        <v>0.8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60272-2022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44910</v>
      </c>
      <c r="E675" s="1" t="n">
        <v>46227</v>
      </c>
      <c r="F675" t="inlineStr">
        <is>
          <t>VÄSTERBOTTENS LÄN</t>
        </is>
      </c>
      <c r="G675" t="inlineStr">
        <is>
          <t>LYCKSELE</t>
        </is>
      </c>
      <c r="H675" t="inlineStr">
        <is>
          <t>Sveaskog</t>
        </is>
      </c>
      <c r="I675" t="n">
        <v>7.4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5508-2026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46050</v>
      </c>
      <c r="E676" s="1" t="n">
        <v>46227</v>
      </c>
      <c r="F676" t="inlineStr">
        <is>
          <t>VÄSTERBOTTENS LÄN</t>
        </is>
      </c>
      <c r="G676" t="inlineStr">
        <is>
          <t>LYCKSELE</t>
        </is>
      </c>
      <c r="H676" t="inlineStr">
        <is>
          <t>Sveaskog</t>
        </is>
      </c>
      <c r="I676" t="n">
        <v>2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29543-2023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45106</v>
      </c>
      <c r="E677" s="1" t="n">
        <v>46227</v>
      </c>
      <c r="F677" t="inlineStr">
        <is>
          <t>VÄSTERBOTTENS LÄN</t>
        </is>
      </c>
      <c r="G677" t="inlineStr">
        <is>
          <t>LYCKSELE</t>
        </is>
      </c>
      <c r="I677" t="n">
        <v>4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849-2022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44571</v>
      </c>
      <c r="E678" s="1" t="n">
        <v>46227</v>
      </c>
      <c r="F678" t="inlineStr">
        <is>
          <t>VÄSTERBOTTENS LÄN</t>
        </is>
      </c>
      <c r="G678" t="inlineStr">
        <is>
          <t>LYCKSELE</t>
        </is>
      </c>
      <c r="H678" t="inlineStr">
        <is>
          <t>Sveaskog</t>
        </is>
      </c>
      <c r="I678" t="n">
        <v>6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26357-2023</t>
        </is>
      </c>
      <c r="B679" t="inlineStr">
        <is>
          <t>avverkningsanmälan</t>
        </is>
      </c>
      <c r="C679" t="inlineStr">
        <is>
          <t>Avverkning för att bevara och utveckla /försöksver</t>
        </is>
      </c>
      <c r="D679" s="1" t="n">
        <v>45091</v>
      </c>
      <c r="E679" s="1" t="n">
        <v>46227</v>
      </c>
      <c r="F679" t="inlineStr">
        <is>
          <t>VÄSTERBOTTENS LÄN</t>
        </is>
      </c>
      <c r="G679" t="inlineStr">
        <is>
          <t>LYCKSELE</t>
        </is>
      </c>
      <c r="H679" t="inlineStr">
        <is>
          <t>SCA</t>
        </is>
      </c>
      <c r="I679" t="n">
        <v>2.6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49175-2023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45210</v>
      </c>
      <c r="E680" s="1" t="n">
        <v>46227</v>
      </c>
      <c r="F680" t="inlineStr">
        <is>
          <t>VÄSTERBOTTENS LÄN</t>
        </is>
      </c>
      <c r="G680" t="inlineStr">
        <is>
          <t>LYCKSELE</t>
        </is>
      </c>
      <c r="I680" t="n">
        <v>5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30401-2023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45103</v>
      </c>
      <c r="E681" s="1" t="n">
        <v>46227</v>
      </c>
      <c r="F681" t="inlineStr">
        <is>
          <t>VÄSTERBOTTENS LÄN</t>
        </is>
      </c>
      <c r="G681" t="inlineStr">
        <is>
          <t>LYCKSELE</t>
        </is>
      </c>
      <c r="I681" t="n">
        <v>7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53241-2022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44876</v>
      </c>
      <c r="E682" s="1" t="n">
        <v>46227</v>
      </c>
      <c r="F682" t="inlineStr">
        <is>
          <t>VÄSTERBOTTENS LÄN</t>
        </is>
      </c>
      <c r="G682" t="inlineStr">
        <is>
          <t>LYCKSELE</t>
        </is>
      </c>
      <c r="H682" t="inlineStr">
        <is>
          <t>Holmen skog AB</t>
        </is>
      </c>
      <c r="I682" t="n">
        <v>2.1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56401-2021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44477</v>
      </c>
      <c r="E683" s="1" t="n">
        <v>46227</v>
      </c>
      <c r="F683" t="inlineStr">
        <is>
          <t>VÄSTERBOTTENS LÄN</t>
        </is>
      </c>
      <c r="G683" t="inlineStr">
        <is>
          <t>LYCKSELE</t>
        </is>
      </c>
      <c r="I683" t="n">
        <v>11.5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58775-2025</t>
        </is>
      </c>
      <c r="B684" t="inlineStr">
        <is>
          <t>avverkningsanmälan</t>
        </is>
      </c>
      <c r="C684" t="inlineStr">
        <is>
          <t>Avverkning för annat ändamål</t>
        </is>
      </c>
      <c r="D684" s="1" t="n">
        <v>45986</v>
      </c>
      <c r="E684" s="1" t="n">
        <v>46227</v>
      </c>
      <c r="F684" t="inlineStr">
        <is>
          <t>VÄSTERBOTTENS LÄN</t>
        </is>
      </c>
      <c r="G684" t="inlineStr">
        <is>
          <t>LYCKSELE</t>
        </is>
      </c>
      <c r="H684" t="inlineStr">
        <is>
          <t>SCA</t>
        </is>
      </c>
      <c r="I684" t="n">
        <v>0.5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53323-2021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44468</v>
      </c>
      <c r="E685" s="1" t="n">
        <v>46227</v>
      </c>
      <c r="F685" t="inlineStr">
        <is>
          <t>VÄSTERBOTTENS LÄN</t>
        </is>
      </c>
      <c r="G685" t="inlineStr">
        <is>
          <t>LYCKSELE</t>
        </is>
      </c>
      <c r="I685" t="n">
        <v>0.5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3021-2026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46038</v>
      </c>
      <c r="E686" s="1" t="n">
        <v>46227</v>
      </c>
      <c r="F686" t="inlineStr">
        <is>
          <t>VÄSTERBOTTENS LÄN</t>
        </is>
      </c>
      <c r="G686" t="inlineStr">
        <is>
          <t>LYCKSELE</t>
        </is>
      </c>
      <c r="I686" t="n">
        <v>6.7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4858-2025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45688</v>
      </c>
      <c r="E687" s="1" t="n">
        <v>46227</v>
      </c>
      <c r="F687" t="inlineStr">
        <is>
          <t>VÄSTERBOTTENS LÄN</t>
        </is>
      </c>
      <c r="G687" t="inlineStr">
        <is>
          <t>LYCKSELE</t>
        </is>
      </c>
      <c r="H687" t="inlineStr">
        <is>
          <t>SCA</t>
        </is>
      </c>
      <c r="I687" t="n">
        <v>4.9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7842-2026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46062</v>
      </c>
      <c r="E688" s="1" t="n">
        <v>46227</v>
      </c>
      <c r="F688" t="inlineStr">
        <is>
          <t>VÄSTERBOTTENS LÄN</t>
        </is>
      </c>
      <c r="G688" t="inlineStr">
        <is>
          <t>LYCKSELE</t>
        </is>
      </c>
      <c r="I688" t="n">
        <v>3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7829-2026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46062</v>
      </c>
      <c r="E689" s="1" t="n">
        <v>46227</v>
      </c>
      <c r="F689" t="inlineStr">
        <is>
          <t>VÄSTERBOTTENS LÄN</t>
        </is>
      </c>
      <c r="G689" t="inlineStr">
        <is>
          <t>LYCKSELE</t>
        </is>
      </c>
      <c r="I689" t="n">
        <v>5.3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8272-2026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46064</v>
      </c>
      <c r="E690" s="1" t="n">
        <v>46227</v>
      </c>
      <c r="F690" t="inlineStr">
        <is>
          <t>VÄSTERBOTTENS LÄN</t>
        </is>
      </c>
      <c r="G690" t="inlineStr">
        <is>
          <t>LYCKSELE</t>
        </is>
      </c>
      <c r="H690" t="inlineStr">
        <is>
          <t>Naturvårdsverket</t>
        </is>
      </c>
      <c r="I690" t="n">
        <v>4.8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52699-2021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44466</v>
      </c>
      <c r="E691" s="1" t="n">
        <v>46227</v>
      </c>
      <c r="F691" t="inlineStr">
        <is>
          <t>VÄSTERBOTTENS LÄN</t>
        </is>
      </c>
      <c r="G691" t="inlineStr">
        <is>
          <t>LYCKSELE</t>
        </is>
      </c>
      <c r="I691" t="n">
        <v>3.9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16192-2024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45406</v>
      </c>
      <c r="E692" s="1" t="n">
        <v>46227</v>
      </c>
      <c r="F692" t="inlineStr">
        <is>
          <t>VÄSTERBOTTENS LÄN</t>
        </is>
      </c>
      <c r="G692" t="inlineStr">
        <is>
          <t>LYCKSELE</t>
        </is>
      </c>
      <c r="I692" t="n">
        <v>3.3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58594-2022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44902</v>
      </c>
      <c r="E693" s="1" t="n">
        <v>46227</v>
      </c>
      <c r="F693" t="inlineStr">
        <is>
          <t>VÄSTERBOTTENS LÄN</t>
        </is>
      </c>
      <c r="G693" t="inlineStr">
        <is>
          <t>LYCKSELE</t>
        </is>
      </c>
      <c r="H693" t="inlineStr">
        <is>
          <t>Sveaskog</t>
        </is>
      </c>
      <c r="I693" t="n">
        <v>1.2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8018-2026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46063</v>
      </c>
      <c r="E694" s="1" t="n">
        <v>46227</v>
      </c>
      <c r="F694" t="inlineStr">
        <is>
          <t>VÄSTERBOTTENS LÄN</t>
        </is>
      </c>
      <c r="G694" t="inlineStr">
        <is>
          <t>LYCKSELE</t>
        </is>
      </c>
      <c r="H694" t="inlineStr">
        <is>
          <t>Naturvårdsverket</t>
        </is>
      </c>
      <c r="I694" t="n">
        <v>11.4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7954-2026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46063</v>
      </c>
      <c r="E695" s="1" t="n">
        <v>46227</v>
      </c>
      <c r="F695" t="inlineStr">
        <is>
          <t>VÄSTERBOTTENS LÄN</t>
        </is>
      </c>
      <c r="G695" t="inlineStr">
        <is>
          <t>LYCKSELE</t>
        </is>
      </c>
      <c r="H695" t="inlineStr">
        <is>
          <t>Naturvårdsverket</t>
        </is>
      </c>
      <c r="I695" t="n">
        <v>6.3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8273-2026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46064</v>
      </c>
      <c r="E696" s="1" t="n">
        <v>46227</v>
      </c>
      <c r="F696" t="inlineStr">
        <is>
          <t>VÄSTERBOTTENS LÄN</t>
        </is>
      </c>
      <c r="G696" t="inlineStr">
        <is>
          <t>LYCKSELE</t>
        </is>
      </c>
      <c r="H696" t="inlineStr">
        <is>
          <t>Naturvårdsverket</t>
        </is>
      </c>
      <c r="I696" t="n">
        <v>5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8467-2026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46065</v>
      </c>
      <c r="E697" s="1" t="n">
        <v>46227</v>
      </c>
      <c r="F697" t="inlineStr">
        <is>
          <t>VÄSTERBOTTENS LÄN</t>
        </is>
      </c>
      <c r="G697" t="inlineStr">
        <is>
          <t>LYCKSELE</t>
        </is>
      </c>
      <c r="H697" t="inlineStr">
        <is>
          <t>SCA</t>
        </is>
      </c>
      <c r="I697" t="n">
        <v>6.8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53036-2023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45226</v>
      </c>
      <c r="E698" s="1" t="n">
        <v>46227</v>
      </c>
      <c r="F698" t="inlineStr">
        <is>
          <t>VÄSTERBOTTENS LÄN</t>
        </is>
      </c>
      <c r="G698" t="inlineStr">
        <is>
          <t>LYCKSELE</t>
        </is>
      </c>
      <c r="H698" t="inlineStr">
        <is>
          <t>SCA</t>
        </is>
      </c>
      <c r="I698" t="n">
        <v>1.5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46176-2023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45196</v>
      </c>
      <c r="E699" s="1" t="n">
        <v>46227</v>
      </c>
      <c r="F699" t="inlineStr">
        <is>
          <t>VÄSTERBOTTENS LÄN</t>
        </is>
      </c>
      <c r="G699" t="inlineStr">
        <is>
          <t>LYCKSELE</t>
        </is>
      </c>
      <c r="H699" t="inlineStr">
        <is>
          <t>Sveaskog</t>
        </is>
      </c>
      <c r="I699" t="n">
        <v>5.5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8485-2026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46065</v>
      </c>
      <c r="E700" s="1" t="n">
        <v>46227</v>
      </c>
      <c r="F700" t="inlineStr">
        <is>
          <t>VÄSTERBOTTENS LÄN</t>
        </is>
      </c>
      <c r="G700" t="inlineStr">
        <is>
          <t>LYCKSELE</t>
        </is>
      </c>
      <c r="H700" t="inlineStr">
        <is>
          <t>Holmen skog AB</t>
        </is>
      </c>
      <c r="I700" t="n">
        <v>12.1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12585-2025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45732</v>
      </c>
      <c r="E701" s="1" t="n">
        <v>46227</v>
      </c>
      <c r="F701" t="inlineStr">
        <is>
          <t>VÄSTERBOTTENS LÄN</t>
        </is>
      </c>
      <c r="G701" t="inlineStr">
        <is>
          <t>LYCKSELE</t>
        </is>
      </c>
      <c r="I701" t="n">
        <v>15.5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58961-2022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44903</v>
      </c>
      <c r="E702" s="1" t="n">
        <v>46227</v>
      </c>
      <c r="F702" t="inlineStr">
        <is>
          <t>VÄSTERBOTTENS LÄN</t>
        </is>
      </c>
      <c r="G702" t="inlineStr">
        <is>
          <t>LYCKSELE</t>
        </is>
      </c>
      <c r="H702" t="inlineStr">
        <is>
          <t>Holmen skog AB</t>
        </is>
      </c>
      <c r="I702" t="n">
        <v>5.1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9310-2026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46070</v>
      </c>
      <c r="E703" s="1" t="n">
        <v>46227</v>
      </c>
      <c r="F703" t="inlineStr">
        <is>
          <t>VÄSTERBOTTENS LÄN</t>
        </is>
      </c>
      <c r="G703" t="inlineStr">
        <is>
          <t>LYCKSELE</t>
        </is>
      </c>
      <c r="I703" t="n">
        <v>0.8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14276-2025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45740</v>
      </c>
      <c r="E704" s="1" t="n">
        <v>46227</v>
      </c>
      <c r="F704" t="inlineStr">
        <is>
          <t>VÄSTERBOTTENS LÄN</t>
        </is>
      </c>
      <c r="G704" t="inlineStr">
        <is>
          <t>LYCKSELE</t>
        </is>
      </c>
      <c r="I704" t="n">
        <v>34.9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957-2023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44934</v>
      </c>
      <c r="E705" s="1" t="n">
        <v>46227</v>
      </c>
      <c r="F705" t="inlineStr">
        <is>
          <t>VÄSTERBOTTENS LÄN</t>
        </is>
      </c>
      <c r="G705" t="inlineStr">
        <is>
          <t>LYCKSELE</t>
        </is>
      </c>
      <c r="H705" t="inlineStr">
        <is>
          <t>Sveaskog</t>
        </is>
      </c>
      <c r="I705" t="n">
        <v>3.4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15221-2025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45744</v>
      </c>
      <c r="E706" s="1" t="n">
        <v>46227</v>
      </c>
      <c r="F706" t="inlineStr">
        <is>
          <t>VÄSTERBOTTENS LÄN</t>
        </is>
      </c>
      <c r="G706" t="inlineStr">
        <is>
          <t>LYCKSELE</t>
        </is>
      </c>
      <c r="H706" t="inlineStr">
        <is>
          <t>Holmen skog AB</t>
        </is>
      </c>
      <c r="I706" t="n">
        <v>12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9716-2026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46072</v>
      </c>
      <c r="E707" s="1" t="n">
        <v>46227</v>
      </c>
      <c r="F707" t="inlineStr">
        <is>
          <t>VÄSTERBOTTENS LÄN</t>
        </is>
      </c>
      <c r="G707" t="inlineStr">
        <is>
          <t>LYCKSELE</t>
        </is>
      </c>
      <c r="H707" t="inlineStr">
        <is>
          <t>SCA</t>
        </is>
      </c>
      <c r="I707" t="n">
        <v>3.2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10478-2026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46077</v>
      </c>
      <c r="E708" s="1" t="n">
        <v>46227</v>
      </c>
      <c r="F708" t="inlineStr">
        <is>
          <t>VÄSTERBOTTENS LÄN</t>
        </is>
      </c>
      <c r="G708" t="inlineStr">
        <is>
          <t>LYCKSELE</t>
        </is>
      </c>
      <c r="H708" t="inlineStr">
        <is>
          <t>SCA</t>
        </is>
      </c>
      <c r="I708" t="n">
        <v>7.3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10321-2026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46076</v>
      </c>
      <c r="E709" s="1" t="n">
        <v>46227</v>
      </c>
      <c r="F709" t="inlineStr">
        <is>
          <t>VÄSTERBOTTENS LÄN</t>
        </is>
      </c>
      <c r="G709" t="inlineStr">
        <is>
          <t>LYCKSELE</t>
        </is>
      </c>
      <c r="H709" t="inlineStr">
        <is>
          <t>SCA</t>
        </is>
      </c>
      <c r="I709" t="n">
        <v>4.4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10230-2026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46076</v>
      </c>
      <c r="E710" s="1" t="n">
        <v>46227</v>
      </c>
      <c r="F710" t="inlineStr">
        <is>
          <t>VÄSTERBOTTENS LÄN</t>
        </is>
      </c>
      <c r="G710" t="inlineStr">
        <is>
          <t>LYCKSELE</t>
        </is>
      </c>
      <c r="H710" t="inlineStr">
        <is>
          <t>SCA</t>
        </is>
      </c>
      <c r="I710" t="n">
        <v>11.5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10174-2026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46076</v>
      </c>
      <c r="E711" s="1" t="n">
        <v>46227</v>
      </c>
      <c r="F711" t="inlineStr">
        <is>
          <t>VÄSTERBOTTENS LÄN</t>
        </is>
      </c>
      <c r="G711" t="inlineStr">
        <is>
          <t>LYCKSELE</t>
        </is>
      </c>
      <c r="I711" t="n">
        <v>2.1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55170-2022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44886</v>
      </c>
      <c r="E712" s="1" t="n">
        <v>46227</v>
      </c>
      <c r="F712" t="inlineStr">
        <is>
          <t>VÄSTERBOTTENS LÄN</t>
        </is>
      </c>
      <c r="G712" t="inlineStr">
        <is>
          <t>LYCKSELE</t>
        </is>
      </c>
      <c r="H712" t="inlineStr">
        <is>
          <t>Holmen skog AB</t>
        </is>
      </c>
      <c r="I712" t="n">
        <v>9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62874-2023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45271</v>
      </c>
      <c r="E713" s="1" t="n">
        <v>46227</v>
      </c>
      <c r="F713" t="inlineStr">
        <is>
          <t>VÄSTERBOTTENS LÄN</t>
        </is>
      </c>
      <c r="G713" t="inlineStr">
        <is>
          <t>LYCKSELE</t>
        </is>
      </c>
      <c r="I713" t="n">
        <v>4.4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41977-2024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45561</v>
      </c>
      <c r="E714" s="1" t="n">
        <v>46227</v>
      </c>
      <c r="F714" t="inlineStr">
        <is>
          <t>VÄSTERBOTTENS LÄN</t>
        </is>
      </c>
      <c r="G714" t="inlineStr">
        <is>
          <t>LYCKSELE</t>
        </is>
      </c>
      <c r="H714" t="inlineStr">
        <is>
          <t>Sveaskog</t>
        </is>
      </c>
      <c r="I714" t="n">
        <v>0.6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10180-2026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46076</v>
      </c>
      <c r="E715" s="1" t="n">
        <v>46227</v>
      </c>
      <c r="F715" t="inlineStr">
        <is>
          <t>VÄSTERBOTTENS LÄN</t>
        </is>
      </c>
      <c r="G715" t="inlineStr">
        <is>
          <t>LYCKSELE</t>
        </is>
      </c>
      <c r="I715" t="n">
        <v>5.1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53839-2023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45231</v>
      </c>
      <c r="E716" s="1" t="n">
        <v>46227</v>
      </c>
      <c r="F716" t="inlineStr">
        <is>
          <t>VÄSTERBOTTENS LÄN</t>
        </is>
      </c>
      <c r="G716" t="inlineStr">
        <is>
          <t>LYCKSELE</t>
        </is>
      </c>
      <c r="H716" t="inlineStr">
        <is>
          <t>Sveaskog</t>
        </is>
      </c>
      <c r="I716" t="n">
        <v>2.7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11822-2023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44994</v>
      </c>
      <c r="E717" s="1" t="n">
        <v>46227</v>
      </c>
      <c r="F717" t="inlineStr">
        <is>
          <t>VÄSTERBOTTENS LÄN</t>
        </is>
      </c>
      <c r="G717" t="inlineStr">
        <is>
          <t>LYCKSELE</t>
        </is>
      </c>
      <c r="H717" t="inlineStr">
        <is>
          <t>SCA</t>
        </is>
      </c>
      <c r="I717" t="n">
        <v>2.6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28550-2023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45103</v>
      </c>
      <c r="E718" s="1" t="n">
        <v>46227</v>
      </c>
      <c r="F718" t="inlineStr">
        <is>
          <t>VÄSTERBOTTENS LÄN</t>
        </is>
      </c>
      <c r="G718" t="inlineStr">
        <is>
          <t>LYCKSELE</t>
        </is>
      </c>
      <c r="H718" t="inlineStr">
        <is>
          <t>Sveaskog</t>
        </is>
      </c>
      <c r="I718" t="n">
        <v>8.300000000000001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50652-2021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44459</v>
      </c>
      <c r="E719" s="1" t="n">
        <v>46227</v>
      </c>
      <c r="F719" t="inlineStr">
        <is>
          <t>VÄSTERBOTTENS LÄN</t>
        </is>
      </c>
      <c r="G719" t="inlineStr">
        <is>
          <t>LYCKSELE</t>
        </is>
      </c>
      <c r="I719" t="n">
        <v>1.5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33400-2023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45128</v>
      </c>
      <c r="E720" s="1" t="n">
        <v>46227</v>
      </c>
      <c r="F720" t="inlineStr">
        <is>
          <t>VÄSTERBOTTENS LÄN</t>
        </is>
      </c>
      <c r="G720" t="inlineStr">
        <is>
          <t>LYCKSELE</t>
        </is>
      </c>
      <c r="H720" t="inlineStr">
        <is>
          <t>Holmen skog AB</t>
        </is>
      </c>
      <c r="I720" t="n">
        <v>3.3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14070-2024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45392</v>
      </c>
      <c r="E721" s="1" t="n">
        <v>46227</v>
      </c>
      <c r="F721" t="inlineStr">
        <is>
          <t>VÄSTERBOTTENS LÄN</t>
        </is>
      </c>
      <c r="G721" t="inlineStr">
        <is>
          <t>LYCKSELE</t>
        </is>
      </c>
      <c r="I721" t="n">
        <v>1.5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11870-2026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46085</v>
      </c>
      <c r="E722" s="1" t="n">
        <v>46227</v>
      </c>
      <c r="F722" t="inlineStr">
        <is>
          <t>VÄSTERBOTTENS LÄN</t>
        </is>
      </c>
      <c r="G722" t="inlineStr">
        <is>
          <t>LYCKSELE</t>
        </is>
      </c>
      <c r="H722" t="inlineStr">
        <is>
          <t>SCA</t>
        </is>
      </c>
      <c r="I722" t="n">
        <v>3.3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12302-2026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46087</v>
      </c>
      <c r="E723" s="1" t="n">
        <v>46227</v>
      </c>
      <c r="F723" t="inlineStr">
        <is>
          <t>VÄSTERBOTTENS LÄN</t>
        </is>
      </c>
      <c r="G723" t="inlineStr">
        <is>
          <t>LYCKSELE</t>
        </is>
      </c>
      <c r="H723" t="inlineStr">
        <is>
          <t>SCA</t>
        </is>
      </c>
      <c r="I723" t="n">
        <v>4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12327-2026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46087</v>
      </c>
      <c r="E724" s="1" t="n">
        <v>46227</v>
      </c>
      <c r="F724" t="inlineStr">
        <is>
          <t>VÄSTERBOTTENS LÄN</t>
        </is>
      </c>
      <c r="G724" t="inlineStr">
        <is>
          <t>LYCKSELE</t>
        </is>
      </c>
      <c r="H724" t="inlineStr">
        <is>
          <t>SCA</t>
        </is>
      </c>
      <c r="I724" t="n">
        <v>8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12292-2026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46087</v>
      </c>
      <c r="E725" s="1" t="n">
        <v>46227</v>
      </c>
      <c r="F725" t="inlineStr">
        <is>
          <t>VÄSTERBOTTENS LÄN</t>
        </is>
      </c>
      <c r="G725" t="inlineStr">
        <is>
          <t>LYCKSELE</t>
        </is>
      </c>
      <c r="H725" t="inlineStr">
        <is>
          <t>Holmen skog AB</t>
        </is>
      </c>
      <c r="I725" t="n">
        <v>4.8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12083-2026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46086</v>
      </c>
      <c r="E726" s="1" t="n">
        <v>46227</v>
      </c>
      <c r="F726" t="inlineStr">
        <is>
          <t>VÄSTERBOTTENS LÄN</t>
        </is>
      </c>
      <c r="G726" t="inlineStr">
        <is>
          <t>LYCKSELE</t>
        </is>
      </c>
      <c r="H726" t="inlineStr">
        <is>
          <t>SCA</t>
        </is>
      </c>
      <c r="I726" t="n">
        <v>4.2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33706-2024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45520</v>
      </c>
      <c r="E727" s="1" t="n">
        <v>46227</v>
      </c>
      <c r="F727" t="inlineStr">
        <is>
          <t>VÄSTERBOTTENS LÄN</t>
        </is>
      </c>
      <c r="G727" t="inlineStr">
        <is>
          <t>LYCKSELE</t>
        </is>
      </c>
      <c r="H727" t="inlineStr">
        <is>
          <t>Sveaskog</t>
        </is>
      </c>
      <c r="I727" t="n">
        <v>6.5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33713-2024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45520</v>
      </c>
      <c r="E728" s="1" t="n">
        <v>46227</v>
      </c>
      <c r="F728" t="inlineStr">
        <is>
          <t>VÄSTERBOTTENS LÄN</t>
        </is>
      </c>
      <c r="G728" t="inlineStr">
        <is>
          <t>LYCKSELE</t>
        </is>
      </c>
      <c r="H728" t="inlineStr">
        <is>
          <t>Sveaskog</t>
        </is>
      </c>
      <c r="I728" t="n">
        <v>7.5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50044-2021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44456</v>
      </c>
      <c r="E729" s="1" t="n">
        <v>46227</v>
      </c>
      <c r="F729" t="inlineStr">
        <is>
          <t>VÄSTERBOTTENS LÄN</t>
        </is>
      </c>
      <c r="G729" t="inlineStr">
        <is>
          <t>LYCKSELE</t>
        </is>
      </c>
      <c r="H729" t="inlineStr">
        <is>
          <t>Holmen skog AB</t>
        </is>
      </c>
      <c r="I729" t="n">
        <v>1.1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12662-2026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46091</v>
      </c>
      <c r="E730" s="1" t="n">
        <v>46227</v>
      </c>
      <c r="F730" t="inlineStr">
        <is>
          <t>VÄSTERBOTTENS LÄN</t>
        </is>
      </c>
      <c r="G730" t="inlineStr">
        <is>
          <t>LYCKSELE</t>
        </is>
      </c>
      <c r="H730" t="inlineStr">
        <is>
          <t>SCA</t>
        </is>
      </c>
      <c r="I730" t="n">
        <v>2.8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12436-2026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46090</v>
      </c>
      <c r="E731" s="1" t="n">
        <v>46227</v>
      </c>
      <c r="F731" t="inlineStr">
        <is>
          <t>VÄSTERBOTTENS LÄN</t>
        </is>
      </c>
      <c r="G731" t="inlineStr">
        <is>
          <t>LYCKSELE</t>
        </is>
      </c>
      <c r="H731" t="inlineStr">
        <is>
          <t>SCA</t>
        </is>
      </c>
      <c r="I731" t="n">
        <v>5.7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12735-2026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46091</v>
      </c>
      <c r="E732" s="1" t="n">
        <v>46227</v>
      </c>
      <c r="F732" t="inlineStr">
        <is>
          <t>VÄSTERBOTTENS LÄN</t>
        </is>
      </c>
      <c r="G732" t="inlineStr">
        <is>
          <t>LYCKSELE</t>
        </is>
      </c>
      <c r="H732" t="inlineStr">
        <is>
          <t>SCA</t>
        </is>
      </c>
      <c r="I732" t="n">
        <v>1.1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23971-2024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45455</v>
      </c>
      <c r="E733" s="1" t="n">
        <v>46227</v>
      </c>
      <c r="F733" t="inlineStr">
        <is>
          <t>VÄSTERBOTTENS LÄN</t>
        </is>
      </c>
      <c r="G733" t="inlineStr">
        <is>
          <t>LYCKSELE</t>
        </is>
      </c>
      <c r="H733" t="inlineStr">
        <is>
          <t>SCA</t>
        </is>
      </c>
      <c r="I733" t="n">
        <v>10.4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12980-2026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46092</v>
      </c>
      <c r="E734" s="1" t="n">
        <v>46227</v>
      </c>
      <c r="F734" t="inlineStr">
        <is>
          <t>VÄSTERBOTTENS LÄN</t>
        </is>
      </c>
      <c r="G734" t="inlineStr">
        <is>
          <t>LYCKSELE</t>
        </is>
      </c>
      <c r="H734" t="inlineStr">
        <is>
          <t>SCA</t>
        </is>
      </c>
      <c r="I734" t="n">
        <v>7.2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12998-2026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46092</v>
      </c>
      <c r="E735" s="1" t="n">
        <v>46227</v>
      </c>
      <c r="F735" t="inlineStr">
        <is>
          <t>VÄSTERBOTTENS LÄN</t>
        </is>
      </c>
      <c r="G735" t="inlineStr">
        <is>
          <t>LYCKSELE</t>
        </is>
      </c>
      <c r="H735" t="inlineStr">
        <is>
          <t>Holmen skog AB</t>
        </is>
      </c>
      <c r="I735" t="n">
        <v>1.6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12889-2026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46092</v>
      </c>
      <c r="E736" s="1" t="n">
        <v>46227</v>
      </c>
      <c r="F736" t="inlineStr">
        <is>
          <t>VÄSTERBOTTENS LÄN</t>
        </is>
      </c>
      <c r="G736" t="inlineStr">
        <is>
          <t>LYCKSELE</t>
        </is>
      </c>
      <c r="H736" t="inlineStr">
        <is>
          <t>Sveaskog</t>
        </is>
      </c>
      <c r="I736" t="n">
        <v>4.8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13384-2026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46094</v>
      </c>
      <c r="E737" s="1" t="n">
        <v>46227</v>
      </c>
      <c r="F737" t="inlineStr">
        <is>
          <t>VÄSTERBOTTENS LÄN</t>
        </is>
      </c>
      <c r="G737" t="inlineStr">
        <is>
          <t>LYCKSELE</t>
        </is>
      </c>
      <c r="H737" t="inlineStr">
        <is>
          <t>Holmen skog AB</t>
        </is>
      </c>
      <c r="I737" t="n">
        <v>10.9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13502-2026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46094</v>
      </c>
      <c r="E738" s="1" t="n">
        <v>46227</v>
      </c>
      <c r="F738" t="inlineStr">
        <is>
          <t>VÄSTERBOTTENS LÄN</t>
        </is>
      </c>
      <c r="G738" t="inlineStr">
        <is>
          <t>LYCKSELE</t>
        </is>
      </c>
      <c r="I738" t="n">
        <v>2.3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13436-2026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46094</v>
      </c>
      <c r="E739" s="1" t="n">
        <v>46227</v>
      </c>
      <c r="F739" t="inlineStr">
        <is>
          <t>VÄSTERBOTTENS LÄN</t>
        </is>
      </c>
      <c r="G739" t="inlineStr">
        <is>
          <t>LYCKSELE</t>
        </is>
      </c>
      <c r="H739" t="inlineStr">
        <is>
          <t>SCA</t>
        </is>
      </c>
      <c r="I739" t="n">
        <v>4.5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58439-2022</t>
        </is>
      </c>
      <c r="B740" t="inlineStr">
        <is>
          <t>avverkningsanmälan</t>
        </is>
      </c>
      <c r="C740" t="inlineStr">
        <is>
          <t>Avverkning för att bevara och utveckla /försöksver</t>
        </is>
      </c>
      <c r="D740" s="1" t="n">
        <v>44901</v>
      </c>
      <c r="E740" s="1" t="n">
        <v>46227</v>
      </c>
      <c r="F740" t="inlineStr">
        <is>
          <t>VÄSTERBOTTENS LÄN</t>
        </is>
      </c>
      <c r="G740" t="inlineStr">
        <is>
          <t>LYCKSELE</t>
        </is>
      </c>
      <c r="H740" t="inlineStr">
        <is>
          <t>SCA</t>
        </is>
      </c>
      <c r="I740" t="n">
        <v>0.6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13627-2026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46097</v>
      </c>
      <c r="E741" s="1" t="n">
        <v>46227</v>
      </c>
      <c r="F741" t="inlineStr">
        <is>
          <t>VÄSTERBOTTENS LÄN</t>
        </is>
      </c>
      <c r="G741" t="inlineStr">
        <is>
          <t>LYCKSELE</t>
        </is>
      </c>
      <c r="H741" t="inlineStr">
        <is>
          <t>SCA</t>
        </is>
      </c>
      <c r="I741" t="n">
        <v>2.1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13477-2026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46094</v>
      </c>
      <c r="E742" s="1" t="n">
        <v>46227</v>
      </c>
      <c r="F742" t="inlineStr">
        <is>
          <t>VÄSTERBOTTENS LÄN</t>
        </is>
      </c>
      <c r="G742" t="inlineStr">
        <is>
          <t>LYCKSELE</t>
        </is>
      </c>
      <c r="H742" t="inlineStr">
        <is>
          <t>SCA</t>
        </is>
      </c>
      <c r="I742" t="n">
        <v>4.2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13413-2026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46094</v>
      </c>
      <c r="E743" s="1" t="n">
        <v>46227</v>
      </c>
      <c r="F743" t="inlineStr">
        <is>
          <t>VÄSTERBOTTENS LÄN</t>
        </is>
      </c>
      <c r="G743" t="inlineStr">
        <is>
          <t>LYCKSELE</t>
        </is>
      </c>
      <c r="H743" t="inlineStr">
        <is>
          <t>SCA</t>
        </is>
      </c>
      <c r="I743" t="n">
        <v>0.8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13480-2026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46094</v>
      </c>
      <c r="E744" s="1" t="n">
        <v>46227</v>
      </c>
      <c r="F744" t="inlineStr">
        <is>
          <t>VÄSTERBOTTENS LÄN</t>
        </is>
      </c>
      <c r="G744" t="inlineStr">
        <is>
          <t>LYCKSELE</t>
        </is>
      </c>
      <c r="H744" t="inlineStr">
        <is>
          <t>Holmen skog AB</t>
        </is>
      </c>
      <c r="I744" t="n">
        <v>1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13517-2026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46094</v>
      </c>
      <c r="E745" s="1" t="n">
        <v>46227</v>
      </c>
      <c r="F745" t="inlineStr">
        <is>
          <t>VÄSTERBOTTENS LÄN</t>
        </is>
      </c>
      <c r="G745" t="inlineStr">
        <is>
          <t>LYCKSELE</t>
        </is>
      </c>
      <c r="I745" t="n">
        <v>4.8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13518-2026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46094</v>
      </c>
      <c r="E746" s="1" t="n">
        <v>46227</v>
      </c>
      <c r="F746" t="inlineStr">
        <is>
          <t>VÄSTERBOTTENS LÄN</t>
        </is>
      </c>
      <c r="G746" t="inlineStr">
        <is>
          <t>LYCKSELE</t>
        </is>
      </c>
      <c r="I746" t="n">
        <v>12.7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64668-2023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45281</v>
      </c>
      <c r="E747" s="1" t="n">
        <v>46227</v>
      </c>
      <c r="F747" t="inlineStr">
        <is>
          <t>VÄSTERBOTTENS LÄN</t>
        </is>
      </c>
      <c r="G747" t="inlineStr">
        <is>
          <t>LYCKSELE</t>
        </is>
      </c>
      <c r="I747" t="n">
        <v>5.5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14235-2026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46099</v>
      </c>
      <c r="E748" s="1" t="n">
        <v>46227</v>
      </c>
      <c r="F748" t="inlineStr">
        <is>
          <t>VÄSTERBOTTENS LÄN</t>
        </is>
      </c>
      <c r="G748" t="inlineStr">
        <is>
          <t>LYCKSELE</t>
        </is>
      </c>
      <c r="I748" t="n">
        <v>4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14243-2026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46099</v>
      </c>
      <c r="E749" s="1" t="n">
        <v>46227</v>
      </c>
      <c r="F749" t="inlineStr">
        <is>
          <t>VÄSTERBOTTENS LÄN</t>
        </is>
      </c>
      <c r="G749" t="inlineStr">
        <is>
          <t>LYCKSELE</t>
        </is>
      </c>
      <c r="I749" t="n">
        <v>11.8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13954-2026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46098</v>
      </c>
      <c r="E750" s="1" t="n">
        <v>46227</v>
      </c>
      <c r="F750" t="inlineStr">
        <is>
          <t>VÄSTERBOTTENS LÄN</t>
        </is>
      </c>
      <c r="G750" t="inlineStr">
        <is>
          <t>LYCKSELE</t>
        </is>
      </c>
      <c r="H750" t="inlineStr">
        <is>
          <t>SCA</t>
        </is>
      </c>
      <c r="I750" t="n">
        <v>3.2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13921-2026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46098</v>
      </c>
      <c r="E751" s="1" t="n">
        <v>46227</v>
      </c>
      <c r="F751" t="inlineStr">
        <is>
          <t>VÄSTERBOTTENS LÄN</t>
        </is>
      </c>
      <c r="G751" t="inlineStr">
        <is>
          <t>LYCKSELE</t>
        </is>
      </c>
      <c r="H751" t="inlineStr">
        <is>
          <t>SCA</t>
        </is>
      </c>
      <c r="I751" t="n">
        <v>2.3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13908-2026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46098</v>
      </c>
      <c r="E752" s="1" t="n">
        <v>46227</v>
      </c>
      <c r="F752" t="inlineStr">
        <is>
          <t>VÄSTERBOTTENS LÄN</t>
        </is>
      </c>
      <c r="G752" t="inlineStr">
        <is>
          <t>LYCKSELE</t>
        </is>
      </c>
      <c r="I752" t="n">
        <v>13.1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60859-2022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44908</v>
      </c>
      <c r="E753" s="1" t="n">
        <v>46227</v>
      </c>
      <c r="F753" t="inlineStr">
        <is>
          <t>VÄSTERBOTTENS LÄN</t>
        </is>
      </c>
      <c r="G753" t="inlineStr">
        <is>
          <t>LYCKSELE</t>
        </is>
      </c>
      <c r="I753" t="n">
        <v>3.4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14404-2026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46100</v>
      </c>
      <c r="E754" s="1" t="n">
        <v>46227</v>
      </c>
      <c r="F754" t="inlineStr">
        <is>
          <t>VÄSTERBOTTENS LÄN</t>
        </is>
      </c>
      <c r="G754" t="inlineStr">
        <is>
          <t>LYCKSELE</t>
        </is>
      </c>
      <c r="I754" t="n">
        <v>4.4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16289-2025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45751</v>
      </c>
      <c r="E755" s="1" t="n">
        <v>46227</v>
      </c>
      <c r="F755" t="inlineStr">
        <is>
          <t>VÄSTERBOTTENS LÄN</t>
        </is>
      </c>
      <c r="G755" t="inlineStr">
        <is>
          <t>LYCKSELE</t>
        </is>
      </c>
      <c r="H755" t="inlineStr">
        <is>
          <t>Holmen skog AB</t>
        </is>
      </c>
      <c r="I755" t="n">
        <v>0.7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14675-2026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46101</v>
      </c>
      <c r="E756" s="1" t="n">
        <v>46227</v>
      </c>
      <c r="F756" t="inlineStr">
        <is>
          <t>VÄSTERBOTTENS LÄN</t>
        </is>
      </c>
      <c r="G756" t="inlineStr">
        <is>
          <t>LYCKSELE</t>
        </is>
      </c>
      <c r="H756" t="inlineStr">
        <is>
          <t>SCA</t>
        </is>
      </c>
      <c r="I756" t="n">
        <v>5.4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14725-2026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46101</v>
      </c>
      <c r="E757" s="1" t="n">
        <v>46227</v>
      </c>
      <c r="F757" t="inlineStr">
        <is>
          <t>VÄSTERBOTTENS LÄN</t>
        </is>
      </c>
      <c r="G757" t="inlineStr">
        <is>
          <t>LYCKSELE</t>
        </is>
      </c>
      <c r="H757" t="inlineStr">
        <is>
          <t>SCA</t>
        </is>
      </c>
      <c r="I757" t="n">
        <v>6.4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14405-2026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46100</v>
      </c>
      <c r="E758" s="1" t="n">
        <v>46227</v>
      </c>
      <c r="F758" t="inlineStr">
        <is>
          <t>VÄSTERBOTTENS LÄN</t>
        </is>
      </c>
      <c r="G758" t="inlineStr">
        <is>
          <t>LYCKSELE</t>
        </is>
      </c>
      <c r="I758" t="n">
        <v>3.1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14856-2026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46104</v>
      </c>
      <c r="E759" s="1" t="n">
        <v>46227</v>
      </c>
      <c r="F759" t="inlineStr">
        <is>
          <t>VÄSTERBOTTENS LÄN</t>
        </is>
      </c>
      <c r="G759" t="inlineStr">
        <is>
          <t>LYCKSELE</t>
        </is>
      </c>
      <c r="H759" t="inlineStr">
        <is>
          <t>SCA</t>
        </is>
      </c>
      <c r="I759" t="n">
        <v>11.1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14845-2026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46104</v>
      </c>
      <c r="E760" s="1" t="n">
        <v>46227</v>
      </c>
      <c r="F760" t="inlineStr">
        <is>
          <t>VÄSTERBOTTENS LÄN</t>
        </is>
      </c>
      <c r="G760" t="inlineStr">
        <is>
          <t>LYCKSELE</t>
        </is>
      </c>
      <c r="H760" t="inlineStr">
        <is>
          <t>SCA</t>
        </is>
      </c>
      <c r="I760" t="n">
        <v>12.5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70197-2021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44534</v>
      </c>
      <c r="E761" s="1" t="n">
        <v>46227</v>
      </c>
      <c r="F761" t="inlineStr">
        <is>
          <t>VÄSTERBOTTENS LÄN</t>
        </is>
      </c>
      <c r="G761" t="inlineStr">
        <is>
          <t>LYCKSELE</t>
        </is>
      </c>
      <c r="I761" t="n">
        <v>6.5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53740-2022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44880</v>
      </c>
      <c r="E762" s="1" t="n">
        <v>46227</v>
      </c>
      <c r="F762" t="inlineStr">
        <is>
          <t>VÄSTERBOTTENS LÄN</t>
        </is>
      </c>
      <c r="G762" t="inlineStr">
        <is>
          <t>LYCKSELE</t>
        </is>
      </c>
      <c r="I762" t="n">
        <v>10.5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16887-2024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45411</v>
      </c>
      <c r="E763" s="1" t="n">
        <v>46227</v>
      </c>
      <c r="F763" t="inlineStr">
        <is>
          <t>VÄSTERBOTTENS LÄN</t>
        </is>
      </c>
      <c r="G763" t="inlineStr">
        <is>
          <t>LYCKSELE</t>
        </is>
      </c>
      <c r="I763" t="n">
        <v>6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22050-2024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45443</v>
      </c>
      <c r="E764" s="1" t="n">
        <v>46227</v>
      </c>
      <c r="F764" t="inlineStr">
        <is>
          <t>VÄSTERBOTTENS LÄN</t>
        </is>
      </c>
      <c r="G764" t="inlineStr">
        <is>
          <t>LYCKSELE</t>
        </is>
      </c>
      <c r="H764" t="inlineStr">
        <is>
          <t>Holmen skog AB</t>
        </is>
      </c>
      <c r="I764" t="n">
        <v>0.9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15809-2023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45021</v>
      </c>
      <c r="E765" s="1" t="n">
        <v>46227</v>
      </c>
      <c r="F765" t="inlineStr">
        <is>
          <t>VÄSTERBOTTENS LÄN</t>
        </is>
      </c>
      <c r="G765" t="inlineStr">
        <is>
          <t>LYCKSELE</t>
        </is>
      </c>
      <c r="I765" t="n">
        <v>5.4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15696-2026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46107</v>
      </c>
      <c r="E766" s="1" t="n">
        <v>46227</v>
      </c>
      <c r="F766" t="inlineStr">
        <is>
          <t>VÄSTERBOTTENS LÄN</t>
        </is>
      </c>
      <c r="G766" t="inlineStr">
        <is>
          <t>LYCKSELE</t>
        </is>
      </c>
      <c r="I766" t="n">
        <v>1.5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15655-2026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46106</v>
      </c>
      <c r="E767" s="1" t="n">
        <v>46227</v>
      </c>
      <c r="F767" t="inlineStr">
        <is>
          <t>VÄSTERBOTTENS LÄN</t>
        </is>
      </c>
      <c r="G767" t="inlineStr">
        <is>
          <t>LYCKSELE</t>
        </is>
      </c>
      <c r="I767" t="n">
        <v>5.8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64656-2023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45281</v>
      </c>
      <c r="E768" s="1" t="n">
        <v>46227</v>
      </c>
      <c r="F768" t="inlineStr">
        <is>
          <t>VÄSTERBOTTENS LÄN</t>
        </is>
      </c>
      <c r="G768" t="inlineStr">
        <is>
          <t>LYCKSELE</t>
        </is>
      </c>
      <c r="I768" t="n">
        <v>12.3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15389-2026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46106</v>
      </c>
      <c r="E769" s="1" t="n">
        <v>46227</v>
      </c>
      <c r="F769" t="inlineStr">
        <is>
          <t>VÄSTERBOTTENS LÄN</t>
        </is>
      </c>
      <c r="G769" t="inlineStr">
        <is>
          <t>LYCKSELE</t>
        </is>
      </c>
      <c r="H769" t="inlineStr">
        <is>
          <t>SCA</t>
        </is>
      </c>
      <c r="I769" t="n">
        <v>12.9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29524-2023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45106</v>
      </c>
      <c r="E770" s="1" t="n">
        <v>46227</v>
      </c>
      <c r="F770" t="inlineStr">
        <is>
          <t>VÄSTERBOTTENS LÄN</t>
        </is>
      </c>
      <c r="G770" t="inlineStr">
        <is>
          <t>LYCKSELE</t>
        </is>
      </c>
      <c r="H770" t="inlineStr">
        <is>
          <t>Holmen skog AB</t>
        </is>
      </c>
      <c r="I770" t="n">
        <v>4.6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27818-2024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45475</v>
      </c>
      <c r="E771" s="1" t="n">
        <v>46227</v>
      </c>
      <c r="F771" t="inlineStr">
        <is>
          <t>VÄSTERBOTTENS LÄN</t>
        </is>
      </c>
      <c r="G771" t="inlineStr">
        <is>
          <t>LYCKSELE</t>
        </is>
      </c>
      <c r="I771" t="n">
        <v>3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27671-2024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45474</v>
      </c>
      <c r="E772" s="1" t="n">
        <v>46227</v>
      </c>
      <c r="F772" t="inlineStr">
        <is>
          <t>VÄSTERBOTTENS LÄN</t>
        </is>
      </c>
      <c r="G772" t="inlineStr">
        <is>
          <t>LYCKSELE</t>
        </is>
      </c>
      <c r="H772" t="inlineStr">
        <is>
          <t>Naturvårdsverket</t>
        </is>
      </c>
      <c r="I772" t="n">
        <v>0.9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35569-2024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45531</v>
      </c>
      <c r="E773" s="1" t="n">
        <v>46227</v>
      </c>
      <c r="F773" t="inlineStr">
        <is>
          <t>VÄSTERBOTTENS LÄN</t>
        </is>
      </c>
      <c r="G773" t="inlineStr">
        <is>
          <t>LYCKSELE</t>
        </is>
      </c>
      <c r="H773" t="inlineStr">
        <is>
          <t>Sveaskog</t>
        </is>
      </c>
      <c r="I773" t="n">
        <v>2.6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18156-2023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45040</v>
      </c>
      <c r="E774" s="1" t="n">
        <v>46227</v>
      </c>
      <c r="F774" t="inlineStr">
        <is>
          <t>VÄSTERBOTTENS LÄN</t>
        </is>
      </c>
      <c r="G774" t="inlineStr">
        <is>
          <t>LYCKSELE</t>
        </is>
      </c>
      <c r="H774" t="inlineStr">
        <is>
          <t>SCA</t>
        </is>
      </c>
      <c r="I774" t="n">
        <v>22.9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14857-2023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45014</v>
      </c>
      <c r="E775" s="1" t="n">
        <v>46227</v>
      </c>
      <c r="F775" t="inlineStr">
        <is>
          <t>VÄSTERBOTTENS LÄN</t>
        </is>
      </c>
      <c r="G775" t="inlineStr">
        <is>
          <t>LYCKSELE</t>
        </is>
      </c>
      <c r="I775" t="n">
        <v>1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16397-2026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46111</v>
      </c>
      <c r="E776" s="1" t="n">
        <v>46227</v>
      </c>
      <c r="F776" t="inlineStr">
        <is>
          <t>VÄSTERBOTTENS LÄN</t>
        </is>
      </c>
      <c r="G776" t="inlineStr">
        <is>
          <t>LYCKSELE</t>
        </is>
      </c>
      <c r="H776" t="inlineStr">
        <is>
          <t>SCA</t>
        </is>
      </c>
      <c r="I776" t="n">
        <v>1.7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16138-2026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46108</v>
      </c>
      <c r="E777" s="1" t="n">
        <v>46227</v>
      </c>
      <c r="F777" t="inlineStr">
        <is>
          <t>VÄSTERBOTTENS LÄN</t>
        </is>
      </c>
      <c r="G777" t="inlineStr">
        <is>
          <t>LYCKSELE</t>
        </is>
      </c>
      <c r="I777" t="n">
        <v>13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16731-2026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46113</v>
      </c>
      <c r="E778" s="1" t="n">
        <v>46227</v>
      </c>
      <c r="F778" t="inlineStr">
        <is>
          <t>VÄSTERBOTTENS LÄN</t>
        </is>
      </c>
      <c r="G778" t="inlineStr">
        <is>
          <t>LYCKSELE</t>
        </is>
      </c>
      <c r="H778" t="inlineStr">
        <is>
          <t>SCA</t>
        </is>
      </c>
      <c r="I778" t="n">
        <v>13.5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16733-2026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46113</v>
      </c>
      <c r="E779" s="1" t="n">
        <v>46227</v>
      </c>
      <c r="F779" t="inlineStr">
        <is>
          <t>VÄSTERBOTTENS LÄN</t>
        </is>
      </c>
      <c r="G779" t="inlineStr">
        <is>
          <t>LYCKSELE</t>
        </is>
      </c>
      <c r="H779" t="inlineStr">
        <is>
          <t>SCA</t>
        </is>
      </c>
      <c r="I779" t="n">
        <v>5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16643-2026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46112</v>
      </c>
      <c r="E780" s="1" t="n">
        <v>46227</v>
      </c>
      <c r="F780" t="inlineStr">
        <is>
          <t>VÄSTERBOTTENS LÄN</t>
        </is>
      </c>
      <c r="G780" t="inlineStr">
        <is>
          <t>LYCKSELE</t>
        </is>
      </c>
      <c r="H780" t="inlineStr">
        <is>
          <t>SCA</t>
        </is>
      </c>
      <c r="I780" t="n">
        <v>16.8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16646-2026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46112</v>
      </c>
      <c r="E781" s="1" t="n">
        <v>46227</v>
      </c>
      <c r="F781" t="inlineStr">
        <is>
          <t>VÄSTERBOTTENS LÄN</t>
        </is>
      </c>
      <c r="G781" t="inlineStr">
        <is>
          <t>LYCKSELE</t>
        </is>
      </c>
      <c r="H781" t="inlineStr">
        <is>
          <t>SCA</t>
        </is>
      </c>
      <c r="I781" t="n">
        <v>13.9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16729-2026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46113</v>
      </c>
      <c r="E782" s="1" t="n">
        <v>46227</v>
      </c>
      <c r="F782" t="inlineStr">
        <is>
          <t>VÄSTERBOTTENS LÄN</t>
        </is>
      </c>
      <c r="G782" t="inlineStr">
        <is>
          <t>LYCKSELE</t>
        </is>
      </c>
      <c r="H782" t="inlineStr">
        <is>
          <t>SCA</t>
        </is>
      </c>
      <c r="I782" t="n">
        <v>19.5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16540-2026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46112</v>
      </c>
      <c r="E783" s="1" t="n">
        <v>46227</v>
      </c>
      <c r="F783" t="inlineStr">
        <is>
          <t>VÄSTERBOTTENS LÄN</t>
        </is>
      </c>
      <c r="G783" t="inlineStr">
        <is>
          <t>LYCKSELE</t>
        </is>
      </c>
      <c r="I783" t="n">
        <v>17.1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16642-2026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46112</v>
      </c>
      <c r="E784" s="1" t="n">
        <v>46227</v>
      </c>
      <c r="F784" t="inlineStr">
        <is>
          <t>VÄSTERBOTTENS LÄN</t>
        </is>
      </c>
      <c r="G784" t="inlineStr">
        <is>
          <t>LYCKSELE</t>
        </is>
      </c>
      <c r="H784" t="inlineStr">
        <is>
          <t>SCA</t>
        </is>
      </c>
      <c r="I784" t="n">
        <v>2.1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16986-2026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46114</v>
      </c>
      <c r="E785" s="1" t="n">
        <v>46227</v>
      </c>
      <c r="F785" t="inlineStr">
        <is>
          <t>VÄSTERBOTTENS LÄN</t>
        </is>
      </c>
      <c r="G785" t="inlineStr">
        <is>
          <t>LYCKSELE</t>
        </is>
      </c>
      <c r="H785" t="inlineStr">
        <is>
          <t>SCA</t>
        </is>
      </c>
      <c r="I785" t="n">
        <v>1.1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28890-2024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45479</v>
      </c>
      <c r="E786" s="1" t="n">
        <v>46227</v>
      </c>
      <c r="F786" t="inlineStr">
        <is>
          <t>VÄSTERBOTTENS LÄN</t>
        </is>
      </c>
      <c r="G786" t="inlineStr">
        <is>
          <t>LYCKSELE</t>
        </is>
      </c>
      <c r="H786" t="inlineStr">
        <is>
          <t>SCA</t>
        </is>
      </c>
      <c r="I786" t="n">
        <v>1.1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17329-2026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46119</v>
      </c>
      <c r="E787" s="1" t="n">
        <v>46227</v>
      </c>
      <c r="F787" t="inlineStr">
        <is>
          <t>VÄSTERBOTTENS LÄN</t>
        </is>
      </c>
      <c r="G787" t="inlineStr">
        <is>
          <t>LYCKSELE</t>
        </is>
      </c>
      <c r="H787" t="inlineStr">
        <is>
          <t>SCA</t>
        </is>
      </c>
      <c r="I787" t="n">
        <v>12.1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28892-2024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45479</v>
      </c>
      <c r="E788" s="1" t="n">
        <v>46227</v>
      </c>
      <c r="F788" t="inlineStr">
        <is>
          <t>VÄSTERBOTTENS LÄN</t>
        </is>
      </c>
      <c r="G788" t="inlineStr">
        <is>
          <t>LYCKSELE</t>
        </is>
      </c>
      <c r="H788" t="inlineStr">
        <is>
          <t>SCA</t>
        </is>
      </c>
      <c r="I788" t="n">
        <v>1.1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17650-2026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46121</v>
      </c>
      <c r="E789" s="1" t="n">
        <v>46227</v>
      </c>
      <c r="F789" t="inlineStr">
        <is>
          <t>VÄSTERBOTTENS LÄN</t>
        </is>
      </c>
      <c r="G789" t="inlineStr">
        <is>
          <t>LYCKSELE</t>
        </is>
      </c>
      <c r="H789" t="inlineStr">
        <is>
          <t>SCA</t>
        </is>
      </c>
      <c r="I789" t="n">
        <v>3.7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60425-2021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44496</v>
      </c>
      <c r="E790" s="1" t="n">
        <v>46227</v>
      </c>
      <c r="F790" t="inlineStr">
        <is>
          <t>VÄSTERBOTTENS LÄN</t>
        </is>
      </c>
      <c r="G790" t="inlineStr">
        <is>
          <t>LYCKSELE</t>
        </is>
      </c>
      <c r="H790" t="inlineStr">
        <is>
          <t>Sveaskog</t>
        </is>
      </c>
      <c r="I790" t="n">
        <v>1.2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35284-2023</t>
        </is>
      </c>
      <c r="B791" t="inlineStr">
        <is>
          <t>avverkningsanmälan</t>
        </is>
      </c>
      <c r="C791" t="inlineStr">
        <is>
          <t>Avverkning för annat ändamål</t>
        </is>
      </c>
      <c r="D791" s="1" t="n">
        <v>45145</v>
      </c>
      <c r="E791" s="1" t="n">
        <v>46227</v>
      </c>
      <c r="F791" t="inlineStr">
        <is>
          <t>VÄSTERBOTTENS LÄN</t>
        </is>
      </c>
      <c r="G791" t="inlineStr">
        <is>
          <t>LYCKSELE</t>
        </is>
      </c>
      <c r="H791" t="inlineStr">
        <is>
          <t>SCA</t>
        </is>
      </c>
      <c r="I791" t="n">
        <v>0.5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20034-2025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45772</v>
      </c>
      <c r="E792" s="1" t="n">
        <v>46227</v>
      </c>
      <c r="F792" t="inlineStr">
        <is>
          <t>VÄSTERBOTTENS LÄN</t>
        </is>
      </c>
      <c r="G792" t="inlineStr">
        <is>
          <t>LYCKSELE</t>
        </is>
      </c>
      <c r="I792" t="n">
        <v>2.8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18581-2026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46127</v>
      </c>
      <c r="E793" s="1" t="n">
        <v>46227</v>
      </c>
      <c r="F793" t="inlineStr">
        <is>
          <t>VÄSTERBOTTENS LÄN</t>
        </is>
      </c>
      <c r="G793" t="inlineStr">
        <is>
          <t>LYCKSELE</t>
        </is>
      </c>
      <c r="H793" t="inlineStr">
        <is>
          <t>SCA</t>
        </is>
      </c>
      <c r="I793" t="n">
        <v>6.4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18789-2026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46128</v>
      </c>
      <c r="E794" s="1" t="n">
        <v>46227</v>
      </c>
      <c r="F794" t="inlineStr">
        <is>
          <t>VÄSTERBOTTENS LÄN</t>
        </is>
      </c>
      <c r="G794" t="inlineStr">
        <is>
          <t>LYCKSELE</t>
        </is>
      </c>
      <c r="H794" t="inlineStr">
        <is>
          <t>Holmen skog AB</t>
        </is>
      </c>
      <c r="I794" t="n">
        <v>5.1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45361-2024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45576</v>
      </c>
      <c r="E795" s="1" t="n">
        <v>46227</v>
      </c>
      <c r="F795" t="inlineStr">
        <is>
          <t>VÄSTERBOTTENS LÄN</t>
        </is>
      </c>
      <c r="G795" t="inlineStr">
        <is>
          <t>LYCKSELE</t>
        </is>
      </c>
      <c r="H795" t="inlineStr">
        <is>
          <t>Holmen skog AB</t>
        </is>
      </c>
      <c r="I795" t="n">
        <v>0.9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19058-2026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46132</v>
      </c>
      <c r="E796" s="1" t="n">
        <v>46227</v>
      </c>
      <c r="F796" t="inlineStr">
        <is>
          <t>VÄSTERBOTTENS LÄN</t>
        </is>
      </c>
      <c r="G796" t="inlineStr">
        <is>
          <t>LYCKSELE</t>
        </is>
      </c>
      <c r="H796" t="inlineStr">
        <is>
          <t>SCA</t>
        </is>
      </c>
      <c r="I796" t="n">
        <v>1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19062-2026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46132</v>
      </c>
      <c r="E797" s="1" t="n">
        <v>46227</v>
      </c>
      <c r="F797" t="inlineStr">
        <is>
          <t>VÄSTERBOTTENS LÄN</t>
        </is>
      </c>
      <c r="G797" t="inlineStr">
        <is>
          <t>LYCKSELE</t>
        </is>
      </c>
      <c r="H797" t="inlineStr">
        <is>
          <t>SCA</t>
        </is>
      </c>
      <c r="I797" t="n">
        <v>9.699999999999999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2859-2022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44581</v>
      </c>
      <c r="E798" s="1" t="n">
        <v>46227</v>
      </c>
      <c r="F798" t="inlineStr">
        <is>
          <t>VÄSTERBOTTENS LÄN</t>
        </is>
      </c>
      <c r="G798" t="inlineStr">
        <is>
          <t>LYCKSELE</t>
        </is>
      </c>
      <c r="I798" t="n">
        <v>2.8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34857-2024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45527</v>
      </c>
      <c r="E799" s="1" t="n">
        <v>46227</v>
      </c>
      <c r="F799" t="inlineStr">
        <is>
          <t>VÄSTERBOTTENS LÄN</t>
        </is>
      </c>
      <c r="G799" t="inlineStr">
        <is>
          <t>LYCKSELE</t>
        </is>
      </c>
      <c r="H799" t="inlineStr">
        <is>
          <t>Sveaskog</t>
        </is>
      </c>
      <c r="I799" t="n">
        <v>2.3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18566-2025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45763</v>
      </c>
      <c r="E800" s="1" t="n">
        <v>46227</v>
      </c>
      <c r="F800" t="inlineStr">
        <is>
          <t>VÄSTERBOTTENS LÄN</t>
        </is>
      </c>
      <c r="G800" t="inlineStr">
        <is>
          <t>LYCKSELE</t>
        </is>
      </c>
      <c r="H800" t="inlineStr">
        <is>
          <t>Holmen skog AB</t>
        </is>
      </c>
      <c r="I800" t="n">
        <v>1.5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18737-2026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46128</v>
      </c>
      <c r="E801" s="1" t="n">
        <v>46227</v>
      </c>
      <c r="F801" t="inlineStr">
        <is>
          <t>VÄSTERBOTTENS LÄN</t>
        </is>
      </c>
      <c r="G801" t="inlineStr">
        <is>
          <t>LYCKSELE</t>
        </is>
      </c>
      <c r="H801" t="inlineStr">
        <is>
          <t>Holmen skog AB</t>
        </is>
      </c>
      <c r="I801" t="n">
        <v>5.5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19701-2026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46134</v>
      </c>
      <c r="E802" s="1" t="n">
        <v>46227</v>
      </c>
      <c r="F802" t="inlineStr">
        <is>
          <t>VÄSTERBOTTENS LÄN</t>
        </is>
      </c>
      <c r="G802" t="inlineStr">
        <is>
          <t>LYCKSELE</t>
        </is>
      </c>
      <c r="I802" t="n">
        <v>7.1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19325-2026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46133</v>
      </c>
      <c r="E803" s="1" t="n">
        <v>46227</v>
      </c>
      <c r="F803" t="inlineStr">
        <is>
          <t>VÄSTERBOTTENS LÄN</t>
        </is>
      </c>
      <c r="G803" t="inlineStr">
        <is>
          <t>LYCKSELE</t>
        </is>
      </c>
      <c r="I803" t="n">
        <v>6.5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34111-2025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45845</v>
      </c>
      <c r="E804" s="1" t="n">
        <v>46227</v>
      </c>
      <c r="F804" t="inlineStr">
        <is>
          <t>VÄSTERBOTTENS LÄN</t>
        </is>
      </c>
      <c r="G804" t="inlineStr">
        <is>
          <t>LYCKSELE</t>
        </is>
      </c>
      <c r="H804" t="inlineStr">
        <is>
          <t>Holmen skog AB</t>
        </is>
      </c>
      <c r="I804" t="n">
        <v>8.4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45312-2024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45576</v>
      </c>
      <c r="E805" s="1" t="n">
        <v>46227</v>
      </c>
      <c r="F805" t="inlineStr">
        <is>
          <t>VÄSTERBOTTENS LÄN</t>
        </is>
      </c>
      <c r="G805" t="inlineStr">
        <is>
          <t>LYCKSELE</t>
        </is>
      </c>
      <c r="H805" t="inlineStr">
        <is>
          <t>Sveaskog</t>
        </is>
      </c>
      <c r="I805" t="n">
        <v>10.8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45352-2024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45576</v>
      </c>
      <c r="E806" s="1" t="n">
        <v>46227</v>
      </c>
      <c r="F806" t="inlineStr">
        <is>
          <t>VÄSTERBOTTENS LÄN</t>
        </is>
      </c>
      <c r="G806" t="inlineStr">
        <is>
          <t>LYCKSELE</t>
        </is>
      </c>
      <c r="H806" t="inlineStr">
        <is>
          <t>Sveaskog</t>
        </is>
      </c>
      <c r="I806" t="n">
        <v>7.6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18674-2025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45763</v>
      </c>
      <c r="E807" s="1" t="n">
        <v>46227</v>
      </c>
      <c r="F807" t="inlineStr">
        <is>
          <t>VÄSTERBOTTENS LÄN</t>
        </is>
      </c>
      <c r="G807" t="inlineStr">
        <is>
          <t>LYCKSELE</t>
        </is>
      </c>
      <c r="H807" t="inlineStr">
        <is>
          <t>Holmen skog AB</t>
        </is>
      </c>
      <c r="I807" t="n">
        <v>7.9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43770-2025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45912</v>
      </c>
      <c r="E808" s="1" t="n">
        <v>46227</v>
      </c>
      <c r="F808" t="inlineStr">
        <is>
          <t>VÄSTERBOTTENS LÄN</t>
        </is>
      </c>
      <c r="G808" t="inlineStr">
        <is>
          <t>LYCKSELE</t>
        </is>
      </c>
      <c r="H808" t="inlineStr">
        <is>
          <t>Holmen skog AB</t>
        </is>
      </c>
      <c r="I808" t="n">
        <v>9.5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19390-2024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45429</v>
      </c>
      <c r="E809" s="1" t="n">
        <v>46227</v>
      </c>
      <c r="F809" t="inlineStr">
        <is>
          <t>VÄSTERBOTTENS LÄN</t>
        </is>
      </c>
      <c r="G809" t="inlineStr">
        <is>
          <t>LYCKSELE</t>
        </is>
      </c>
      <c r="H809" t="inlineStr">
        <is>
          <t>Holmen skog AB</t>
        </is>
      </c>
      <c r="I809" t="n">
        <v>2.4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54680-2024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45618</v>
      </c>
      <c r="E810" s="1" t="n">
        <v>46227</v>
      </c>
      <c r="F810" t="inlineStr">
        <is>
          <t>VÄSTERBOTTENS LÄN</t>
        </is>
      </c>
      <c r="G810" t="inlineStr">
        <is>
          <t>LYCKSELE</t>
        </is>
      </c>
      <c r="H810" t="inlineStr">
        <is>
          <t>Sveaskog</t>
        </is>
      </c>
      <c r="I810" t="n">
        <v>3.2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51466-2024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45604</v>
      </c>
      <c r="E811" s="1" t="n">
        <v>46227</v>
      </c>
      <c r="F811" t="inlineStr">
        <is>
          <t>VÄSTERBOTTENS LÄN</t>
        </is>
      </c>
      <c r="G811" t="inlineStr">
        <is>
          <t>LYCKSELE</t>
        </is>
      </c>
      <c r="I811" t="n">
        <v>0.8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57109-2024</t>
        </is>
      </c>
      <c r="B812" t="inlineStr">
        <is>
          <t>avverkningsanmälan</t>
        </is>
      </c>
      <c r="C812" t="inlineStr">
        <is>
          <t>Avverkning för annat ändamål</t>
        </is>
      </c>
      <c r="D812" s="1" t="n">
        <v>45629</v>
      </c>
      <c r="E812" s="1" t="n">
        <v>46227</v>
      </c>
      <c r="F812" t="inlineStr">
        <is>
          <t>VÄSTERBOTTENS LÄN</t>
        </is>
      </c>
      <c r="G812" t="inlineStr">
        <is>
          <t>LYCKSELE</t>
        </is>
      </c>
      <c r="I812" t="n">
        <v>1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26717-2024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45470</v>
      </c>
      <c r="E813" s="1" t="n">
        <v>46227</v>
      </c>
      <c r="F813" t="inlineStr">
        <is>
          <t>VÄSTERBOTTENS LÄN</t>
        </is>
      </c>
      <c r="G813" t="inlineStr">
        <is>
          <t>LYCKSELE</t>
        </is>
      </c>
      <c r="H813" t="inlineStr">
        <is>
          <t>Sveaskog</t>
        </is>
      </c>
      <c r="I813" t="n">
        <v>2.8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526-2022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44566</v>
      </c>
      <c r="E814" s="1" t="n">
        <v>46227</v>
      </c>
      <c r="F814" t="inlineStr">
        <is>
          <t>VÄSTERBOTTENS LÄN</t>
        </is>
      </c>
      <c r="G814" t="inlineStr">
        <is>
          <t>LYCKSELE</t>
        </is>
      </c>
      <c r="I814" t="n">
        <v>5.5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57666-2021</t>
        </is>
      </c>
      <c r="B815" t="inlineStr">
        <is>
          <t>avverkningsanmälan</t>
        </is>
      </c>
      <c r="C815" t="inlineStr">
        <is>
          <t>Avverkning för annat ändamål</t>
        </is>
      </c>
      <c r="D815" s="1" t="n">
        <v>44484</v>
      </c>
      <c r="E815" s="1" t="n">
        <v>46227</v>
      </c>
      <c r="F815" t="inlineStr">
        <is>
          <t>VÄSTERBOTTENS LÄN</t>
        </is>
      </c>
      <c r="G815" t="inlineStr">
        <is>
          <t>LYCKSELE</t>
        </is>
      </c>
      <c r="H815" t="inlineStr">
        <is>
          <t>Sveaskog</t>
        </is>
      </c>
      <c r="I815" t="n">
        <v>0.9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62547-2022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44924</v>
      </c>
      <c r="E816" s="1" t="n">
        <v>46227</v>
      </c>
      <c r="F816" t="inlineStr">
        <is>
          <t>VÄSTERBOTTENS LÄN</t>
        </is>
      </c>
      <c r="G816" t="inlineStr">
        <is>
          <t>LYCKSELE</t>
        </is>
      </c>
      <c r="H816" t="inlineStr">
        <is>
          <t>Sveaskog</t>
        </is>
      </c>
      <c r="I816" t="n">
        <v>4.1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23769-2023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45077</v>
      </c>
      <c r="E817" s="1" t="n">
        <v>46227</v>
      </c>
      <c r="F817" t="inlineStr">
        <is>
          <t>VÄSTERBOTTENS LÄN</t>
        </is>
      </c>
      <c r="G817" t="inlineStr">
        <is>
          <t>LYCKSELE</t>
        </is>
      </c>
      <c r="H817" t="inlineStr">
        <is>
          <t>SCA</t>
        </is>
      </c>
      <c r="I817" t="n">
        <v>1.8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11199-2024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45371</v>
      </c>
      <c r="E818" s="1" t="n">
        <v>46227</v>
      </c>
      <c r="F818" t="inlineStr">
        <is>
          <t>VÄSTERBOTTENS LÄN</t>
        </is>
      </c>
      <c r="G818" t="inlineStr">
        <is>
          <t>LYCKSELE</t>
        </is>
      </c>
      <c r="H818" t="inlineStr">
        <is>
          <t>Holmen skog AB</t>
        </is>
      </c>
      <c r="I818" t="n">
        <v>55.8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51152-2024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45603</v>
      </c>
      <c r="E819" s="1" t="n">
        <v>46227</v>
      </c>
      <c r="F819" t="inlineStr">
        <is>
          <t>VÄSTERBOTTENS LÄN</t>
        </is>
      </c>
      <c r="G819" t="inlineStr">
        <is>
          <t>LYCKSELE</t>
        </is>
      </c>
      <c r="H819" t="inlineStr">
        <is>
          <t>Sveaskog</t>
        </is>
      </c>
      <c r="I819" t="n">
        <v>1.6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14343-2025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45741</v>
      </c>
      <c r="E820" s="1" t="n">
        <v>46227</v>
      </c>
      <c r="F820" t="inlineStr">
        <is>
          <t>VÄSTERBOTTENS LÄN</t>
        </is>
      </c>
      <c r="G820" t="inlineStr">
        <is>
          <t>LYCKSELE</t>
        </is>
      </c>
      <c r="I820" t="n">
        <v>6.4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50468-2024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45601</v>
      </c>
      <c r="E821" s="1" t="n">
        <v>46227</v>
      </c>
      <c r="F821" t="inlineStr">
        <is>
          <t>VÄSTERBOTTENS LÄN</t>
        </is>
      </c>
      <c r="G821" t="inlineStr">
        <is>
          <t>LYCKSELE</t>
        </is>
      </c>
      <c r="I821" t="n">
        <v>2.2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47113-2025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45929</v>
      </c>
      <c r="E822" s="1" t="n">
        <v>46227</v>
      </c>
      <c r="F822" t="inlineStr">
        <is>
          <t>VÄSTERBOTTENS LÄN</t>
        </is>
      </c>
      <c r="G822" t="inlineStr">
        <is>
          <t>LYCKSELE</t>
        </is>
      </c>
      <c r="I822" t="n">
        <v>8.5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48585-2025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45936</v>
      </c>
      <c r="E823" s="1" t="n">
        <v>46227</v>
      </c>
      <c r="F823" t="inlineStr">
        <is>
          <t>VÄSTERBOTTENS LÄN</t>
        </is>
      </c>
      <c r="G823" t="inlineStr">
        <is>
          <t>LYCKSELE</t>
        </is>
      </c>
      <c r="I823" t="n">
        <v>4.8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54287-2024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45617</v>
      </c>
      <c r="E824" s="1" t="n">
        <v>46227</v>
      </c>
      <c r="F824" t="inlineStr">
        <is>
          <t>VÄSTERBOTTENS LÄN</t>
        </is>
      </c>
      <c r="G824" t="inlineStr">
        <is>
          <t>LYCKSELE</t>
        </is>
      </c>
      <c r="H824" t="inlineStr">
        <is>
          <t>Sveaskog</t>
        </is>
      </c>
      <c r="I824" t="n">
        <v>4.1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A 29835-2023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45107</v>
      </c>
      <c r="E825" s="1" t="n">
        <v>46227</v>
      </c>
      <c r="F825" t="inlineStr">
        <is>
          <t>VÄSTERBOTTENS LÄN</t>
        </is>
      </c>
      <c r="G825" t="inlineStr">
        <is>
          <t>LYCKSELE</t>
        </is>
      </c>
      <c r="I825" t="n">
        <v>17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A 40912-2024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45558</v>
      </c>
      <c r="E826" s="1" t="n">
        <v>46227</v>
      </c>
      <c r="F826" t="inlineStr">
        <is>
          <t>VÄSTERBOTTENS LÄN</t>
        </is>
      </c>
      <c r="G826" t="inlineStr">
        <is>
          <t>LYCKSELE</t>
        </is>
      </c>
      <c r="H826" t="inlineStr">
        <is>
          <t>Sveaskog</t>
        </is>
      </c>
      <c r="I826" t="n">
        <v>11.1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A 26999-2023</t>
        </is>
      </c>
      <c r="B827" t="inlineStr">
        <is>
          <t>avverkningsanmälan</t>
        </is>
      </c>
      <c r="C827" t="inlineStr">
        <is>
          <t>Avverkning för att bevara och utveckla /försöksver</t>
        </is>
      </c>
      <c r="D827" s="1" t="n">
        <v>45093</v>
      </c>
      <c r="E827" s="1" t="n">
        <v>46227</v>
      </c>
      <c r="F827" t="inlineStr">
        <is>
          <t>VÄSTERBOTTENS LÄN</t>
        </is>
      </c>
      <c r="G827" t="inlineStr">
        <is>
          <t>LYCKSELE</t>
        </is>
      </c>
      <c r="H827" t="inlineStr">
        <is>
          <t>SCA</t>
        </is>
      </c>
      <c r="I827" t="n">
        <v>2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A 53011-2024</t>
        </is>
      </c>
      <c r="B828" t="inlineStr">
        <is>
          <t>avverkningsanmälan</t>
        </is>
      </c>
      <c r="C828" t="inlineStr">
        <is>
          <t>Föryngringsavverkning</t>
        </is>
      </c>
      <c r="D828" s="1" t="n">
        <v>45611</v>
      </c>
      <c r="E828" s="1" t="n">
        <v>46227</v>
      </c>
      <c r="F828" t="inlineStr">
        <is>
          <t>VÄSTERBOTTENS LÄN</t>
        </is>
      </c>
      <c r="G828" t="inlineStr">
        <is>
          <t>LYCKSELE</t>
        </is>
      </c>
      <c r="H828" t="inlineStr">
        <is>
          <t>Sveaskog</t>
        </is>
      </c>
      <c r="I828" t="n">
        <v>7.1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A 57984-2025</t>
        </is>
      </c>
      <c r="B829" t="inlineStr">
        <is>
          <t>avverkningsanmälan</t>
        </is>
      </c>
      <c r="C829" t="inlineStr">
        <is>
          <t>Föryngringsavverkning</t>
        </is>
      </c>
      <c r="D829" s="1" t="n">
        <v>45982</v>
      </c>
      <c r="E829" s="1" t="n">
        <v>46227</v>
      </c>
      <c r="F829" t="inlineStr">
        <is>
          <t>VÄSTERBOTTENS LÄN</t>
        </is>
      </c>
      <c r="G829" t="inlineStr">
        <is>
          <t>LYCKSELE</t>
        </is>
      </c>
      <c r="I829" t="n">
        <v>0.7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A 20287-2022</t>
        </is>
      </c>
      <c r="B830" t="inlineStr">
        <is>
          <t>avverkningsanmälan</t>
        </is>
      </c>
      <c r="C830" t="inlineStr">
        <is>
          <t>Föryngringsavverkning</t>
        </is>
      </c>
      <c r="D830" s="1" t="n">
        <v>44698</v>
      </c>
      <c r="E830" s="1" t="n">
        <v>46227</v>
      </c>
      <c r="F830" t="inlineStr">
        <is>
          <t>VÄSTERBOTTENS LÄN</t>
        </is>
      </c>
      <c r="G830" t="inlineStr">
        <is>
          <t>LYCKSELE</t>
        </is>
      </c>
      <c r="H830" t="inlineStr">
        <is>
          <t>Holmen skog AB</t>
        </is>
      </c>
      <c r="I830" t="n">
        <v>11.5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A 53788-2024</t>
        </is>
      </c>
      <c r="B831" t="inlineStr">
        <is>
          <t>avverkningsanmälan</t>
        </is>
      </c>
      <c r="C831" t="inlineStr">
        <is>
          <t>Föryngringsavverkning</t>
        </is>
      </c>
      <c r="D831" s="1" t="n">
        <v>45615</v>
      </c>
      <c r="E831" s="1" t="n">
        <v>46227</v>
      </c>
      <c r="F831" t="inlineStr">
        <is>
          <t>VÄSTERBOTTENS LÄN</t>
        </is>
      </c>
      <c r="G831" t="inlineStr">
        <is>
          <t>LYCKSELE</t>
        </is>
      </c>
      <c r="H831" t="inlineStr">
        <is>
          <t>SCA</t>
        </is>
      </c>
      <c r="I831" t="n">
        <v>1.5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A 2552-2024</t>
        </is>
      </c>
      <c r="B832" t="inlineStr">
        <is>
          <t>avverkningsanmälan</t>
        </is>
      </c>
      <c r="C832" t="inlineStr">
        <is>
          <t>Föryngringsavverkning</t>
        </is>
      </c>
      <c r="D832" s="1" t="n">
        <v>45313</v>
      </c>
      <c r="E832" s="1" t="n">
        <v>46227</v>
      </c>
      <c r="F832" t="inlineStr">
        <is>
          <t>VÄSTERBOTTENS LÄN</t>
        </is>
      </c>
      <c r="G832" t="inlineStr">
        <is>
          <t>LYCKSELE</t>
        </is>
      </c>
      <c r="H832" t="inlineStr">
        <is>
          <t>Naturvårdsverket</t>
        </is>
      </c>
      <c r="I832" t="n">
        <v>1.5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A 58263-2025</t>
        </is>
      </c>
      <c r="B833" t="inlineStr">
        <is>
          <t>avverkningsanmälan</t>
        </is>
      </c>
      <c r="C833" t="inlineStr">
        <is>
          <t>Föryngringsavverkning</t>
        </is>
      </c>
      <c r="D833" s="1" t="n">
        <v>45985</v>
      </c>
      <c r="E833" s="1" t="n">
        <v>46227</v>
      </c>
      <c r="F833" t="inlineStr">
        <is>
          <t>VÄSTERBOTTENS LÄN</t>
        </is>
      </c>
      <c r="G833" t="inlineStr">
        <is>
          <t>LYCKSELE</t>
        </is>
      </c>
      <c r="I833" t="n">
        <v>4.3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A 45447-2024</t>
        </is>
      </c>
      <c r="B834" t="inlineStr">
        <is>
          <t>avverkningsanmälan</t>
        </is>
      </c>
      <c r="C834" t="inlineStr">
        <is>
          <t>Föryngringsavverkning</t>
        </is>
      </c>
      <c r="D834" s="1" t="n">
        <v>45576</v>
      </c>
      <c r="E834" s="1" t="n">
        <v>46227</v>
      </c>
      <c r="F834" t="inlineStr">
        <is>
          <t>VÄSTERBOTTENS LÄN</t>
        </is>
      </c>
      <c r="G834" t="inlineStr">
        <is>
          <t>LYCKSELE</t>
        </is>
      </c>
      <c r="H834" t="inlineStr">
        <is>
          <t>Naturvårdsverket</t>
        </is>
      </c>
      <c r="I834" t="n">
        <v>6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A 932-2022</t>
        </is>
      </c>
      <c r="B835" t="inlineStr">
        <is>
          <t>avverkningsanmälan</t>
        </is>
      </c>
      <c r="C835" t="inlineStr">
        <is>
          <t>Föryngringsavverkning</t>
        </is>
      </c>
      <c r="D835" s="1" t="n">
        <v>44571</v>
      </c>
      <c r="E835" s="1" t="n">
        <v>46227</v>
      </c>
      <c r="F835" t="inlineStr">
        <is>
          <t>VÄSTERBOTTENS LÄN</t>
        </is>
      </c>
      <c r="G835" t="inlineStr">
        <is>
          <t>LYCKSELE</t>
        </is>
      </c>
      <c r="H835" t="inlineStr">
        <is>
          <t>Sveaskog</t>
        </is>
      </c>
      <c r="I835" t="n">
        <v>2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A 48542-2023</t>
        </is>
      </c>
      <c r="B836" t="inlineStr">
        <is>
          <t>avverkningsanmälan</t>
        </is>
      </c>
      <c r="C836" t="inlineStr">
        <is>
          <t>Föryngringsavverkning</t>
        </is>
      </c>
      <c r="D836" s="1" t="n">
        <v>45208</v>
      </c>
      <c r="E836" s="1" t="n">
        <v>46227</v>
      </c>
      <c r="F836" t="inlineStr">
        <is>
          <t>VÄSTERBOTTENS LÄN</t>
        </is>
      </c>
      <c r="G836" t="inlineStr">
        <is>
          <t>LYCKSELE</t>
        </is>
      </c>
      <c r="I836" t="n">
        <v>5.5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A 61891-2024</t>
        </is>
      </c>
      <c r="B837" t="inlineStr">
        <is>
          <t>avverkningsanmälan</t>
        </is>
      </c>
      <c r="C837" t="inlineStr">
        <is>
          <t>Föryngringsavverkning</t>
        </is>
      </c>
      <c r="D837" s="1" t="n">
        <v>45652</v>
      </c>
      <c r="E837" s="1" t="n">
        <v>46227</v>
      </c>
      <c r="F837" t="inlineStr">
        <is>
          <t>VÄSTERBOTTENS LÄN</t>
        </is>
      </c>
      <c r="G837" t="inlineStr">
        <is>
          <t>LYCKSELE</t>
        </is>
      </c>
      <c r="I837" t="n">
        <v>9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A 45406-2024</t>
        </is>
      </c>
      <c r="B838" t="inlineStr">
        <is>
          <t>avverkningsanmälan</t>
        </is>
      </c>
      <c r="C838" t="inlineStr">
        <is>
          <t>Föryngringsavverkning</t>
        </is>
      </c>
      <c r="D838" s="1" t="n">
        <v>45576</v>
      </c>
      <c r="E838" s="1" t="n">
        <v>46227</v>
      </c>
      <c r="F838" t="inlineStr">
        <is>
          <t>VÄSTERBOTTENS LÄN</t>
        </is>
      </c>
      <c r="G838" t="inlineStr">
        <is>
          <t>LYCKSELE</t>
        </is>
      </c>
      <c r="H838" t="inlineStr">
        <is>
          <t>Naturvårdsverket</t>
        </is>
      </c>
      <c r="I838" t="n">
        <v>6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A 8035-2024</t>
        </is>
      </c>
      <c r="B839" t="inlineStr">
        <is>
          <t>avverkningsanmälan</t>
        </is>
      </c>
      <c r="C839" t="inlineStr">
        <is>
          <t>Föryngringsavverkning</t>
        </is>
      </c>
      <c r="D839" s="1" t="n">
        <v>45350</v>
      </c>
      <c r="E839" s="1" t="n">
        <v>46227</v>
      </c>
      <c r="F839" t="inlineStr">
        <is>
          <t>VÄSTERBOTTENS LÄN</t>
        </is>
      </c>
      <c r="G839" t="inlineStr">
        <is>
          <t>LYCKSELE</t>
        </is>
      </c>
      <c r="H839" t="inlineStr">
        <is>
          <t>SCA</t>
        </is>
      </c>
      <c r="I839" t="n">
        <v>2.5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 ht="15" customHeight="1">
      <c r="A840" t="inlineStr">
        <is>
          <t>A 29034-2025</t>
        </is>
      </c>
      <c r="B840" t="inlineStr">
        <is>
          <t>avverkningsanmälan</t>
        </is>
      </c>
      <c r="C840" t="inlineStr">
        <is>
          <t>Föryngringsavverkning</t>
        </is>
      </c>
      <c r="D840" s="1" t="n">
        <v>45821</v>
      </c>
      <c r="E840" s="1" t="n">
        <v>46227</v>
      </c>
      <c r="F840" t="inlineStr">
        <is>
          <t>VÄSTERBOTTENS LÄN</t>
        </is>
      </c>
      <c r="G840" t="inlineStr">
        <is>
          <t>LYCKSELE</t>
        </is>
      </c>
      <c r="I840" t="n">
        <v>1.3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  <row r="841" ht="15" customHeight="1">
      <c r="A841" t="inlineStr">
        <is>
          <t>A 45139-2025</t>
        </is>
      </c>
      <c r="B841" t="inlineStr">
        <is>
          <t>avverkningsanmälan</t>
        </is>
      </c>
      <c r="C841" t="inlineStr">
        <is>
          <t>Föryngringsavverkning</t>
        </is>
      </c>
      <c r="D841" s="1" t="n">
        <v>45919</v>
      </c>
      <c r="E841" s="1" t="n">
        <v>46227</v>
      </c>
      <c r="F841" t="inlineStr">
        <is>
          <t>VÄSTERBOTTENS LÄN</t>
        </is>
      </c>
      <c r="G841" t="inlineStr">
        <is>
          <t>LYCKSELE</t>
        </is>
      </c>
      <c r="I841" t="n">
        <v>5.7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t="n">
        <v>0</v>
      </c>
      <c r="V841" s="2" t="inlineStr"/>
    </row>
    <row r="842" ht="15" customHeight="1">
      <c r="A842" t="inlineStr">
        <is>
          <t>A 29861-2023</t>
        </is>
      </c>
      <c r="B842" t="inlineStr">
        <is>
          <t>avverkningsanmälan</t>
        </is>
      </c>
      <c r="C842" t="inlineStr">
        <is>
          <t>Föryngringsavverkning</t>
        </is>
      </c>
      <c r="D842" s="1" t="n">
        <v>45107</v>
      </c>
      <c r="E842" s="1" t="n">
        <v>46227</v>
      </c>
      <c r="F842" t="inlineStr">
        <is>
          <t>VÄSTERBOTTENS LÄN</t>
        </is>
      </c>
      <c r="G842" t="inlineStr">
        <is>
          <t>LYCKSELE</t>
        </is>
      </c>
      <c r="I842" t="n">
        <v>10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t="n">
        <v>0</v>
      </c>
      <c r="V842" s="2" t="inlineStr"/>
    </row>
    <row r="843" ht="15" customHeight="1">
      <c r="A843" t="inlineStr">
        <is>
          <t>A 44092-2025</t>
        </is>
      </c>
      <c r="B843" t="inlineStr">
        <is>
          <t>avverkningsanmälan</t>
        </is>
      </c>
      <c r="C843" t="inlineStr">
        <is>
          <t>Föryngringsavverkning</t>
        </is>
      </c>
      <c r="D843" s="1" t="n">
        <v>45915</v>
      </c>
      <c r="E843" s="1" t="n">
        <v>46227</v>
      </c>
      <c r="F843" t="inlineStr">
        <is>
          <t>VÄSTERBOTTENS LÄN</t>
        </is>
      </c>
      <c r="G843" t="inlineStr">
        <is>
          <t>LYCKSELE</t>
        </is>
      </c>
      <c r="I843" t="n">
        <v>0.8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t="n">
        <v>0</v>
      </c>
      <c r="V843" s="2" t="inlineStr"/>
    </row>
    <row r="844" ht="15" customHeight="1">
      <c r="A844" t="inlineStr">
        <is>
          <t>A 2352-2025</t>
        </is>
      </c>
      <c r="B844" t="inlineStr">
        <is>
          <t>avverkningsanmälan</t>
        </is>
      </c>
      <c r="C844" t="inlineStr">
        <is>
          <t>Föryngringsavverkning</t>
        </is>
      </c>
      <c r="D844" s="1" t="n">
        <v>45673</v>
      </c>
      <c r="E844" s="1" t="n">
        <v>46227</v>
      </c>
      <c r="F844" t="inlineStr">
        <is>
          <t>VÄSTERBOTTENS LÄN</t>
        </is>
      </c>
      <c r="G844" t="inlineStr">
        <is>
          <t>LYCKSELE</t>
        </is>
      </c>
      <c r="I844" t="n">
        <v>5.6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t="n">
        <v>0</v>
      </c>
      <c r="V844" s="2" t="inlineStr"/>
    </row>
    <row r="845" ht="15" customHeight="1">
      <c r="A845" t="inlineStr">
        <is>
          <t>A 60081-2025</t>
        </is>
      </c>
      <c r="B845" t="inlineStr">
        <is>
          <t>avverkningsanmälan</t>
        </is>
      </c>
      <c r="C845" t="inlineStr">
        <is>
          <t>Föryngringsavverkning</t>
        </is>
      </c>
      <c r="D845" s="1" t="n">
        <v>45993</v>
      </c>
      <c r="E845" s="1" t="n">
        <v>46227</v>
      </c>
      <c r="F845" t="inlineStr">
        <is>
          <t>VÄSTERBOTTENS LÄN</t>
        </is>
      </c>
      <c r="G845" t="inlineStr">
        <is>
          <t>LYCKSELE</t>
        </is>
      </c>
      <c r="I845" t="n">
        <v>1.5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t="n">
        <v>0</v>
      </c>
      <c r="V845" s="2" t="inlineStr"/>
    </row>
    <row r="846" ht="15" customHeight="1">
      <c r="A846" t="inlineStr">
        <is>
          <t>A 20242-2026</t>
        </is>
      </c>
      <c r="B846" t="inlineStr">
        <is>
          <t>avverkningsanmälan</t>
        </is>
      </c>
      <c r="C846" t="inlineStr">
        <is>
          <t>Föryngringsavverkning</t>
        </is>
      </c>
      <c r="D846" s="1" t="n">
        <v>46139</v>
      </c>
      <c r="E846" s="1" t="n">
        <v>46227</v>
      </c>
      <c r="F846" t="inlineStr">
        <is>
          <t>VÄSTERBOTTENS LÄN</t>
        </is>
      </c>
      <c r="G846" t="inlineStr">
        <is>
          <t>LYCKSELE</t>
        </is>
      </c>
      <c r="H846" t="inlineStr">
        <is>
          <t>SCA</t>
        </is>
      </c>
      <c r="I846" t="n">
        <v>2.2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t="n">
        <v>0</v>
      </c>
      <c r="V846" s="2" t="inlineStr"/>
    </row>
    <row r="847" ht="15" customHeight="1">
      <c r="A847" t="inlineStr">
        <is>
          <t>A 61975-2025</t>
        </is>
      </c>
      <c r="B847" t="inlineStr">
        <is>
          <t>avverkningsanmälan</t>
        </is>
      </c>
      <c r="C847" t="inlineStr">
        <is>
          <t>Föryngringsavverkning</t>
        </is>
      </c>
      <c r="D847" s="1" t="n">
        <v>46003</v>
      </c>
      <c r="E847" s="1" t="n">
        <v>46227</v>
      </c>
      <c r="F847" t="inlineStr">
        <is>
          <t>VÄSTERBOTTENS LÄN</t>
        </is>
      </c>
      <c r="G847" t="inlineStr">
        <is>
          <t>LYCKSELE</t>
        </is>
      </c>
      <c r="I847" t="n">
        <v>5.6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t="n">
        <v>0</v>
      </c>
      <c r="V847" s="2" t="inlineStr"/>
    </row>
    <row r="848" ht="15" customHeight="1">
      <c r="A848" t="inlineStr">
        <is>
          <t>A 4671-2025</t>
        </is>
      </c>
      <c r="B848" t="inlineStr">
        <is>
          <t>avverkningsanmälan</t>
        </is>
      </c>
      <c r="C848" t="inlineStr">
        <is>
          <t>Föryngringsavverkning</t>
        </is>
      </c>
      <c r="D848" s="1" t="n">
        <v>45687</v>
      </c>
      <c r="E848" s="1" t="n">
        <v>46227</v>
      </c>
      <c r="F848" t="inlineStr">
        <is>
          <t>VÄSTERBOTTENS LÄN</t>
        </is>
      </c>
      <c r="G848" t="inlineStr">
        <is>
          <t>LYCKSELE</t>
        </is>
      </c>
      <c r="I848" t="n">
        <v>3.4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t="n">
        <v>0</v>
      </c>
      <c r="V848" s="2" t="inlineStr"/>
    </row>
    <row r="849" ht="15" customHeight="1">
      <c r="A849" t="inlineStr">
        <is>
          <t>A 325-2022</t>
        </is>
      </c>
      <c r="B849" t="inlineStr">
        <is>
          <t>avverkningsanmälan</t>
        </is>
      </c>
      <c r="C849" t="inlineStr">
        <is>
          <t>Avverkning för annat ändamål</t>
        </is>
      </c>
      <c r="D849" s="1" t="n">
        <v>44564</v>
      </c>
      <c r="E849" s="1" t="n">
        <v>46227</v>
      </c>
      <c r="F849" t="inlineStr">
        <is>
          <t>VÄSTERBOTTENS LÄN</t>
        </is>
      </c>
      <c r="G849" t="inlineStr">
        <is>
          <t>LYCKSELE</t>
        </is>
      </c>
      <c r="I849" t="n">
        <v>2.2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t="n">
        <v>0</v>
      </c>
      <c r="V849" s="2" t="inlineStr"/>
    </row>
    <row r="850" ht="15" customHeight="1">
      <c r="A850" t="inlineStr">
        <is>
          <t>A 50365-2024</t>
        </is>
      </c>
      <c r="B850" t="inlineStr">
        <is>
          <t>avverkningsanmälan</t>
        </is>
      </c>
      <c r="C850" t="inlineStr">
        <is>
          <t>Föryngringsavverkning</t>
        </is>
      </c>
      <c r="D850" s="1" t="n">
        <v>45600</v>
      </c>
      <c r="E850" s="1" t="n">
        <v>46227</v>
      </c>
      <c r="F850" t="inlineStr">
        <is>
          <t>VÄSTERBOTTENS LÄN</t>
        </is>
      </c>
      <c r="G850" t="inlineStr">
        <is>
          <t>LYCKSELE</t>
        </is>
      </c>
      <c r="I850" t="n">
        <v>6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t="n">
        <v>0</v>
      </c>
      <c r="V850" s="2" t="inlineStr"/>
    </row>
    <row r="851" ht="15" customHeight="1">
      <c r="A851" t="inlineStr">
        <is>
          <t>A 19059-2026</t>
        </is>
      </c>
      <c r="B851" t="inlineStr">
        <is>
          <t>avverkningsanmälan</t>
        </is>
      </c>
      <c r="C851" t="inlineStr">
        <is>
          <t>Föryngringsavverkning</t>
        </is>
      </c>
      <c r="D851" s="1" t="n">
        <v>46132</v>
      </c>
      <c r="E851" s="1" t="n">
        <v>46227</v>
      </c>
      <c r="F851" t="inlineStr">
        <is>
          <t>VÄSTERBOTTENS LÄN</t>
        </is>
      </c>
      <c r="G851" t="inlineStr">
        <is>
          <t>LYCKSELE</t>
        </is>
      </c>
      <c r="H851" t="inlineStr">
        <is>
          <t>SCA</t>
        </is>
      </c>
      <c r="I851" t="n">
        <v>10.8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t="n">
        <v>0</v>
      </c>
      <c r="V851" s="2" t="inlineStr"/>
    </row>
    <row r="852" ht="15" customHeight="1">
      <c r="A852" t="inlineStr">
        <is>
          <t>A 23973-2024</t>
        </is>
      </c>
      <c r="B852" t="inlineStr">
        <is>
          <t>avverkningsanmälan</t>
        </is>
      </c>
      <c r="C852" t="inlineStr">
        <is>
          <t>Föryngringsavverkning</t>
        </is>
      </c>
      <c r="D852" s="1" t="n">
        <v>45455</v>
      </c>
      <c r="E852" s="1" t="n">
        <v>46227</v>
      </c>
      <c r="F852" t="inlineStr">
        <is>
          <t>VÄSTERBOTTENS LÄN</t>
        </is>
      </c>
      <c r="G852" t="inlineStr">
        <is>
          <t>LYCKSELE</t>
        </is>
      </c>
      <c r="H852" t="inlineStr">
        <is>
          <t>SCA</t>
        </is>
      </c>
      <c r="I852" t="n">
        <v>3.2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t="n">
        <v>0</v>
      </c>
      <c r="V852" s="2" t="inlineStr"/>
    </row>
    <row r="853" ht="15" customHeight="1">
      <c r="A853" t="inlineStr">
        <is>
          <t>A 40342-2025</t>
        </is>
      </c>
      <c r="B853" t="inlineStr">
        <is>
          <t>avverkningsanmälan</t>
        </is>
      </c>
      <c r="C853" t="inlineStr">
        <is>
          <t>Föryngringsavverkning</t>
        </is>
      </c>
      <c r="D853" s="1" t="n">
        <v>45895</v>
      </c>
      <c r="E853" s="1" t="n">
        <v>46227</v>
      </c>
      <c r="F853" t="inlineStr">
        <is>
          <t>VÄSTERBOTTENS LÄN</t>
        </is>
      </c>
      <c r="G853" t="inlineStr">
        <is>
          <t>LYCKSELE</t>
        </is>
      </c>
      <c r="H853" t="inlineStr">
        <is>
          <t>Holmen skog AB</t>
        </is>
      </c>
      <c r="I853" t="n">
        <v>3.1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t="n">
        <v>0</v>
      </c>
      <c r="V853" s="2" t="inlineStr"/>
    </row>
    <row r="854" ht="15" customHeight="1">
      <c r="A854" t="inlineStr">
        <is>
          <t>A 25573-2025</t>
        </is>
      </c>
      <c r="B854" t="inlineStr">
        <is>
          <t>avverkningsanmälan</t>
        </is>
      </c>
      <c r="C854" t="inlineStr">
        <is>
          <t>Föryngringsavverkning</t>
        </is>
      </c>
      <c r="D854" s="1" t="n">
        <v>45803</v>
      </c>
      <c r="E854" s="1" t="n">
        <v>46227</v>
      </c>
      <c r="F854" t="inlineStr">
        <is>
          <t>VÄSTERBOTTENS LÄN</t>
        </is>
      </c>
      <c r="G854" t="inlineStr">
        <is>
          <t>LYCKSELE</t>
        </is>
      </c>
      <c r="I854" t="n">
        <v>6.3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t="n">
        <v>0</v>
      </c>
      <c r="V854" s="2" t="inlineStr"/>
    </row>
    <row r="855" ht="15" customHeight="1">
      <c r="A855" t="inlineStr">
        <is>
          <t>A 61094-2023</t>
        </is>
      </c>
      <c r="B855" t="inlineStr">
        <is>
          <t>avverkningsanmälan</t>
        </is>
      </c>
      <c r="C855" t="inlineStr">
        <is>
          <t>Avverkning för annat ändamål</t>
        </is>
      </c>
      <c r="D855" s="1" t="n">
        <v>45261</v>
      </c>
      <c r="E855" s="1" t="n">
        <v>46227</v>
      </c>
      <c r="F855" t="inlineStr">
        <is>
          <t>VÄSTERBOTTENS LÄN</t>
        </is>
      </c>
      <c r="G855" t="inlineStr">
        <is>
          <t>LYCKSELE</t>
        </is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t="n">
        <v>0</v>
      </c>
      <c r="V855" s="2" t="inlineStr"/>
    </row>
    <row r="856" ht="15" customHeight="1">
      <c r="A856" t="inlineStr">
        <is>
          <t>A 19246-2025</t>
        </is>
      </c>
      <c r="B856" t="inlineStr">
        <is>
          <t>avverkningsanmälan</t>
        </is>
      </c>
      <c r="C856" t="inlineStr">
        <is>
          <t>Föryngringsavverkning</t>
        </is>
      </c>
      <c r="D856" s="1" t="n">
        <v>45769</v>
      </c>
      <c r="E856" s="1" t="n">
        <v>46227</v>
      </c>
      <c r="F856" t="inlineStr">
        <is>
          <t>VÄSTERBOTTENS LÄN</t>
        </is>
      </c>
      <c r="G856" t="inlineStr">
        <is>
          <t>LYCKSELE</t>
        </is>
      </c>
      <c r="I856" t="n">
        <v>9.4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t="n">
        <v>0</v>
      </c>
      <c r="S856" t="n">
        <v>0</v>
      </c>
      <c r="T856" t="n">
        <v>0</v>
      </c>
      <c r="U856" t="n">
        <v>0</v>
      </c>
      <c r="V856" s="2" t="inlineStr"/>
    </row>
    <row r="857" ht="15" customHeight="1">
      <c r="A857" t="inlineStr">
        <is>
          <t>A 23164-2022</t>
        </is>
      </c>
      <c r="B857" t="inlineStr">
        <is>
          <t>avverkningsanmälan</t>
        </is>
      </c>
      <c r="C857" t="inlineStr">
        <is>
          <t>Föryngringsavverkning</t>
        </is>
      </c>
      <c r="D857" s="1" t="n">
        <v>44719</v>
      </c>
      <c r="E857" s="1" t="n">
        <v>46227</v>
      </c>
      <c r="F857" t="inlineStr">
        <is>
          <t>VÄSTERBOTTENS LÄN</t>
        </is>
      </c>
      <c r="G857" t="inlineStr">
        <is>
          <t>LYCKSELE</t>
        </is>
      </c>
      <c r="I857" t="n">
        <v>4.1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t="n">
        <v>0</v>
      </c>
      <c r="S857" t="n">
        <v>0</v>
      </c>
      <c r="T857" t="n">
        <v>0</v>
      </c>
      <c r="U857" t="n">
        <v>0</v>
      </c>
      <c r="V857" s="2" t="inlineStr"/>
    </row>
    <row r="858" ht="15" customHeight="1">
      <c r="A858" t="inlineStr">
        <is>
          <t>A 9550-2025</t>
        </is>
      </c>
      <c r="B858" t="inlineStr">
        <is>
          <t>avverkningsanmälan</t>
        </is>
      </c>
      <c r="C858" t="inlineStr">
        <is>
          <t>Föryngringsavverkning</t>
        </is>
      </c>
      <c r="D858" s="1" t="n">
        <v>45715</v>
      </c>
      <c r="E858" s="1" t="n">
        <v>46227</v>
      </c>
      <c r="F858" t="inlineStr">
        <is>
          <t>VÄSTERBOTTENS LÄN</t>
        </is>
      </c>
      <c r="G858" t="inlineStr">
        <is>
          <t>LYCKSELE</t>
        </is>
      </c>
      <c r="H858" t="inlineStr">
        <is>
          <t>SCA</t>
        </is>
      </c>
      <c r="I858" t="n">
        <v>20.6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t="n">
        <v>0</v>
      </c>
      <c r="S858" t="n">
        <v>0</v>
      </c>
      <c r="T858" t="n">
        <v>0</v>
      </c>
      <c r="U858" t="n">
        <v>0</v>
      </c>
      <c r="V858" s="2" t="inlineStr"/>
    </row>
    <row r="859" ht="15" customHeight="1">
      <c r="A859" t="inlineStr">
        <is>
          <t>A 39527-2025</t>
        </is>
      </c>
      <c r="B859" t="inlineStr">
        <is>
          <t>avverkningsanmälan</t>
        </is>
      </c>
      <c r="C859" t="inlineStr">
        <is>
          <t>Föryngringsavverkning</t>
        </is>
      </c>
      <c r="D859" s="1" t="n">
        <v>45890</v>
      </c>
      <c r="E859" s="1" t="n">
        <v>46227</v>
      </c>
      <c r="F859" t="inlineStr">
        <is>
          <t>VÄSTERBOTTENS LÄN</t>
        </is>
      </c>
      <c r="G859" t="inlineStr">
        <is>
          <t>LYCKSELE</t>
        </is>
      </c>
      <c r="I859" t="n">
        <v>2.1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t="n">
        <v>0</v>
      </c>
      <c r="S859" t="n">
        <v>0</v>
      </c>
      <c r="T859" t="n">
        <v>0</v>
      </c>
      <c r="U859" t="n">
        <v>0</v>
      </c>
      <c r="V859" s="2" t="inlineStr"/>
    </row>
    <row r="860" ht="15" customHeight="1">
      <c r="A860" t="inlineStr">
        <is>
          <t>A 58553-2023</t>
        </is>
      </c>
      <c r="B860" t="inlineStr">
        <is>
          <t>avverkningsanmälan</t>
        </is>
      </c>
      <c r="C860" t="inlineStr">
        <is>
          <t>Föryngringsavverkning</t>
        </is>
      </c>
      <c r="D860" s="1" t="n">
        <v>45251</v>
      </c>
      <c r="E860" s="1" t="n">
        <v>46227</v>
      </c>
      <c r="F860" t="inlineStr">
        <is>
          <t>VÄSTERBOTTENS LÄN</t>
        </is>
      </c>
      <c r="G860" t="inlineStr">
        <is>
          <t>LYCKSELE</t>
        </is>
      </c>
      <c r="H860" t="inlineStr">
        <is>
          <t>Sveaskog</t>
        </is>
      </c>
      <c r="I860" t="n">
        <v>1.9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t="n">
        <v>0</v>
      </c>
      <c r="S860" t="n">
        <v>0</v>
      </c>
      <c r="T860" t="n">
        <v>0</v>
      </c>
      <c r="U860" t="n">
        <v>0</v>
      </c>
      <c r="V860" s="2" t="inlineStr"/>
    </row>
    <row r="861" ht="15" customHeight="1">
      <c r="A861" t="inlineStr">
        <is>
          <t>A 21080-2026</t>
        </is>
      </c>
      <c r="B861" t="inlineStr">
        <is>
          <t>avverkningsanmälan</t>
        </is>
      </c>
      <c r="C861" t="inlineStr">
        <is>
          <t>Föryngringsavverkning</t>
        </is>
      </c>
      <c r="D861" s="1" t="n">
        <v>46146</v>
      </c>
      <c r="E861" s="1" t="n">
        <v>46227</v>
      </c>
      <c r="F861" t="inlineStr">
        <is>
          <t>VÄSTERBOTTENS LÄN</t>
        </is>
      </c>
      <c r="G861" t="inlineStr">
        <is>
          <t>LYCKSELE</t>
        </is>
      </c>
      <c r="H861" t="inlineStr">
        <is>
          <t>Sveaskog</t>
        </is>
      </c>
      <c r="I861" t="n">
        <v>0.9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t="n">
        <v>0</v>
      </c>
      <c r="S861" t="n">
        <v>0</v>
      </c>
      <c r="T861" t="n">
        <v>0</v>
      </c>
      <c r="U861" t="n">
        <v>0</v>
      </c>
      <c r="V861" s="2" t="inlineStr"/>
    </row>
    <row r="862" ht="15" customHeight="1">
      <c r="A862" t="inlineStr">
        <is>
          <t>A 21096-2026</t>
        </is>
      </c>
      <c r="B862" t="inlineStr">
        <is>
          <t>avverkningsanmälan</t>
        </is>
      </c>
      <c r="C862" t="inlineStr">
        <is>
          <t>Föryngringsavverkning</t>
        </is>
      </c>
      <c r="D862" s="1" t="n">
        <v>46146</v>
      </c>
      <c r="E862" s="1" t="n">
        <v>46227</v>
      </c>
      <c r="F862" t="inlineStr">
        <is>
          <t>VÄSTERBOTTENS LÄN</t>
        </is>
      </c>
      <c r="G862" t="inlineStr">
        <is>
          <t>LYCKSELE</t>
        </is>
      </c>
      <c r="H862" t="inlineStr">
        <is>
          <t>Holmen skog AB</t>
        </is>
      </c>
      <c r="I862" t="n">
        <v>1.4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t="n">
        <v>0</v>
      </c>
      <c r="S862" t="n">
        <v>0</v>
      </c>
      <c r="T862" t="n">
        <v>0</v>
      </c>
      <c r="U862" t="n">
        <v>0</v>
      </c>
      <c r="V862" s="2" t="inlineStr"/>
    </row>
    <row r="863" ht="15" customHeight="1">
      <c r="A863" t="inlineStr">
        <is>
          <t>A 23679-2025</t>
        </is>
      </c>
      <c r="B863" t="inlineStr">
        <is>
          <t>avverkningsanmälan</t>
        </is>
      </c>
      <c r="C863" t="inlineStr">
        <is>
          <t>Föryngringsavverkning</t>
        </is>
      </c>
      <c r="D863" s="1" t="n">
        <v>45793</v>
      </c>
      <c r="E863" s="1" t="n">
        <v>46227</v>
      </c>
      <c r="F863" t="inlineStr">
        <is>
          <t>VÄSTERBOTTENS LÄN</t>
        </is>
      </c>
      <c r="G863" t="inlineStr">
        <is>
          <t>LYCKSELE</t>
        </is>
      </c>
      <c r="H863" t="inlineStr">
        <is>
          <t>Sveaskog</t>
        </is>
      </c>
      <c r="I863" t="n">
        <v>29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t="n">
        <v>0</v>
      </c>
      <c r="S863" t="n">
        <v>0</v>
      </c>
      <c r="T863" t="n">
        <v>0</v>
      </c>
      <c r="U863" t="n">
        <v>0</v>
      </c>
      <c r="V863" s="2" t="inlineStr"/>
    </row>
    <row r="864" ht="15" customHeight="1">
      <c r="A864" t="inlineStr">
        <is>
          <t>A 26980-2026</t>
        </is>
      </c>
      <c r="B864" t="inlineStr">
        <is>
          <t>avverkningsanmälan</t>
        </is>
      </c>
      <c r="C864" t="inlineStr">
        <is>
          <t>Föryngringsavverkning</t>
        </is>
      </c>
      <c r="D864" s="1" t="n">
        <v>46185</v>
      </c>
      <c r="E864" s="1" t="n">
        <v>46227</v>
      </c>
      <c r="F864" t="inlineStr">
        <is>
          <t>VÄSTERBOTTENS LÄN</t>
        </is>
      </c>
      <c r="G864" t="inlineStr">
        <is>
          <t>LYCKSELE</t>
        </is>
      </c>
      <c r="H864" t="inlineStr">
        <is>
          <t>Sveaskog</t>
        </is>
      </c>
      <c r="I864" t="n">
        <v>2.9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t="n">
        <v>0</v>
      </c>
      <c r="S864" t="n">
        <v>0</v>
      </c>
      <c r="T864" t="n">
        <v>0</v>
      </c>
      <c r="U864" t="n">
        <v>0</v>
      </c>
      <c r="V864" s="2" t="inlineStr"/>
    </row>
    <row r="865" ht="15" customHeight="1">
      <c r="A865" t="inlineStr">
        <is>
          <t>A 21142-2026</t>
        </is>
      </c>
      <c r="B865" t="inlineStr">
        <is>
          <t>avverkningsanmälan</t>
        </is>
      </c>
      <c r="C865" t="inlineStr">
        <is>
          <t>Föryngringsavverkning</t>
        </is>
      </c>
      <c r="D865" s="1" t="n">
        <v>46146</v>
      </c>
      <c r="E865" s="1" t="n">
        <v>46227</v>
      </c>
      <c r="F865" t="inlineStr">
        <is>
          <t>VÄSTERBOTTENS LÄN</t>
        </is>
      </c>
      <c r="G865" t="inlineStr">
        <is>
          <t>LYCKSELE</t>
        </is>
      </c>
      <c r="H865" t="inlineStr">
        <is>
          <t>Sveaskog</t>
        </is>
      </c>
      <c r="I865" t="n">
        <v>2.4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t="n">
        <v>0</v>
      </c>
      <c r="S865" t="n">
        <v>0</v>
      </c>
      <c r="T865" t="n">
        <v>0</v>
      </c>
      <c r="U865" t="n">
        <v>0</v>
      </c>
      <c r="V865" s="2" t="inlineStr"/>
    </row>
    <row r="866" ht="15" customHeight="1">
      <c r="A866" t="inlineStr">
        <is>
          <t>A 24509-2025</t>
        </is>
      </c>
      <c r="B866" t="inlineStr">
        <is>
          <t>avverkningsanmälan</t>
        </is>
      </c>
      <c r="C866" t="inlineStr">
        <is>
          <t>Föryngringsavverkning</t>
        </is>
      </c>
      <c r="D866" s="1" t="n">
        <v>45798</v>
      </c>
      <c r="E866" s="1" t="n">
        <v>46227</v>
      </c>
      <c r="F866" t="inlineStr">
        <is>
          <t>VÄSTERBOTTENS LÄN</t>
        </is>
      </c>
      <c r="G866" t="inlineStr">
        <is>
          <t>LYCKSELE</t>
        </is>
      </c>
      <c r="H866" t="inlineStr">
        <is>
          <t>Sveaskog</t>
        </is>
      </c>
      <c r="I866" t="n">
        <v>29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t="n">
        <v>0</v>
      </c>
      <c r="S866" t="n">
        <v>0</v>
      </c>
      <c r="T866" t="n">
        <v>0</v>
      </c>
      <c r="U866" t="n">
        <v>0</v>
      </c>
      <c r="V866" s="2" t="inlineStr"/>
    </row>
    <row r="867" ht="15" customHeight="1">
      <c r="A867" t="inlineStr">
        <is>
          <t>A 47096-2023</t>
        </is>
      </c>
      <c r="B867" t="inlineStr">
        <is>
          <t>avverkningsanmälan</t>
        </is>
      </c>
      <c r="C867" t="inlineStr">
        <is>
          <t>Föryngringsavverkning</t>
        </is>
      </c>
      <c r="D867" s="1" t="n">
        <v>45201</v>
      </c>
      <c r="E867" s="1" t="n">
        <v>46227</v>
      </c>
      <c r="F867" t="inlineStr">
        <is>
          <t>VÄSTERBOTTENS LÄN</t>
        </is>
      </c>
      <c r="G867" t="inlineStr">
        <is>
          <t>LYCKSELE</t>
        </is>
      </c>
      <c r="I867" t="n">
        <v>1.3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t="n">
        <v>0</v>
      </c>
      <c r="S867" t="n">
        <v>0</v>
      </c>
      <c r="T867" t="n">
        <v>0</v>
      </c>
      <c r="U867" t="n">
        <v>0</v>
      </c>
      <c r="V867" s="2" t="inlineStr"/>
    </row>
    <row r="868" ht="15" customHeight="1">
      <c r="A868" t="inlineStr">
        <is>
          <t>A 21141-2026</t>
        </is>
      </c>
      <c r="B868" t="inlineStr">
        <is>
          <t>avverkningsanmälan</t>
        </is>
      </c>
      <c r="C868" t="inlineStr">
        <is>
          <t>Föryngringsavverkning</t>
        </is>
      </c>
      <c r="D868" s="1" t="n">
        <v>46146</v>
      </c>
      <c r="E868" s="1" t="n">
        <v>46227</v>
      </c>
      <c r="F868" t="inlineStr">
        <is>
          <t>VÄSTERBOTTENS LÄN</t>
        </is>
      </c>
      <c r="G868" t="inlineStr">
        <is>
          <t>LYCKSELE</t>
        </is>
      </c>
      <c r="H868" t="inlineStr">
        <is>
          <t>Sveaskog</t>
        </is>
      </c>
      <c r="I868" t="n">
        <v>1.7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t="n">
        <v>0</v>
      </c>
      <c r="S868" t="n">
        <v>0</v>
      </c>
      <c r="T868" t="n">
        <v>0</v>
      </c>
      <c r="U868" t="n">
        <v>0</v>
      </c>
      <c r="V868" s="2" t="inlineStr"/>
    </row>
    <row r="869" ht="15" customHeight="1">
      <c r="A869" t="inlineStr">
        <is>
          <t>A 21052-2026</t>
        </is>
      </c>
      <c r="B869" t="inlineStr">
        <is>
          <t>avverkningsanmälan</t>
        </is>
      </c>
      <c r="C869" t="inlineStr">
        <is>
          <t>Föryngringsavverkning</t>
        </is>
      </c>
      <c r="D869" s="1" t="n">
        <v>46146</v>
      </c>
      <c r="E869" s="1" t="n">
        <v>46227</v>
      </c>
      <c r="F869" t="inlineStr">
        <is>
          <t>VÄSTERBOTTENS LÄN</t>
        </is>
      </c>
      <c r="G869" t="inlineStr">
        <is>
          <t>LYCKSELE</t>
        </is>
      </c>
      <c r="H869" t="inlineStr">
        <is>
          <t>Holmen skog AB</t>
        </is>
      </c>
      <c r="I869" t="n">
        <v>2.1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t="n">
        <v>0</v>
      </c>
      <c r="S869" t="n">
        <v>0</v>
      </c>
      <c r="T869" t="n">
        <v>0</v>
      </c>
      <c r="U869" t="n">
        <v>0</v>
      </c>
      <c r="V869" s="2" t="inlineStr"/>
    </row>
    <row r="870" ht="15" customHeight="1">
      <c r="A870" t="inlineStr">
        <is>
          <t>A 21079-2026</t>
        </is>
      </c>
      <c r="B870" t="inlineStr">
        <is>
          <t>avverkningsanmälan</t>
        </is>
      </c>
      <c r="C870" t="inlineStr">
        <is>
          <t>Föryngringsavverkning</t>
        </is>
      </c>
      <c r="D870" s="1" t="n">
        <v>46146</v>
      </c>
      <c r="E870" s="1" t="n">
        <v>46227</v>
      </c>
      <c r="F870" t="inlineStr">
        <is>
          <t>VÄSTERBOTTENS LÄN</t>
        </is>
      </c>
      <c r="G870" t="inlineStr">
        <is>
          <t>LYCKSELE</t>
        </is>
      </c>
      <c r="H870" t="inlineStr">
        <is>
          <t>Sveaskog</t>
        </is>
      </c>
      <c r="I870" t="n">
        <v>4.3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t="n">
        <v>0</v>
      </c>
      <c r="S870" t="n">
        <v>0</v>
      </c>
      <c r="T870" t="n">
        <v>0</v>
      </c>
      <c r="U870" t="n">
        <v>0</v>
      </c>
      <c r="V870" s="2" t="inlineStr"/>
    </row>
    <row r="871" ht="15" customHeight="1">
      <c r="A871" t="inlineStr">
        <is>
          <t>A 21090-2026</t>
        </is>
      </c>
      <c r="B871" t="inlineStr">
        <is>
          <t>avverkningsanmälan</t>
        </is>
      </c>
      <c r="C871" t="inlineStr">
        <is>
          <t>Föryngringsavverkning</t>
        </is>
      </c>
      <c r="D871" s="1" t="n">
        <v>46146</v>
      </c>
      <c r="E871" s="1" t="n">
        <v>46227</v>
      </c>
      <c r="F871" t="inlineStr">
        <is>
          <t>VÄSTERBOTTENS LÄN</t>
        </is>
      </c>
      <c r="G871" t="inlineStr">
        <is>
          <t>LYCKSELE</t>
        </is>
      </c>
      <c r="H871" t="inlineStr">
        <is>
          <t>Sveaskog</t>
        </is>
      </c>
      <c r="I871" t="n">
        <v>13.8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t="n">
        <v>0</v>
      </c>
      <c r="S871" t="n">
        <v>0</v>
      </c>
      <c r="T871" t="n">
        <v>0</v>
      </c>
      <c r="U871" t="n">
        <v>0</v>
      </c>
      <c r="V871" s="2" t="inlineStr"/>
    </row>
    <row r="872" ht="15" customHeight="1">
      <c r="A872" t="inlineStr">
        <is>
          <t>A 32863-2023</t>
        </is>
      </c>
      <c r="B872" t="inlineStr">
        <is>
          <t>avverkningsanmälan</t>
        </is>
      </c>
      <c r="C872" t="inlineStr">
        <is>
          <t>Föryngringsavverkning</t>
        </is>
      </c>
      <c r="D872" s="1" t="n">
        <v>45124</v>
      </c>
      <c r="E872" s="1" t="n">
        <v>46227</v>
      </c>
      <c r="F872" t="inlineStr">
        <is>
          <t>VÄSTERBOTTENS LÄN</t>
        </is>
      </c>
      <c r="G872" t="inlineStr">
        <is>
          <t>LYCKSELE</t>
        </is>
      </c>
      <c r="H872" t="inlineStr">
        <is>
          <t>Sveaskog</t>
        </is>
      </c>
      <c r="I872" t="n">
        <v>5.2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t="n">
        <v>0</v>
      </c>
      <c r="S872" t="n">
        <v>0</v>
      </c>
      <c r="T872" t="n">
        <v>0</v>
      </c>
      <c r="U872" t="n">
        <v>0</v>
      </c>
      <c r="V872" s="2" t="inlineStr"/>
    </row>
    <row r="873" ht="15" customHeight="1">
      <c r="A873" t="inlineStr">
        <is>
          <t>A 22720-2025</t>
        </is>
      </c>
      <c r="B873" t="inlineStr">
        <is>
          <t>avverkningsanmälan</t>
        </is>
      </c>
      <c r="C873" t="inlineStr">
        <is>
          <t>Föryngringsavverkning</t>
        </is>
      </c>
      <c r="D873" s="1" t="n">
        <v>45789</v>
      </c>
      <c r="E873" s="1" t="n">
        <v>46227</v>
      </c>
      <c r="F873" t="inlineStr">
        <is>
          <t>VÄSTERBOTTENS LÄN</t>
        </is>
      </c>
      <c r="G873" t="inlineStr">
        <is>
          <t>LYCKSELE</t>
        </is>
      </c>
      <c r="H873" t="inlineStr">
        <is>
          <t>Sveaskog</t>
        </is>
      </c>
      <c r="I873" t="n">
        <v>29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t="n">
        <v>0</v>
      </c>
      <c r="S873" t="n">
        <v>0</v>
      </c>
      <c r="T873" t="n">
        <v>0</v>
      </c>
      <c r="U873" t="n">
        <v>0</v>
      </c>
      <c r="V873" s="2" t="inlineStr"/>
    </row>
    <row r="874" ht="15" customHeight="1">
      <c r="A874" t="inlineStr">
        <is>
          <t>A 21092-2026</t>
        </is>
      </c>
      <c r="B874" t="inlineStr">
        <is>
          <t>avverkningsanmälan</t>
        </is>
      </c>
      <c r="C874" t="inlineStr">
        <is>
          <t>Föryngringsavverkning</t>
        </is>
      </c>
      <c r="D874" s="1" t="n">
        <v>46146</v>
      </c>
      <c r="E874" s="1" t="n">
        <v>46227</v>
      </c>
      <c r="F874" t="inlineStr">
        <is>
          <t>VÄSTERBOTTENS LÄN</t>
        </is>
      </c>
      <c r="G874" t="inlineStr">
        <is>
          <t>LYCKSELE</t>
        </is>
      </c>
      <c r="I874" t="n">
        <v>0.7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t="n">
        <v>0</v>
      </c>
      <c r="S874" t="n">
        <v>0</v>
      </c>
      <c r="T874" t="n">
        <v>0</v>
      </c>
      <c r="U874" t="n">
        <v>0</v>
      </c>
      <c r="V874" s="2" t="inlineStr"/>
    </row>
    <row r="875" ht="15" customHeight="1">
      <c r="A875" t="inlineStr">
        <is>
          <t>A 42208-2022</t>
        </is>
      </c>
      <c r="B875" t="inlineStr">
        <is>
          <t>avverkningsanmälan</t>
        </is>
      </c>
      <c r="C875" t="inlineStr">
        <is>
          <t>Föryngringsavverkning</t>
        </is>
      </c>
      <c r="D875" s="1" t="n">
        <v>44830</v>
      </c>
      <c r="E875" s="1" t="n">
        <v>46227</v>
      </c>
      <c r="F875" t="inlineStr">
        <is>
          <t>VÄSTERBOTTENS LÄN</t>
        </is>
      </c>
      <c r="G875" t="inlineStr">
        <is>
          <t>LYCKSELE</t>
        </is>
      </c>
      <c r="I875" t="n">
        <v>3.9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t="n">
        <v>0</v>
      </c>
      <c r="S875" t="n">
        <v>0</v>
      </c>
      <c r="T875" t="n">
        <v>0</v>
      </c>
      <c r="U875" t="n">
        <v>0</v>
      </c>
      <c r="V875" s="2" t="inlineStr"/>
    </row>
    <row r="876" ht="15" customHeight="1">
      <c r="A876" t="inlineStr">
        <is>
          <t>A 34060-2023</t>
        </is>
      </c>
      <c r="B876" t="inlineStr">
        <is>
          <t>avverkningsanmälan</t>
        </is>
      </c>
      <c r="C876" t="inlineStr">
        <is>
          <t>Föryngringsavverkning</t>
        </is>
      </c>
      <c r="D876" s="1" t="n">
        <v>45135</v>
      </c>
      <c r="E876" s="1" t="n">
        <v>46227</v>
      </c>
      <c r="F876" t="inlineStr">
        <is>
          <t>VÄSTERBOTTENS LÄN</t>
        </is>
      </c>
      <c r="G876" t="inlineStr">
        <is>
          <t>LYCKSELE</t>
        </is>
      </c>
      <c r="H876" t="inlineStr">
        <is>
          <t>Holmen skog AB</t>
        </is>
      </c>
      <c r="I876" t="n">
        <v>5.5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t="n">
        <v>0</v>
      </c>
      <c r="S876" t="n">
        <v>0</v>
      </c>
      <c r="T876" t="n">
        <v>0</v>
      </c>
      <c r="U876" t="n">
        <v>0</v>
      </c>
      <c r="V876" s="2" t="inlineStr"/>
    </row>
    <row r="877" ht="15" customHeight="1">
      <c r="A877" t="inlineStr">
        <is>
          <t>A 24518-2025</t>
        </is>
      </c>
      <c r="B877" t="inlineStr">
        <is>
          <t>avverkningsanmälan</t>
        </is>
      </c>
      <c r="C877" t="inlineStr">
        <is>
          <t>Föryngringsavverkning</t>
        </is>
      </c>
      <c r="D877" s="1" t="n">
        <v>45798</v>
      </c>
      <c r="E877" s="1" t="n">
        <v>46227</v>
      </c>
      <c r="F877" t="inlineStr">
        <is>
          <t>VÄSTERBOTTENS LÄN</t>
        </is>
      </c>
      <c r="G877" t="inlineStr">
        <is>
          <t>LYCKSELE</t>
        </is>
      </c>
      <c r="H877" t="inlineStr">
        <is>
          <t>Sveaskog</t>
        </is>
      </c>
      <c r="I877" t="n">
        <v>29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t="n">
        <v>0</v>
      </c>
      <c r="S877" t="n">
        <v>0</v>
      </c>
      <c r="T877" t="n">
        <v>0</v>
      </c>
      <c r="U877" t="n">
        <v>0</v>
      </c>
      <c r="V877" s="2" t="inlineStr"/>
    </row>
    <row r="878" ht="15" customHeight="1">
      <c r="A878" t="inlineStr">
        <is>
          <t>A 24511-2025</t>
        </is>
      </c>
      <c r="B878" t="inlineStr">
        <is>
          <t>avverkningsanmälan</t>
        </is>
      </c>
      <c r="C878" t="inlineStr">
        <is>
          <t>Föryngringsavverkning</t>
        </is>
      </c>
      <c r="D878" s="1" t="n">
        <v>45798</v>
      </c>
      <c r="E878" s="1" t="n">
        <v>46227</v>
      </c>
      <c r="F878" t="inlineStr">
        <is>
          <t>VÄSTERBOTTENS LÄN</t>
        </is>
      </c>
      <c r="G878" t="inlineStr">
        <is>
          <t>LYCKSELE</t>
        </is>
      </c>
      <c r="H878" t="inlineStr">
        <is>
          <t>Sveaskog</t>
        </is>
      </c>
      <c r="I878" t="n">
        <v>29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t="n">
        <v>0</v>
      </c>
      <c r="S878" t="n">
        <v>0</v>
      </c>
      <c r="T878" t="n">
        <v>0</v>
      </c>
      <c r="U878" t="n">
        <v>0</v>
      </c>
      <c r="V878" s="2" t="inlineStr"/>
    </row>
    <row r="879" ht="15" customHeight="1">
      <c r="A879" t="inlineStr">
        <is>
          <t>A 21150-2026</t>
        </is>
      </c>
      <c r="B879" t="inlineStr">
        <is>
          <t>avverkningsanmälan</t>
        </is>
      </c>
      <c r="C879" t="inlineStr">
        <is>
          <t>Föryngringsavverkning</t>
        </is>
      </c>
      <c r="D879" s="1" t="n">
        <v>46146</v>
      </c>
      <c r="E879" s="1" t="n">
        <v>46227</v>
      </c>
      <c r="F879" t="inlineStr">
        <is>
          <t>VÄSTERBOTTENS LÄN</t>
        </is>
      </c>
      <c r="G879" t="inlineStr">
        <is>
          <t>LYCKSELE</t>
        </is>
      </c>
      <c r="H879" t="inlineStr">
        <is>
          <t>SCA</t>
        </is>
      </c>
      <c r="I879" t="n">
        <v>1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t="n">
        <v>0</v>
      </c>
      <c r="S879" t="n">
        <v>0</v>
      </c>
      <c r="T879" t="n">
        <v>0</v>
      </c>
      <c r="U879" t="n">
        <v>0</v>
      </c>
      <c r="V879" s="2" t="inlineStr"/>
    </row>
    <row r="880" ht="15" customHeight="1">
      <c r="A880" t="inlineStr">
        <is>
          <t>A 26988-2026</t>
        </is>
      </c>
      <c r="B880" t="inlineStr">
        <is>
          <t>avverkningsanmälan</t>
        </is>
      </c>
      <c r="C880" t="inlineStr">
        <is>
          <t>Föryngringsavverkning</t>
        </is>
      </c>
      <c r="D880" s="1" t="n">
        <v>46185</v>
      </c>
      <c r="E880" s="1" t="n">
        <v>46227</v>
      </c>
      <c r="F880" t="inlineStr">
        <is>
          <t>VÄSTERBOTTENS LÄN</t>
        </is>
      </c>
      <c r="G880" t="inlineStr">
        <is>
          <t>LYCKSELE</t>
        </is>
      </c>
      <c r="H880" t="inlineStr">
        <is>
          <t>Sveaskog</t>
        </is>
      </c>
      <c r="I880" t="n">
        <v>5.6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t="n">
        <v>0</v>
      </c>
      <c r="S880" t="n">
        <v>0</v>
      </c>
      <c r="T880" t="n">
        <v>0</v>
      </c>
      <c r="U880" t="n">
        <v>0</v>
      </c>
      <c r="V880" s="2" t="inlineStr"/>
    </row>
    <row r="881" ht="15" customHeight="1">
      <c r="A881" t="inlineStr">
        <is>
          <t>A 26916-2026</t>
        </is>
      </c>
      <c r="B881" t="inlineStr">
        <is>
          <t>avverkningsanmälan</t>
        </is>
      </c>
      <c r="C881" t="inlineStr">
        <is>
          <t>Föryngringsavverkning</t>
        </is>
      </c>
      <c r="D881" s="1" t="n">
        <v>46185</v>
      </c>
      <c r="E881" s="1" t="n">
        <v>46227</v>
      </c>
      <c r="F881" t="inlineStr">
        <is>
          <t>VÄSTERBOTTENS LÄN</t>
        </is>
      </c>
      <c r="G881" t="inlineStr">
        <is>
          <t>LYCKSELE</t>
        </is>
      </c>
      <c r="H881" t="inlineStr">
        <is>
          <t>Sveaskog</t>
        </is>
      </c>
      <c r="I881" t="n">
        <v>3.4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t="n">
        <v>0</v>
      </c>
      <c r="S881" t="n">
        <v>0</v>
      </c>
      <c r="T881" t="n">
        <v>0</v>
      </c>
      <c r="U881" t="n">
        <v>0</v>
      </c>
      <c r="V881" s="2" t="inlineStr"/>
    </row>
    <row r="882" ht="15" customHeight="1">
      <c r="A882" t="inlineStr">
        <is>
          <t>A 21066-2026</t>
        </is>
      </c>
      <c r="B882" t="inlineStr">
        <is>
          <t>avverkningsanmälan</t>
        </is>
      </c>
      <c r="C882" t="inlineStr">
        <is>
          <t>Föryngringsavverkning</t>
        </is>
      </c>
      <c r="D882" s="1" t="n">
        <v>46146</v>
      </c>
      <c r="E882" s="1" t="n">
        <v>46227</v>
      </c>
      <c r="F882" t="inlineStr">
        <is>
          <t>VÄSTERBOTTENS LÄN</t>
        </is>
      </c>
      <c r="G882" t="inlineStr">
        <is>
          <t>LYCKSELE</t>
        </is>
      </c>
      <c r="H882" t="inlineStr">
        <is>
          <t>Holmen skog AB</t>
        </is>
      </c>
      <c r="I882" t="n">
        <v>4.5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t="n">
        <v>0</v>
      </c>
      <c r="S882" t="n">
        <v>0</v>
      </c>
      <c r="T882" t="n">
        <v>0</v>
      </c>
      <c r="U882" t="n">
        <v>0</v>
      </c>
      <c r="V882" s="2" t="inlineStr"/>
    </row>
    <row r="883" ht="15" customHeight="1">
      <c r="A883" t="inlineStr">
        <is>
          <t>A 21082-2026</t>
        </is>
      </c>
      <c r="B883" t="inlineStr">
        <is>
          <t>avverkningsanmälan</t>
        </is>
      </c>
      <c r="C883" t="inlineStr">
        <is>
          <t>Föryngringsavverkning</t>
        </is>
      </c>
      <c r="D883" s="1" t="n">
        <v>46146</v>
      </c>
      <c r="E883" s="1" t="n">
        <v>46227</v>
      </c>
      <c r="F883" t="inlineStr">
        <is>
          <t>VÄSTERBOTTENS LÄN</t>
        </is>
      </c>
      <c r="G883" t="inlineStr">
        <is>
          <t>LYCKSELE</t>
        </is>
      </c>
      <c r="H883" t="inlineStr">
        <is>
          <t>Holmen skog AB</t>
        </is>
      </c>
      <c r="I883" t="n">
        <v>1.8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t="n">
        <v>0</v>
      </c>
      <c r="S883" t="n">
        <v>0</v>
      </c>
      <c r="T883" t="n">
        <v>0</v>
      </c>
      <c r="U883" t="n">
        <v>0</v>
      </c>
      <c r="V883" s="2" t="inlineStr"/>
    </row>
    <row r="884" ht="15" customHeight="1">
      <c r="A884" t="inlineStr">
        <is>
          <t>A 53116-2024</t>
        </is>
      </c>
      <c r="B884" t="inlineStr">
        <is>
          <t>avverkningsanmälan</t>
        </is>
      </c>
      <c r="C884" t="inlineStr">
        <is>
          <t>Föryngringsavverkning</t>
        </is>
      </c>
      <c r="D884" s="1" t="n">
        <v>45611</v>
      </c>
      <c r="E884" s="1" t="n">
        <v>46227</v>
      </c>
      <c r="F884" t="inlineStr">
        <is>
          <t>VÄSTERBOTTENS LÄN</t>
        </is>
      </c>
      <c r="G884" t="inlineStr">
        <is>
          <t>LYCKSELE</t>
        </is>
      </c>
      <c r="H884" t="inlineStr">
        <is>
          <t>Sveaskog</t>
        </is>
      </c>
      <c r="I884" t="n">
        <v>2.7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t="n">
        <v>0</v>
      </c>
      <c r="S884" t="n">
        <v>0</v>
      </c>
      <c r="T884" t="n">
        <v>0</v>
      </c>
      <c r="U884" t="n">
        <v>0</v>
      </c>
      <c r="V884" s="2" t="inlineStr"/>
    </row>
    <row r="885" ht="15" customHeight="1">
      <c r="A885" t="inlineStr">
        <is>
          <t>A 17192-2025</t>
        </is>
      </c>
      <c r="B885" t="inlineStr">
        <is>
          <t>avverkningsanmälan</t>
        </is>
      </c>
      <c r="C885" t="inlineStr">
        <is>
          <t>Avverkning för annat ändamål</t>
        </is>
      </c>
      <c r="D885" s="1" t="n">
        <v>45756</v>
      </c>
      <c r="E885" s="1" t="n">
        <v>46227</v>
      </c>
      <c r="F885" t="inlineStr">
        <is>
          <t>VÄSTERBOTTENS LÄN</t>
        </is>
      </c>
      <c r="G885" t="inlineStr">
        <is>
          <t>LYCKSELE</t>
        </is>
      </c>
      <c r="H885" t="inlineStr">
        <is>
          <t>Holmen skog AB</t>
        </is>
      </c>
      <c r="I885" t="n">
        <v>0.5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t="n">
        <v>0</v>
      </c>
      <c r="S885" t="n">
        <v>0</v>
      </c>
      <c r="T885" t="n">
        <v>0</v>
      </c>
      <c r="U885" t="n">
        <v>0</v>
      </c>
      <c r="V885" s="2" t="inlineStr"/>
    </row>
    <row r="886" ht="15" customHeight="1">
      <c r="A886" t="inlineStr">
        <is>
          <t>A 21317-2026</t>
        </is>
      </c>
      <c r="B886" t="inlineStr">
        <is>
          <t>avverkningsanmälan</t>
        </is>
      </c>
      <c r="C886" t="inlineStr">
        <is>
          <t>Föryngringsavverkning</t>
        </is>
      </c>
      <c r="D886" s="1" t="n">
        <v>46147</v>
      </c>
      <c r="E886" s="1" t="n">
        <v>46227</v>
      </c>
      <c r="F886" t="inlineStr">
        <is>
          <t>VÄSTERBOTTENS LÄN</t>
        </is>
      </c>
      <c r="G886" t="inlineStr">
        <is>
          <t>LYCKSELE</t>
        </is>
      </c>
      <c r="H886" t="inlineStr">
        <is>
          <t>SCA</t>
        </is>
      </c>
      <c r="I886" t="n">
        <v>2.1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t="n">
        <v>0</v>
      </c>
      <c r="S886" t="n">
        <v>0</v>
      </c>
      <c r="T886" t="n">
        <v>0</v>
      </c>
      <c r="U886" t="n">
        <v>0</v>
      </c>
      <c r="V886" s="2" t="inlineStr"/>
    </row>
    <row r="887" ht="15" customHeight="1">
      <c r="A887" t="inlineStr">
        <is>
          <t>A 8915-2025</t>
        </is>
      </c>
      <c r="B887" t="inlineStr">
        <is>
          <t>avverkningsanmälan</t>
        </is>
      </c>
      <c r="C887" t="inlineStr">
        <is>
          <t>Föryngringsavverkning</t>
        </is>
      </c>
      <c r="D887" s="1" t="n">
        <v>45713</v>
      </c>
      <c r="E887" s="1" t="n">
        <v>46227</v>
      </c>
      <c r="F887" t="inlineStr">
        <is>
          <t>VÄSTERBOTTENS LÄN</t>
        </is>
      </c>
      <c r="G887" t="inlineStr">
        <is>
          <t>LYCKSELE</t>
        </is>
      </c>
      <c r="I887" t="n">
        <v>1.8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t="n">
        <v>0</v>
      </c>
      <c r="S887" t="n">
        <v>0</v>
      </c>
      <c r="T887" t="n">
        <v>0</v>
      </c>
      <c r="U887" t="n">
        <v>0</v>
      </c>
      <c r="V887" s="2" t="inlineStr"/>
    </row>
    <row r="888" ht="15" customHeight="1">
      <c r="A888" t="inlineStr">
        <is>
          <t>A 27427-2026</t>
        </is>
      </c>
      <c r="B888" t="inlineStr">
        <is>
          <t>avverkningsanmälan</t>
        </is>
      </c>
      <c r="C888" t="inlineStr">
        <is>
          <t>Föryngringsavverkning</t>
        </is>
      </c>
      <c r="D888" s="1" t="n">
        <v>46189</v>
      </c>
      <c r="E888" s="1" t="n">
        <v>46227</v>
      </c>
      <c r="F888" t="inlineStr">
        <is>
          <t>VÄSTERBOTTENS LÄN</t>
        </is>
      </c>
      <c r="G888" t="inlineStr">
        <is>
          <t>LYCKSELE</t>
        </is>
      </c>
      <c r="H888" t="inlineStr">
        <is>
          <t>Sveaskog</t>
        </is>
      </c>
      <c r="I888" t="n">
        <v>2.7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t="n">
        <v>0</v>
      </c>
      <c r="S888" t="n">
        <v>0</v>
      </c>
      <c r="T888" t="n">
        <v>0</v>
      </c>
      <c r="U888" t="n">
        <v>0</v>
      </c>
      <c r="V888" s="2" t="inlineStr"/>
    </row>
    <row r="889" ht="15" customHeight="1">
      <c r="A889" t="inlineStr">
        <is>
          <t>A 27436-2026</t>
        </is>
      </c>
      <c r="B889" t="inlineStr">
        <is>
          <t>avverkningsanmälan</t>
        </is>
      </c>
      <c r="C889" t="inlineStr">
        <is>
          <t>Föryngringsavverkning</t>
        </is>
      </c>
      <c r="D889" s="1" t="n">
        <v>46189</v>
      </c>
      <c r="E889" s="1" t="n">
        <v>46227</v>
      </c>
      <c r="F889" t="inlineStr">
        <is>
          <t>VÄSTERBOTTENS LÄN</t>
        </is>
      </c>
      <c r="G889" t="inlineStr">
        <is>
          <t>LYCKSELE</t>
        </is>
      </c>
      <c r="H889" t="inlineStr">
        <is>
          <t>Sveaskog</t>
        </is>
      </c>
      <c r="I889" t="n">
        <v>5.1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t="n">
        <v>0</v>
      </c>
      <c r="S889" t="n">
        <v>0</v>
      </c>
      <c r="T889" t="n">
        <v>0</v>
      </c>
      <c r="U889" t="n">
        <v>0</v>
      </c>
      <c r="V889" s="2" t="inlineStr"/>
    </row>
    <row r="890" ht="15" customHeight="1">
      <c r="A890" t="inlineStr">
        <is>
          <t>A 27430-2026</t>
        </is>
      </c>
      <c r="B890" t="inlineStr">
        <is>
          <t>avverkningsanmälan</t>
        </is>
      </c>
      <c r="C890" t="inlineStr">
        <is>
          <t>Föryngringsavverkning</t>
        </is>
      </c>
      <c r="D890" s="1" t="n">
        <v>46189</v>
      </c>
      <c r="E890" s="1" t="n">
        <v>46227</v>
      </c>
      <c r="F890" t="inlineStr">
        <is>
          <t>VÄSTERBOTTENS LÄN</t>
        </is>
      </c>
      <c r="G890" t="inlineStr">
        <is>
          <t>LYCKSELE</t>
        </is>
      </c>
      <c r="H890" t="inlineStr">
        <is>
          <t>Sveaskog</t>
        </is>
      </c>
      <c r="I890" t="n">
        <v>4.7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t="n">
        <v>0</v>
      </c>
      <c r="S890" t="n">
        <v>0</v>
      </c>
      <c r="T890" t="n">
        <v>0</v>
      </c>
      <c r="U890" t="n">
        <v>0</v>
      </c>
      <c r="V890" s="2" t="inlineStr"/>
    </row>
    <row r="891" ht="15" customHeight="1">
      <c r="A891" t="inlineStr">
        <is>
          <t>A 55456-2022</t>
        </is>
      </c>
      <c r="B891" t="inlineStr">
        <is>
          <t>avverkningsanmälan</t>
        </is>
      </c>
      <c r="C891" t="inlineStr">
        <is>
          <t>Föryngringsavverkning</t>
        </is>
      </c>
      <c r="D891" s="1" t="n">
        <v>44887</v>
      </c>
      <c r="E891" s="1" t="n">
        <v>46227</v>
      </c>
      <c r="F891" t="inlineStr">
        <is>
          <t>VÄSTERBOTTENS LÄN</t>
        </is>
      </c>
      <c r="G891" t="inlineStr">
        <is>
          <t>LYCKSELE</t>
        </is>
      </c>
      <c r="H891" t="inlineStr">
        <is>
          <t>Holmen skog AB</t>
        </is>
      </c>
      <c r="I891" t="n">
        <v>3.2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t="n">
        <v>0</v>
      </c>
      <c r="S891" t="n">
        <v>0</v>
      </c>
      <c r="T891" t="n">
        <v>0</v>
      </c>
      <c r="U891" t="n">
        <v>0</v>
      </c>
      <c r="V891" s="2" t="inlineStr"/>
    </row>
    <row r="892" ht="15" customHeight="1">
      <c r="A892" t="inlineStr">
        <is>
          <t>A 7837-2023</t>
        </is>
      </c>
      <c r="B892" t="inlineStr">
        <is>
          <t>avverkningsanmälan</t>
        </is>
      </c>
      <c r="C892" t="inlineStr">
        <is>
          <t>Föryngringsavverkning</t>
        </is>
      </c>
      <c r="D892" s="1" t="n">
        <v>44973</v>
      </c>
      <c r="E892" s="1" t="n">
        <v>46227</v>
      </c>
      <c r="F892" t="inlineStr">
        <is>
          <t>VÄSTERBOTTENS LÄN</t>
        </is>
      </c>
      <c r="G892" t="inlineStr">
        <is>
          <t>LYCKSELE</t>
        </is>
      </c>
      <c r="I892" t="n">
        <v>0.6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t="n">
        <v>0</v>
      </c>
      <c r="S892" t="n">
        <v>0</v>
      </c>
      <c r="T892" t="n">
        <v>0</v>
      </c>
      <c r="U892" t="n">
        <v>0</v>
      </c>
      <c r="V892" s="2" t="inlineStr"/>
    </row>
    <row r="893" ht="15" customHeight="1">
      <c r="A893" t="inlineStr">
        <is>
          <t>A 27842-2026</t>
        </is>
      </c>
      <c r="B893" t="inlineStr">
        <is>
          <t>avverkningsanmälan</t>
        </is>
      </c>
      <c r="C893" t="inlineStr">
        <is>
          <t>Föryngringsavverkning</t>
        </is>
      </c>
      <c r="D893" s="1" t="n">
        <v>46191</v>
      </c>
      <c r="E893" s="1" t="n">
        <v>46227</v>
      </c>
      <c r="F893" t="inlineStr">
        <is>
          <t>VÄSTERBOTTENS LÄN</t>
        </is>
      </c>
      <c r="G893" t="inlineStr">
        <is>
          <t>LYCKSELE</t>
        </is>
      </c>
      <c r="H893" t="inlineStr">
        <is>
          <t>SCA</t>
        </is>
      </c>
      <c r="I893" t="n">
        <v>5.5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t="n">
        <v>0</v>
      </c>
      <c r="S893" t="n">
        <v>0</v>
      </c>
      <c r="T893" t="n">
        <v>0</v>
      </c>
      <c r="U893" t="n">
        <v>0</v>
      </c>
      <c r="V893" s="2" t="inlineStr"/>
    </row>
    <row r="894" ht="15" customHeight="1">
      <c r="A894" t="inlineStr">
        <is>
          <t>A 27843-2026</t>
        </is>
      </c>
      <c r="B894" t="inlineStr">
        <is>
          <t>avverkningsanmälan</t>
        </is>
      </c>
      <c r="C894" t="inlineStr">
        <is>
          <t>Föryngringsavverkning</t>
        </is>
      </c>
      <c r="D894" s="1" t="n">
        <v>46191</v>
      </c>
      <c r="E894" s="1" t="n">
        <v>46227</v>
      </c>
      <c r="F894" t="inlineStr">
        <is>
          <t>VÄSTERBOTTENS LÄN</t>
        </is>
      </c>
      <c r="G894" t="inlineStr">
        <is>
          <t>LYCKSELE</t>
        </is>
      </c>
      <c r="H894" t="inlineStr">
        <is>
          <t>SCA</t>
        </is>
      </c>
      <c r="I894" t="n">
        <v>4.7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t="n">
        <v>0</v>
      </c>
      <c r="S894" t="n">
        <v>0</v>
      </c>
      <c r="T894" t="n">
        <v>0</v>
      </c>
      <c r="U894" t="n">
        <v>0</v>
      </c>
      <c r="V894" s="2" t="inlineStr"/>
    </row>
    <row r="895" ht="15" customHeight="1">
      <c r="A895" t="inlineStr">
        <is>
          <t>A 30470-2022</t>
        </is>
      </c>
      <c r="B895" t="inlineStr">
        <is>
          <t>avverkningsanmälan</t>
        </is>
      </c>
      <c r="C895" t="inlineStr">
        <is>
          <t>Föryngringsavverkning</t>
        </is>
      </c>
      <c r="D895" s="1" t="n">
        <v>44761</v>
      </c>
      <c r="E895" s="1" t="n">
        <v>46227</v>
      </c>
      <c r="F895" t="inlineStr">
        <is>
          <t>VÄSTERBOTTENS LÄN</t>
        </is>
      </c>
      <c r="G895" t="inlineStr">
        <is>
          <t>LYCKSELE</t>
        </is>
      </c>
      <c r="I895" t="n">
        <v>11.9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t="n">
        <v>0</v>
      </c>
      <c r="S895" t="n">
        <v>0</v>
      </c>
      <c r="T895" t="n">
        <v>0</v>
      </c>
      <c r="U895" t="n">
        <v>0</v>
      </c>
      <c r="V895" s="2" t="inlineStr"/>
    </row>
    <row r="896" ht="15" customHeight="1">
      <c r="A896" t="inlineStr">
        <is>
          <t>A 21642-2026</t>
        </is>
      </c>
      <c r="B896" t="inlineStr">
        <is>
          <t>avverkningsanmälan</t>
        </is>
      </c>
      <c r="C896" t="inlineStr">
        <is>
          <t>Föryngringsavverkning</t>
        </is>
      </c>
      <c r="D896" s="1" t="n">
        <v>46149</v>
      </c>
      <c r="E896" s="1" t="n">
        <v>46227</v>
      </c>
      <c r="F896" t="inlineStr">
        <is>
          <t>VÄSTERBOTTENS LÄN</t>
        </is>
      </c>
      <c r="G896" t="inlineStr">
        <is>
          <t>LYCKSELE</t>
        </is>
      </c>
      <c r="I896" t="n">
        <v>3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t="n">
        <v>0</v>
      </c>
      <c r="S896" t="n">
        <v>0</v>
      </c>
      <c r="T896" t="n">
        <v>0</v>
      </c>
      <c r="U896" t="n">
        <v>0</v>
      </c>
      <c r="V896" s="2" t="inlineStr"/>
    </row>
    <row r="897" ht="15" customHeight="1">
      <c r="A897" t="inlineStr">
        <is>
          <t>A 27854-2026</t>
        </is>
      </c>
      <c r="B897" t="inlineStr">
        <is>
          <t>avverkningsanmälan</t>
        </is>
      </c>
      <c r="C897" t="inlineStr">
        <is>
          <t>Föryngringsavverkning</t>
        </is>
      </c>
      <c r="D897" s="1" t="n">
        <v>46191</v>
      </c>
      <c r="E897" s="1" t="n">
        <v>46227</v>
      </c>
      <c r="F897" t="inlineStr">
        <is>
          <t>VÄSTERBOTTENS LÄN</t>
        </is>
      </c>
      <c r="G897" t="inlineStr">
        <is>
          <t>LYCKSELE</t>
        </is>
      </c>
      <c r="H897" t="inlineStr">
        <is>
          <t>Holmen skog AB</t>
        </is>
      </c>
      <c r="I897" t="n">
        <v>7.4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t="n">
        <v>0</v>
      </c>
      <c r="S897" t="n">
        <v>0</v>
      </c>
      <c r="T897" t="n">
        <v>0</v>
      </c>
      <c r="U897" t="n">
        <v>0</v>
      </c>
      <c r="V897" s="2" t="inlineStr"/>
    </row>
    <row r="898" ht="15" customHeight="1">
      <c r="A898" t="inlineStr">
        <is>
          <t>A 21918-2026</t>
        </is>
      </c>
      <c r="B898" t="inlineStr">
        <is>
          <t>avverkningsanmälan</t>
        </is>
      </c>
      <c r="C898" t="inlineStr">
        <is>
          <t>Föryngringsavverkning</t>
        </is>
      </c>
      <c r="D898" s="1" t="n">
        <v>46150</v>
      </c>
      <c r="E898" s="1" t="n">
        <v>46227</v>
      </c>
      <c r="F898" t="inlineStr">
        <is>
          <t>VÄSTERBOTTENS LÄN</t>
        </is>
      </c>
      <c r="G898" t="inlineStr">
        <is>
          <t>LYCKSELE</t>
        </is>
      </c>
      <c r="I898" t="n">
        <v>1.5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t="n">
        <v>0</v>
      </c>
      <c r="S898" t="n">
        <v>0</v>
      </c>
      <c r="T898" t="n">
        <v>0</v>
      </c>
      <c r="U898" t="n">
        <v>0</v>
      </c>
      <c r="V898" s="2" t="inlineStr"/>
    </row>
    <row r="899" ht="15" customHeight="1">
      <c r="A899" t="inlineStr">
        <is>
          <t>A 27883-2026</t>
        </is>
      </c>
      <c r="B899" t="inlineStr">
        <is>
          <t>avverkningsanmälan</t>
        </is>
      </c>
      <c r="C899" t="inlineStr">
        <is>
          <t>Föryngringsavverkning</t>
        </is>
      </c>
      <c r="D899" s="1" t="n">
        <v>46191</v>
      </c>
      <c r="E899" s="1" t="n">
        <v>46227</v>
      </c>
      <c r="F899" t="inlineStr">
        <is>
          <t>VÄSTERBOTTENS LÄN</t>
        </is>
      </c>
      <c r="G899" t="inlineStr">
        <is>
          <t>LYCKSELE</t>
        </is>
      </c>
      <c r="H899" t="inlineStr">
        <is>
          <t>Holmen skog AB</t>
        </is>
      </c>
      <c r="I899" t="n">
        <v>4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t="n">
        <v>0</v>
      </c>
      <c r="S899" t="n">
        <v>0</v>
      </c>
      <c r="T899" t="n">
        <v>0</v>
      </c>
      <c r="U899" t="n">
        <v>0</v>
      </c>
      <c r="V899" s="2" t="inlineStr"/>
    </row>
    <row r="900" ht="15" customHeight="1">
      <c r="A900" t="inlineStr">
        <is>
          <t>A 24041-2023</t>
        </is>
      </c>
      <c r="B900" t="inlineStr">
        <is>
          <t>avverkningsanmälan</t>
        </is>
      </c>
      <c r="C900" t="inlineStr">
        <is>
          <t>Avverkning för att bevara och utveckla /försöksver</t>
        </is>
      </c>
      <c r="D900" s="1" t="n">
        <v>45078</v>
      </c>
      <c r="E900" s="1" t="n">
        <v>46227</v>
      </c>
      <c r="F900" t="inlineStr">
        <is>
          <t>VÄSTERBOTTENS LÄN</t>
        </is>
      </c>
      <c r="G900" t="inlineStr">
        <is>
          <t>LYCKSELE</t>
        </is>
      </c>
      <c r="H900" t="inlineStr">
        <is>
          <t>SCA</t>
        </is>
      </c>
      <c r="I900" t="n">
        <v>1.5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t="n">
        <v>0</v>
      </c>
      <c r="S900" t="n">
        <v>0</v>
      </c>
      <c r="T900" t="n">
        <v>0</v>
      </c>
      <c r="U900" t="n">
        <v>0</v>
      </c>
      <c r="V900" s="2" t="inlineStr"/>
    </row>
    <row r="901" ht="15" customHeight="1">
      <c r="A901" t="inlineStr">
        <is>
          <t>A 32475-2024</t>
        </is>
      </c>
      <c r="B901" t="inlineStr">
        <is>
          <t>avverkningsanmälan</t>
        </is>
      </c>
      <c r="C901" t="inlineStr">
        <is>
          <t>Föryngringsavverkning</t>
        </is>
      </c>
      <c r="D901" s="1" t="n">
        <v>45513</v>
      </c>
      <c r="E901" s="1" t="n">
        <v>46227</v>
      </c>
      <c r="F901" t="inlineStr">
        <is>
          <t>VÄSTERBOTTENS LÄN</t>
        </is>
      </c>
      <c r="G901" t="inlineStr">
        <is>
          <t>LYCKSELE</t>
        </is>
      </c>
      <c r="H901" t="inlineStr">
        <is>
          <t>Holmen skog AB</t>
        </is>
      </c>
      <c r="I901" t="n">
        <v>2.8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t="n">
        <v>0</v>
      </c>
      <c r="S901" t="n">
        <v>0</v>
      </c>
      <c r="T901" t="n">
        <v>0</v>
      </c>
      <c r="U901" t="n">
        <v>0</v>
      </c>
      <c r="V901" s="2" t="inlineStr"/>
    </row>
    <row r="902" ht="15" customHeight="1">
      <c r="A902" t="inlineStr">
        <is>
          <t>A 57224-2023</t>
        </is>
      </c>
      <c r="B902" t="inlineStr">
        <is>
          <t>avverkningsanmälan</t>
        </is>
      </c>
      <c r="C902" t="inlineStr">
        <is>
          <t>Föryngringsavverkning</t>
        </is>
      </c>
      <c r="D902" s="1" t="n">
        <v>45239</v>
      </c>
      <c r="E902" s="1" t="n">
        <v>46227</v>
      </c>
      <c r="F902" t="inlineStr">
        <is>
          <t>VÄSTERBOTTENS LÄN</t>
        </is>
      </c>
      <c r="G902" t="inlineStr">
        <is>
          <t>LYCKSELE</t>
        </is>
      </c>
      <c r="I902" t="n">
        <v>3.1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t="n">
        <v>0</v>
      </c>
      <c r="S902" t="n">
        <v>0</v>
      </c>
      <c r="T902" t="n">
        <v>0</v>
      </c>
      <c r="U902" t="n">
        <v>0</v>
      </c>
      <c r="V902" s="2" t="inlineStr"/>
    </row>
    <row r="903" ht="15" customHeight="1">
      <c r="A903" t="inlineStr">
        <is>
          <t>A 67092-2021</t>
        </is>
      </c>
      <c r="B903" t="inlineStr">
        <is>
          <t>avverkningsanmälan</t>
        </is>
      </c>
      <c r="C903" t="inlineStr">
        <is>
          <t>Föryngringsavverkning</t>
        </is>
      </c>
      <c r="D903" s="1" t="n">
        <v>44522</v>
      </c>
      <c r="E903" s="1" t="n">
        <v>46227</v>
      </c>
      <c r="F903" t="inlineStr">
        <is>
          <t>VÄSTERBOTTENS LÄN</t>
        </is>
      </c>
      <c r="G903" t="inlineStr">
        <is>
          <t>LYCKSELE</t>
        </is>
      </c>
      <c r="H903" t="inlineStr">
        <is>
          <t>SCA</t>
        </is>
      </c>
      <c r="I903" t="n">
        <v>2.7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t="n">
        <v>0</v>
      </c>
      <c r="S903" t="n">
        <v>0</v>
      </c>
      <c r="T903" t="n">
        <v>0</v>
      </c>
      <c r="U903" t="n">
        <v>0</v>
      </c>
      <c r="V903" s="2" t="inlineStr"/>
    </row>
    <row r="904" ht="15" customHeight="1">
      <c r="A904" t="inlineStr">
        <is>
          <t>A 53035-2023</t>
        </is>
      </c>
      <c r="B904" t="inlineStr">
        <is>
          <t>avverkningsanmälan</t>
        </is>
      </c>
      <c r="C904" t="inlineStr">
        <is>
          <t>Föryngringsavverkning</t>
        </is>
      </c>
      <c r="D904" s="1" t="n">
        <v>45226</v>
      </c>
      <c r="E904" s="1" t="n">
        <v>46227</v>
      </c>
      <c r="F904" t="inlineStr">
        <is>
          <t>VÄSTERBOTTENS LÄN</t>
        </is>
      </c>
      <c r="G904" t="inlineStr">
        <is>
          <t>LYCKSELE</t>
        </is>
      </c>
      <c r="H904" t="inlineStr">
        <is>
          <t>SCA</t>
        </is>
      </c>
      <c r="I904" t="n">
        <v>1.7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t="n">
        <v>0</v>
      </c>
      <c r="S904" t="n">
        <v>0</v>
      </c>
      <c r="T904" t="n">
        <v>0</v>
      </c>
      <c r="U904" t="n">
        <v>0</v>
      </c>
      <c r="V904" s="2" t="inlineStr"/>
    </row>
    <row r="905" ht="15" customHeight="1">
      <c r="A905" t="inlineStr">
        <is>
          <t>A 35970-2024</t>
        </is>
      </c>
      <c r="B905" t="inlineStr">
        <is>
          <t>avverkningsanmälan</t>
        </is>
      </c>
      <c r="C905" t="inlineStr">
        <is>
          <t>Föryngringsavverkning</t>
        </is>
      </c>
      <c r="D905" s="1" t="n">
        <v>45533</v>
      </c>
      <c r="E905" s="1" t="n">
        <v>46227</v>
      </c>
      <c r="F905" t="inlineStr">
        <is>
          <t>VÄSTERBOTTENS LÄN</t>
        </is>
      </c>
      <c r="G905" t="inlineStr">
        <is>
          <t>LYCKSELE</t>
        </is>
      </c>
      <c r="H905" t="inlineStr">
        <is>
          <t>Sveaskog</t>
        </is>
      </c>
      <c r="I905" t="n">
        <v>12.6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t="n">
        <v>0</v>
      </c>
      <c r="S905" t="n">
        <v>0</v>
      </c>
      <c r="T905" t="n">
        <v>0</v>
      </c>
      <c r="U905" t="n">
        <v>0</v>
      </c>
      <c r="V905" s="2" t="inlineStr"/>
    </row>
    <row r="906" ht="15" customHeight="1">
      <c r="A906" t="inlineStr">
        <is>
          <t>A 28217-2026</t>
        </is>
      </c>
      <c r="B906" t="inlineStr">
        <is>
          <t>avverkningsanmälan</t>
        </is>
      </c>
      <c r="C906" t="inlineStr">
        <is>
          <t>Föryngringsavverkning</t>
        </is>
      </c>
      <c r="D906" s="1" t="n">
        <v>46196</v>
      </c>
      <c r="E906" s="1" t="n">
        <v>46227</v>
      </c>
      <c r="F906" t="inlineStr">
        <is>
          <t>VÄSTERBOTTENS LÄN</t>
        </is>
      </c>
      <c r="G906" t="inlineStr">
        <is>
          <t>LYCKSELE</t>
        </is>
      </c>
      <c r="I906" t="n">
        <v>2.6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t="n">
        <v>0</v>
      </c>
      <c r="S906" t="n">
        <v>0</v>
      </c>
      <c r="T906" t="n">
        <v>0</v>
      </c>
      <c r="U906" t="n">
        <v>0</v>
      </c>
      <c r="V906" s="2" t="inlineStr"/>
    </row>
    <row r="907" ht="15" customHeight="1">
      <c r="A907" t="inlineStr">
        <is>
          <t>A 8577-2026</t>
        </is>
      </c>
      <c r="B907" t="inlineStr">
        <is>
          <t>avverkningsanmälan</t>
        </is>
      </c>
      <c r="C907" t="inlineStr">
        <is>
          <t>Föryngringsavverkning</t>
        </is>
      </c>
      <c r="D907" s="1" t="n">
        <v>46065</v>
      </c>
      <c r="E907" s="1" t="n">
        <v>46227</v>
      </c>
      <c r="F907" t="inlineStr">
        <is>
          <t>VÄSTERBOTTENS LÄN</t>
        </is>
      </c>
      <c r="G907" t="inlineStr">
        <is>
          <t>LYCKSELE</t>
        </is>
      </c>
      <c r="I907" t="n">
        <v>9.9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t="n">
        <v>0</v>
      </c>
      <c r="S907" t="n">
        <v>0</v>
      </c>
      <c r="T907" t="n">
        <v>0</v>
      </c>
      <c r="U907" t="n">
        <v>0</v>
      </c>
      <c r="V907" s="2" t="inlineStr"/>
    </row>
    <row r="908" ht="15" customHeight="1">
      <c r="A908" t="inlineStr">
        <is>
          <t>A 8360-2024</t>
        </is>
      </c>
      <c r="B908" t="inlineStr">
        <is>
          <t>avverkningsanmälan</t>
        </is>
      </c>
      <c r="C908" t="inlineStr">
        <is>
          <t>Föryngringsavverkning</t>
        </is>
      </c>
      <c r="D908" s="1" t="n">
        <v>45352</v>
      </c>
      <c r="E908" s="1" t="n">
        <v>46227</v>
      </c>
      <c r="F908" t="inlineStr">
        <is>
          <t>VÄSTERBOTTENS LÄN</t>
        </is>
      </c>
      <c r="G908" t="inlineStr">
        <is>
          <t>LYCKSELE</t>
        </is>
      </c>
      <c r="H908" t="inlineStr">
        <is>
          <t>Sveaskog</t>
        </is>
      </c>
      <c r="I908" t="n">
        <v>31.5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t="n">
        <v>0</v>
      </c>
      <c r="S908" t="n">
        <v>0</v>
      </c>
      <c r="T908" t="n">
        <v>0</v>
      </c>
      <c r="U908" t="n">
        <v>0</v>
      </c>
      <c r="V908" s="2" t="inlineStr"/>
    </row>
    <row r="909" ht="15" customHeight="1">
      <c r="A909" t="inlineStr">
        <is>
          <t>A 22367-2026</t>
        </is>
      </c>
      <c r="B909" t="inlineStr">
        <is>
          <t>avverkningsanmälan</t>
        </is>
      </c>
      <c r="C909" t="inlineStr">
        <is>
          <t>Föryngringsavverkning</t>
        </is>
      </c>
      <c r="D909" s="1" t="n">
        <v>46154</v>
      </c>
      <c r="E909" s="1" t="n">
        <v>46227</v>
      </c>
      <c r="F909" t="inlineStr">
        <is>
          <t>VÄSTERBOTTENS LÄN</t>
        </is>
      </c>
      <c r="G909" t="inlineStr">
        <is>
          <t>LYCKSELE</t>
        </is>
      </c>
      <c r="I909" t="n">
        <v>18.8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t="n">
        <v>0</v>
      </c>
      <c r="S909" t="n">
        <v>0</v>
      </c>
      <c r="T909" t="n">
        <v>0</v>
      </c>
      <c r="U909" t="n">
        <v>0</v>
      </c>
      <c r="V909" s="2" t="inlineStr"/>
    </row>
    <row r="910" ht="15" customHeight="1">
      <c r="A910" t="inlineStr">
        <is>
          <t>A 22285-2026</t>
        </is>
      </c>
      <c r="B910" t="inlineStr">
        <is>
          <t>avverkningsanmälan</t>
        </is>
      </c>
      <c r="C910" t="inlineStr">
        <is>
          <t>Föryngringsavverkning</t>
        </is>
      </c>
      <c r="D910" s="1" t="n">
        <v>46154</v>
      </c>
      <c r="E910" s="1" t="n">
        <v>46227</v>
      </c>
      <c r="F910" t="inlineStr">
        <is>
          <t>VÄSTERBOTTENS LÄN</t>
        </is>
      </c>
      <c r="G910" t="inlineStr">
        <is>
          <t>LYCKSELE</t>
        </is>
      </c>
      <c r="H910" t="inlineStr">
        <is>
          <t>Sveaskog</t>
        </is>
      </c>
      <c r="I910" t="n">
        <v>4.9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t="n">
        <v>0</v>
      </c>
      <c r="S910" t="n">
        <v>0</v>
      </c>
      <c r="T910" t="n">
        <v>0</v>
      </c>
      <c r="U910" t="n">
        <v>0</v>
      </c>
      <c r="V910" s="2" t="inlineStr"/>
    </row>
    <row r="911" ht="15" customHeight="1">
      <c r="A911" t="inlineStr">
        <is>
          <t>A 28421-2026</t>
        </is>
      </c>
      <c r="B911" t="inlineStr">
        <is>
          <t>avverkningsanmälan</t>
        </is>
      </c>
      <c r="C911" t="inlineStr">
        <is>
          <t>Föryngringsavverkning</t>
        </is>
      </c>
      <c r="D911" s="1" t="n">
        <v>46197</v>
      </c>
      <c r="E911" s="1" t="n">
        <v>46227</v>
      </c>
      <c r="F911" t="inlineStr">
        <is>
          <t>VÄSTERBOTTENS LÄN</t>
        </is>
      </c>
      <c r="G911" t="inlineStr">
        <is>
          <t>LYCKSELE</t>
        </is>
      </c>
      <c r="H911" t="inlineStr">
        <is>
          <t>SCA</t>
        </is>
      </c>
      <c r="I911" t="n">
        <v>7.6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t="n">
        <v>0</v>
      </c>
      <c r="S911" t="n">
        <v>0</v>
      </c>
      <c r="T911" t="n">
        <v>0</v>
      </c>
      <c r="U911" t="n">
        <v>0</v>
      </c>
      <c r="V911" s="2" t="inlineStr"/>
    </row>
    <row r="912" ht="15" customHeight="1">
      <c r="A912" t="inlineStr">
        <is>
          <t>A 62877-2023</t>
        </is>
      </c>
      <c r="B912" t="inlineStr">
        <is>
          <t>avverkningsanmälan</t>
        </is>
      </c>
      <c r="C912" t="inlineStr">
        <is>
          <t>Föryngringsavverkning</t>
        </is>
      </c>
      <c r="D912" s="1" t="n">
        <v>45271</v>
      </c>
      <c r="E912" s="1" t="n">
        <v>46227</v>
      </c>
      <c r="F912" t="inlineStr">
        <is>
          <t>VÄSTERBOTTENS LÄN</t>
        </is>
      </c>
      <c r="G912" t="inlineStr">
        <is>
          <t>LYCKSELE</t>
        </is>
      </c>
      <c r="I912" t="n">
        <v>1.7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t="n">
        <v>0</v>
      </c>
      <c r="S912" t="n">
        <v>0</v>
      </c>
      <c r="T912" t="n">
        <v>0</v>
      </c>
      <c r="U912" t="n">
        <v>0</v>
      </c>
      <c r="V912" s="2" t="inlineStr"/>
    </row>
    <row r="913" ht="15" customHeight="1">
      <c r="A913" t="inlineStr">
        <is>
          <t>A 28586-2026</t>
        </is>
      </c>
      <c r="B913" t="inlineStr">
        <is>
          <t>avverkningsanmälan</t>
        </is>
      </c>
      <c r="C913" t="inlineStr">
        <is>
          <t>Föryngringsavverkning</t>
        </is>
      </c>
      <c r="D913" s="1" t="n">
        <v>46197</v>
      </c>
      <c r="E913" s="1" t="n">
        <v>46227</v>
      </c>
      <c r="F913" t="inlineStr">
        <is>
          <t>VÄSTERBOTTENS LÄN</t>
        </is>
      </c>
      <c r="G913" t="inlineStr">
        <is>
          <t>LYCKSELE</t>
        </is>
      </c>
      <c r="I913" t="n">
        <v>0.6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t="n">
        <v>0</v>
      </c>
      <c r="S913" t="n">
        <v>0</v>
      </c>
      <c r="T913" t="n">
        <v>0</v>
      </c>
      <c r="U913" t="n">
        <v>0</v>
      </c>
      <c r="V913" s="2" t="inlineStr"/>
    </row>
    <row r="914" ht="15" customHeight="1">
      <c r="A914" t="inlineStr">
        <is>
          <t>A 28650-2026</t>
        </is>
      </c>
      <c r="B914" t="inlineStr">
        <is>
          <t>avverkningsanmälan</t>
        </is>
      </c>
      <c r="C914" t="inlineStr">
        <is>
          <t>Föryngringsavverkning</t>
        </is>
      </c>
      <c r="D914" s="1" t="n">
        <v>46198</v>
      </c>
      <c r="E914" s="1" t="n">
        <v>46227</v>
      </c>
      <c r="F914" t="inlineStr">
        <is>
          <t>VÄSTERBOTTENS LÄN</t>
        </is>
      </c>
      <c r="G914" t="inlineStr">
        <is>
          <t>LYCKSELE</t>
        </is>
      </c>
      <c r="H914" t="inlineStr">
        <is>
          <t>Holmen skog AB</t>
        </is>
      </c>
      <c r="I914" t="n">
        <v>3.7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t="n">
        <v>0</v>
      </c>
      <c r="S914" t="n">
        <v>0</v>
      </c>
      <c r="T914" t="n">
        <v>0</v>
      </c>
      <c r="U914" t="n">
        <v>0</v>
      </c>
      <c r="V914" s="2" t="inlineStr"/>
    </row>
    <row r="915" ht="15" customHeight="1">
      <c r="A915" t="inlineStr">
        <is>
          <t>A 48379-2024</t>
        </is>
      </c>
      <c r="B915" t="inlineStr">
        <is>
          <t>avverkningsanmälan</t>
        </is>
      </c>
      <c r="C915" t="inlineStr">
        <is>
          <t>Föryngringsavverkning</t>
        </is>
      </c>
      <c r="D915" s="1" t="n">
        <v>45590</v>
      </c>
      <c r="E915" s="1" t="n">
        <v>46227</v>
      </c>
      <c r="F915" t="inlineStr">
        <is>
          <t>VÄSTERBOTTENS LÄN</t>
        </is>
      </c>
      <c r="G915" t="inlineStr">
        <is>
          <t>LYCKSELE</t>
        </is>
      </c>
      <c r="H915" t="inlineStr">
        <is>
          <t>Sveaskog</t>
        </is>
      </c>
      <c r="I915" t="n">
        <v>3.4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t="n">
        <v>0</v>
      </c>
      <c r="S915" t="n">
        <v>0</v>
      </c>
      <c r="T915" t="n">
        <v>0</v>
      </c>
      <c r="U915" t="n">
        <v>0</v>
      </c>
      <c r="V915" s="2" t="inlineStr"/>
    </row>
    <row r="916" ht="15" customHeight="1">
      <c r="A916" t="inlineStr">
        <is>
          <t>A 43875-2023</t>
        </is>
      </c>
      <c r="B916" t="inlineStr">
        <is>
          <t>avverkningsanmälan</t>
        </is>
      </c>
      <c r="C916" t="inlineStr">
        <is>
          <t>Föryngringsavverkning</t>
        </is>
      </c>
      <c r="D916" s="1" t="n">
        <v>45187</v>
      </c>
      <c r="E916" s="1" t="n">
        <v>46227</v>
      </c>
      <c r="F916" t="inlineStr">
        <is>
          <t>VÄSTERBOTTENS LÄN</t>
        </is>
      </c>
      <c r="G916" t="inlineStr">
        <is>
          <t>LYCKSELE</t>
        </is>
      </c>
      <c r="I916" t="n">
        <v>1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t="n">
        <v>0</v>
      </c>
      <c r="S916" t="n">
        <v>0</v>
      </c>
      <c r="T916" t="n">
        <v>0</v>
      </c>
      <c r="U916" t="n">
        <v>0</v>
      </c>
      <c r="V916" s="2" t="inlineStr"/>
    </row>
    <row r="917" ht="15" customHeight="1">
      <c r="A917" t="inlineStr">
        <is>
          <t>A 28829-2026</t>
        </is>
      </c>
      <c r="B917" t="inlineStr">
        <is>
          <t>avverkningsanmälan</t>
        </is>
      </c>
      <c r="C917" t="inlineStr">
        <is>
          <t>Föryngringsavverkning</t>
        </is>
      </c>
      <c r="D917" s="1" t="n">
        <v>46198</v>
      </c>
      <c r="E917" s="1" t="n">
        <v>46227</v>
      </c>
      <c r="F917" t="inlineStr">
        <is>
          <t>VÄSTERBOTTENS LÄN</t>
        </is>
      </c>
      <c r="G917" t="inlineStr">
        <is>
          <t>LYCKSELE</t>
        </is>
      </c>
      <c r="H917" t="inlineStr">
        <is>
          <t>Holmen skog AB</t>
        </is>
      </c>
      <c r="I917" t="n">
        <v>25.4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t="n">
        <v>0</v>
      </c>
      <c r="S917" t="n">
        <v>0</v>
      </c>
      <c r="T917" t="n">
        <v>0</v>
      </c>
      <c r="U917" t="n">
        <v>0</v>
      </c>
      <c r="V917" s="2" t="inlineStr"/>
    </row>
    <row r="918" ht="15" customHeight="1">
      <c r="A918" t="inlineStr">
        <is>
          <t>A 26531-2024</t>
        </is>
      </c>
      <c r="B918" t="inlineStr">
        <is>
          <t>avverkningsanmälan</t>
        </is>
      </c>
      <c r="C918" t="inlineStr">
        <is>
          <t>Föryngringsavverkning</t>
        </is>
      </c>
      <c r="D918" s="1" t="n">
        <v>45469</v>
      </c>
      <c r="E918" s="1" t="n">
        <v>46227</v>
      </c>
      <c r="F918" t="inlineStr">
        <is>
          <t>VÄSTERBOTTENS LÄN</t>
        </is>
      </c>
      <c r="G918" t="inlineStr">
        <is>
          <t>LYCKSELE</t>
        </is>
      </c>
      <c r="I918" t="n">
        <v>2.6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t="n">
        <v>0</v>
      </c>
      <c r="S918" t="n">
        <v>0</v>
      </c>
      <c r="T918" t="n">
        <v>0</v>
      </c>
      <c r="U918" t="n">
        <v>0</v>
      </c>
      <c r="V918" s="2" t="inlineStr"/>
    </row>
    <row r="919" ht="15" customHeight="1">
      <c r="A919" t="inlineStr">
        <is>
          <t>A 9879-2022</t>
        </is>
      </c>
      <c r="B919" t="inlineStr">
        <is>
          <t>avverkningsanmälan</t>
        </is>
      </c>
      <c r="C919" t="inlineStr">
        <is>
          <t>Föryngringsavverkning</t>
        </is>
      </c>
      <c r="D919" s="1" t="n">
        <v>44620</v>
      </c>
      <c r="E919" s="1" t="n">
        <v>46227</v>
      </c>
      <c r="F919" t="inlineStr">
        <is>
          <t>VÄSTERBOTTENS LÄN</t>
        </is>
      </c>
      <c r="G919" t="inlineStr">
        <is>
          <t>LYCKSELE</t>
        </is>
      </c>
      <c r="I919" t="n">
        <v>8.699999999999999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t="n">
        <v>0</v>
      </c>
      <c r="S919" t="n">
        <v>0</v>
      </c>
      <c r="T919" t="n">
        <v>0</v>
      </c>
      <c r="U919" t="n">
        <v>0</v>
      </c>
      <c r="V919" s="2" t="inlineStr"/>
    </row>
    <row r="920" ht="15" customHeight="1">
      <c r="A920" t="inlineStr">
        <is>
          <t>A 22654-2026</t>
        </is>
      </c>
      <c r="B920" t="inlineStr">
        <is>
          <t>avverkningsanmälan</t>
        </is>
      </c>
      <c r="C920" t="inlineStr">
        <is>
          <t>Föryngringsavverkning</t>
        </is>
      </c>
      <c r="D920" s="1" t="n">
        <v>46155</v>
      </c>
      <c r="E920" s="1" t="n">
        <v>46227</v>
      </c>
      <c r="F920" t="inlineStr">
        <is>
          <t>VÄSTERBOTTENS LÄN</t>
        </is>
      </c>
      <c r="G920" t="inlineStr">
        <is>
          <t>LYCKSELE</t>
        </is>
      </c>
      <c r="H920" t="inlineStr">
        <is>
          <t>SCA</t>
        </is>
      </c>
      <c r="I920" t="n">
        <v>2.5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t="n">
        <v>0</v>
      </c>
      <c r="S920" t="n">
        <v>0</v>
      </c>
      <c r="T920" t="n">
        <v>0</v>
      </c>
      <c r="U920" t="n">
        <v>0</v>
      </c>
      <c r="V920" s="2" t="inlineStr"/>
    </row>
    <row r="921" ht="15" customHeight="1">
      <c r="A921" t="inlineStr">
        <is>
          <t>A 22685-2026</t>
        </is>
      </c>
      <c r="B921" t="inlineStr">
        <is>
          <t>avverkningsanmälan</t>
        </is>
      </c>
      <c r="C921" t="inlineStr">
        <is>
          <t>Föryngringsavverkning</t>
        </is>
      </c>
      <c r="D921" s="1" t="n">
        <v>46156</v>
      </c>
      <c r="E921" s="1" t="n">
        <v>46227</v>
      </c>
      <c r="F921" t="inlineStr">
        <is>
          <t>VÄSTERBOTTENS LÄN</t>
        </is>
      </c>
      <c r="G921" t="inlineStr">
        <is>
          <t>LYCKSELE</t>
        </is>
      </c>
      <c r="H921" t="inlineStr">
        <is>
          <t>Sveaskog</t>
        </is>
      </c>
      <c r="I921" t="n">
        <v>0.9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t="n">
        <v>0</v>
      </c>
      <c r="S921" t="n">
        <v>0</v>
      </c>
      <c r="T921" t="n">
        <v>0</v>
      </c>
      <c r="U921" t="n">
        <v>0</v>
      </c>
      <c r="V921" s="2" t="inlineStr"/>
    </row>
    <row r="922" ht="15" customHeight="1">
      <c r="A922" t="inlineStr">
        <is>
          <t>A 49514-2022</t>
        </is>
      </c>
      <c r="B922" t="inlineStr">
        <is>
          <t>avverkningsanmälan</t>
        </is>
      </c>
      <c r="C922" t="inlineStr">
        <is>
          <t>Föryngringsavverkning</t>
        </is>
      </c>
      <c r="D922" s="1" t="n">
        <v>44861</v>
      </c>
      <c r="E922" s="1" t="n">
        <v>46227</v>
      </c>
      <c r="F922" t="inlineStr">
        <is>
          <t>VÄSTERBOTTENS LÄN</t>
        </is>
      </c>
      <c r="G922" t="inlineStr">
        <is>
          <t>LYCKSELE</t>
        </is>
      </c>
      <c r="H922" t="inlineStr">
        <is>
          <t>SCA</t>
        </is>
      </c>
      <c r="I922" t="n">
        <v>1.2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t="n">
        <v>0</v>
      </c>
      <c r="S922" t="n">
        <v>0</v>
      </c>
      <c r="T922" t="n">
        <v>0</v>
      </c>
      <c r="U922" t="n">
        <v>0</v>
      </c>
      <c r="V922" s="2" t="inlineStr"/>
    </row>
    <row r="923" ht="15" customHeight="1">
      <c r="A923" t="inlineStr">
        <is>
          <t>A 2323-2025</t>
        </is>
      </c>
      <c r="B923" t="inlineStr">
        <is>
          <t>avverkningsanmälan</t>
        </is>
      </c>
      <c r="C923" t="inlineStr">
        <is>
          <t>Föryngringsavverkning</t>
        </is>
      </c>
      <c r="D923" s="1" t="n">
        <v>45673</v>
      </c>
      <c r="E923" s="1" t="n">
        <v>46227</v>
      </c>
      <c r="F923" t="inlineStr">
        <is>
          <t>VÄSTERBOTTENS LÄN</t>
        </is>
      </c>
      <c r="G923" t="inlineStr">
        <is>
          <t>LYCKSELE</t>
        </is>
      </c>
      <c r="I923" t="n">
        <v>0.6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t="n">
        <v>0</v>
      </c>
      <c r="S923" t="n">
        <v>0</v>
      </c>
      <c r="T923" t="n">
        <v>0</v>
      </c>
      <c r="U923" t="n">
        <v>0</v>
      </c>
      <c r="V923" s="2" t="inlineStr"/>
    </row>
    <row r="924" ht="15" customHeight="1">
      <c r="A924" t="inlineStr">
        <is>
          <t>A 14249-2025</t>
        </is>
      </c>
      <c r="B924" t="inlineStr">
        <is>
          <t>avverkningsanmälan</t>
        </is>
      </c>
      <c r="C924" t="inlineStr">
        <is>
          <t>Föryngringsavverkning</t>
        </is>
      </c>
      <c r="D924" s="1" t="n">
        <v>45740</v>
      </c>
      <c r="E924" s="1" t="n">
        <v>46227</v>
      </c>
      <c r="F924" t="inlineStr">
        <is>
          <t>VÄSTERBOTTENS LÄN</t>
        </is>
      </c>
      <c r="G924" t="inlineStr">
        <is>
          <t>LYCKSELE</t>
        </is>
      </c>
      <c r="H924" t="inlineStr">
        <is>
          <t>SCA</t>
        </is>
      </c>
      <c r="I924" t="n">
        <v>8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t="n">
        <v>0</v>
      </c>
      <c r="S924" t="n">
        <v>0</v>
      </c>
      <c r="T924" t="n">
        <v>0</v>
      </c>
      <c r="U924" t="n">
        <v>0</v>
      </c>
      <c r="V924" s="2" t="inlineStr"/>
    </row>
    <row r="925" ht="15" customHeight="1">
      <c r="A925" t="inlineStr">
        <is>
          <t>A 52956-2022</t>
        </is>
      </c>
      <c r="B925" t="inlineStr">
        <is>
          <t>avverkningsanmälan</t>
        </is>
      </c>
      <c r="C925" t="inlineStr">
        <is>
          <t>Föryngringsavverkning</t>
        </is>
      </c>
      <c r="D925" s="1" t="n">
        <v>44875</v>
      </c>
      <c r="E925" s="1" t="n">
        <v>46227</v>
      </c>
      <c r="F925" t="inlineStr">
        <is>
          <t>VÄSTERBOTTENS LÄN</t>
        </is>
      </c>
      <c r="G925" t="inlineStr">
        <is>
          <t>LYCKSELE</t>
        </is>
      </c>
      <c r="H925" t="inlineStr">
        <is>
          <t>Holmen skog AB</t>
        </is>
      </c>
      <c r="I925" t="n">
        <v>6.4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t="n">
        <v>0</v>
      </c>
      <c r="S925" t="n">
        <v>0</v>
      </c>
      <c r="T925" t="n">
        <v>0</v>
      </c>
      <c r="U925" t="n">
        <v>0</v>
      </c>
      <c r="V925" s="2" t="inlineStr"/>
    </row>
    <row r="926" ht="15" customHeight="1">
      <c r="A926" t="inlineStr">
        <is>
          <t>A 33699-2024</t>
        </is>
      </c>
      <c r="B926" t="inlineStr">
        <is>
          <t>avverkningsanmälan</t>
        </is>
      </c>
      <c r="C926" t="inlineStr">
        <is>
          <t>Föryngringsavverkning</t>
        </is>
      </c>
      <c r="D926" s="1" t="n">
        <v>45520</v>
      </c>
      <c r="E926" s="1" t="n">
        <v>46227</v>
      </c>
      <c r="F926" t="inlineStr">
        <is>
          <t>VÄSTERBOTTENS LÄN</t>
        </is>
      </c>
      <c r="G926" t="inlineStr">
        <is>
          <t>LYCKSELE</t>
        </is>
      </c>
      <c r="H926" t="inlineStr">
        <is>
          <t>Sveaskog</t>
        </is>
      </c>
      <c r="I926" t="n">
        <v>16.3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t="n">
        <v>0</v>
      </c>
      <c r="S926" t="n">
        <v>0</v>
      </c>
      <c r="T926" t="n">
        <v>0</v>
      </c>
      <c r="U926" t="n">
        <v>0</v>
      </c>
      <c r="V926" s="2" t="inlineStr"/>
    </row>
    <row r="927" ht="15" customHeight="1">
      <c r="A927" t="inlineStr">
        <is>
          <t>A 33716-2024</t>
        </is>
      </c>
      <c r="B927" t="inlineStr">
        <is>
          <t>avverkningsanmälan</t>
        </is>
      </c>
      <c r="C927" t="inlineStr">
        <is>
          <t>Föryngringsavverkning</t>
        </is>
      </c>
      <c r="D927" s="1" t="n">
        <v>45520</v>
      </c>
      <c r="E927" s="1" t="n">
        <v>46227</v>
      </c>
      <c r="F927" t="inlineStr">
        <is>
          <t>VÄSTERBOTTENS LÄN</t>
        </is>
      </c>
      <c r="G927" t="inlineStr">
        <is>
          <t>LYCKSELE</t>
        </is>
      </c>
      <c r="H927" t="inlineStr">
        <is>
          <t>Sveaskog</t>
        </is>
      </c>
      <c r="I927" t="n">
        <v>0.9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t="n">
        <v>0</v>
      </c>
      <c r="S927" t="n">
        <v>0</v>
      </c>
      <c r="T927" t="n">
        <v>0</v>
      </c>
      <c r="U927" t="n">
        <v>0</v>
      </c>
      <c r="V927" s="2" t="inlineStr"/>
    </row>
    <row r="928" ht="15" customHeight="1">
      <c r="A928" t="inlineStr">
        <is>
          <t>A 33717-2024</t>
        </is>
      </c>
      <c r="B928" t="inlineStr">
        <is>
          <t>avverkningsanmälan</t>
        </is>
      </c>
      <c r="C928" t="inlineStr">
        <is>
          <t>Föryngringsavverkning</t>
        </is>
      </c>
      <c r="D928" s="1" t="n">
        <v>45520</v>
      </c>
      <c r="E928" s="1" t="n">
        <v>46227</v>
      </c>
      <c r="F928" t="inlineStr">
        <is>
          <t>VÄSTERBOTTENS LÄN</t>
        </is>
      </c>
      <c r="G928" t="inlineStr">
        <is>
          <t>LYCKSELE</t>
        </is>
      </c>
      <c r="H928" t="inlineStr">
        <is>
          <t>Sveaskog</t>
        </is>
      </c>
      <c r="I928" t="n">
        <v>13.6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t="n">
        <v>0</v>
      </c>
      <c r="S928" t="n">
        <v>0</v>
      </c>
      <c r="T928" t="n">
        <v>0</v>
      </c>
      <c r="U928" t="n">
        <v>0</v>
      </c>
      <c r="V928" s="2" t="inlineStr"/>
    </row>
    <row r="929" ht="15" customHeight="1">
      <c r="A929" t="inlineStr">
        <is>
          <t>A 41980-2024</t>
        </is>
      </c>
      <c r="B929" t="inlineStr">
        <is>
          <t>avverkningsanmälan</t>
        </is>
      </c>
      <c r="C929" t="inlineStr">
        <is>
          <t>Föryngringsavverkning</t>
        </is>
      </c>
      <c r="D929" s="1" t="n">
        <v>45561</v>
      </c>
      <c r="E929" s="1" t="n">
        <v>46227</v>
      </c>
      <c r="F929" t="inlineStr">
        <is>
          <t>VÄSTERBOTTENS LÄN</t>
        </is>
      </c>
      <c r="G929" t="inlineStr">
        <is>
          <t>LYCKSELE</t>
        </is>
      </c>
      <c r="H929" t="inlineStr">
        <is>
          <t>Sveaskog</t>
        </is>
      </c>
      <c r="I929" t="n">
        <v>0.8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t="n">
        <v>0</v>
      </c>
      <c r="S929" t="n">
        <v>0</v>
      </c>
      <c r="T929" t="n">
        <v>0</v>
      </c>
      <c r="U929" t="n">
        <v>0</v>
      </c>
      <c r="V929" s="2" t="inlineStr"/>
    </row>
    <row r="930" ht="15" customHeight="1">
      <c r="A930" t="inlineStr">
        <is>
          <t>A 33704-2024</t>
        </is>
      </c>
      <c r="B930" t="inlineStr">
        <is>
          <t>avverkningsanmälan</t>
        </is>
      </c>
      <c r="C930" t="inlineStr">
        <is>
          <t>Föryngringsavverkning</t>
        </is>
      </c>
      <c r="D930" s="1" t="n">
        <v>45520</v>
      </c>
      <c r="E930" s="1" t="n">
        <v>46227</v>
      </c>
      <c r="F930" t="inlineStr">
        <is>
          <t>VÄSTERBOTTENS LÄN</t>
        </is>
      </c>
      <c r="G930" t="inlineStr">
        <is>
          <t>LYCKSELE</t>
        </is>
      </c>
      <c r="H930" t="inlineStr">
        <is>
          <t>Sveaskog</t>
        </is>
      </c>
      <c r="I930" t="n">
        <v>2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t="n">
        <v>0</v>
      </c>
      <c r="S930" t="n">
        <v>0</v>
      </c>
      <c r="T930" t="n">
        <v>0</v>
      </c>
      <c r="U930" t="n">
        <v>0</v>
      </c>
      <c r="V930" s="2" t="inlineStr"/>
    </row>
    <row r="931" ht="15" customHeight="1">
      <c r="A931" t="inlineStr">
        <is>
          <t>A 28939-2026</t>
        </is>
      </c>
      <c r="B931" t="inlineStr">
        <is>
          <t>avverkningsanmälan</t>
        </is>
      </c>
      <c r="C931" t="inlineStr">
        <is>
          <t>Föryngringsavverkning</t>
        </is>
      </c>
      <c r="D931" s="1" t="n">
        <v>46199</v>
      </c>
      <c r="E931" s="1" t="n">
        <v>46227</v>
      </c>
      <c r="F931" t="inlineStr">
        <is>
          <t>VÄSTERBOTTENS LÄN</t>
        </is>
      </c>
      <c r="G931" t="inlineStr">
        <is>
          <t>LYCKSELE</t>
        </is>
      </c>
      <c r="H931" t="inlineStr">
        <is>
          <t>Sveaskog</t>
        </is>
      </c>
      <c r="I931" t="n">
        <v>5.1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t="n">
        <v>0</v>
      </c>
      <c r="S931" t="n">
        <v>0</v>
      </c>
      <c r="T931" t="n">
        <v>0</v>
      </c>
      <c r="U931" t="n">
        <v>0</v>
      </c>
      <c r="V931" s="2" t="inlineStr"/>
    </row>
    <row r="932" ht="15" customHeight="1">
      <c r="A932" t="inlineStr">
        <is>
          <t>A 46541-2022</t>
        </is>
      </c>
      <c r="B932" t="inlineStr">
        <is>
          <t>avverkningsanmälan</t>
        </is>
      </c>
      <c r="C932" t="inlineStr">
        <is>
          <t>Föryngringsavverkning</t>
        </is>
      </c>
      <c r="D932" s="1" t="n">
        <v>44847</v>
      </c>
      <c r="E932" s="1" t="n">
        <v>46227</v>
      </c>
      <c r="F932" t="inlineStr">
        <is>
          <t>VÄSTERBOTTENS LÄN</t>
        </is>
      </c>
      <c r="G932" t="inlineStr">
        <is>
          <t>LYCKSELE</t>
        </is>
      </c>
      <c r="I932" t="n">
        <v>2.8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t="n">
        <v>0</v>
      </c>
      <c r="S932" t="n">
        <v>0</v>
      </c>
      <c r="T932" t="n">
        <v>0</v>
      </c>
      <c r="U932" t="n">
        <v>0</v>
      </c>
      <c r="V932" s="2" t="inlineStr"/>
    </row>
    <row r="933" ht="15" customHeight="1">
      <c r="A933" t="inlineStr">
        <is>
          <t>A 29149-2026</t>
        </is>
      </c>
      <c r="B933" t="inlineStr">
        <is>
          <t>avverkningsanmälan</t>
        </is>
      </c>
      <c r="C933" t="inlineStr">
        <is>
          <t>Föryngringsavverkning</t>
        </is>
      </c>
      <c r="D933" s="1" t="n">
        <v>46202</v>
      </c>
      <c r="E933" s="1" t="n">
        <v>46227</v>
      </c>
      <c r="F933" t="inlineStr">
        <is>
          <t>VÄSTERBOTTENS LÄN</t>
        </is>
      </c>
      <c r="G933" t="inlineStr">
        <is>
          <t>LYCKSELE</t>
        </is>
      </c>
      <c r="H933" t="inlineStr">
        <is>
          <t>Sveaskog</t>
        </is>
      </c>
      <c r="I933" t="n">
        <v>38.4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t="n">
        <v>0</v>
      </c>
      <c r="S933" t="n">
        <v>0</v>
      </c>
      <c r="T933" t="n">
        <v>0</v>
      </c>
      <c r="U933" t="n">
        <v>0</v>
      </c>
      <c r="V933" s="2" t="inlineStr"/>
    </row>
    <row r="934" ht="15" customHeight="1">
      <c r="A934" t="inlineStr">
        <is>
          <t>A 29151-2026</t>
        </is>
      </c>
      <c r="B934" t="inlineStr">
        <is>
          <t>avverkningsanmälan</t>
        </is>
      </c>
      <c r="C934" t="inlineStr">
        <is>
          <t>Föryngringsavverkning</t>
        </is>
      </c>
      <c r="D934" s="1" t="n">
        <v>46202</v>
      </c>
      <c r="E934" s="1" t="n">
        <v>46227</v>
      </c>
      <c r="F934" t="inlineStr">
        <is>
          <t>VÄSTERBOTTENS LÄN</t>
        </is>
      </c>
      <c r="G934" t="inlineStr">
        <is>
          <t>LYCKSELE</t>
        </is>
      </c>
      <c r="H934" t="inlineStr">
        <is>
          <t>Sveaskog</t>
        </is>
      </c>
      <c r="I934" t="n">
        <v>6.7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t="n">
        <v>0</v>
      </c>
      <c r="S934" t="n">
        <v>0</v>
      </c>
      <c r="T934" t="n">
        <v>0</v>
      </c>
      <c r="U934" t="n">
        <v>0</v>
      </c>
      <c r="V934" s="2" t="inlineStr"/>
    </row>
    <row r="935" ht="15" customHeight="1">
      <c r="A935" t="inlineStr">
        <is>
          <t>A 29314-2026</t>
        </is>
      </c>
      <c r="B935" t="inlineStr">
        <is>
          <t>avverkningsanmälan</t>
        </is>
      </c>
      <c r="C935" t="inlineStr">
        <is>
          <t>Avverkning för annat ändamål</t>
        </is>
      </c>
      <c r="D935" s="1" t="n">
        <v>46197</v>
      </c>
      <c r="E935" s="1" t="n">
        <v>46227</v>
      </c>
      <c r="F935" t="inlineStr">
        <is>
          <t>VÄSTERBOTTENS LÄN</t>
        </is>
      </c>
      <c r="G935" t="inlineStr">
        <is>
          <t>LYCKSELE</t>
        </is>
      </c>
      <c r="H935" t="inlineStr">
        <is>
          <t>Kommuner</t>
        </is>
      </c>
      <c r="I935" t="n">
        <v>0.8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t="n">
        <v>0</v>
      </c>
      <c r="S935" t="n">
        <v>0</v>
      </c>
      <c r="T935" t="n">
        <v>0</v>
      </c>
      <c r="U935" t="n">
        <v>0</v>
      </c>
      <c r="V935" s="2" t="inlineStr"/>
    </row>
    <row r="936" ht="15" customHeight="1">
      <c r="A936" t="inlineStr">
        <is>
          <t>A 36357-2024</t>
        </is>
      </c>
      <c r="B936" t="inlineStr">
        <is>
          <t>avverkningsanmälan</t>
        </is>
      </c>
      <c r="C936" t="inlineStr">
        <is>
          <t>Avverkning för att bevara och utveckla /försöksver</t>
        </is>
      </c>
      <c r="D936" s="1" t="n">
        <v>45534</v>
      </c>
      <c r="E936" s="1" t="n">
        <v>46227</v>
      </c>
      <c r="F936" t="inlineStr">
        <is>
          <t>VÄSTERBOTTENS LÄN</t>
        </is>
      </c>
      <c r="G936" t="inlineStr">
        <is>
          <t>LYCKSELE</t>
        </is>
      </c>
      <c r="H936" t="inlineStr">
        <is>
          <t>SCA</t>
        </is>
      </c>
      <c r="I936" t="n">
        <v>4.8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t="n">
        <v>0</v>
      </c>
      <c r="S936" t="n">
        <v>0</v>
      </c>
      <c r="T936" t="n">
        <v>0</v>
      </c>
      <c r="U936" t="n">
        <v>0</v>
      </c>
      <c r="V936" s="2" t="inlineStr"/>
    </row>
    <row r="937" ht="15" customHeight="1">
      <c r="A937" t="inlineStr">
        <is>
          <t>A 25327-2024</t>
        </is>
      </c>
      <c r="B937" t="inlineStr">
        <is>
          <t>avverkningsanmälan</t>
        </is>
      </c>
      <c r="C937" t="inlineStr">
        <is>
          <t>Föryngringsavverkning</t>
        </is>
      </c>
      <c r="D937" s="1" t="n">
        <v>45462</v>
      </c>
      <c r="E937" s="1" t="n">
        <v>46227</v>
      </c>
      <c r="F937" t="inlineStr">
        <is>
          <t>VÄSTERBOTTENS LÄN</t>
        </is>
      </c>
      <c r="G937" t="inlineStr">
        <is>
          <t>LYCKSELE</t>
        </is>
      </c>
      <c r="H937" t="inlineStr">
        <is>
          <t>Sveaskog</t>
        </is>
      </c>
      <c r="I937" t="n">
        <v>3.5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t="n">
        <v>0</v>
      </c>
      <c r="S937" t="n">
        <v>0</v>
      </c>
      <c r="T937" t="n">
        <v>0</v>
      </c>
      <c r="U937" t="n">
        <v>0</v>
      </c>
      <c r="V937" s="2" t="inlineStr"/>
    </row>
    <row r="938" ht="15" customHeight="1">
      <c r="A938" t="inlineStr">
        <is>
          <t>A 28907-2026</t>
        </is>
      </c>
      <c r="B938" t="inlineStr">
        <is>
          <t>avverkningsanmälan</t>
        </is>
      </c>
      <c r="C938" t="inlineStr">
        <is>
          <t>Föryngringsavverkning</t>
        </is>
      </c>
      <c r="D938" s="1" t="n">
        <v>46199</v>
      </c>
      <c r="E938" s="1" t="n">
        <v>46227</v>
      </c>
      <c r="F938" t="inlineStr">
        <is>
          <t>VÄSTERBOTTENS LÄN</t>
        </is>
      </c>
      <c r="G938" t="inlineStr">
        <is>
          <t>LYCKSELE</t>
        </is>
      </c>
      <c r="H938" t="inlineStr">
        <is>
          <t>Sveaskog</t>
        </is>
      </c>
      <c r="I938" t="n">
        <v>7.5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t="n">
        <v>0</v>
      </c>
      <c r="S938" t="n">
        <v>0</v>
      </c>
      <c r="T938" t="n">
        <v>0</v>
      </c>
      <c r="U938" t="n">
        <v>0</v>
      </c>
      <c r="V938" s="2" t="inlineStr"/>
    </row>
    <row r="939" ht="15" customHeight="1">
      <c r="A939" t="inlineStr">
        <is>
          <t>A 28910-2026</t>
        </is>
      </c>
      <c r="B939" t="inlineStr">
        <is>
          <t>avverkningsanmälan</t>
        </is>
      </c>
      <c r="C939" t="inlineStr">
        <is>
          <t>Föryngringsavverkning</t>
        </is>
      </c>
      <c r="D939" s="1" t="n">
        <v>46199</v>
      </c>
      <c r="E939" s="1" t="n">
        <v>46227</v>
      </c>
      <c r="F939" t="inlineStr">
        <is>
          <t>VÄSTERBOTTENS LÄN</t>
        </is>
      </c>
      <c r="G939" t="inlineStr">
        <is>
          <t>LYCKSELE</t>
        </is>
      </c>
      <c r="H939" t="inlineStr">
        <is>
          <t>Sveaskog</t>
        </is>
      </c>
      <c r="I939" t="n">
        <v>3.6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t="n">
        <v>0</v>
      </c>
      <c r="S939" t="n">
        <v>0</v>
      </c>
      <c r="T939" t="n">
        <v>0</v>
      </c>
      <c r="U939" t="n">
        <v>0</v>
      </c>
      <c r="V939" s="2" t="inlineStr"/>
    </row>
    <row r="940" ht="15" customHeight="1">
      <c r="A940" t="inlineStr">
        <is>
          <t>A 29301-2026</t>
        </is>
      </c>
      <c r="B940" t="inlineStr">
        <is>
          <t>avverkningsanmälan</t>
        </is>
      </c>
      <c r="C940" t="inlineStr">
        <is>
          <t>Föryngringsavverkning</t>
        </is>
      </c>
      <c r="D940" s="1" t="n">
        <v>46202</v>
      </c>
      <c r="E940" s="1" t="n">
        <v>46227</v>
      </c>
      <c r="F940" t="inlineStr">
        <is>
          <t>VÄSTERBOTTENS LÄN</t>
        </is>
      </c>
      <c r="G940" t="inlineStr">
        <is>
          <t>LYCKSELE</t>
        </is>
      </c>
      <c r="I940" t="n">
        <v>5.1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t="n">
        <v>0</v>
      </c>
      <c r="S940" t="n">
        <v>0</v>
      </c>
      <c r="T940" t="n">
        <v>0</v>
      </c>
      <c r="U940" t="n">
        <v>0</v>
      </c>
      <c r="V940" s="2" t="inlineStr"/>
    </row>
    <row r="941" ht="15" customHeight="1">
      <c r="A941" t="inlineStr">
        <is>
          <t>A 28225-2026</t>
        </is>
      </c>
      <c r="B941" t="inlineStr">
        <is>
          <t>avverkningsanmälan</t>
        </is>
      </c>
      <c r="C941" t="inlineStr">
        <is>
          <t>Avverkning för annat ändamål</t>
        </is>
      </c>
      <c r="D941" s="1" t="n">
        <v>46196</v>
      </c>
      <c r="E941" s="1" t="n">
        <v>46227</v>
      </c>
      <c r="F941" t="inlineStr">
        <is>
          <t>VÄSTERBOTTENS LÄN</t>
        </is>
      </c>
      <c r="G941" t="inlineStr">
        <is>
          <t>LYCKSELE</t>
        </is>
      </c>
      <c r="H941" t="inlineStr">
        <is>
          <t>Sveaskog</t>
        </is>
      </c>
      <c r="I941" t="n">
        <v>0.2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t="n">
        <v>0</v>
      </c>
      <c r="S941" t="n">
        <v>0</v>
      </c>
      <c r="T941" t="n">
        <v>0</v>
      </c>
      <c r="U941" t="n">
        <v>0</v>
      </c>
      <c r="V941" s="2" t="inlineStr"/>
    </row>
    <row r="942" ht="15" customHeight="1">
      <c r="A942" t="inlineStr">
        <is>
          <t>A 61506-2021</t>
        </is>
      </c>
      <c r="B942" t="inlineStr">
        <is>
          <t>avverkningsanmälan</t>
        </is>
      </c>
      <c r="C942" t="inlineStr">
        <is>
          <t>Föryngringsavverkning</t>
        </is>
      </c>
      <c r="D942" s="1" t="n">
        <v>44501</v>
      </c>
      <c r="E942" s="1" t="n">
        <v>46227</v>
      </c>
      <c r="F942" t="inlineStr">
        <is>
          <t>VÄSTERBOTTENS LÄN</t>
        </is>
      </c>
      <c r="G942" t="inlineStr">
        <is>
          <t>LYCKSELE</t>
        </is>
      </c>
      <c r="H942" t="inlineStr">
        <is>
          <t>Sveaskog</t>
        </is>
      </c>
      <c r="I942" t="n">
        <v>6.4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t="n">
        <v>0</v>
      </c>
      <c r="S942" t="n">
        <v>0</v>
      </c>
      <c r="T942" t="n">
        <v>0</v>
      </c>
      <c r="U942" t="n">
        <v>0</v>
      </c>
      <c r="V942" s="2" t="inlineStr"/>
    </row>
    <row r="943" ht="15" customHeight="1">
      <c r="A943" t="inlineStr">
        <is>
          <t>A 42216-2022</t>
        </is>
      </c>
      <c r="B943" t="inlineStr">
        <is>
          <t>avverkningsanmälan</t>
        </is>
      </c>
      <c r="C943" t="inlineStr">
        <is>
          <t>Föryngringsavverkning</t>
        </is>
      </c>
      <c r="D943" s="1" t="n">
        <v>44830</v>
      </c>
      <c r="E943" s="1" t="n">
        <v>46227</v>
      </c>
      <c r="F943" t="inlineStr">
        <is>
          <t>VÄSTERBOTTENS LÄN</t>
        </is>
      </c>
      <c r="G943" t="inlineStr">
        <is>
          <t>LYCKSELE</t>
        </is>
      </c>
      <c r="I943" t="n">
        <v>15.9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t="n">
        <v>0</v>
      </c>
      <c r="S943" t="n">
        <v>0</v>
      </c>
      <c r="T943" t="n">
        <v>0</v>
      </c>
      <c r="U943" t="n">
        <v>0</v>
      </c>
      <c r="V943" s="2" t="inlineStr"/>
    </row>
    <row r="944" ht="15" customHeight="1">
      <c r="A944" t="inlineStr">
        <is>
          <t>A 40115-2024</t>
        </is>
      </c>
      <c r="B944" t="inlineStr">
        <is>
          <t>avverkningsanmälan</t>
        </is>
      </c>
      <c r="C944" t="inlineStr">
        <is>
          <t>Föryngringsavverkning</t>
        </is>
      </c>
      <c r="D944" s="1" t="n">
        <v>45554</v>
      </c>
      <c r="E944" s="1" t="n">
        <v>46227</v>
      </c>
      <c r="F944" t="inlineStr">
        <is>
          <t>VÄSTERBOTTENS LÄN</t>
        </is>
      </c>
      <c r="G944" t="inlineStr">
        <is>
          <t>LYCKSELE</t>
        </is>
      </c>
      <c r="I944" t="n">
        <v>3.4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t="n">
        <v>0</v>
      </c>
      <c r="S944" t="n">
        <v>0</v>
      </c>
      <c r="T944" t="n">
        <v>0</v>
      </c>
      <c r="U944" t="n">
        <v>0</v>
      </c>
      <c r="V944" s="2" t="inlineStr"/>
    </row>
    <row r="945" ht="15" customHeight="1">
      <c r="A945" t="inlineStr">
        <is>
          <t>A 7063-2022</t>
        </is>
      </c>
      <c r="B945" t="inlineStr">
        <is>
          <t>avverkningsanmälan</t>
        </is>
      </c>
      <c r="C945" t="inlineStr">
        <is>
          <t>Föryngringsavverkning</t>
        </is>
      </c>
      <c r="D945" s="1" t="n">
        <v>44603</v>
      </c>
      <c r="E945" s="1" t="n">
        <v>46227</v>
      </c>
      <c r="F945" t="inlineStr">
        <is>
          <t>VÄSTERBOTTENS LÄN</t>
        </is>
      </c>
      <c r="G945" t="inlineStr">
        <is>
          <t>LYCKSELE</t>
        </is>
      </c>
      <c r="I945" t="n">
        <v>14.2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t="n">
        <v>0</v>
      </c>
      <c r="S945" t="n">
        <v>0</v>
      </c>
      <c r="T945" t="n">
        <v>0</v>
      </c>
      <c r="U945" t="n">
        <v>0</v>
      </c>
      <c r="V945" s="2" t="inlineStr"/>
    </row>
    <row r="946" ht="15" customHeight="1">
      <c r="A946" t="inlineStr">
        <is>
          <t>A 41497-2021</t>
        </is>
      </c>
      <c r="B946" t="inlineStr">
        <is>
          <t>avverkningsanmälan</t>
        </is>
      </c>
      <c r="C946" t="inlineStr">
        <is>
          <t>Föryngringsavverkning</t>
        </is>
      </c>
      <c r="D946" s="1" t="n">
        <v>44424</v>
      </c>
      <c r="E946" s="1" t="n">
        <v>46227</v>
      </c>
      <c r="F946" t="inlineStr">
        <is>
          <t>VÄSTERBOTTENS LÄN</t>
        </is>
      </c>
      <c r="G946" t="inlineStr">
        <is>
          <t>LYCKSELE</t>
        </is>
      </c>
      <c r="H946" t="inlineStr">
        <is>
          <t>SCA</t>
        </is>
      </c>
      <c r="I946" t="n">
        <v>2.4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t="n">
        <v>0</v>
      </c>
      <c r="S946" t="n">
        <v>0</v>
      </c>
      <c r="T946" t="n">
        <v>0</v>
      </c>
      <c r="U946" t="n">
        <v>0</v>
      </c>
      <c r="V946" s="2" t="inlineStr"/>
    </row>
    <row r="947" ht="15" customHeight="1">
      <c r="A947" t="inlineStr">
        <is>
          <t>A 29719-2026</t>
        </is>
      </c>
      <c r="B947" t="inlineStr">
        <is>
          <t>avverkningsanmälan</t>
        </is>
      </c>
      <c r="C947" t="inlineStr">
        <is>
          <t>Föryngringsavverkning</t>
        </is>
      </c>
      <c r="D947" s="1" t="n">
        <v>46204</v>
      </c>
      <c r="E947" s="1" t="n">
        <v>46227</v>
      </c>
      <c r="F947" t="inlineStr">
        <is>
          <t>VÄSTERBOTTENS LÄN</t>
        </is>
      </c>
      <c r="G947" t="inlineStr">
        <is>
          <t>LYCKSELE</t>
        </is>
      </c>
      <c r="I947" t="n">
        <v>1.8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t="n">
        <v>0</v>
      </c>
      <c r="S947" t="n">
        <v>0</v>
      </c>
      <c r="T947" t="n">
        <v>0</v>
      </c>
      <c r="U947" t="n">
        <v>0</v>
      </c>
      <c r="V947" s="2" t="inlineStr"/>
    </row>
    <row r="948" ht="15" customHeight="1">
      <c r="A948" t="inlineStr">
        <is>
          <t>A 29706-2026</t>
        </is>
      </c>
      <c r="B948" t="inlineStr">
        <is>
          <t>avverkningsanmälan</t>
        </is>
      </c>
      <c r="C948" t="inlineStr">
        <is>
          <t>Avverkning för annat ändamål</t>
        </is>
      </c>
      <c r="D948" s="1" t="n">
        <v>46204</v>
      </c>
      <c r="E948" s="1" t="n">
        <v>46227</v>
      </c>
      <c r="F948" t="inlineStr">
        <is>
          <t>VÄSTERBOTTENS LÄN</t>
        </is>
      </c>
      <c r="G948" t="inlineStr">
        <is>
          <t>LYCKSELE</t>
        </is>
      </c>
      <c r="I948" t="n">
        <v>2.2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t="n">
        <v>0</v>
      </c>
      <c r="S948" t="n">
        <v>0</v>
      </c>
      <c r="T948" t="n">
        <v>0</v>
      </c>
      <c r="U948" t="n">
        <v>0</v>
      </c>
      <c r="V948" s="2" t="inlineStr"/>
    </row>
    <row r="949" ht="15" customHeight="1">
      <c r="A949" t="inlineStr">
        <is>
          <t>A 59174-2024</t>
        </is>
      </c>
      <c r="B949" t="inlineStr">
        <is>
          <t>avverkningsanmälan</t>
        </is>
      </c>
      <c r="C949" t="inlineStr">
        <is>
          <t>Föryngringsavverkning</t>
        </is>
      </c>
      <c r="D949" s="1" t="n">
        <v>45637</v>
      </c>
      <c r="E949" s="1" t="n">
        <v>46227</v>
      </c>
      <c r="F949" t="inlineStr">
        <is>
          <t>VÄSTERBOTTENS LÄN</t>
        </is>
      </c>
      <c r="G949" t="inlineStr">
        <is>
          <t>LYCKSELE</t>
        </is>
      </c>
      <c r="I949" t="n">
        <v>1.5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t="n">
        <v>0</v>
      </c>
      <c r="S949" t="n">
        <v>0</v>
      </c>
      <c r="T949" t="n">
        <v>0</v>
      </c>
      <c r="U949" t="n">
        <v>0</v>
      </c>
      <c r="V949" s="2" t="inlineStr"/>
    </row>
    <row r="950" ht="15" customHeight="1">
      <c r="A950" t="inlineStr">
        <is>
          <t>A 53369-2022</t>
        </is>
      </c>
      <c r="B950" t="inlineStr">
        <is>
          <t>avverkningsanmälan</t>
        </is>
      </c>
      <c r="C950" t="inlineStr">
        <is>
          <t>Föryngringsavverkning</t>
        </is>
      </c>
      <c r="D950" s="1" t="n">
        <v>44874</v>
      </c>
      <c r="E950" s="1" t="n">
        <v>46227</v>
      </c>
      <c r="F950" t="inlineStr">
        <is>
          <t>VÄSTERBOTTENS LÄN</t>
        </is>
      </c>
      <c r="G950" t="inlineStr">
        <is>
          <t>LYCKSELE</t>
        </is>
      </c>
      <c r="I950" t="n">
        <v>9.1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t="n">
        <v>0</v>
      </c>
      <c r="S950" t="n">
        <v>0</v>
      </c>
      <c r="T950" t="n">
        <v>0</v>
      </c>
      <c r="U950" t="n">
        <v>0</v>
      </c>
      <c r="V950" s="2" t="inlineStr"/>
    </row>
    <row r="951" ht="15" customHeight="1">
      <c r="A951" t="inlineStr">
        <is>
          <t>A 29425-2026</t>
        </is>
      </c>
      <c r="B951" t="inlineStr">
        <is>
          <t>avverkningsanmälan</t>
        </is>
      </c>
      <c r="C951" t="inlineStr">
        <is>
          <t>Avverkning för annat ändamål</t>
        </is>
      </c>
      <c r="D951" s="1" t="n">
        <v>46203</v>
      </c>
      <c r="E951" s="1" t="n">
        <v>46227</v>
      </c>
      <c r="F951" t="inlineStr">
        <is>
          <t>VÄSTERBOTTENS LÄN</t>
        </is>
      </c>
      <c r="G951" t="inlineStr">
        <is>
          <t>LYCKSELE</t>
        </is>
      </c>
      <c r="I951" t="n">
        <v>2.2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t="n">
        <v>0</v>
      </c>
      <c r="S951" t="n">
        <v>0</v>
      </c>
      <c r="T951" t="n">
        <v>0</v>
      </c>
      <c r="U951" t="n">
        <v>0</v>
      </c>
      <c r="V951" s="2" t="inlineStr"/>
    </row>
    <row r="952" ht="15" customHeight="1">
      <c r="A952" t="inlineStr">
        <is>
          <t>A 23274-2026</t>
        </is>
      </c>
      <c r="B952" t="inlineStr">
        <is>
          <t>avverkningsanmälan</t>
        </is>
      </c>
      <c r="C952" t="inlineStr">
        <is>
          <t>Föryngringsavverkning</t>
        </is>
      </c>
      <c r="D952" s="1" t="n">
        <v>46162</v>
      </c>
      <c r="E952" s="1" t="n">
        <v>46227</v>
      </c>
      <c r="F952" t="inlineStr">
        <is>
          <t>VÄSTERBOTTENS LÄN</t>
        </is>
      </c>
      <c r="G952" t="inlineStr">
        <is>
          <t>LYCKSELE</t>
        </is>
      </c>
      <c r="H952" t="inlineStr">
        <is>
          <t>Holmen skog AB</t>
        </is>
      </c>
      <c r="I952" t="n">
        <v>4.7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t="n">
        <v>0</v>
      </c>
      <c r="S952" t="n">
        <v>0</v>
      </c>
      <c r="T952" t="n">
        <v>0</v>
      </c>
      <c r="U952" t="n">
        <v>0</v>
      </c>
      <c r="V952" s="2" t="inlineStr"/>
    </row>
    <row r="953" ht="15" customHeight="1">
      <c r="A953" t="inlineStr">
        <is>
          <t>A 56343-2022</t>
        </is>
      </c>
      <c r="B953" t="inlineStr">
        <is>
          <t>avverkningsanmälan</t>
        </is>
      </c>
      <c r="C953" t="inlineStr">
        <is>
          <t>Avverkning för annat ändamål</t>
        </is>
      </c>
      <c r="D953" s="1" t="n">
        <v>44890</v>
      </c>
      <c r="E953" s="1" t="n">
        <v>46227</v>
      </c>
      <c r="F953" t="inlineStr">
        <is>
          <t>VÄSTERBOTTENS LÄN</t>
        </is>
      </c>
      <c r="G953" t="inlineStr">
        <is>
          <t>LYCKSELE</t>
        </is>
      </c>
      <c r="H953" t="inlineStr">
        <is>
          <t>Sveaskog</t>
        </is>
      </c>
      <c r="I953" t="n">
        <v>0.5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t="n">
        <v>0</v>
      </c>
      <c r="S953" t="n">
        <v>0</v>
      </c>
      <c r="T953" t="n">
        <v>0</v>
      </c>
      <c r="U953" t="n">
        <v>0</v>
      </c>
      <c r="V953" s="2" t="inlineStr"/>
    </row>
    <row r="954" ht="15" customHeight="1">
      <c r="A954" t="inlineStr">
        <is>
          <t>A 29395-2026</t>
        </is>
      </c>
      <c r="B954" t="inlineStr">
        <is>
          <t>avverkningsanmälan</t>
        </is>
      </c>
      <c r="C954" t="inlineStr">
        <is>
          <t>Föryngringsavverkning</t>
        </is>
      </c>
      <c r="D954" s="1" t="n">
        <v>46203</v>
      </c>
      <c r="E954" s="1" t="n">
        <v>46227</v>
      </c>
      <c r="F954" t="inlineStr">
        <is>
          <t>VÄSTERBOTTENS LÄN</t>
        </is>
      </c>
      <c r="G954" t="inlineStr">
        <is>
          <t>LYCKSELE</t>
        </is>
      </c>
      <c r="I954" t="n">
        <v>4.3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t="n">
        <v>0</v>
      </c>
      <c r="S954" t="n">
        <v>0</v>
      </c>
      <c r="T954" t="n">
        <v>0</v>
      </c>
      <c r="U954" t="n">
        <v>0</v>
      </c>
      <c r="V954" s="2" t="inlineStr"/>
    </row>
    <row r="955" ht="15" customHeight="1">
      <c r="A955" t="inlineStr">
        <is>
          <t>A 29424-2026</t>
        </is>
      </c>
      <c r="B955" t="inlineStr">
        <is>
          <t>avverkningsanmälan</t>
        </is>
      </c>
      <c r="C955" t="inlineStr">
        <is>
          <t>Avverkning för annat ändamål</t>
        </is>
      </c>
      <c r="D955" s="1" t="n">
        <v>46203</v>
      </c>
      <c r="E955" s="1" t="n">
        <v>46227</v>
      </c>
      <c r="F955" t="inlineStr">
        <is>
          <t>VÄSTERBOTTENS LÄN</t>
        </is>
      </c>
      <c r="G955" t="inlineStr">
        <is>
          <t>LYCKSELE</t>
        </is>
      </c>
      <c r="I955" t="n">
        <v>7.1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t="n">
        <v>0</v>
      </c>
      <c r="S955" t="n">
        <v>0</v>
      </c>
      <c r="T955" t="n">
        <v>0</v>
      </c>
      <c r="U955" t="n">
        <v>0</v>
      </c>
      <c r="V955" s="2" t="inlineStr"/>
    </row>
    <row r="956" ht="15" customHeight="1">
      <c r="A956" t="inlineStr">
        <is>
          <t>A 23391-2026</t>
        </is>
      </c>
      <c r="B956" t="inlineStr">
        <is>
          <t>avverkningsanmälan</t>
        </is>
      </c>
      <c r="C956" t="inlineStr">
        <is>
          <t>Föryngringsavverkning</t>
        </is>
      </c>
      <c r="D956" s="1" t="n">
        <v>46162</v>
      </c>
      <c r="E956" s="1" t="n">
        <v>46227</v>
      </c>
      <c r="F956" t="inlineStr">
        <is>
          <t>VÄSTERBOTTENS LÄN</t>
        </is>
      </c>
      <c r="G956" t="inlineStr">
        <is>
          <t>LYCKSELE</t>
        </is>
      </c>
      <c r="H956" t="inlineStr">
        <is>
          <t>Holmen skog AB</t>
        </is>
      </c>
      <c r="I956" t="n">
        <v>10.2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t="n">
        <v>0</v>
      </c>
      <c r="S956" t="n">
        <v>0</v>
      </c>
      <c r="T956" t="n">
        <v>0</v>
      </c>
      <c r="U956" t="n">
        <v>0</v>
      </c>
      <c r="V956" s="2" t="inlineStr"/>
    </row>
    <row r="957" ht="15" customHeight="1">
      <c r="A957" t="inlineStr">
        <is>
          <t>A 29730-2026</t>
        </is>
      </c>
      <c r="B957" t="inlineStr">
        <is>
          <t>avverkningsanmälan</t>
        </is>
      </c>
      <c r="C957" t="inlineStr">
        <is>
          <t>Föryngringsavverkning</t>
        </is>
      </c>
      <c r="D957" s="1" t="n">
        <v>46204</v>
      </c>
      <c r="E957" s="1" t="n">
        <v>46227</v>
      </c>
      <c r="F957" t="inlineStr">
        <is>
          <t>VÄSTERBOTTENS LÄN</t>
        </is>
      </c>
      <c r="G957" t="inlineStr">
        <is>
          <t>LYCKSELE</t>
        </is>
      </c>
      <c r="I957" t="n">
        <v>4.7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t="n">
        <v>0</v>
      </c>
      <c r="S957" t="n">
        <v>0</v>
      </c>
      <c r="T957" t="n">
        <v>0</v>
      </c>
      <c r="U957" t="n">
        <v>0</v>
      </c>
      <c r="V957" s="2" t="inlineStr"/>
    </row>
    <row r="958" ht="15" customHeight="1">
      <c r="A958" t="inlineStr">
        <is>
          <t>A 41756-2024</t>
        </is>
      </c>
      <c r="B958" t="inlineStr">
        <is>
          <t>avverkningsanmälan</t>
        </is>
      </c>
      <c r="C958" t="inlineStr">
        <is>
          <t>Föryngringsavverkning</t>
        </is>
      </c>
      <c r="D958" s="1" t="n">
        <v>45561</v>
      </c>
      <c r="E958" s="1" t="n">
        <v>46227</v>
      </c>
      <c r="F958" t="inlineStr">
        <is>
          <t>VÄSTERBOTTENS LÄN</t>
        </is>
      </c>
      <c r="G958" t="inlineStr">
        <is>
          <t>LYCKSELE</t>
        </is>
      </c>
      <c r="H958" t="inlineStr">
        <is>
          <t>Sveaskog</t>
        </is>
      </c>
      <c r="I958" t="n">
        <v>4.8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t="n">
        <v>0</v>
      </c>
      <c r="S958" t="n">
        <v>0</v>
      </c>
      <c r="T958" t="n">
        <v>0</v>
      </c>
      <c r="U958" t="n">
        <v>0</v>
      </c>
      <c r="V958" s="2" t="inlineStr"/>
    </row>
    <row r="959" ht="15" customHeight="1">
      <c r="A959" t="inlineStr">
        <is>
          <t>A 45559-2022</t>
        </is>
      </c>
      <c r="B959" t="inlineStr">
        <is>
          <t>avverkningsanmälan</t>
        </is>
      </c>
      <c r="C959" t="inlineStr">
        <is>
          <t>Föryngringsavverkning</t>
        </is>
      </c>
      <c r="D959" s="1" t="n">
        <v>44845</v>
      </c>
      <c r="E959" s="1" t="n">
        <v>46227</v>
      </c>
      <c r="F959" t="inlineStr">
        <is>
          <t>VÄSTERBOTTENS LÄN</t>
        </is>
      </c>
      <c r="G959" t="inlineStr">
        <is>
          <t>LYCKSELE</t>
        </is>
      </c>
      <c r="I959" t="n">
        <v>17.8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t="n">
        <v>0</v>
      </c>
      <c r="S959" t="n">
        <v>0</v>
      </c>
      <c r="T959" t="n">
        <v>0</v>
      </c>
      <c r="U959" t="n">
        <v>0</v>
      </c>
      <c r="V959" s="2" t="inlineStr"/>
    </row>
    <row r="960" ht="15" customHeight="1">
      <c r="A960" t="inlineStr">
        <is>
          <t>A 51842-2025</t>
        </is>
      </c>
      <c r="B960" t="inlineStr">
        <is>
          <t>avverkningsanmälan</t>
        </is>
      </c>
      <c r="C960" t="inlineStr">
        <is>
          <t>Föryngringsavverkning</t>
        </is>
      </c>
      <c r="D960" s="1" t="n">
        <v>45952</v>
      </c>
      <c r="E960" s="1" t="n">
        <v>46227</v>
      </c>
      <c r="F960" t="inlineStr">
        <is>
          <t>VÄSTERBOTTENS LÄN</t>
        </is>
      </c>
      <c r="G960" t="inlineStr">
        <is>
          <t>LYCKSELE</t>
        </is>
      </c>
      <c r="I960" t="n">
        <v>4.6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t="n">
        <v>0</v>
      </c>
      <c r="S960" t="n">
        <v>0</v>
      </c>
      <c r="T960" t="n">
        <v>0</v>
      </c>
      <c r="U960" t="n">
        <v>0</v>
      </c>
      <c r="V960" s="2" t="inlineStr"/>
    </row>
    <row r="961" ht="15" customHeight="1">
      <c r="A961" t="inlineStr">
        <is>
          <t>A 41358-2022</t>
        </is>
      </c>
      <c r="B961" t="inlineStr">
        <is>
          <t>avverkningsanmälan</t>
        </is>
      </c>
      <c r="C961" t="inlineStr">
        <is>
          <t>Föryngringsavverkning</t>
        </is>
      </c>
      <c r="D961" s="1" t="n">
        <v>44826</v>
      </c>
      <c r="E961" s="1" t="n">
        <v>46227</v>
      </c>
      <c r="F961" t="inlineStr">
        <is>
          <t>VÄSTERBOTTENS LÄN</t>
        </is>
      </c>
      <c r="G961" t="inlineStr">
        <is>
          <t>LYCKSELE</t>
        </is>
      </c>
      <c r="I961" t="n">
        <v>6.2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t="n">
        <v>0</v>
      </c>
      <c r="S961" t="n">
        <v>0</v>
      </c>
      <c r="T961" t="n">
        <v>0</v>
      </c>
      <c r="U961" t="n">
        <v>0</v>
      </c>
      <c r="V961" s="2" t="inlineStr"/>
    </row>
    <row r="962" ht="15" customHeight="1">
      <c r="A962" t="inlineStr">
        <is>
          <t>A 29436-2026</t>
        </is>
      </c>
      <c r="B962" t="inlineStr">
        <is>
          <t>avverkningsanmälan</t>
        </is>
      </c>
      <c r="C962" t="inlineStr">
        <is>
          <t>Avverkning för annat ändamål</t>
        </is>
      </c>
      <c r="D962" s="1" t="n">
        <v>46203</v>
      </c>
      <c r="E962" s="1" t="n">
        <v>46227</v>
      </c>
      <c r="F962" t="inlineStr">
        <is>
          <t>VÄSTERBOTTENS LÄN</t>
        </is>
      </c>
      <c r="G962" t="inlineStr">
        <is>
          <t>LYCKSELE</t>
        </is>
      </c>
      <c r="I962" t="n">
        <v>3.4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t="n">
        <v>0</v>
      </c>
      <c r="S962" t="n">
        <v>0</v>
      </c>
      <c r="T962" t="n">
        <v>0</v>
      </c>
      <c r="U962" t="n">
        <v>0</v>
      </c>
      <c r="V962" s="2" t="inlineStr"/>
    </row>
    <row r="963" ht="15" customHeight="1">
      <c r="A963" t="inlineStr">
        <is>
          <t>A 2576-2022</t>
        </is>
      </c>
      <c r="B963" t="inlineStr">
        <is>
          <t>avverkningsanmälan</t>
        </is>
      </c>
      <c r="C963" t="inlineStr">
        <is>
          <t>Föryngringsavverkning</t>
        </is>
      </c>
      <c r="D963" s="1" t="n">
        <v>44580</v>
      </c>
      <c r="E963" s="1" t="n">
        <v>46227</v>
      </c>
      <c r="F963" t="inlineStr">
        <is>
          <t>VÄSTERBOTTENS LÄN</t>
        </is>
      </c>
      <c r="G963" t="inlineStr">
        <is>
          <t>LYCKSELE</t>
        </is>
      </c>
      <c r="I963" t="n">
        <v>0.5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t="n">
        <v>0</v>
      </c>
      <c r="S963" t="n">
        <v>0</v>
      </c>
      <c r="T963" t="n">
        <v>0</v>
      </c>
      <c r="U963" t="n">
        <v>0</v>
      </c>
      <c r="V963" s="2" t="inlineStr"/>
    </row>
    <row r="964" ht="15" customHeight="1">
      <c r="A964" t="inlineStr">
        <is>
          <t>A 54167-2022</t>
        </is>
      </c>
      <c r="B964" t="inlineStr">
        <is>
          <t>avverkningsanmälan</t>
        </is>
      </c>
      <c r="C964" t="inlineStr">
        <is>
          <t>Föryngringsavverkning</t>
        </is>
      </c>
      <c r="D964" s="1" t="n">
        <v>44881</v>
      </c>
      <c r="E964" s="1" t="n">
        <v>46227</v>
      </c>
      <c r="F964" t="inlineStr">
        <is>
          <t>VÄSTERBOTTENS LÄN</t>
        </is>
      </c>
      <c r="G964" t="inlineStr">
        <is>
          <t>LYCKSELE</t>
        </is>
      </c>
      <c r="I964" t="n">
        <v>11.3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t="n">
        <v>0</v>
      </c>
      <c r="S964" t="n">
        <v>0</v>
      </c>
      <c r="T964" t="n">
        <v>0</v>
      </c>
      <c r="U964" t="n">
        <v>0</v>
      </c>
      <c r="V964" s="2" t="inlineStr"/>
    </row>
    <row r="965" ht="15" customHeight="1">
      <c r="A965" t="inlineStr">
        <is>
          <t>A 37391-2024</t>
        </is>
      </c>
      <c r="B965" t="inlineStr">
        <is>
          <t>avverkningsanmälan</t>
        </is>
      </c>
      <c r="C965" t="inlineStr">
        <is>
          <t>Föryngringsavverkning</t>
        </is>
      </c>
      <c r="D965" s="1" t="n">
        <v>45540</v>
      </c>
      <c r="E965" s="1" t="n">
        <v>46227</v>
      </c>
      <c r="F965" t="inlineStr">
        <is>
          <t>VÄSTERBOTTENS LÄN</t>
        </is>
      </c>
      <c r="G965" t="inlineStr">
        <is>
          <t>LYCKSELE</t>
        </is>
      </c>
      <c r="H965" t="inlineStr">
        <is>
          <t>SCA</t>
        </is>
      </c>
      <c r="I965" t="n">
        <v>6.7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t="n">
        <v>0</v>
      </c>
      <c r="S965" t="n">
        <v>0</v>
      </c>
      <c r="T965" t="n">
        <v>0</v>
      </c>
      <c r="U965" t="n">
        <v>0</v>
      </c>
      <c r="V965" s="2" t="inlineStr"/>
    </row>
    <row r="966" ht="15" customHeight="1">
      <c r="A966" t="inlineStr">
        <is>
          <t>A 29904-2026</t>
        </is>
      </c>
      <c r="B966" t="inlineStr">
        <is>
          <t>avverkningsanmälan</t>
        </is>
      </c>
      <c r="C966" t="inlineStr">
        <is>
          <t>Föryngringsavverkning</t>
        </is>
      </c>
      <c r="D966" s="1" t="n">
        <v>46205</v>
      </c>
      <c r="E966" s="1" t="n">
        <v>46227</v>
      </c>
      <c r="F966" t="inlineStr">
        <is>
          <t>VÄSTERBOTTENS LÄN</t>
        </is>
      </c>
      <c r="G966" t="inlineStr">
        <is>
          <t>LYCKSELE</t>
        </is>
      </c>
      <c r="H966" t="inlineStr">
        <is>
          <t>Holmen skog AB</t>
        </is>
      </c>
      <c r="I966" t="n">
        <v>3.4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t="n">
        <v>0</v>
      </c>
      <c r="S966" t="n">
        <v>0</v>
      </c>
      <c r="T966" t="n">
        <v>0</v>
      </c>
      <c r="U966" t="n">
        <v>0</v>
      </c>
      <c r="V966" s="2" t="inlineStr"/>
    </row>
    <row r="967" ht="15" customHeight="1">
      <c r="A967" t="inlineStr">
        <is>
          <t>A 29852-2026</t>
        </is>
      </c>
      <c r="B967" t="inlineStr">
        <is>
          <t>avverkningsanmälan</t>
        </is>
      </c>
      <c r="C967" t="inlineStr">
        <is>
          <t>Föryngringsavverkning</t>
        </is>
      </c>
      <c r="D967" s="1" t="n">
        <v>46205</v>
      </c>
      <c r="E967" s="1" t="n">
        <v>46227</v>
      </c>
      <c r="F967" t="inlineStr">
        <is>
          <t>VÄSTERBOTTENS LÄN</t>
        </is>
      </c>
      <c r="G967" t="inlineStr">
        <is>
          <t>LYCKSELE</t>
        </is>
      </c>
      <c r="H967" t="inlineStr">
        <is>
          <t>Sveaskog</t>
        </is>
      </c>
      <c r="I967" t="n">
        <v>13.4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t="n">
        <v>0</v>
      </c>
      <c r="S967" t="n">
        <v>0</v>
      </c>
      <c r="T967" t="n">
        <v>0</v>
      </c>
      <c r="U967" t="n">
        <v>0</v>
      </c>
      <c r="V967" s="2" t="inlineStr"/>
    </row>
    <row r="968" ht="15" customHeight="1">
      <c r="A968" t="inlineStr">
        <is>
          <t>A 29823-2026</t>
        </is>
      </c>
      <c r="B968" t="inlineStr">
        <is>
          <t>avverkningsanmälan</t>
        </is>
      </c>
      <c r="C968" t="inlineStr">
        <is>
          <t>Föryngringsavverkning</t>
        </is>
      </c>
      <c r="D968" s="1" t="n">
        <v>46205</v>
      </c>
      <c r="E968" s="1" t="n">
        <v>46227</v>
      </c>
      <c r="F968" t="inlineStr">
        <is>
          <t>VÄSTERBOTTENS LÄN</t>
        </is>
      </c>
      <c r="G968" t="inlineStr">
        <is>
          <t>LYCKSELE</t>
        </is>
      </c>
      <c r="H968" t="inlineStr">
        <is>
          <t>Sveaskog</t>
        </is>
      </c>
      <c r="I968" t="n">
        <v>5.8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t="n">
        <v>0</v>
      </c>
      <c r="S968" t="n">
        <v>0</v>
      </c>
      <c r="T968" t="n">
        <v>0</v>
      </c>
      <c r="U968" t="n">
        <v>0</v>
      </c>
      <c r="V968" s="2" t="inlineStr"/>
    </row>
    <row r="969" ht="15" customHeight="1">
      <c r="A969" t="inlineStr">
        <is>
          <t>A 29836-2026</t>
        </is>
      </c>
      <c r="B969" t="inlineStr">
        <is>
          <t>avverkningsanmälan</t>
        </is>
      </c>
      <c r="C969" t="inlineStr">
        <is>
          <t>Föryngringsavverkning</t>
        </is>
      </c>
      <c r="D969" s="1" t="n">
        <v>46205</v>
      </c>
      <c r="E969" s="1" t="n">
        <v>46227</v>
      </c>
      <c r="F969" t="inlineStr">
        <is>
          <t>VÄSTERBOTTENS LÄN</t>
        </is>
      </c>
      <c r="G969" t="inlineStr">
        <is>
          <t>LYCKSELE</t>
        </is>
      </c>
      <c r="H969" t="inlineStr">
        <is>
          <t>Sveaskog</t>
        </is>
      </c>
      <c r="I969" t="n">
        <v>8.6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t="n">
        <v>0</v>
      </c>
      <c r="S969" t="n">
        <v>0</v>
      </c>
      <c r="T969" t="n">
        <v>0</v>
      </c>
      <c r="U969" t="n">
        <v>0</v>
      </c>
      <c r="V969" s="2" t="inlineStr"/>
    </row>
    <row r="970" ht="15" customHeight="1">
      <c r="A970" t="inlineStr">
        <is>
          <t>A 29839-2026</t>
        </is>
      </c>
      <c r="B970" t="inlineStr">
        <is>
          <t>avverkningsanmälan</t>
        </is>
      </c>
      <c r="C970" t="inlineStr">
        <is>
          <t>Föryngringsavverkning</t>
        </is>
      </c>
      <c r="D970" s="1" t="n">
        <v>46205</v>
      </c>
      <c r="E970" s="1" t="n">
        <v>46227</v>
      </c>
      <c r="F970" t="inlineStr">
        <is>
          <t>VÄSTERBOTTENS LÄN</t>
        </is>
      </c>
      <c r="G970" t="inlineStr">
        <is>
          <t>LYCKSELE</t>
        </is>
      </c>
      <c r="H970" t="inlineStr">
        <is>
          <t>Sveaskog</t>
        </is>
      </c>
      <c r="I970" t="n">
        <v>5.9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t="n">
        <v>0</v>
      </c>
      <c r="S970" t="n">
        <v>0</v>
      </c>
      <c r="T970" t="n">
        <v>0</v>
      </c>
      <c r="U970" t="n">
        <v>0</v>
      </c>
      <c r="V970" s="2" t="inlineStr"/>
    </row>
    <row r="971" ht="15" customHeight="1">
      <c r="A971" t="inlineStr">
        <is>
          <t>A 29844-2026</t>
        </is>
      </c>
      <c r="B971" t="inlineStr">
        <is>
          <t>avverkningsanmälan</t>
        </is>
      </c>
      <c r="C971" t="inlineStr">
        <is>
          <t>Föryngringsavverkning</t>
        </is>
      </c>
      <c r="D971" s="1" t="n">
        <v>46205</v>
      </c>
      <c r="E971" s="1" t="n">
        <v>46227</v>
      </c>
      <c r="F971" t="inlineStr">
        <is>
          <t>VÄSTERBOTTENS LÄN</t>
        </is>
      </c>
      <c r="G971" t="inlineStr">
        <is>
          <t>LYCKSELE</t>
        </is>
      </c>
      <c r="H971" t="inlineStr">
        <is>
          <t>Sveaskog</t>
        </is>
      </c>
      <c r="I971" t="n">
        <v>3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t="n">
        <v>0</v>
      </c>
      <c r="S971" t="n">
        <v>0</v>
      </c>
      <c r="T971" t="n">
        <v>0</v>
      </c>
      <c r="U971" t="n">
        <v>0</v>
      </c>
      <c r="V971" s="2" t="inlineStr"/>
    </row>
    <row r="972" ht="15" customHeight="1">
      <c r="A972" t="inlineStr">
        <is>
          <t>A 29841-2026</t>
        </is>
      </c>
      <c r="B972" t="inlineStr">
        <is>
          <t>avverkningsanmälan</t>
        </is>
      </c>
      <c r="C972" t="inlineStr">
        <is>
          <t>Föryngringsavverkning</t>
        </is>
      </c>
      <c r="D972" s="1" t="n">
        <v>46205</v>
      </c>
      <c r="E972" s="1" t="n">
        <v>46227</v>
      </c>
      <c r="F972" t="inlineStr">
        <is>
          <t>VÄSTERBOTTENS LÄN</t>
        </is>
      </c>
      <c r="G972" t="inlineStr">
        <is>
          <t>LYCKSELE</t>
        </is>
      </c>
      <c r="H972" t="inlineStr">
        <is>
          <t>Sveaskog</t>
        </is>
      </c>
      <c r="I972" t="n">
        <v>2.6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t="n">
        <v>0</v>
      </c>
      <c r="S972" t="n">
        <v>0</v>
      </c>
      <c r="T972" t="n">
        <v>0</v>
      </c>
      <c r="U972" t="n">
        <v>0</v>
      </c>
      <c r="V972" s="2" t="inlineStr"/>
    </row>
    <row r="973" ht="15" customHeight="1">
      <c r="A973" t="inlineStr">
        <is>
          <t>A 1746-2026</t>
        </is>
      </c>
      <c r="B973" t="inlineStr">
        <is>
          <t>avverkningsanmälan</t>
        </is>
      </c>
      <c r="C973" t="inlineStr">
        <is>
          <t>Föryngringsavverkning</t>
        </is>
      </c>
      <c r="D973" s="1" t="n">
        <v>46034</v>
      </c>
      <c r="E973" s="1" t="n">
        <v>46227</v>
      </c>
      <c r="F973" t="inlineStr">
        <is>
          <t>VÄSTERBOTTENS LÄN</t>
        </is>
      </c>
      <c r="G973" t="inlineStr">
        <is>
          <t>LYCKSELE</t>
        </is>
      </c>
      <c r="I973" t="n">
        <v>3.1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t="n">
        <v>0</v>
      </c>
      <c r="S973" t="n">
        <v>0</v>
      </c>
      <c r="T973" t="n">
        <v>0</v>
      </c>
      <c r="U973" t="n">
        <v>0</v>
      </c>
      <c r="V973" s="2" t="inlineStr"/>
    </row>
    <row r="974" ht="15" customHeight="1">
      <c r="A974" t="inlineStr">
        <is>
          <t>A 15046-2023</t>
        </is>
      </c>
      <c r="B974" t="inlineStr">
        <is>
          <t>avverkningsanmälan</t>
        </is>
      </c>
      <c r="C974" t="inlineStr">
        <is>
          <t>Föryngringsavverkning</t>
        </is>
      </c>
      <c r="D974" s="1" t="n">
        <v>45015</v>
      </c>
      <c r="E974" s="1" t="n">
        <v>46227</v>
      </c>
      <c r="F974" t="inlineStr">
        <is>
          <t>VÄSTERBOTTENS LÄN</t>
        </is>
      </c>
      <c r="G974" t="inlineStr">
        <is>
          <t>LYCKSELE</t>
        </is>
      </c>
      <c r="I974" t="n">
        <v>13.4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t="n">
        <v>0</v>
      </c>
      <c r="S974" t="n">
        <v>0</v>
      </c>
      <c r="T974" t="n">
        <v>0</v>
      </c>
      <c r="U974" t="n">
        <v>0</v>
      </c>
      <c r="V974" s="2" t="inlineStr"/>
    </row>
    <row r="975" ht="15" customHeight="1">
      <c r="A975" t="inlineStr">
        <is>
          <t>A 23356-2026</t>
        </is>
      </c>
      <c r="B975" t="inlineStr">
        <is>
          <t>avverkningsanmälan</t>
        </is>
      </c>
      <c r="C975" t="inlineStr">
        <is>
          <t>Föryngringsavverkning</t>
        </is>
      </c>
      <c r="D975" s="1" t="n">
        <v>46162</v>
      </c>
      <c r="E975" s="1" t="n">
        <v>46227</v>
      </c>
      <c r="F975" t="inlineStr">
        <is>
          <t>VÄSTERBOTTENS LÄN</t>
        </is>
      </c>
      <c r="G975" t="inlineStr">
        <is>
          <t>LYCKSELE</t>
        </is>
      </c>
      <c r="H975" t="inlineStr">
        <is>
          <t>Holmen skog AB</t>
        </is>
      </c>
      <c r="I975" t="n">
        <v>2.9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t="n">
        <v>0</v>
      </c>
      <c r="S975" t="n">
        <v>0</v>
      </c>
      <c r="T975" t="n">
        <v>0</v>
      </c>
      <c r="U975" t="n">
        <v>0</v>
      </c>
      <c r="V975" s="2" t="inlineStr"/>
    </row>
    <row r="976" ht="15" customHeight="1">
      <c r="A976" t="inlineStr">
        <is>
          <t>A 51943-2023</t>
        </is>
      </c>
      <c r="B976" t="inlineStr">
        <is>
          <t>avverkningsanmälan</t>
        </is>
      </c>
      <c r="C976" t="inlineStr">
        <is>
          <t>Föryngringsavverkning</t>
        </is>
      </c>
      <c r="D976" s="1" t="n">
        <v>45223</v>
      </c>
      <c r="E976" s="1" t="n">
        <v>46227</v>
      </c>
      <c r="F976" t="inlineStr">
        <is>
          <t>VÄSTERBOTTENS LÄN</t>
        </is>
      </c>
      <c r="G976" t="inlineStr">
        <is>
          <t>LYCKSELE</t>
        </is>
      </c>
      <c r="I976" t="n">
        <v>4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t="n">
        <v>0</v>
      </c>
      <c r="S976" t="n">
        <v>0</v>
      </c>
      <c r="T976" t="n">
        <v>0</v>
      </c>
      <c r="U976" t="n">
        <v>0</v>
      </c>
      <c r="V976" s="2" t="inlineStr"/>
    </row>
    <row r="977" ht="15" customHeight="1">
      <c r="A977" t="inlineStr">
        <is>
          <t>A 41950-2024</t>
        </is>
      </c>
      <c r="B977" t="inlineStr">
        <is>
          <t>avverkningsanmälan</t>
        </is>
      </c>
      <c r="C977" t="inlineStr">
        <is>
          <t>Föryngringsavverkning</t>
        </is>
      </c>
      <c r="D977" s="1" t="n">
        <v>45561</v>
      </c>
      <c r="E977" s="1" t="n">
        <v>46227</v>
      </c>
      <c r="F977" t="inlineStr">
        <is>
          <t>VÄSTERBOTTENS LÄN</t>
        </is>
      </c>
      <c r="G977" t="inlineStr">
        <is>
          <t>LYCKSELE</t>
        </is>
      </c>
      <c r="H977" t="inlineStr">
        <is>
          <t>Sveaskog</t>
        </is>
      </c>
      <c r="I977" t="n">
        <v>11.8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t="n">
        <v>0</v>
      </c>
      <c r="S977" t="n">
        <v>0</v>
      </c>
      <c r="T977" t="n">
        <v>0</v>
      </c>
      <c r="U977" t="n">
        <v>0</v>
      </c>
      <c r="V977" s="2" t="inlineStr"/>
    </row>
    <row r="978" ht="15" customHeight="1">
      <c r="A978" t="inlineStr">
        <is>
          <t>A 29848-2026</t>
        </is>
      </c>
      <c r="B978" t="inlineStr">
        <is>
          <t>avverkningsanmälan</t>
        </is>
      </c>
      <c r="C978" t="inlineStr">
        <is>
          <t>Föryngringsavverkning</t>
        </is>
      </c>
      <c r="D978" s="1" t="n">
        <v>46205</v>
      </c>
      <c r="E978" s="1" t="n">
        <v>46227</v>
      </c>
      <c r="F978" t="inlineStr">
        <is>
          <t>VÄSTERBOTTENS LÄN</t>
        </is>
      </c>
      <c r="G978" t="inlineStr">
        <is>
          <t>LYCKSELE</t>
        </is>
      </c>
      <c r="H978" t="inlineStr">
        <is>
          <t>Sveaskog</t>
        </is>
      </c>
      <c r="I978" t="n">
        <v>1.4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t="n">
        <v>0</v>
      </c>
      <c r="S978" t="n">
        <v>0</v>
      </c>
      <c r="T978" t="n">
        <v>0</v>
      </c>
      <c r="U978" t="n">
        <v>0</v>
      </c>
      <c r="V978" s="2" t="inlineStr"/>
    </row>
    <row r="979" ht="15" customHeight="1">
      <c r="A979" t="inlineStr">
        <is>
          <t>A 30290-2026</t>
        </is>
      </c>
      <c r="B979" t="inlineStr">
        <is>
          <t>avverkningsanmälan</t>
        </is>
      </c>
      <c r="C979" t="inlineStr">
        <is>
          <t>Föryngringsavverkning</t>
        </is>
      </c>
      <c r="D979" s="1" t="n">
        <v>46206</v>
      </c>
      <c r="E979" s="1" t="n">
        <v>46227</v>
      </c>
      <c r="F979" t="inlineStr">
        <is>
          <t>VÄSTERBOTTENS LÄN</t>
        </is>
      </c>
      <c r="G979" t="inlineStr">
        <is>
          <t>LYCKSELE</t>
        </is>
      </c>
      <c r="I979" t="n">
        <v>3.1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t="n">
        <v>0</v>
      </c>
      <c r="S979" t="n">
        <v>0</v>
      </c>
      <c r="T979" t="n">
        <v>0</v>
      </c>
      <c r="U979" t="n">
        <v>0</v>
      </c>
      <c r="V979" s="2" t="inlineStr"/>
    </row>
    <row r="980" ht="15" customHeight="1">
      <c r="A980" t="inlineStr">
        <is>
          <t>A 15564-2023</t>
        </is>
      </c>
      <c r="B980" t="inlineStr">
        <is>
          <t>avverkningsanmälan</t>
        </is>
      </c>
      <c r="C980" t="inlineStr">
        <is>
          <t>Föryngringsavverkning</t>
        </is>
      </c>
      <c r="D980" s="1" t="n">
        <v>45020</v>
      </c>
      <c r="E980" s="1" t="n">
        <v>46227</v>
      </c>
      <c r="F980" t="inlineStr">
        <is>
          <t>VÄSTERBOTTENS LÄN</t>
        </is>
      </c>
      <c r="G980" t="inlineStr">
        <is>
          <t>LYCKSELE</t>
        </is>
      </c>
      <c r="I980" t="n">
        <v>5.9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t="n">
        <v>0</v>
      </c>
      <c r="S980" t="n">
        <v>0</v>
      </c>
      <c r="T980" t="n">
        <v>0</v>
      </c>
      <c r="U980" t="n">
        <v>0</v>
      </c>
      <c r="V980" s="2" t="inlineStr"/>
    </row>
    <row r="981" ht="15" customHeight="1">
      <c r="A981" t="inlineStr">
        <is>
          <t>A 30288-2026</t>
        </is>
      </c>
      <c r="B981" t="inlineStr">
        <is>
          <t>avverkningsanmälan</t>
        </is>
      </c>
      <c r="C981" t="inlineStr">
        <is>
          <t>Föryngringsavverkning</t>
        </is>
      </c>
      <c r="D981" s="1" t="n">
        <v>46206</v>
      </c>
      <c r="E981" s="1" t="n">
        <v>46227</v>
      </c>
      <c r="F981" t="inlineStr">
        <is>
          <t>VÄSTERBOTTENS LÄN</t>
        </is>
      </c>
      <c r="G981" t="inlineStr">
        <is>
          <t>LYCKSELE</t>
        </is>
      </c>
      <c r="I981" t="n">
        <v>3.7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t="n">
        <v>0</v>
      </c>
      <c r="S981" t="n">
        <v>0</v>
      </c>
      <c r="T981" t="n">
        <v>0</v>
      </c>
      <c r="U981" t="n">
        <v>0</v>
      </c>
      <c r="V981" s="2" t="inlineStr"/>
    </row>
    <row r="982" ht="15" customHeight="1">
      <c r="A982" t="inlineStr">
        <is>
          <t>A 24205-2026</t>
        </is>
      </c>
      <c r="B982" t="inlineStr">
        <is>
          <t>avverkningsanmälan</t>
        </is>
      </c>
      <c r="C982" t="inlineStr">
        <is>
          <t>Föryngringsavverkning</t>
        </is>
      </c>
      <c r="D982" s="1" t="n">
        <v>46168</v>
      </c>
      <c r="E982" s="1" t="n">
        <v>46227</v>
      </c>
      <c r="F982" t="inlineStr">
        <is>
          <t>VÄSTERBOTTENS LÄN</t>
        </is>
      </c>
      <c r="G982" t="inlineStr">
        <is>
          <t>LYCKSELE</t>
        </is>
      </c>
      <c r="I982" t="n">
        <v>1.7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t="n">
        <v>0</v>
      </c>
      <c r="S982" t="n">
        <v>0</v>
      </c>
      <c r="T982" t="n">
        <v>0</v>
      </c>
      <c r="U982" t="n">
        <v>0</v>
      </c>
      <c r="V982" s="2" t="inlineStr"/>
    </row>
    <row r="983" ht="15" customHeight="1">
      <c r="A983" t="inlineStr">
        <is>
          <t>A 30360-2026</t>
        </is>
      </c>
      <c r="B983" t="inlineStr">
        <is>
          <t>avverkningsanmälan</t>
        </is>
      </c>
      <c r="C983" t="inlineStr">
        <is>
          <t>Föryngringsavverkning</t>
        </is>
      </c>
      <c r="D983" s="1" t="n">
        <v>46209</v>
      </c>
      <c r="E983" s="1" t="n">
        <v>46227</v>
      </c>
      <c r="F983" t="inlineStr">
        <is>
          <t>VÄSTERBOTTENS LÄN</t>
        </is>
      </c>
      <c r="G983" t="inlineStr">
        <is>
          <t>LYCKSELE</t>
        </is>
      </c>
      <c r="H983" t="inlineStr">
        <is>
          <t>SCA</t>
        </is>
      </c>
      <c r="I983" t="n">
        <v>6.3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t="n">
        <v>0</v>
      </c>
      <c r="S983" t="n">
        <v>0</v>
      </c>
      <c r="T983" t="n">
        <v>0</v>
      </c>
      <c r="U983" t="n">
        <v>0</v>
      </c>
      <c r="V983" s="2" t="inlineStr"/>
    </row>
    <row r="984" ht="15" customHeight="1">
      <c r="A984" t="inlineStr">
        <is>
          <t>A 24175-2026</t>
        </is>
      </c>
      <c r="B984" t="inlineStr">
        <is>
          <t>avverkningsanmälan</t>
        </is>
      </c>
      <c r="C984" t="inlineStr">
        <is>
          <t>Föryngringsavverkning</t>
        </is>
      </c>
      <c r="D984" s="1" t="n">
        <v>46168</v>
      </c>
      <c r="E984" s="1" t="n">
        <v>46227</v>
      </c>
      <c r="F984" t="inlineStr">
        <is>
          <t>VÄSTERBOTTENS LÄN</t>
        </is>
      </c>
      <c r="G984" t="inlineStr">
        <is>
          <t>LYCKSELE</t>
        </is>
      </c>
      <c r="H984" t="inlineStr">
        <is>
          <t>Holmen skog AB</t>
        </is>
      </c>
      <c r="I984" t="n">
        <v>6.5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t="n">
        <v>0</v>
      </c>
      <c r="S984" t="n">
        <v>0</v>
      </c>
      <c r="T984" t="n">
        <v>0</v>
      </c>
      <c r="U984" t="n">
        <v>0</v>
      </c>
      <c r="V984" s="2" t="inlineStr"/>
    </row>
    <row r="985" ht="15" customHeight="1">
      <c r="A985" t="inlineStr">
        <is>
          <t>A 30447-2026</t>
        </is>
      </c>
      <c r="B985" t="inlineStr">
        <is>
          <t>avverkningsanmälan</t>
        </is>
      </c>
      <c r="C985" t="inlineStr">
        <is>
          <t>Avverkning för annat ändamål</t>
        </is>
      </c>
      <c r="D985" s="1" t="n">
        <v>46209</v>
      </c>
      <c r="E985" s="1" t="n">
        <v>46227</v>
      </c>
      <c r="F985" t="inlineStr">
        <is>
          <t>VÄSTERBOTTENS LÄN</t>
        </is>
      </c>
      <c r="G985" t="inlineStr">
        <is>
          <t>LYCKSELE</t>
        </is>
      </c>
      <c r="I985" t="n">
        <v>0.8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t="n">
        <v>0</v>
      </c>
      <c r="S985" t="n">
        <v>0</v>
      </c>
      <c r="T985" t="n">
        <v>0</v>
      </c>
      <c r="U985" t="n">
        <v>0</v>
      </c>
      <c r="V985" s="2" t="inlineStr"/>
    </row>
    <row r="986" ht="15" customHeight="1">
      <c r="A986" t="inlineStr">
        <is>
          <t>A 24204-2026</t>
        </is>
      </c>
      <c r="B986" t="inlineStr">
        <is>
          <t>avverkningsanmälan</t>
        </is>
      </c>
      <c r="C986" t="inlineStr">
        <is>
          <t>Föryngringsavverkning</t>
        </is>
      </c>
      <c r="D986" s="1" t="n">
        <v>46168</v>
      </c>
      <c r="E986" s="1" t="n">
        <v>46227</v>
      </c>
      <c r="F986" t="inlineStr">
        <is>
          <t>VÄSTERBOTTENS LÄN</t>
        </is>
      </c>
      <c r="G986" t="inlineStr">
        <is>
          <t>LYCKSELE</t>
        </is>
      </c>
      <c r="H986" t="inlineStr">
        <is>
          <t>Holmen skog AB</t>
        </is>
      </c>
      <c r="I986" t="n">
        <v>1.8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t="n">
        <v>0</v>
      </c>
      <c r="S986" t="n">
        <v>0</v>
      </c>
      <c r="T986" t="n">
        <v>0</v>
      </c>
      <c r="U986" t="n">
        <v>0</v>
      </c>
      <c r="V986" s="2" t="inlineStr"/>
    </row>
    <row r="987" ht="15" customHeight="1">
      <c r="A987" t="inlineStr">
        <is>
          <t>A 24289-2023</t>
        </is>
      </c>
      <c r="B987" t="inlineStr">
        <is>
          <t>avverkningsanmälan</t>
        </is>
      </c>
      <c r="C987" t="inlineStr">
        <is>
          <t>Föryngringsavverkning</t>
        </is>
      </c>
      <c r="D987" s="1" t="n">
        <v>45079</v>
      </c>
      <c r="E987" s="1" t="n">
        <v>46227</v>
      </c>
      <c r="F987" t="inlineStr">
        <is>
          <t>VÄSTERBOTTENS LÄN</t>
        </is>
      </c>
      <c r="G987" t="inlineStr">
        <is>
          <t>LYCKSELE</t>
        </is>
      </c>
      <c r="I987" t="n">
        <v>1.1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t="n">
        <v>0</v>
      </c>
      <c r="S987" t="n">
        <v>0</v>
      </c>
      <c r="T987" t="n">
        <v>0</v>
      </c>
      <c r="U987" t="n">
        <v>0</v>
      </c>
      <c r="V987" s="2" t="inlineStr"/>
    </row>
    <row r="988" ht="15" customHeight="1">
      <c r="A988" t="inlineStr">
        <is>
          <t>A 54619-2024</t>
        </is>
      </c>
      <c r="B988" t="inlineStr">
        <is>
          <t>avverkningsanmälan</t>
        </is>
      </c>
      <c r="C988" t="inlineStr">
        <is>
          <t>Föryngringsavverkning</t>
        </is>
      </c>
      <c r="D988" s="1" t="n">
        <v>45617</v>
      </c>
      <c r="E988" s="1" t="n">
        <v>46227</v>
      </c>
      <c r="F988" t="inlineStr">
        <is>
          <t>VÄSTERBOTTENS LÄN</t>
        </is>
      </c>
      <c r="G988" t="inlineStr">
        <is>
          <t>LYCKSELE</t>
        </is>
      </c>
      <c r="I988" t="n">
        <v>2.9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t="n">
        <v>0</v>
      </c>
      <c r="S988" t="n">
        <v>0</v>
      </c>
      <c r="T988" t="n">
        <v>0</v>
      </c>
      <c r="U988" t="n">
        <v>0</v>
      </c>
      <c r="V988" s="2" t="inlineStr"/>
    </row>
    <row r="989" ht="15" customHeight="1">
      <c r="A989" t="inlineStr">
        <is>
          <t>A 23988-2026</t>
        </is>
      </c>
      <c r="B989" t="inlineStr">
        <is>
          <t>avverkningsanmälan</t>
        </is>
      </c>
      <c r="C989" t="inlineStr">
        <is>
          <t>Föryngringsavverkning</t>
        </is>
      </c>
      <c r="D989" s="1" t="n">
        <v>46167</v>
      </c>
      <c r="E989" s="1" t="n">
        <v>46227</v>
      </c>
      <c r="F989" t="inlineStr">
        <is>
          <t>VÄSTERBOTTENS LÄN</t>
        </is>
      </c>
      <c r="G989" t="inlineStr">
        <is>
          <t>LYCKSELE</t>
        </is>
      </c>
      <c r="H989" t="inlineStr">
        <is>
          <t>Holmen skog AB</t>
        </is>
      </c>
      <c r="I989" t="n">
        <v>1.1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t="n">
        <v>0</v>
      </c>
      <c r="S989" t="n">
        <v>0</v>
      </c>
      <c r="T989" t="n">
        <v>0</v>
      </c>
      <c r="U989" t="n">
        <v>0</v>
      </c>
      <c r="V989" s="2" t="inlineStr"/>
    </row>
    <row r="990" ht="15" customHeight="1">
      <c r="A990" t="inlineStr">
        <is>
          <t>A 43566-2024</t>
        </is>
      </c>
      <c r="B990" t="inlineStr">
        <is>
          <t>avverkningsanmälan</t>
        </is>
      </c>
      <c r="C990" t="inlineStr">
        <is>
          <t>Föryngringsavverkning</t>
        </is>
      </c>
      <c r="D990" s="1" t="n">
        <v>45569</v>
      </c>
      <c r="E990" s="1" t="n">
        <v>46227</v>
      </c>
      <c r="F990" t="inlineStr">
        <is>
          <t>VÄSTERBOTTENS LÄN</t>
        </is>
      </c>
      <c r="G990" t="inlineStr">
        <is>
          <t>LYCKSELE</t>
        </is>
      </c>
      <c r="H990" t="inlineStr">
        <is>
          <t>Sveaskog</t>
        </is>
      </c>
      <c r="I990" t="n">
        <v>3.7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t="n">
        <v>0</v>
      </c>
      <c r="S990" t="n">
        <v>0</v>
      </c>
      <c r="T990" t="n">
        <v>0</v>
      </c>
      <c r="U990" t="n">
        <v>0</v>
      </c>
      <c r="V990" s="2" t="inlineStr"/>
    </row>
    <row r="991" ht="15" customHeight="1">
      <c r="A991" t="inlineStr">
        <is>
          <t>A 30589-2026</t>
        </is>
      </c>
      <c r="B991" t="inlineStr">
        <is>
          <t>avverkningsanmälan</t>
        </is>
      </c>
      <c r="C991" t="inlineStr">
        <is>
          <t>Föryngringsavverkning</t>
        </is>
      </c>
      <c r="D991" s="1" t="n">
        <v>46210</v>
      </c>
      <c r="E991" s="1" t="n">
        <v>46227</v>
      </c>
      <c r="F991" t="inlineStr">
        <is>
          <t>VÄSTERBOTTENS LÄN</t>
        </is>
      </c>
      <c r="G991" t="inlineStr">
        <is>
          <t>LYCKSELE</t>
        </is>
      </c>
      <c r="H991" t="inlineStr">
        <is>
          <t>SCA</t>
        </is>
      </c>
      <c r="I991" t="n">
        <v>6.9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t="n">
        <v>0</v>
      </c>
      <c r="S991" t="n">
        <v>0</v>
      </c>
      <c r="T991" t="n">
        <v>0</v>
      </c>
      <c r="U991" t="n">
        <v>0</v>
      </c>
      <c r="V991" s="2" t="inlineStr"/>
    </row>
    <row r="992" ht="15" customHeight="1">
      <c r="A992" t="inlineStr">
        <is>
          <t>A 22451-2026</t>
        </is>
      </c>
      <c r="B992" t="inlineStr">
        <is>
          <t>avverkningsanmälan</t>
        </is>
      </c>
      <c r="C992" t="inlineStr">
        <is>
          <t>Avverkning för annat ändamål</t>
        </is>
      </c>
      <c r="D992" s="1" t="n">
        <v>46153</v>
      </c>
      <c r="E992" s="1" t="n">
        <v>46227</v>
      </c>
      <c r="F992" t="inlineStr">
        <is>
          <t>VÄSTERBOTTENS LÄN</t>
        </is>
      </c>
      <c r="G992" t="inlineStr">
        <is>
          <t>LYCKSELE</t>
        </is>
      </c>
      <c r="I992" t="n">
        <v>1.6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t="n">
        <v>0</v>
      </c>
      <c r="S992" t="n">
        <v>0</v>
      </c>
      <c r="T992" t="n">
        <v>0</v>
      </c>
      <c r="U992" t="n">
        <v>0</v>
      </c>
      <c r="V992" s="2" t="inlineStr"/>
    </row>
    <row r="993" ht="15" customHeight="1">
      <c r="A993" t="inlineStr">
        <is>
          <t>A 3947-2023</t>
        </is>
      </c>
      <c r="B993" t="inlineStr">
        <is>
          <t>avverkningsanmälan</t>
        </is>
      </c>
      <c r="C993" t="inlineStr">
        <is>
          <t>Föryngringsavverkning</t>
        </is>
      </c>
      <c r="D993" s="1" t="n">
        <v>44952</v>
      </c>
      <c r="E993" s="1" t="n">
        <v>46227</v>
      </c>
      <c r="F993" t="inlineStr">
        <is>
          <t>VÄSTERBOTTENS LÄN</t>
        </is>
      </c>
      <c r="G993" t="inlineStr">
        <is>
          <t>LYCKSELE</t>
        </is>
      </c>
      <c r="H993" t="inlineStr">
        <is>
          <t>Sveaskog</t>
        </is>
      </c>
      <c r="I993" t="n">
        <v>4.5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t="n">
        <v>0</v>
      </c>
      <c r="S993" t="n">
        <v>0</v>
      </c>
      <c r="T993" t="n">
        <v>0</v>
      </c>
      <c r="U993" t="n">
        <v>0</v>
      </c>
      <c r="V993" s="2" t="inlineStr"/>
    </row>
    <row r="994" ht="15" customHeight="1">
      <c r="A994" t="inlineStr">
        <is>
          <t>A 59272-2022</t>
        </is>
      </c>
      <c r="B994" t="inlineStr">
        <is>
          <t>avverkningsanmälan</t>
        </is>
      </c>
      <c r="C994" t="inlineStr">
        <is>
          <t>Föryngringsavverkning</t>
        </is>
      </c>
      <c r="D994" s="1" t="n">
        <v>44904</v>
      </c>
      <c r="E994" s="1" t="n">
        <v>46227</v>
      </c>
      <c r="F994" t="inlineStr">
        <is>
          <t>VÄSTERBOTTENS LÄN</t>
        </is>
      </c>
      <c r="G994" t="inlineStr">
        <is>
          <t>LYCKSELE</t>
        </is>
      </c>
      <c r="H994" t="inlineStr">
        <is>
          <t>Sveaskog</t>
        </is>
      </c>
      <c r="I994" t="n">
        <v>6.1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t="n">
        <v>0</v>
      </c>
      <c r="S994" t="n">
        <v>0</v>
      </c>
      <c r="T994" t="n">
        <v>0</v>
      </c>
      <c r="U994" t="n">
        <v>0</v>
      </c>
      <c r="V994" s="2" t="inlineStr"/>
    </row>
    <row r="995" ht="15" customHeight="1">
      <c r="A995" t="inlineStr">
        <is>
          <t>A 19233-2023</t>
        </is>
      </c>
      <c r="B995" t="inlineStr">
        <is>
          <t>avverkningsanmälan</t>
        </is>
      </c>
      <c r="C995" t="inlineStr">
        <is>
          <t>Föryngringsavverkning</t>
        </is>
      </c>
      <c r="D995" s="1" t="n">
        <v>45048</v>
      </c>
      <c r="E995" s="1" t="n">
        <v>46227</v>
      </c>
      <c r="F995" t="inlineStr">
        <is>
          <t>VÄSTERBOTTENS LÄN</t>
        </is>
      </c>
      <c r="G995" t="inlineStr">
        <is>
          <t>LYCKSELE</t>
        </is>
      </c>
      <c r="I995" t="n">
        <v>1.9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t="n">
        <v>0</v>
      </c>
      <c r="S995" t="n">
        <v>0</v>
      </c>
      <c r="T995" t="n">
        <v>0</v>
      </c>
      <c r="U995" t="n">
        <v>0</v>
      </c>
      <c r="V995" s="2" t="inlineStr"/>
    </row>
    <row r="996" ht="15" customHeight="1">
      <c r="A996" t="inlineStr">
        <is>
          <t>A 30631-2026</t>
        </is>
      </c>
      <c r="B996" t="inlineStr">
        <is>
          <t>avverkningsanmälan</t>
        </is>
      </c>
      <c r="C996" t="inlineStr">
        <is>
          <t>Föryngringsavverkning</t>
        </is>
      </c>
      <c r="D996" s="1" t="n">
        <v>46211</v>
      </c>
      <c r="E996" s="1" t="n">
        <v>46227</v>
      </c>
      <c r="F996" t="inlineStr">
        <is>
          <t>VÄSTERBOTTENS LÄN</t>
        </is>
      </c>
      <c r="G996" t="inlineStr">
        <is>
          <t>LYCKSELE</t>
        </is>
      </c>
      <c r="I996" t="n">
        <v>1.6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t="n">
        <v>0</v>
      </c>
      <c r="S996" t="n">
        <v>0</v>
      </c>
      <c r="T996" t="n">
        <v>0</v>
      </c>
      <c r="U996" t="n">
        <v>0</v>
      </c>
      <c r="V996" s="2" t="inlineStr"/>
    </row>
    <row r="997" ht="15" customHeight="1">
      <c r="A997" t="inlineStr">
        <is>
          <t>A 9551-2025</t>
        </is>
      </c>
      <c r="B997" t="inlineStr">
        <is>
          <t>avverkningsanmälan</t>
        </is>
      </c>
      <c r="C997" t="inlineStr">
        <is>
          <t>Föryngringsavverkning</t>
        </is>
      </c>
      <c r="D997" s="1" t="n">
        <v>45715</v>
      </c>
      <c r="E997" s="1" t="n">
        <v>46227</v>
      </c>
      <c r="F997" t="inlineStr">
        <is>
          <t>VÄSTERBOTTENS LÄN</t>
        </is>
      </c>
      <c r="G997" t="inlineStr">
        <is>
          <t>LYCKSELE</t>
        </is>
      </c>
      <c r="H997" t="inlineStr">
        <is>
          <t>SCA</t>
        </is>
      </c>
      <c r="I997" t="n">
        <v>1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t="n">
        <v>0</v>
      </c>
      <c r="S997" t="n">
        <v>0</v>
      </c>
      <c r="T997" t="n">
        <v>0</v>
      </c>
      <c r="U997" t="n">
        <v>0</v>
      </c>
      <c r="V997" s="2" t="inlineStr"/>
    </row>
    <row r="998" ht="15" customHeight="1">
      <c r="A998" t="inlineStr">
        <is>
          <t>A 7001-2022</t>
        </is>
      </c>
      <c r="B998" t="inlineStr">
        <is>
          <t>avverkningsanmälan</t>
        </is>
      </c>
      <c r="C998" t="inlineStr">
        <is>
          <t>Föryngringsavverkning</t>
        </is>
      </c>
      <c r="D998" s="1" t="n">
        <v>44603</v>
      </c>
      <c r="E998" s="1" t="n">
        <v>46227</v>
      </c>
      <c r="F998" t="inlineStr">
        <is>
          <t>VÄSTERBOTTENS LÄN</t>
        </is>
      </c>
      <c r="G998" t="inlineStr">
        <is>
          <t>LYCKSELE</t>
        </is>
      </c>
      <c r="I998" t="n">
        <v>0.8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t="n">
        <v>0</v>
      </c>
      <c r="S998" t="n">
        <v>0</v>
      </c>
      <c r="T998" t="n">
        <v>0</v>
      </c>
      <c r="U998" t="n">
        <v>0</v>
      </c>
      <c r="V998" s="2" t="inlineStr"/>
    </row>
    <row r="999" ht="15" customHeight="1">
      <c r="A999" t="inlineStr">
        <is>
          <t>A 24497-2026</t>
        </is>
      </c>
      <c r="B999" t="inlineStr">
        <is>
          <t>avverkningsanmälan</t>
        </is>
      </c>
      <c r="C999" t="inlineStr">
        <is>
          <t>Föryngringsavverkning</t>
        </is>
      </c>
      <c r="D999" s="1" t="n">
        <v>46170</v>
      </c>
      <c r="E999" s="1" t="n">
        <v>46227</v>
      </c>
      <c r="F999" t="inlineStr">
        <is>
          <t>VÄSTERBOTTENS LÄN</t>
        </is>
      </c>
      <c r="G999" t="inlineStr">
        <is>
          <t>LYCKSELE</t>
        </is>
      </c>
      <c r="H999" t="inlineStr">
        <is>
          <t>SCA</t>
        </is>
      </c>
      <c r="I999" t="n">
        <v>5.5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t="n">
        <v>0</v>
      </c>
      <c r="S999" t="n">
        <v>0</v>
      </c>
      <c r="T999" t="n">
        <v>0</v>
      </c>
      <c r="U999" t="n">
        <v>0</v>
      </c>
      <c r="V999" s="2" t="inlineStr"/>
    </row>
    <row r="1000" ht="15" customHeight="1">
      <c r="A1000" t="inlineStr">
        <is>
          <t>A 24763-2026</t>
        </is>
      </c>
      <c r="B1000" t="inlineStr">
        <is>
          <t>avverkningsanmälan</t>
        </is>
      </c>
      <c r="C1000" t="inlineStr">
        <is>
          <t>Föryngringsavverkning</t>
        </is>
      </c>
      <c r="D1000" s="1" t="n">
        <v>46171</v>
      </c>
      <c r="E1000" s="1" t="n">
        <v>46227</v>
      </c>
      <c r="F1000" t="inlineStr">
        <is>
          <t>VÄSTERBOTTENS LÄN</t>
        </is>
      </c>
      <c r="G1000" t="inlineStr">
        <is>
          <t>LYCKSELE</t>
        </is>
      </c>
      <c r="H1000" t="inlineStr">
        <is>
          <t>Holmen skog AB</t>
        </is>
      </c>
      <c r="I1000" t="n">
        <v>1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t="n">
        <v>0</v>
      </c>
      <c r="S1000" t="n">
        <v>0</v>
      </c>
      <c r="T1000" t="n">
        <v>0</v>
      </c>
      <c r="U1000" t="n">
        <v>0</v>
      </c>
      <c r="V1000" s="2" t="inlineStr"/>
    </row>
    <row r="1001" ht="15" customHeight="1">
      <c r="A1001" t="inlineStr">
        <is>
          <t>A 30939-2026</t>
        </is>
      </c>
      <c r="B1001" t="inlineStr">
        <is>
          <t>avverkningsanmälan</t>
        </is>
      </c>
      <c r="C1001" t="inlineStr">
        <is>
          <t>Föryngringsavverkning</t>
        </is>
      </c>
      <c r="D1001" s="1" t="n">
        <v>46213</v>
      </c>
      <c r="E1001" s="1" t="n">
        <v>46227</v>
      </c>
      <c r="F1001" t="inlineStr">
        <is>
          <t>VÄSTERBOTTENS LÄN</t>
        </is>
      </c>
      <c r="G1001" t="inlineStr">
        <is>
          <t>LYCKSELE</t>
        </is>
      </c>
      <c r="H1001" t="inlineStr">
        <is>
          <t>Holmen skog AB</t>
        </is>
      </c>
      <c r="I1001" t="n">
        <v>24.3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t="n">
        <v>0</v>
      </c>
      <c r="S1001" t="n">
        <v>0</v>
      </c>
      <c r="T1001" t="n">
        <v>0</v>
      </c>
      <c r="U1001" t="n">
        <v>0</v>
      </c>
      <c r="V1001" s="2" t="inlineStr"/>
    </row>
    <row r="1002" ht="15" customHeight="1">
      <c r="A1002" t="inlineStr">
        <is>
          <t>A 27595-2023</t>
        </is>
      </c>
      <c r="B1002" t="inlineStr">
        <is>
          <t>avverkningsanmälan</t>
        </is>
      </c>
      <c r="C1002" t="inlineStr">
        <is>
          <t>Föryngringsavverkning</t>
        </is>
      </c>
      <c r="D1002" s="1" t="n">
        <v>45097</v>
      </c>
      <c r="E1002" s="1" t="n">
        <v>46227</v>
      </c>
      <c r="F1002" t="inlineStr">
        <is>
          <t>VÄSTERBOTTENS LÄN</t>
        </is>
      </c>
      <c r="G1002" t="inlineStr">
        <is>
          <t>LYCKSELE</t>
        </is>
      </c>
      <c r="H1002" t="inlineStr">
        <is>
          <t>Holmen skog AB</t>
        </is>
      </c>
      <c r="I1002" t="n">
        <v>1.3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t="n">
        <v>0</v>
      </c>
      <c r="S1002" t="n">
        <v>0</v>
      </c>
      <c r="T1002" t="n">
        <v>0</v>
      </c>
      <c r="U1002" t="n">
        <v>0</v>
      </c>
      <c r="V1002" s="2" t="inlineStr"/>
    </row>
    <row r="1003" ht="15" customHeight="1">
      <c r="A1003" t="inlineStr">
        <is>
          <t>A 51669-2024</t>
        </is>
      </c>
      <c r="B1003" t="inlineStr">
        <is>
          <t>avverkningsanmälan</t>
        </is>
      </c>
      <c r="C1003" t="inlineStr">
        <is>
          <t>Föryngringsavverkning</t>
        </is>
      </c>
      <c r="D1003" s="1" t="n">
        <v>45606</v>
      </c>
      <c r="E1003" s="1" t="n">
        <v>46227</v>
      </c>
      <c r="F1003" t="inlineStr">
        <is>
          <t>VÄSTERBOTTENS LÄN</t>
        </is>
      </c>
      <c r="G1003" t="inlineStr">
        <is>
          <t>LYCKSELE</t>
        </is>
      </c>
      <c r="I1003" t="n">
        <v>1.1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t="n">
        <v>0</v>
      </c>
      <c r="S1003" t="n">
        <v>0</v>
      </c>
      <c r="T1003" t="n">
        <v>0</v>
      </c>
      <c r="U1003" t="n">
        <v>0</v>
      </c>
      <c r="V1003" s="2" t="inlineStr"/>
    </row>
    <row r="1004" ht="15" customHeight="1">
      <c r="A1004" t="inlineStr">
        <is>
          <t>A 56518-2023</t>
        </is>
      </c>
      <c r="B1004" t="inlineStr">
        <is>
          <t>avverkningsanmälan</t>
        </is>
      </c>
      <c r="C1004" t="inlineStr">
        <is>
          <t>Föryngringsavverkning</t>
        </is>
      </c>
      <c r="D1004" s="1" t="n">
        <v>45238</v>
      </c>
      <c r="E1004" s="1" t="n">
        <v>46227</v>
      </c>
      <c r="F1004" t="inlineStr">
        <is>
          <t>VÄSTERBOTTENS LÄN</t>
        </is>
      </c>
      <c r="G1004" t="inlineStr">
        <is>
          <t>LYCKSELE</t>
        </is>
      </c>
      <c r="I1004" t="n">
        <v>2.2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t="n">
        <v>0</v>
      </c>
      <c r="S1004" t="n">
        <v>0</v>
      </c>
      <c r="T1004" t="n">
        <v>0</v>
      </c>
      <c r="U1004" t="n">
        <v>0</v>
      </c>
      <c r="V1004" s="2" t="inlineStr"/>
    </row>
    <row r="1005" ht="15" customHeight="1">
      <c r="A1005" t="inlineStr">
        <is>
          <t>A 61367-2024</t>
        </is>
      </c>
      <c r="B1005" t="inlineStr">
        <is>
          <t>avverkningsanmälan</t>
        </is>
      </c>
      <c r="C1005" t="inlineStr">
        <is>
          <t>Föryngringsavverkning</t>
        </is>
      </c>
      <c r="D1005" s="1" t="n">
        <v>45646</v>
      </c>
      <c r="E1005" s="1" t="n">
        <v>46227</v>
      </c>
      <c r="F1005" t="inlineStr">
        <is>
          <t>VÄSTERBOTTENS LÄN</t>
        </is>
      </c>
      <c r="G1005" t="inlineStr">
        <is>
          <t>LYCKSELE</t>
        </is>
      </c>
      <c r="I1005" t="n">
        <v>10.4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t="n">
        <v>0</v>
      </c>
      <c r="S1005" t="n">
        <v>0</v>
      </c>
      <c r="T1005" t="n">
        <v>0</v>
      </c>
      <c r="U1005" t="n">
        <v>0</v>
      </c>
      <c r="V1005" s="2" t="inlineStr"/>
    </row>
    <row r="1006" ht="15" customHeight="1">
      <c r="A1006" t="inlineStr">
        <is>
          <t>A 24574-2026</t>
        </is>
      </c>
      <c r="B1006" t="inlineStr">
        <is>
          <t>avverkningsanmälan</t>
        </is>
      </c>
      <c r="C1006" t="inlineStr">
        <is>
          <t>Föryngringsavverkning</t>
        </is>
      </c>
      <c r="D1006" s="1" t="n">
        <v>46170</v>
      </c>
      <c r="E1006" s="1" t="n">
        <v>46227</v>
      </c>
      <c r="F1006" t="inlineStr">
        <is>
          <t>VÄSTERBOTTENS LÄN</t>
        </is>
      </c>
      <c r="G1006" t="inlineStr">
        <is>
          <t>LYCKSELE</t>
        </is>
      </c>
      <c r="I1006" t="n">
        <v>5.4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t="n">
        <v>0</v>
      </c>
      <c r="S1006" t="n">
        <v>0</v>
      </c>
      <c r="T1006" t="n">
        <v>0</v>
      </c>
      <c r="U1006" t="n">
        <v>0</v>
      </c>
      <c r="V1006" s="2" t="inlineStr"/>
    </row>
    <row r="1007" ht="15" customHeight="1">
      <c r="A1007" t="inlineStr">
        <is>
          <t>A 30962-2026</t>
        </is>
      </c>
      <c r="B1007" t="inlineStr">
        <is>
          <t>avverkningsanmälan</t>
        </is>
      </c>
      <c r="C1007" t="inlineStr">
        <is>
          <t>Föryngringsavverkning</t>
        </is>
      </c>
      <c r="D1007" s="1" t="n">
        <v>46213</v>
      </c>
      <c r="E1007" s="1" t="n">
        <v>46227</v>
      </c>
      <c r="F1007" t="inlineStr">
        <is>
          <t>VÄSTERBOTTENS LÄN</t>
        </is>
      </c>
      <c r="G1007" t="inlineStr">
        <is>
          <t>LYCKSELE</t>
        </is>
      </c>
      <c r="H1007" t="inlineStr">
        <is>
          <t>Sveaskog</t>
        </is>
      </c>
      <c r="I1007" t="n">
        <v>6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t="n">
        <v>0</v>
      </c>
      <c r="S1007" t="n">
        <v>0</v>
      </c>
      <c r="T1007" t="n">
        <v>0</v>
      </c>
      <c r="U1007" t="n">
        <v>0</v>
      </c>
      <c r="V1007" s="2" t="inlineStr"/>
    </row>
    <row r="1008" ht="15" customHeight="1">
      <c r="A1008" t="inlineStr">
        <is>
          <t>A 18365-2023</t>
        </is>
      </c>
      <c r="B1008" t="inlineStr">
        <is>
          <t>avverkningsanmälan</t>
        </is>
      </c>
      <c r="C1008" t="inlineStr">
        <is>
          <t>Föryngringsavverkning</t>
        </is>
      </c>
      <c r="D1008" s="1" t="n">
        <v>45041</v>
      </c>
      <c r="E1008" s="1" t="n">
        <v>46227</v>
      </c>
      <c r="F1008" t="inlineStr">
        <is>
          <t>VÄSTERBOTTENS LÄN</t>
        </is>
      </c>
      <c r="G1008" t="inlineStr">
        <is>
          <t>LYCKSELE</t>
        </is>
      </c>
      <c r="H1008" t="inlineStr">
        <is>
          <t>SCA</t>
        </is>
      </c>
      <c r="I1008" t="n">
        <v>22.4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t="n">
        <v>0</v>
      </c>
      <c r="S1008" t="n">
        <v>0</v>
      </c>
      <c r="T1008" t="n">
        <v>0</v>
      </c>
      <c r="U1008" t="n">
        <v>0</v>
      </c>
      <c r="V1008" s="2" t="inlineStr"/>
    </row>
    <row r="1009" ht="15" customHeight="1">
      <c r="A1009" t="inlineStr">
        <is>
          <t>A 24954-2026</t>
        </is>
      </c>
      <c r="B1009" t="inlineStr">
        <is>
          <t>avverkningsanmälan</t>
        </is>
      </c>
      <c r="C1009" t="inlineStr">
        <is>
          <t>Föryngringsavverkning</t>
        </is>
      </c>
      <c r="D1009" s="1" t="n">
        <v>46174</v>
      </c>
      <c r="E1009" s="1" t="n">
        <v>46227</v>
      </c>
      <c r="F1009" t="inlineStr">
        <is>
          <t>VÄSTERBOTTENS LÄN</t>
        </is>
      </c>
      <c r="G1009" t="inlineStr">
        <is>
          <t>LYCKSELE</t>
        </is>
      </c>
      <c r="I1009" t="n">
        <v>1.6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t="n">
        <v>0</v>
      </c>
      <c r="S1009" t="n">
        <v>0</v>
      </c>
      <c r="T1009" t="n">
        <v>0</v>
      </c>
      <c r="U1009" t="n">
        <v>0</v>
      </c>
      <c r="V1009" s="2" t="inlineStr"/>
    </row>
    <row r="1010" ht="15" customHeight="1">
      <c r="A1010" t="inlineStr">
        <is>
          <t>A 30890-2026</t>
        </is>
      </c>
      <c r="B1010" t="inlineStr">
        <is>
          <t>avverkningsanmälan</t>
        </is>
      </c>
      <c r="C1010" t="inlineStr">
        <is>
          <t>Avverkning för annat ändamål</t>
        </is>
      </c>
      <c r="D1010" s="1" t="n">
        <v>46213</v>
      </c>
      <c r="E1010" s="1" t="n">
        <v>46227</v>
      </c>
      <c r="F1010" t="inlineStr">
        <is>
          <t>VÄSTERBOTTENS LÄN</t>
        </is>
      </c>
      <c r="G1010" t="inlineStr">
        <is>
          <t>LYCKSELE</t>
        </is>
      </c>
      <c r="I1010" t="n">
        <v>0.6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t="n">
        <v>0</v>
      </c>
      <c r="S1010" t="n">
        <v>0</v>
      </c>
      <c r="T1010" t="n">
        <v>0</v>
      </c>
      <c r="U1010" t="n">
        <v>0</v>
      </c>
      <c r="V1010" s="2" t="inlineStr"/>
    </row>
    <row r="1011" ht="15" customHeight="1">
      <c r="A1011" t="inlineStr">
        <is>
          <t>A 30945-2026</t>
        </is>
      </c>
      <c r="B1011" t="inlineStr">
        <is>
          <t>avverkningsanmälan</t>
        </is>
      </c>
      <c r="C1011" t="inlineStr">
        <is>
          <t>Föryngringsavverkning</t>
        </is>
      </c>
      <c r="D1011" s="1" t="n">
        <v>46213</v>
      </c>
      <c r="E1011" s="1" t="n">
        <v>46227</v>
      </c>
      <c r="F1011" t="inlineStr">
        <is>
          <t>VÄSTERBOTTENS LÄN</t>
        </is>
      </c>
      <c r="G1011" t="inlineStr">
        <is>
          <t>LYCKSELE</t>
        </is>
      </c>
      <c r="H1011" t="inlineStr">
        <is>
          <t>Holmen skog AB</t>
        </is>
      </c>
      <c r="I1011" t="n">
        <v>4.9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t="n">
        <v>0</v>
      </c>
      <c r="S1011" t="n">
        <v>0</v>
      </c>
      <c r="T1011" t="n">
        <v>0</v>
      </c>
      <c r="U1011" t="n">
        <v>0</v>
      </c>
      <c r="V1011" s="2" t="inlineStr"/>
    </row>
    <row r="1012" ht="15" customHeight="1">
      <c r="A1012" t="inlineStr">
        <is>
          <t>A 24548-2026</t>
        </is>
      </c>
      <c r="B1012" t="inlineStr">
        <is>
          <t>avverkningsanmälan</t>
        </is>
      </c>
      <c r="C1012" t="inlineStr">
        <is>
          <t>Föryngringsavverkning</t>
        </is>
      </c>
      <c r="D1012" s="1" t="n">
        <v>46170</v>
      </c>
      <c r="E1012" s="1" t="n">
        <v>46227</v>
      </c>
      <c r="F1012" t="inlineStr">
        <is>
          <t>VÄSTERBOTTENS LÄN</t>
        </is>
      </c>
      <c r="G1012" t="inlineStr">
        <is>
          <t>LYCKSELE</t>
        </is>
      </c>
      <c r="H1012" t="inlineStr">
        <is>
          <t>SCA</t>
        </is>
      </c>
      <c r="I1012" t="n">
        <v>1.7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t="n">
        <v>0</v>
      </c>
      <c r="S1012" t="n">
        <v>0</v>
      </c>
      <c r="T1012" t="n">
        <v>0</v>
      </c>
      <c r="U1012" t="n">
        <v>0</v>
      </c>
      <c r="V1012" s="2" t="inlineStr"/>
    </row>
    <row r="1013" ht="15" customHeight="1">
      <c r="A1013" t="inlineStr">
        <is>
          <t>A 24552-2026</t>
        </is>
      </c>
      <c r="B1013" t="inlineStr">
        <is>
          <t>avverkningsanmälan</t>
        </is>
      </c>
      <c r="C1013" t="inlineStr">
        <is>
          <t>Föryngringsavverkning</t>
        </is>
      </c>
      <c r="D1013" s="1" t="n">
        <v>46170</v>
      </c>
      <c r="E1013" s="1" t="n">
        <v>46227</v>
      </c>
      <c r="F1013" t="inlineStr">
        <is>
          <t>VÄSTERBOTTENS LÄN</t>
        </is>
      </c>
      <c r="G1013" t="inlineStr">
        <is>
          <t>LYCKSELE</t>
        </is>
      </c>
      <c r="H1013" t="inlineStr">
        <is>
          <t>Holmen skog AB</t>
        </is>
      </c>
      <c r="I1013" t="n">
        <v>4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t="n">
        <v>0</v>
      </c>
      <c r="S1013" t="n">
        <v>0</v>
      </c>
      <c r="T1013" t="n">
        <v>0</v>
      </c>
      <c r="U1013" t="n">
        <v>0</v>
      </c>
      <c r="V1013" s="2" t="inlineStr"/>
    </row>
    <row r="1014" ht="15" customHeight="1">
      <c r="A1014" t="inlineStr">
        <is>
          <t>A 25170-2024</t>
        </is>
      </c>
      <c r="B1014" t="inlineStr">
        <is>
          <t>avverkningsanmälan</t>
        </is>
      </c>
      <c r="C1014" t="inlineStr">
        <is>
          <t>Föryngringsavverkning</t>
        </is>
      </c>
      <c r="D1014" s="1" t="n">
        <v>45462</v>
      </c>
      <c r="E1014" s="1" t="n">
        <v>46227</v>
      </c>
      <c r="F1014" t="inlineStr">
        <is>
          <t>VÄSTERBOTTENS LÄN</t>
        </is>
      </c>
      <c r="G1014" t="inlineStr">
        <is>
          <t>LYCKSELE</t>
        </is>
      </c>
      <c r="I1014" t="n">
        <v>2.4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t="n">
        <v>0</v>
      </c>
      <c r="S1014" t="n">
        <v>0</v>
      </c>
      <c r="T1014" t="n">
        <v>0</v>
      </c>
      <c r="U1014" t="n">
        <v>0</v>
      </c>
      <c r="V1014" s="2" t="inlineStr"/>
    </row>
    <row r="1015" ht="15" customHeight="1">
      <c r="A1015" t="inlineStr">
        <is>
          <t>A 37491-2023</t>
        </is>
      </c>
      <c r="B1015" t="inlineStr">
        <is>
          <t>avverkningsanmälan</t>
        </is>
      </c>
      <c r="C1015" t="inlineStr">
        <is>
          <t>Avverkning för annat ändamål</t>
        </is>
      </c>
      <c r="D1015" s="1" t="n">
        <v>45156</v>
      </c>
      <c r="E1015" s="1" t="n">
        <v>46227</v>
      </c>
      <c r="F1015" t="inlineStr">
        <is>
          <t>VÄSTERBOTTENS LÄN</t>
        </is>
      </c>
      <c r="G1015" t="inlineStr">
        <is>
          <t>LYCKSELE</t>
        </is>
      </c>
      <c r="H1015" t="inlineStr">
        <is>
          <t>SCA</t>
        </is>
      </c>
      <c r="I1015" t="n">
        <v>0.4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t="n">
        <v>0</v>
      </c>
      <c r="S1015" t="n">
        <v>0</v>
      </c>
      <c r="T1015" t="n">
        <v>0</v>
      </c>
      <c r="U1015" t="n">
        <v>0</v>
      </c>
      <c r="V1015" s="2" t="inlineStr"/>
    </row>
    <row r="1016" ht="15" customHeight="1">
      <c r="A1016" t="inlineStr">
        <is>
          <t>A 31288-2026</t>
        </is>
      </c>
      <c r="B1016" t="inlineStr">
        <is>
          <t>avverkningsanmälan</t>
        </is>
      </c>
      <c r="C1016" t="inlineStr">
        <is>
          <t>Föryngringsavverkning</t>
        </is>
      </c>
      <c r="D1016" s="1" t="n">
        <v>46218</v>
      </c>
      <c r="E1016" s="1" t="n">
        <v>46227</v>
      </c>
      <c r="F1016" t="inlineStr">
        <is>
          <t>VÄSTERBOTTENS LÄN</t>
        </is>
      </c>
      <c r="G1016" t="inlineStr">
        <is>
          <t>LYCKSELE</t>
        </is>
      </c>
      <c r="H1016" t="inlineStr">
        <is>
          <t>Sveaskog</t>
        </is>
      </c>
      <c r="I1016" t="n">
        <v>5.6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t="n">
        <v>0</v>
      </c>
      <c r="S1016" t="n">
        <v>0</v>
      </c>
      <c r="T1016" t="n">
        <v>0</v>
      </c>
      <c r="U1016" t="n">
        <v>0</v>
      </c>
      <c r="V1016" s="2" t="inlineStr"/>
    </row>
    <row r="1017" ht="15" customHeight="1">
      <c r="A1017" t="inlineStr">
        <is>
          <t>A 25080-2026</t>
        </is>
      </c>
      <c r="B1017" t="inlineStr">
        <is>
          <t>avverkningsanmälan</t>
        </is>
      </c>
      <c r="C1017" t="inlineStr">
        <is>
          <t>Föryngringsavverkning</t>
        </is>
      </c>
      <c r="D1017" s="1" t="n">
        <v>46174</v>
      </c>
      <c r="E1017" s="1" t="n">
        <v>46227</v>
      </c>
      <c r="F1017" t="inlineStr">
        <is>
          <t>VÄSTERBOTTENS LÄN</t>
        </is>
      </c>
      <c r="G1017" t="inlineStr">
        <is>
          <t>LYCKSELE</t>
        </is>
      </c>
      <c r="I1017" t="n">
        <v>13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t="n">
        <v>0</v>
      </c>
      <c r="S1017" t="n">
        <v>0</v>
      </c>
      <c r="T1017" t="n">
        <v>0</v>
      </c>
      <c r="U1017" t="n">
        <v>0</v>
      </c>
      <c r="V1017" s="2" t="inlineStr"/>
    </row>
    <row r="1018" ht="15" customHeight="1">
      <c r="A1018" t="inlineStr">
        <is>
          <t>A 31289-2026</t>
        </is>
      </c>
      <c r="B1018" t="inlineStr">
        <is>
          <t>avverkningsanmälan</t>
        </is>
      </c>
      <c r="C1018" t="inlineStr">
        <is>
          <t>Föryngringsavverkning</t>
        </is>
      </c>
      <c r="D1018" s="1" t="n">
        <v>46218</v>
      </c>
      <c r="E1018" s="1" t="n">
        <v>46227</v>
      </c>
      <c r="F1018" t="inlineStr">
        <is>
          <t>VÄSTERBOTTENS LÄN</t>
        </is>
      </c>
      <c r="G1018" t="inlineStr">
        <is>
          <t>LYCKSELE</t>
        </is>
      </c>
      <c r="H1018" t="inlineStr">
        <is>
          <t>Sveaskog</t>
        </is>
      </c>
      <c r="I1018" t="n">
        <v>13.4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t="n">
        <v>0</v>
      </c>
      <c r="S1018" t="n">
        <v>0</v>
      </c>
      <c r="T1018" t="n">
        <v>0</v>
      </c>
      <c r="U1018" t="n">
        <v>0</v>
      </c>
      <c r="V1018" s="2" t="inlineStr"/>
    </row>
    <row r="1019" ht="15" customHeight="1">
      <c r="A1019" t="inlineStr">
        <is>
          <t>A 37599-2024</t>
        </is>
      </c>
      <c r="B1019" t="inlineStr">
        <is>
          <t>avverkningsanmälan</t>
        </is>
      </c>
      <c r="C1019" t="inlineStr">
        <is>
          <t>Föryngringsavverkning</t>
        </is>
      </c>
      <c r="D1019" s="1" t="n">
        <v>45541</v>
      </c>
      <c r="E1019" s="1" t="n">
        <v>46227</v>
      </c>
      <c r="F1019" t="inlineStr">
        <is>
          <t>VÄSTERBOTTENS LÄN</t>
        </is>
      </c>
      <c r="G1019" t="inlineStr">
        <is>
          <t>LYCKSELE</t>
        </is>
      </c>
      <c r="H1019" t="inlineStr">
        <is>
          <t>Holmen skog AB</t>
        </is>
      </c>
      <c r="I1019" t="n">
        <v>2.1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t="n">
        <v>0</v>
      </c>
      <c r="S1019" t="n">
        <v>0</v>
      </c>
      <c r="T1019" t="n">
        <v>0</v>
      </c>
      <c r="U1019" t="n">
        <v>0</v>
      </c>
      <c r="V1019" s="2" t="inlineStr"/>
    </row>
    <row r="1020" ht="15" customHeight="1">
      <c r="A1020" t="inlineStr">
        <is>
          <t>A 34273-2024</t>
        </is>
      </c>
      <c r="B1020" t="inlineStr">
        <is>
          <t>avverkningsanmälan</t>
        </is>
      </c>
      <c r="C1020" t="inlineStr">
        <is>
          <t>Föryngringsavverkning</t>
        </is>
      </c>
      <c r="D1020" s="1" t="n">
        <v>45524</v>
      </c>
      <c r="E1020" s="1" t="n">
        <v>46227</v>
      </c>
      <c r="F1020" t="inlineStr">
        <is>
          <t>VÄSTERBOTTENS LÄN</t>
        </is>
      </c>
      <c r="G1020" t="inlineStr">
        <is>
          <t>LYCKSELE</t>
        </is>
      </c>
      <c r="I1020" t="n">
        <v>6.7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t="n">
        <v>0</v>
      </c>
      <c r="S1020" t="n">
        <v>0</v>
      </c>
      <c r="T1020" t="n">
        <v>0</v>
      </c>
      <c r="U1020" t="n">
        <v>0</v>
      </c>
      <c r="V1020" s="2" t="inlineStr"/>
    </row>
    <row r="1021" ht="15" customHeight="1">
      <c r="A1021" t="inlineStr">
        <is>
          <t>A 12430-2025</t>
        </is>
      </c>
      <c r="B1021" t="inlineStr">
        <is>
          <t>avverkningsanmälan</t>
        </is>
      </c>
      <c r="C1021" t="inlineStr">
        <is>
          <t>Föryngringsavverkning</t>
        </is>
      </c>
      <c r="D1021" s="1" t="n">
        <v>45730</v>
      </c>
      <c r="E1021" s="1" t="n">
        <v>46227</v>
      </c>
      <c r="F1021" t="inlineStr">
        <is>
          <t>VÄSTERBOTTENS LÄN</t>
        </is>
      </c>
      <c r="G1021" t="inlineStr">
        <is>
          <t>LYCKSELE</t>
        </is>
      </c>
      <c r="I1021" t="n">
        <v>4.8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t="n">
        <v>0</v>
      </c>
      <c r="S1021" t="n">
        <v>0</v>
      </c>
      <c r="T1021" t="n">
        <v>0</v>
      </c>
      <c r="U1021" t="n">
        <v>0</v>
      </c>
      <c r="V1021" s="2" t="inlineStr"/>
    </row>
    <row r="1022" ht="15" customHeight="1">
      <c r="A1022" t="inlineStr">
        <is>
          <t>A 25039-2026</t>
        </is>
      </c>
      <c r="B1022" t="inlineStr">
        <is>
          <t>avverkningsanmälan</t>
        </is>
      </c>
      <c r="C1022" t="inlineStr">
        <is>
          <t>Föryngringsavverkning</t>
        </is>
      </c>
      <c r="D1022" s="1" t="n">
        <v>46174</v>
      </c>
      <c r="E1022" s="1" t="n">
        <v>46227</v>
      </c>
      <c r="F1022" t="inlineStr">
        <is>
          <t>VÄSTERBOTTENS LÄN</t>
        </is>
      </c>
      <c r="G1022" t="inlineStr">
        <is>
          <t>LYCKSELE</t>
        </is>
      </c>
      <c r="H1022" t="inlineStr">
        <is>
          <t>Holmen skog AB</t>
        </is>
      </c>
      <c r="I1022" t="n">
        <v>0.8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t="n">
        <v>0</v>
      </c>
      <c r="S1022" t="n">
        <v>0</v>
      </c>
      <c r="T1022" t="n">
        <v>0</v>
      </c>
      <c r="U1022" t="n">
        <v>0</v>
      </c>
      <c r="V1022" s="2" t="inlineStr"/>
    </row>
    <row r="1023" ht="15" customHeight="1">
      <c r="A1023" t="inlineStr">
        <is>
          <t>A 25490-2026</t>
        </is>
      </c>
      <c r="B1023" t="inlineStr">
        <is>
          <t>avverkningsanmälan</t>
        </is>
      </c>
      <c r="C1023" t="inlineStr">
        <is>
          <t>Föryngringsavverkning</t>
        </is>
      </c>
      <c r="D1023" s="1" t="n">
        <v>46177</v>
      </c>
      <c r="E1023" s="1" t="n">
        <v>46227</v>
      </c>
      <c r="F1023" t="inlineStr">
        <is>
          <t>VÄSTERBOTTENS LÄN</t>
        </is>
      </c>
      <c r="G1023" t="inlineStr">
        <is>
          <t>LYCKSELE</t>
        </is>
      </c>
      <c r="H1023" t="inlineStr">
        <is>
          <t>SCA</t>
        </is>
      </c>
      <c r="I1023" t="n">
        <v>14.5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t="n">
        <v>0</v>
      </c>
      <c r="S1023" t="n">
        <v>0</v>
      </c>
      <c r="T1023" t="n">
        <v>0</v>
      </c>
      <c r="U1023" t="n">
        <v>0</v>
      </c>
      <c r="V1023" s="2" t="inlineStr"/>
    </row>
    <row r="1024" ht="15" customHeight="1">
      <c r="A1024" t="inlineStr">
        <is>
          <t>A 25491-2026</t>
        </is>
      </c>
      <c r="B1024" t="inlineStr">
        <is>
          <t>avverkningsanmälan</t>
        </is>
      </c>
      <c r="C1024" t="inlineStr">
        <is>
          <t>Föryngringsavverkning</t>
        </is>
      </c>
      <c r="D1024" s="1" t="n">
        <v>46177</v>
      </c>
      <c r="E1024" s="1" t="n">
        <v>46227</v>
      </c>
      <c r="F1024" t="inlineStr">
        <is>
          <t>VÄSTERBOTTENS LÄN</t>
        </is>
      </c>
      <c r="G1024" t="inlineStr">
        <is>
          <t>LYCKSELE</t>
        </is>
      </c>
      <c r="H1024" t="inlineStr">
        <is>
          <t>SCA</t>
        </is>
      </c>
      <c r="I1024" t="n">
        <v>10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t="n">
        <v>0</v>
      </c>
      <c r="S1024" t="n">
        <v>0</v>
      </c>
      <c r="T1024" t="n">
        <v>0</v>
      </c>
      <c r="U1024" t="n">
        <v>0</v>
      </c>
      <c r="V1024" s="2" t="inlineStr"/>
    </row>
    <row r="1025" ht="15" customHeight="1">
      <c r="A1025" t="inlineStr">
        <is>
          <t>A 25278-2026</t>
        </is>
      </c>
      <c r="B1025" t="inlineStr">
        <is>
          <t>avverkningsanmälan</t>
        </is>
      </c>
      <c r="C1025" t="inlineStr">
        <is>
          <t>Avverkning för annat ändamål</t>
        </is>
      </c>
      <c r="D1025" s="1" t="n">
        <v>46176</v>
      </c>
      <c r="E1025" s="1" t="n">
        <v>46227</v>
      </c>
      <c r="F1025" t="inlineStr">
        <is>
          <t>VÄSTERBOTTENS LÄN</t>
        </is>
      </c>
      <c r="G1025" t="inlineStr">
        <is>
          <t>LYCKSELE</t>
        </is>
      </c>
      <c r="I1025" t="n">
        <v>0.6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t="n">
        <v>0</v>
      </c>
      <c r="S1025" t="n">
        <v>0</v>
      </c>
      <c r="T1025" t="n">
        <v>0</v>
      </c>
      <c r="U1025" t="n">
        <v>0</v>
      </c>
      <c r="V1025" s="2" t="inlineStr"/>
    </row>
    <row r="1026" ht="15" customHeight="1">
      <c r="A1026" t="inlineStr">
        <is>
          <t>A 35227-2023</t>
        </is>
      </c>
      <c r="B1026" t="inlineStr">
        <is>
          <t>avverkningsanmälan</t>
        </is>
      </c>
      <c r="C1026" t="inlineStr">
        <is>
          <t>Föryngringsavverkning</t>
        </is>
      </c>
      <c r="D1026" s="1" t="n">
        <v>45145</v>
      </c>
      <c r="E1026" s="1" t="n">
        <v>46227</v>
      </c>
      <c r="F1026" t="inlineStr">
        <is>
          <t>VÄSTERBOTTENS LÄN</t>
        </is>
      </c>
      <c r="G1026" t="inlineStr">
        <is>
          <t>LYCKSELE</t>
        </is>
      </c>
      <c r="H1026" t="inlineStr">
        <is>
          <t>Sveaskog</t>
        </is>
      </c>
      <c r="I1026" t="n">
        <v>4.6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t="n">
        <v>0</v>
      </c>
      <c r="S1026" t="n">
        <v>0</v>
      </c>
      <c r="T1026" t="n">
        <v>0</v>
      </c>
      <c r="U1026" t="n">
        <v>0</v>
      </c>
      <c r="V1026" s="2" t="inlineStr"/>
    </row>
    <row r="1027" ht="15" customHeight="1">
      <c r="A1027" t="inlineStr">
        <is>
          <t>A 41728-2023</t>
        </is>
      </c>
      <c r="B1027" t="inlineStr">
        <is>
          <t>avverkningsanmälan</t>
        </is>
      </c>
      <c r="C1027" t="inlineStr">
        <is>
          <t>Föryngringsavverkning</t>
        </is>
      </c>
      <c r="D1027" s="1" t="n">
        <v>45176</v>
      </c>
      <c r="E1027" s="1" t="n">
        <v>46227</v>
      </c>
      <c r="F1027" t="inlineStr">
        <is>
          <t>VÄSTERBOTTENS LÄN</t>
        </is>
      </c>
      <c r="G1027" t="inlineStr">
        <is>
          <t>LYCKSELE</t>
        </is>
      </c>
      <c r="I1027" t="n">
        <v>4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t="n">
        <v>0</v>
      </c>
      <c r="S1027" t="n">
        <v>0</v>
      </c>
      <c r="T1027" t="n">
        <v>0</v>
      </c>
      <c r="U1027" t="n">
        <v>0</v>
      </c>
      <c r="V1027" s="2" t="inlineStr"/>
    </row>
    <row r="1028" ht="15" customHeight="1">
      <c r="A1028" t="inlineStr">
        <is>
          <t>A 25328-2026</t>
        </is>
      </c>
      <c r="B1028" t="inlineStr">
        <is>
          <t>avverkningsanmälan</t>
        </is>
      </c>
      <c r="C1028" t="inlineStr">
        <is>
          <t>Föryngringsavverkning</t>
        </is>
      </c>
      <c r="D1028" s="1" t="n">
        <v>46176</v>
      </c>
      <c r="E1028" s="1" t="n">
        <v>46227</v>
      </c>
      <c r="F1028" t="inlineStr">
        <is>
          <t>VÄSTERBOTTENS LÄN</t>
        </is>
      </c>
      <c r="G1028" t="inlineStr">
        <is>
          <t>LYCKSELE</t>
        </is>
      </c>
      <c r="I1028" t="n">
        <v>7.4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t="n">
        <v>0</v>
      </c>
      <c r="S1028" t="n">
        <v>0</v>
      </c>
      <c r="T1028" t="n">
        <v>0</v>
      </c>
      <c r="U1028" t="n">
        <v>0</v>
      </c>
      <c r="V1028" s="2" t="inlineStr"/>
    </row>
    <row r="1029" ht="15" customHeight="1">
      <c r="A1029" t="inlineStr">
        <is>
          <t>A 30306-2024</t>
        </is>
      </c>
      <c r="B1029" t="inlineStr">
        <is>
          <t>avverkningsanmälan</t>
        </is>
      </c>
      <c r="C1029" t="inlineStr">
        <is>
          <t>Föryngringsavverkning</t>
        </is>
      </c>
      <c r="D1029" s="1" t="n">
        <v>45490</v>
      </c>
      <c r="E1029" s="1" t="n">
        <v>46227</v>
      </c>
      <c r="F1029" t="inlineStr">
        <is>
          <t>VÄSTERBOTTENS LÄN</t>
        </is>
      </c>
      <c r="G1029" t="inlineStr">
        <is>
          <t>LYCKSELE</t>
        </is>
      </c>
      <c r="H1029" t="inlineStr">
        <is>
          <t>Holmen skog AB</t>
        </is>
      </c>
      <c r="I1029" t="n">
        <v>5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t="n">
        <v>0</v>
      </c>
      <c r="S1029" t="n">
        <v>0</v>
      </c>
      <c r="T1029" t="n">
        <v>0</v>
      </c>
      <c r="U1029" t="n">
        <v>0</v>
      </c>
      <c r="V1029" s="2" t="inlineStr"/>
    </row>
    <row r="1030" ht="15" customHeight="1">
      <c r="A1030" t="inlineStr">
        <is>
          <t>A 68665-2021</t>
        </is>
      </c>
      <c r="B1030" t="inlineStr">
        <is>
          <t>avverkningsanmälan</t>
        </is>
      </c>
      <c r="C1030" t="inlineStr">
        <is>
          <t>Föryngringsavverkning</t>
        </is>
      </c>
      <c r="D1030" s="1" t="n">
        <v>44529</v>
      </c>
      <c r="E1030" s="1" t="n">
        <v>46227</v>
      </c>
      <c r="F1030" t="inlineStr">
        <is>
          <t>VÄSTERBOTTENS LÄN</t>
        </is>
      </c>
      <c r="G1030" t="inlineStr">
        <is>
          <t>LYCKSELE</t>
        </is>
      </c>
      <c r="I1030" t="n">
        <v>1.7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t="n">
        <v>0</v>
      </c>
      <c r="S1030" t="n">
        <v>0</v>
      </c>
      <c r="T1030" t="n">
        <v>0</v>
      </c>
      <c r="U1030" t="n">
        <v>0</v>
      </c>
      <c r="V1030" s="2" t="inlineStr"/>
    </row>
    <row r="1031" ht="15" customHeight="1">
      <c r="A1031" t="inlineStr">
        <is>
          <t>A 29279-2026</t>
        </is>
      </c>
      <c r="B1031" t="inlineStr">
        <is>
          <t>avverkningsanmälan</t>
        </is>
      </c>
      <c r="C1031" t="inlineStr">
        <is>
          <t>Föryngringsavverkning</t>
        </is>
      </c>
      <c r="D1031" s="1" t="n">
        <v>46202</v>
      </c>
      <c r="E1031" s="1" t="n">
        <v>46227</v>
      </c>
      <c r="F1031" t="inlineStr">
        <is>
          <t>VÄSTERBOTTENS LÄN</t>
        </is>
      </c>
      <c r="G1031" t="inlineStr">
        <is>
          <t>LYCKSELE</t>
        </is>
      </c>
      <c r="H1031" t="inlineStr">
        <is>
          <t>Holmen skog AB</t>
        </is>
      </c>
      <c r="I1031" t="n">
        <v>2.7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t="n">
        <v>0</v>
      </c>
      <c r="S1031" t="n">
        <v>0</v>
      </c>
      <c r="T1031" t="n">
        <v>0</v>
      </c>
      <c r="U1031" t="n">
        <v>0</v>
      </c>
      <c r="V1031" s="2" t="inlineStr"/>
    </row>
    <row r="1032" ht="15" customHeight="1">
      <c r="A1032" t="inlineStr">
        <is>
          <t>A 31371-2026</t>
        </is>
      </c>
      <c r="B1032" t="inlineStr">
        <is>
          <t>avverkningsanmälan</t>
        </is>
      </c>
      <c r="C1032" t="inlineStr">
        <is>
          <t>Föryngringsavverkning</t>
        </is>
      </c>
      <c r="D1032" s="1" t="n">
        <v>46219</v>
      </c>
      <c r="E1032" s="1" t="n">
        <v>46227</v>
      </c>
      <c r="F1032" t="inlineStr">
        <is>
          <t>VÄSTERBOTTENS LÄN</t>
        </is>
      </c>
      <c r="G1032" t="inlineStr">
        <is>
          <t>LYCKSELE</t>
        </is>
      </c>
      <c r="H1032" t="inlineStr">
        <is>
          <t>SCA</t>
        </is>
      </c>
      <c r="I1032" t="n">
        <v>2.4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t="n">
        <v>0</v>
      </c>
      <c r="S1032" t="n">
        <v>0</v>
      </c>
      <c r="T1032" t="n">
        <v>0</v>
      </c>
      <c r="U1032" t="n">
        <v>0</v>
      </c>
      <c r="V1032" s="2" t="inlineStr"/>
    </row>
    <row r="1033" ht="15" customHeight="1">
      <c r="A1033" t="inlineStr">
        <is>
          <t>A 31369-2026</t>
        </is>
      </c>
      <c r="B1033" t="inlineStr">
        <is>
          <t>avverkningsanmälan</t>
        </is>
      </c>
      <c r="C1033" t="inlineStr">
        <is>
          <t>Föryngringsavverkning</t>
        </is>
      </c>
      <c r="D1033" s="1" t="n">
        <v>46219</v>
      </c>
      <c r="E1033" s="1" t="n">
        <v>46227</v>
      </c>
      <c r="F1033" t="inlineStr">
        <is>
          <t>VÄSTERBOTTENS LÄN</t>
        </is>
      </c>
      <c r="G1033" t="inlineStr">
        <is>
          <t>LYCKSELE</t>
        </is>
      </c>
      <c r="H1033" t="inlineStr">
        <is>
          <t>SCA</t>
        </is>
      </c>
      <c r="I1033" t="n">
        <v>3.2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t="n">
        <v>0</v>
      </c>
      <c r="S1033" t="n">
        <v>0</v>
      </c>
      <c r="T1033" t="n">
        <v>0</v>
      </c>
      <c r="U1033" t="n">
        <v>0</v>
      </c>
      <c r="V1033" s="2" t="inlineStr"/>
    </row>
    <row r="1034" ht="15" customHeight="1">
      <c r="A1034" t="inlineStr">
        <is>
          <t>A 31372-2024</t>
        </is>
      </c>
      <c r="B1034" t="inlineStr">
        <is>
          <t>avverkningsanmälan</t>
        </is>
      </c>
      <c r="C1034" t="inlineStr">
        <is>
          <t>Föryngringsavverkning</t>
        </is>
      </c>
      <c r="D1034" s="1" t="n">
        <v>45503</v>
      </c>
      <c r="E1034" s="1" t="n">
        <v>46227</v>
      </c>
      <c r="F1034" t="inlineStr">
        <is>
          <t>VÄSTERBOTTENS LÄN</t>
        </is>
      </c>
      <c r="G1034" t="inlineStr">
        <is>
          <t>LYCKSELE</t>
        </is>
      </c>
      <c r="I1034" t="n">
        <v>2.4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t="n">
        <v>0</v>
      </c>
      <c r="S1034" t="n">
        <v>0</v>
      </c>
      <c r="T1034" t="n">
        <v>0</v>
      </c>
      <c r="U1034" t="n">
        <v>0</v>
      </c>
      <c r="V1034" s="2" t="inlineStr"/>
    </row>
    <row r="1035" ht="15" customHeight="1">
      <c r="A1035" t="inlineStr">
        <is>
          <t>A 31358-2026</t>
        </is>
      </c>
      <c r="B1035" t="inlineStr">
        <is>
          <t>avverkningsanmälan</t>
        </is>
      </c>
      <c r="C1035" t="inlineStr">
        <is>
          <t>Föryngringsavverkning</t>
        </is>
      </c>
      <c r="D1035" s="1" t="n">
        <v>46219</v>
      </c>
      <c r="E1035" s="1" t="n">
        <v>46227</v>
      </c>
      <c r="F1035" t="inlineStr">
        <is>
          <t>VÄSTERBOTTENS LÄN</t>
        </is>
      </c>
      <c r="G1035" t="inlineStr">
        <is>
          <t>LYCKSELE</t>
        </is>
      </c>
      <c r="H1035" t="inlineStr">
        <is>
          <t>SCA</t>
        </is>
      </c>
      <c r="I1035" t="n">
        <v>16.3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t="n">
        <v>0</v>
      </c>
      <c r="S1035" t="n">
        <v>0</v>
      </c>
      <c r="T1035" t="n">
        <v>0</v>
      </c>
      <c r="U1035" t="n">
        <v>0</v>
      </c>
      <c r="V1035" s="2" t="inlineStr"/>
    </row>
    <row r="1036" ht="15" customHeight="1">
      <c r="A1036" t="inlineStr">
        <is>
          <t>A 31400-2026</t>
        </is>
      </c>
      <c r="B1036" t="inlineStr">
        <is>
          <t>avverkningsanmälan</t>
        </is>
      </c>
      <c r="C1036" t="inlineStr">
        <is>
          <t>Föryngringsavverkning</t>
        </is>
      </c>
      <c r="D1036" s="1" t="n">
        <v>46220</v>
      </c>
      <c r="E1036" s="1" t="n">
        <v>46227</v>
      </c>
      <c r="F1036" t="inlineStr">
        <is>
          <t>VÄSTERBOTTENS LÄN</t>
        </is>
      </c>
      <c r="G1036" t="inlineStr">
        <is>
          <t>LYCKSELE</t>
        </is>
      </c>
      <c r="H1036" t="inlineStr">
        <is>
          <t>Holmen skog AB</t>
        </is>
      </c>
      <c r="I1036" t="n">
        <v>4.9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t="n">
        <v>0</v>
      </c>
      <c r="S1036" t="n">
        <v>0</v>
      </c>
      <c r="T1036" t="n">
        <v>0</v>
      </c>
      <c r="U1036" t="n">
        <v>0</v>
      </c>
      <c r="V1036" s="2" t="inlineStr"/>
    </row>
    <row r="1037" ht="15" customHeight="1">
      <c r="A1037" t="inlineStr">
        <is>
          <t>A 25453-2026</t>
        </is>
      </c>
      <c r="B1037" t="inlineStr">
        <is>
          <t>avverkningsanmälan</t>
        </is>
      </c>
      <c r="C1037" t="inlineStr">
        <is>
          <t>Föryngringsavverkning</t>
        </is>
      </c>
      <c r="D1037" s="1" t="n">
        <v>46177</v>
      </c>
      <c r="E1037" s="1" t="n">
        <v>46227</v>
      </c>
      <c r="F1037" t="inlineStr">
        <is>
          <t>VÄSTERBOTTENS LÄN</t>
        </is>
      </c>
      <c r="G1037" t="inlineStr">
        <is>
          <t>LYCKSELE</t>
        </is>
      </c>
      <c r="H1037" t="inlineStr">
        <is>
          <t>Holmen skog AB</t>
        </is>
      </c>
      <c r="I1037" t="n">
        <v>4.8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t="n">
        <v>0</v>
      </c>
      <c r="S1037" t="n">
        <v>0</v>
      </c>
      <c r="T1037" t="n">
        <v>0</v>
      </c>
      <c r="U1037" t="n">
        <v>0</v>
      </c>
      <c r="V1037" s="2" t="inlineStr"/>
    </row>
    <row r="1038" ht="15" customHeight="1">
      <c r="A1038" t="inlineStr">
        <is>
          <t>A 31398-2026</t>
        </is>
      </c>
      <c r="B1038" t="inlineStr">
        <is>
          <t>avverkningsanmälan</t>
        </is>
      </c>
      <c r="C1038" t="inlineStr">
        <is>
          <t>Föryngringsavverkning</t>
        </is>
      </c>
      <c r="D1038" s="1" t="n">
        <v>46220</v>
      </c>
      <c r="E1038" s="1" t="n">
        <v>46227</v>
      </c>
      <c r="F1038" t="inlineStr">
        <is>
          <t>VÄSTERBOTTENS LÄN</t>
        </is>
      </c>
      <c r="G1038" t="inlineStr">
        <is>
          <t>LYCKSELE</t>
        </is>
      </c>
      <c r="H1038" t="inlineStr">
        <is>
          <t>SCA</t>
        </is>
      </c>
      <c r="I1038" t="n">
        <v>2.8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t="n">
        <v>0</v>
      </c>
      <c r="S1038" t="n">
        <v>0</v>
      </c>
      <c r="T1038" t="n">
        <v>0</v>
      </c>
      <c r="U1038" t="n">
        <v>0</v>
      </c>
      <c r="V1038" s="2" t="inlineStr"/>
    </row>
    <row r="1039" ht="15" customHeight="1">
      <c r="A1039" t="inlineStr">
        <is>
          <t>A 31408-2026</t>
        </is>
      </c>
      <c r="B1039" t="inlineStr">
        <is>
          <t>avverkningsanmälan</t>
        </is>
      </c>
      <c r="C1039" t="inlineStr">
        <is>
          <t>Föryngringsavverkning</t>
        </is>
      </c>
      <c r="D1039" s="1" t="n">
        <v>46220</v>
      </c>
      <c r="E1039" s="1" t="n">
        <v>46227</v>
      </c>
      <c r="F1039" t="inlineStr">
        <is>
          <t>VÄSTERBOTTENS LÄN</t>
        </is>
      </c>
      <c r="G1039" t="inlineStr">
        <is>
          <t>LYCKSELE</t>
        </is>
      </c>
      <c r="H1039" t="inlineStr">
        <is>
          <t>SCA</t>
        </is>
      </c>
      <c r="I1039" t="n">
        <v>3.1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t="n">
        <v>0</v>
      </c>
      <c r="S1039" t="n">
        <v>0</v>
      </c>
      <c r="T1039" t="n">
        <v>0</v>
      </c>
      <c r="U1039" t="n">
        <v>0</v>
      </c>
      <c r="V1039" s="2" t="inlineStr"/>
    </row>
    <row r="1040" ht="15" customHeight="1">
      <c r="A1040" t="inlineStr">
        <is>
          <t>A 31384-2026</t>
        </is>
      </c>
      <c r="B1040" t="inlineStr">
        <is>
          <t>avverkningsanmälan</t>
        </is>
      </c>
      <c r="C1040" t="inlineStr">
        <is>
          <t>Föryngringsavverkning</t>
        </is>
      </c>
      <c r="D1040" s="1" t="n">
        <v>46220</v>
      </c>
      <c r="E1040" s="1" t="n">
        <v>46227</v>
      </c>
      <c r="F1040" t="inlineStr">
        <is>
          <t>VÄSTERBOTTENS LÄN</t>
        </is>
      </c>
      <c r="G1040" t="inlineStr">
        <is>
          <t>LYCKSELE</t>
        </is>
      </c>
      <c r="H1040" t="inlineStr">
        <is>
          <t>SCA</t>
        </is>
      </c>
      <c r="I1040" t="n">
        <v>3.4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t="n">
        <v>0</v>
      </c>
      <c r="S1040" t="n">
        <v>0</v>
      </c>
      <c r="T1040" t="n">
        <v>0</v>
      </c>
      <c r="U1040" t="n">
        <v>0</v>
      </c>
      <c r="V1040" s="2" t="inlineStr"/>
    </row>
    <row r="1041" ht="15" customHeight="1">
      <c r="A1041" t="inlineStr">
        <is>
          <t>A 38347-2025</t>
        </is>
      </c>
      <c r="B1041" t="inlineStr">
        <is>
          <t>avverkningsanmälan</t>
        </is>
      </c>
      <c r="C1041" t="inlineStr">
        <is>
          <t>Föryngringsavverkning</t>
        </is>
      </c>
      <c r="D1041" s="1" t="n">
        <v>45883</v>
      </c>
      <c r="E1041" s="1" t="n">
        <v>46227</v>
      </c>
      <c r="F1041" t="inlineStr">
        <is>
          <t>VÄSTERBOTTENS LÄN</t>
        </is>
      </c>
      <c r="G1041" t="inlineStr">
        <is>
          <t>LYCKSELE</t>
        </is>
      </c>
      <c r="I1041" t="n">
        <v>2.4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t="n">
        <v>0</v>
      </c>
      <c r="S1041" t="n">
        <v>0</v>
      </c>
      <c r="T1041" t="n">
        <v>0</v>
      </c>
      <c r="U1041" t="n">
        <v>0</v>
      </c>
      <c r="V1041" s="2" t="inlineStr"/>
    </row>
    <row r="1042" ht="15" customHeight="1">
      <c r="A1042" t="inlineStr">
        <is>
          <t>A 25461-2026</t>
        </is>
      </c>
      <c r="B1042" t="inlineStr">
        <is>
          <t>avverkningsanmälan</t>
        </is>
      </c>
      <c r="C1042" t="inlineStr">
        <is>
          <t>Föryngringsavverkning</t>
        </is>
      </c>
      <c r="D1042" s="1" t="n">
        <v>46177</v>
      </c>
      <c r="E1042" s="1" t="n">
        <v>46227</v>
      </c>
      <c r="F1042" t="inlineStr">
        <is>
          <t>VÄSTERBOTTENS LÄN</t>
        </is>
      </c>
      <c r="G1042" t="inlineStr">
        <is>
          <t>LYCKSELE</t>
        </is>
      </c>
      <c r="H1042" t="inlineStr">
        <is>
          <t>Holmen skog AB</t>
        </is>
      </c>
      <c r="I1042" t="n">
        <v>1.4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t="n">
        <v>0</v>
      </c>
      <c r="S1042" t="n">
        <v>0</v>
      </c>
      <c r="T1042" t="n">
        <v>0</v>
      </c>
      <c r="U1042" t="n">
        <v>0</v>
      </c>
      <c r="V1042" s="2" t="inlineStr"/>
    </row>
    <row r="1043" ht="15" customHeight="1">
      <c r="A1043" t="inlineStr">
        <is>
          <t>A 21666-2024</t>
        </is>
      </c>
      <c r="B1043" t="inlineStr">
        <is>
          <t>avverkningsanmälan</t>
        </is>
      </c>
      <c r="C1043" t="inlineStr">
        <is>
          <t>Föryngringsavverkning</t>
        </is>
      </c>
      <c r="D1043" s="1" t="n">
        <v>45441</v>
      </c>
      <c r="E1043" s="1" t="n">
        <v>46227</v>
      </c>
      <c r="F1043" t="inlineStr">
        <is>
          <t>VÄSTERBOTTENS LÄN</t>
        </is>
      </c>
      <c r="G1043" t="inlineStr">
        <is>
          <t>LYCKSELE</t>
        </is>
      </c>
      <c r="I1043" t="n">
        <v>2.6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t="n">
        <v>0</v>
      </c>
      <c r="S1043" t="n">
        <v>0</v>
      </c>
      <c r="T1043" t="n">
        <v>0</v>
      </c>
      <c r="U1043" t="n">
        <v>0</v>
      </c>
      <c r="V1043" s="2" t="inlineStr"/>
    </row>
    <row r="1044" ht="15" customHeight="1">
      <c r="A1044" t="inlineStr">
        <is>
          <t>A 25492-2026</t>
        </is>
      </c>
      <c r="B1044" t="inlineStr">
        <is>
          <t>avverkningsanmälan</t>
        </is>
      </c>
      <c r="C1044" t="inlineStr">
        <is>
          <t>Föryngringsavverkning</t>
        </is>
      </c>
      <c r="D1044" s="1" t="n">
        <v>46177</v>
      </c>
      <c r="E1044" s="1" t="n">
        <v>46227</v>
      </c>
      <c r="F1044" t="inlineStr">
        <is>
          <t>VÄSTERBOTTENS LÄN</t>
        </is>
      </c>
      <c r="G1044" t="inlineStr">
        <is>
          <t>LYCKSELE</t>
        </is>
      </c>
      <c r="H1044" t="inlineStr">
        <is>
          <t>SCA</t>
        </is>
      </c>
      <c r="I1044" t="n">
        <v>5.3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t="n">
        <v>0</v>
      </c>
      <c r="S1044" t="n">
        <v>0</v>
      </c>
      <c r="T1044" t="n">
        <v>0</v>
      </c>
      <c r="U1044" t="n">
        <v>0</v>
      </c>
      <c r="V1044" s="2" t="inlineStr"/>
    </row>
    <row r="1045" ht="15" customHeight="1">
      <c r="A1045" t="inlineStr">
        <is>
          <t>A 27929-2024</t>
        </is>
      </c>
      <c r="B1045" t="inlineStr">
        <is>
          <t>avverkningsanmälan</t>
        </is>
      </c>
      <c r="C1045" t="inlineStr">
        <is>
          <t>Föryngringsavverkning</t>
        </is>
      </c>
      <c r="D1045" s="1" t="n">
        <v>45475</v>
      </c>
      <c r="E1045" s="1" t="n">
        <v>46227</v>
      </c>
      <c r="F1045" t="inlineStr">
        <is>
          <t>VÄSTERBOTTENS LÄN</t>
        </is>
      </c>
      <c r="G1045" t="inlineStr">
        <is>
          <t>LYCKSELE</t>
        </is>
      </c>
      <c r="H1045" t="inlineStr">
        <is>
          <t>Naturvårdsverket</t>
        </is>
      </c>
      <c r="I1045" t="n">
        <v>2.4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t="n">
        <v>0</v>
      </c>
      <c r="S1045" t="n">
        <v>0</v>
      </c>
      <c r="T1045" t="n">
        <v>0</v>
      </c>
      <c r="U1045" t="n">
        <v>0</v>
      </c>
      <c r="V1045" s="2" t="inlineStr"/>
    </row>
    <row r="1046" ht="15" customHeight="1">
      <c r="A1046" t="inlineStr">
        <is>
          <t>A 27932-2024</t>
        </is>
      </c>
      <c r="B1046" t="inlineStr">
        <is>
          <t>avverkningsanmälan</t>
        </is>
      </c>
      <c r="C1046" t="inlineStr">
        <is>
          <t>Föryngringsavverkning</t>
        </is>
      </c>
      <c r="D1046" s="1" t="n">
        <v>45475</v>
      </c>
      <c r="E1046" s="1" t="n">
        <v>46227</v>
      </c>
      <c r="F1046" t="inlineStr">
        <is>
          <t>VÄSTERBOTTENS LÄN</t>
        </is>
      </c>
      <c r="G1046" t="inlineStr">
        <is>
          <t>LYCKSELE</t>
        </is>
      </c>
      <c r="H1046" t="inlineStr">
        <is>
          <t>Naturvårdsverket</t>
        </is>
      </c>
      <c r="I1046" t="n">
        <v>0.9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t="n">
        <v>0</v>
      </c>
      <c r="S1046" t="n">
        <v>0</v>
      </c>
      <c r="T1046" t="n">
        <v>0</v>
      </c>
      <c r="U1046" t="n">
        <v>0</v>
      </c>
      <c r="V1046" s="2" t="inlineStr"/>
    </row>
    <row r="1047" ht="15" customHeight="1">
      <c r="A1047" t="inlineStr">
        <is>
          <t>A 21109-2023</t>
        </is>
      </c>
      <c r="B1047" t="inlineStr">
        <is>
          <t>avverkningsanmälan</t>
        </is>
      </c>
      <c r="C1047" t="inlineStr">
        <is>
          <t>Avverkning för att bevara och utveckla /försöksver</t>
        </is>
      </c>
      <c r="D1047" s="1" t="n">
        <v>45061</v>
      </c>
      <c r="E1047" s="1" t="n">
        <v>46227</v>
      </c>
      <c r="F1047" t="inlineStr">
        <is>
          <t>VÄSTERBOTTENS LÄN</t>
        </is>
      </c>
      <c r="G1047" t="inlineStr">
        <is>
          <t>LYCKSELE</t>
        </is>
      </c>
      <c r="H1047" t="inlineStr">
        <is>
          <t>SCA</t>
        </is>
      </c>
      <c r="I1047" t="n">
        <v>1.4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t="n">
        <v>0</v>
      </c>
      <c r="S1047" t="n">
        <v>0</v>
      </c>
      <c r="T1047" t="n">
        <v>0</v>
      </c>
      <c r="U1047" t="n">
        <v>0</v>
      </c>
      <c r="V1047" s="2" t="inlineStr"/>
    </row>
    <row r="1048" ht="15" customHeight="1">
      <c r="A1048" t="inlineStr">
        <is>
          <t>A 59569-2024</t>
        </is>
      </c>
      <c r="B1048" t="inlineStr">
        <is>
          <t>avverkningsanmälan</t>
        </is>
      </c>
      <c r="C1048" t="inlineStr">
        <is>
          <t>Föryngringsavverkning</t>
        </is>
      </c>
      <c r="D1048" s="1" t="n">
        <v>45638</v>
      </c>
      <c r="E1048" s="1" t="n">
        <v>46227</v>
      </c>
      <c r="F1048" t="inlineStr">
        <is>
          <t>VÄSTERBOTTENS LÄN</t>
        </is>
      </c>
      <c r="G1048" t="inlineStr">
        <is>
          <t>LYCKSELE</t>
        </is>
      </c>
      <c r="H1048" t="inlineStr">
        <is>
          <t>Holmen skog AB</t>
        </is>
      </c>
      <c r="I1048" t="n">
        <v>1.5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t="n">
        <v>0</v>
      </c>
      <c r="S1048" t="n">
        <v>0</v>
      </c>
      <c r="T1048" t="n">
        <v>0</v>
      </c>
      <c r="U1048" t="n">
        <v>0</v>
      </c>
      <c r="V1048" s="2" t="inlineStr"/>
    </row>
    <row r="1049" ht="15" customHeight="1">
      <c r="A1049" t="inlineStr">
        <is>
          <t>A 26358-2023</t>
        </is>
      </c>
      <c r="B1049" t="inlineStr">
        <is>
          <t>avverkningsanmälan</t>
        </is>
      </c>
      <c r="C1049" t="inlineStr">
        <is>
          <t>Föryngringsavverkning</t>
        </is>
      </c>
      <c r="D1049" s="1" t="n">
        <v>45091</v>
      </c>
      <c r="E1049" s="1" t="n">
        <v>46227</v>
      </c>
      <c r="F1049" t="inlineStr">
        <is>
          <t>VÄSTERBOTTENS LÄN</t>
        </is>
      </c>
      <c r="G1049" t="inlineStr">
        <is>
          <t>LYCKSELE</t>
        </is>
      </c>
      <c r="H1049" t="inlineStr">
        <is>
          <t>SCA</t>
        </is>
      </c>
      <c r="I1049" t="n">
        <v>1.8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t="n">
        <v>0</v>
      </c>
      <c r="S1049" t="n">
        <v>0</v>
      </c>
      <c r="T1049" t="n">
        <v>0</v>
      </c>
      <c r="U1049" t="n">
        <v>0</v>
      </c>
      <c r="V1049" s="2" t="inlineStr"/>
    </row>
    <row r="1050" ht="15" customHeight="1">
      <c r="A1050" t="inlineStr">
        <is>
          <t>A 25727-2026</t>
        </is>
      </c>
      <c r="B1050" t="inlineStr">
        <is>
          <t>avverkningsanmälan</t>
        </is>
      </c>
      <c r="C1050" t="inlineStr">
        <is>
          <t>Föryngringsavverkning</t>
        </is>
      </c>
      <c r="D1050" s="1" t="n">
        <v>46178</v>
      </c>
      <c r="E1050" s="1" t="n">
        <v>46227</v>
      </c>
      <c r="F1050" t="inlineStr">
        <is>
          <t>VÄSTERBOTTENS LÄN</t>
        </is>
      </c>
      <c r="G1050" t="inlineStr">
        <is>
          <t>LYCKSELE</t>
        </is>
      </c>
      <c r="H1050" t="inlineStr">
        <is>
          <t>Sveaskog</t>
        </is>
      </c>
      <c r="I1050" t="n">
        <v>2.4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t="n">
        <v>0</v>
      </c>
      <c r="S1050" t="n">
        <v>0</v>
      </c>
      <c r="T1050" t="n">
        <v>0</v>
      </c>
      <c r="U1050" t="n">
        <v>0</v>
      </c>
      <c r="V1050" s="2" t="inlineStr"/>
    </row>
    <row r="1051" ht="15" customHeight="1">
      <c r="A1051" t="inlineStr">
        <is>
          <t>A 25709-2026</t>
        </is>
      </c>
      <c r="B1051" t="inlineStr">
        <is>
          <t>avverkningsanmälan</t>
        </is>
      </c>
      <c r="C1051" t="inlineStr">
        <is>
          <t>Föryngringsavverkning</t>
        </is>
      </c>
      <c r="D1051" s="1" t="n">
        <v>46178</v>
      </c>
      <c r="E1051" s="1" t="n">
        <v>46227</v>
      </c>
      <c r="F1051" t="inlineStr">
        <is>
          <t>VÄSTERBOTTENS LÄN</t>
        </is>
      </c>
      <c r="G1051" t="inlineStr">
        <is>
          <t>LYCKSELE</t>
        </is>
      </c>
      <c r="H1051" t="inlineStr">
        <is>
          <t>Sveaskog</t>
        </is>
      </c>
      <c r="I1051" t="n">
        <v>6.1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t="n">
        <v>0</v>
      </c>
      <c r="S1051" t="n">
        <v>0</v>
      </c>
      <c r="T1051" t="n">
        <v>0</v>
      </c>
      <c r="U1051" t="n">
        <v>0</v>
      </c>
      <c r="V1051" s="2" t="inlineStr"/>
    </row>
    <row r="1052" ht="15" customHeight="1">
      <c r="A1052" t="inlineStr">
        <is>
          <t>A 25716-2026</t>
        </is>
      </c>
      <c r="B1052" t="inlineStr">
        <is>
          <t>avverkningsanmälan</t>
        </is>
      </c>
      <c r="C1052" t="inlineStr">
        <is>
          <t>Föryngringsavverkning</t>
        </is>
      </c>
      <c r="D1052" s="1" t="n">
        <v>46178</v>
      </c>
      <c r="E1052" s="1" t="n">
        <v>46227</v>
      </c>
      <c r="F1052" t="inlineStr">
        <is>
          <t>VÄSTERBOTTENS LÄN</t>
        </is>
      </c>
      <c r="G1052" t="inlineStr">
        <is>
          <t>LYCKSELE</t>
        </is>
      </c>
      <c r="I1052" t="n">
        <v>7.7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t="n">
        <v>0</v>
      </c>
      <c r="S1052" t="n">
        <v>0</v>
      </c>
      <c r="T1052" t="n">
        <v>0</v>
      </c>
      <c r="U1052" t="n">
        <v>0</v>
      </c>
      <c r="V1052" s="2" t="inlineStr"/>
    </row>
    <row r="1053" ht="15" customHeight="1">
      <c r="A1053" t="inlineStr">
        <is>
          <t>A 25946-2026</t>
        </is>
      </c>
      <c r="B1053" t="inlineStr">
        <is>
          <t>avverkningsanmälan</t>
        </is>
      </c>
      <c r="C1053" t="inlineStr">
        <is>
          <t>Föryngringsavverkning</t>
        </is>
      </c>
      <c r="D1053" s="1" t="n">
        <v>46181</v>
      </c>
      <c r="E1053" s="1" t="n">
        <v>46227</v>
      </c>
      <c r="F1053" t="inlineStr">
        <is>
          <t>VÄSTERBOTTENS LÄN</t>
        </is>
      </c>
      <c r="G1053" t="inlineStr">
        <is>
          <t>LYCKSELE</t>
        </is>
      </c>
      <c r="H1053" t="inlineStr">
        <is>
          <t>Sveaskog</t>
        </is>
      </c>
      <c r="I1053" t="n">
        <v>6.6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t="n">
        <v>0</v>
      </c>
      <c r="S1053" t="n">
        <v>0</v>
      </c>
      <c r="T1053" t="n">
        <v>0</v>
      </c>
      <c r="U1053" t="n">
        <v>0</v>
      </c>
      <c r="V1053" s="2" t="inlineStr"/>
    </row>
    <row r="1054" ht="15" customHeight="1">
      <c r="A1054" t="inlineStr">
        <is>
          <t>A 408-2023</t>
        </is>
      </c>
      <c r="B1054" t="inlineStr">
        <is>
          <t>avverkningsanmälan</t>
        </is>
      </c>
      <c r="C1054" t="inlineStr">
        <is>
          <t>Föryngringsavverkning</t>
        </is>
      </c>
      <c r="D1054" s="1" t="n">
        <v>44924</v>
      </c>
      <c r="E1054" s="1" t="n">
        <v>46227</v>
      </c>
      <c r="F1054" t="inlineStr">
        <is>
          <t>VÄSTERBOTTENS LÄN</t>
        </is>
      </c>
      <c r="G1054" t="inlineStr">
        <is>
          <t>LYCKSELE</t>
        </is>
      </c>
      <c r="I1054" t="n">
        <v>11.9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t="n">
        <v>0</v>
      </c>
      <c r="S1054" t="n">
        <v>0</v>
      </c>
      <c r="T1054" t="n">
        <v>0</v>
      </c>
      <c r="U1054" t="n">
        <v>0</v>
      </c>
      <c r="V1054" s="2" t="inlineStr"/>
    </row>
    <row r="1055" ht="15" customHeight="1">
      <c r="A1055" t="inlineStr">
        <is>
          <t>A 25020-2024</t>
        </is>
      </c>
      <c r="B1055" t="inlineStr">
        <is>
          <t>avverkningsanmälan</t>
        </is>
      </c>
      <c r="C1055" t="inlineStr">
        <is>
          <t>Föryngringsavverkning</t>
        </is>
      </c>
      <c r="D1055" s="1" t="n">
        <v>45461</v>
      </c>
      <c r="E1055" s="1" t="n">
        <v>46227</v>
      </c>
      <c r="F1055" t="inlineStr">
        <is>
          <t>VÄSTERBOTTENS LÄN</t>
        </is>
      </c>
      <c r="G1055" t="inlineStr">
        <is>
          <t>LYCKSELE</t>
        </is>
      </c>
      <c r="H1055" t="inlineStr">
        <is>
          <t>SCA</t>
        </is>
      </c>
      <c r="I1055" t="n">
        <v>1.5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t="n">
        <v>0</v>
      </c>
      <c r="S1055" t="n">
        <v>0</v>
      </c>
      <c r="T1055" t="n">
        <v>0</v>
      </c>
      <c r="U1055" t="n">
        <v>0</v>
      </c>
      <c r="V1055" s="2" t="inlineStr"/>
    </row>
    <row r="1056" ht="15" customHeight="1">
      <c r="A1056" t="inlineStr">
        <is>
          <t>A 6800-2025</t>
        </is>
      </c>
      <c r="B1056" t="inlineStr">
        <is>
          <t>avverkningsanmälan</t>
        </is>
      </c>
      <c r="C1056" t="inlineStr">
        <is>
          <t>Föryngringsavverkning</t>
        </is>
      </c>
      <c r="D1056" s="1" t="n">
        <v>45700</v>
      </c>
      <c r="E1056" s="1" t="n">
        <v>46227</v>
      </c>
      <c r="F1056" t="inlineStr">
        <is>
          <t>VÄSTERBOTTENS LÄN</t>
        </is>
      </c>
      <c r="G1056" t="inlineStr">
        <is>
          <t>LYCKSELE</t>
        </is>
      </c>
      <c r="I1056" t="n">
        <v>1.8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t="n">
        <v>0</v>
      </c>
      <c r="S1056" t="n">
        <v>0</v>
      </c>
      <c r="T1056" t="n">
        <v>0</v>
      </c>
      <c r="U1056" t="n">
        <v>0</v>
      </c>
      <c r="V1056" s="2" t="inlineStr"/>
    </row>
    <row r="1057" ht="15" customHeight="1">
      <c r="A1057" t="inlineStr">
        <is>
          <t>A 25718-2026</t>
        </is>
      </c>
      <c r="B1057" t="inlineStr">
        <is>
          <t>avverkningsanmälan</t>
        </is>
      </c>
      <c r="C1057" t="inlineStr">
        <is>
          <t>Föryngringsavverkning</t>
        </is>
      </c>
      <c r="D1057" s="1" t="n">
        <v>46178</v>
      </c>
      <c r="E1057" s="1" t="n">
        <v>46227</v>
      </c>
      <c r="F1057" t="inlineStr">
        <is>
          <t>VÄSTERBOTTENS LÄN</t>
        </is>
      </c>
      <c r="G1057" t="inlineStr">
        <is>
          <t>LYCKSELE</t>
        </is>
      </c>
      <c r="H1057" t="inlineStr">
        <is>
          <t>Sveaskog</t>
        </is>
      </c>
      <c r="I1057" t="n">
        <v>1.8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t="n">
        <v>0</v>
      </c>
      <c r="S1057" t="n">
        <v>0</v>
      </c>
      <c r="T1057" t="n">
        <v>0</v>
      </c>
      <c r="U1057" t="n">
        <v>0</v>
      </c>
      <c r="V1057" s="2" t="inlineStr"/>
    </row>
    <row r="1058" ht="15" customHeight="1">
      <c r="A1058" t="inlineStr">
        <is>
          <t>A 30425-2024</t>
        </is>
      </c>
      <c r="B1058" t="inlineStr">
        <is>
          <t>avverkningsanmälan</t>
        </is>
      </c>
      <c r="C1058" t="inlineStr">
        <is>
          <t>Föryngringsavverkning</t>
        </is>
      </c>
      <c r="D1058" s="1" t="n">
        <v>45491</v>
      </c>
      <c r="E1058" s="1" t="n">
        <v>46227</v>
      </c>
      <c r="F1058" t="inlineStr">
        <is>
          <t>VÄSTERBOTTENS LÄN</t>
        </is>
      </c>
      <c r="G1058" t="inlineStr">
        <is>
          <t>LYCKSELE</t>
        </is>
      </c>
      <c r="H1058" t="inlineStr">
        <is>
          <t>Sveaskog</t>
        </is>
      </c>
      <c r="I1058" t="n">
        <v>3.9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t="n">
        <v>0</v>
      </c>
      <c r="S1058" t="n">
        <v>0</v>
      </c>
      <c r="T1058" t="n">
        <v>0</v>
      </c>
      <c r="U1058" t="n">
        <v>0</v>
      </c>
      <c r="V1058" s="2" t="inlineStr"/>
    </row>
    <row r="1059" ht="15" customHeight="1">
      <c r="A1059" t="inlineStr">
        <is>
          <t>A 47131-2024</t>
        </is>
      </c>
      <c r="B1059" t="inlineStr">
        <is>
          <t>avverkningsanmälan</t>
        </is>
      </c>
      <c r="C1059" t="inlineStr">
        <is>
          <t>Föryngringsavverkning</t>
        </is>
      </c>
      <c r="D1059" s="1" t="n">
        <v>45586</v>
      </c>
      <c r="E1059" s="1" t="n">
        <v>46227</v>
      </c>
      <c r="F1059" t="inlineStr">
        <is>
          <t>VÄSTERBOTTENS LÄN</t>
        </is>
      </c>
      <c r="G1059" t="inlineStr">
        <is>
          <t>LYCKSELE</t>
        </is>
      </c>
      <c r="H1059" t="inlineStr">
        <is>
          <t>Sveaskog</t>
        </is>
      </c>
      <c r="I1059" t="n">
        <v>1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t="n">
        <v>0</v>
      </c>
      <c r="S1059" t="n">
        <v>0</v>
      </c>
      <c r="T1059" t="n">
        <v>0</v>
      </c>
      <c r="U1059" t="n">
        <v>0</v>
      </c>
      <c r="V1059" s="2" t="inlineStr"/>
    </row>
    <row r="1060" ht="15" customHeight="1">
      <c r="A1060" t="inlineStr">
        <is>
          <t>A 25746-2026</t>
        </is>
      </c>
      <c r="B1060" t="inlineStr">
        <is>
          <t>avverkningsanmälan</t>
        </is>
      </c>
      <c r="C1060" t="inlineStr">
        <is>
          <t>Föryngringsavverkning</t>
        </is>
      </c>
      <c r="D1060" s="1" t="n">
        <v>46178</v>
      </c>
      <c r="E1060" s="1" t="n">
        <v>46227</v>
      </c>
      <c r="F1060" t="inlineStr">
        <is>
          <t>VÄSTERBOTTENS LÄN</t>
        </is>
      </c>
      <c r="G1060" t="inlineStr">
        <is>
          <t>LYCKSELE</t>
        </is>
      </c>
      <c r="I1060" t="n">
        <v>22.3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t="n">
        <v>0</v>
      </c>
      <c r="S1060" t="n">
        <v>0</v>
      </c>
      <c r="T1060" t="n">
        <v>0</v>
      </c>
      <c r="U1060" t="n">
        <v>0</v>
      </c>
      <c r="V1060" s="2" t="inlineStr"/>
    </row>
    <row r="1061" ht="15" customHeight="1">
      <c r="A1061" t="inlineStr">
        <is>
          <t>A 37969-2024</t>
        </is>
      </c>
      <c r="B1061" t="inlineStr">
        <is>
          <t>avverkningsanmälan</t>
        </is>
      </c>
      <c r="C1061" t="inlineStr">
        <is>
          <t>Föryngringsavverkning</t>
        </is>
      </c>
      <c r="D1061" s="1" t="n">
        <v>45544</v>
      </c>
      <c r="E1061" s="1" t="n">
        <v>46227</v>
      </c>
      <c r="F1061" t="inlineStr">
        <is>
          <t>VÄSTERBOTTENS LÄN</t>
        </is>
      </c>
      <c r="G1061" t="inlineStr">
        <is>
          <t>LYCKSELE</t>
        </is>
      </c>
      <c r="H1061" t="inlineStr">
        <is>
          <t>Sveaskog</t>
        </is>
      </c>
      <c r="I1061" t="n">
        <v>1.5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t="n">
        <v>0</v>
      </c>
      <c r="S1061" t="n">
        <v>0</v>
      </c>
      <c r="T1061" t="n">
        <v>0</v>
      </c>
      <c r="U1061" t="n">
        <v>0</v>
      </c>
      <c r="V1061" s="2" t="inlineStr"/>
    </row>
    <row r="1062" ht="15" customHeight="1">
      <c r="A1062" t="inlineStr">
        <is>
          <t>A 21660-2023</t>
        </is>
      </c>
      <c r="B1062" t="inlineStr">
        <is>
          <t>avverkningsanmälan</t>
        </is>
      </c>
      <c r="C1062" t="inlineStr">
        <is>
          <t>Avverkning för annat ändamål</t>
        </is>
      </c>
      <c r="D1062" s="1" t="n">
        <v>45063</v>
      </c>
      <c r="E1062" s="1" t="n">
        <v>46227</v>
      </c>
      <c r="F1062" t="inlineStr">
        <is>
          <t>VÄSTERBOTTENS LÄN</t>
        </is>
      </c>
      <c r="G1062" t="inlineStr">
        <is>
          <t>LYCKSELE</t>
        </is>
      </c>
      <c r="I1062" t="n">
        <v>0.7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t="n">
        <v>0</v>
      </c>
      <c r="S1062" t="n">
        <v>0</v>
      </c>
      <c r="T1062" t="n">
        <v>0</v>
      </c>
      <c r="U1062" t="n">
        <v>0</v>
      </c>
      <c r="V1062" s="2" t="inlineStr"/>
    </row>
    <row r="1063" ht="15" customHeight="1">
      <c r="A1063" t="inlineStr">
        <is>
          <t>A 33693-2024</t>
        </is>
      </c>
      <c r="B1063" t="inlineStr">
        <is>
          <t>avverkningsanmälan</t>
        </is>
      </c>
      <c r="C1063" t="inlineStr">
        <is>
          <t>Föryngringsavverkning</t>
        </is>
      </c>
      <c r="D1063" s="1" t="n">
        <v>45520</v>
      </c>
      <c r="E1063" s="1" t="n">
        <v>46227</v>
      </c>
      <c r="F1063" t="inlineStr">
        <is>
          <t>VÄSTERBOTTENS LÄN</t>
        </is>
      </c>
      <c r="G1063" t="inlineStr">
        <is>
          <t>LYCKSELE</t>
        </is>
      </c>
      <c r="H1063" t="inlineStr">
        <is>
          <t>Sveaskog</t>
        </is>
      </c>
      <c r="I1063" t="n">
        <v>1.3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t="n">
        <v>0</v>
      </c>
      <c r="S1063" t="n">
        <v>0</v>
      </c>
      <c r="T1063" t="n">
        <v>0</v>
      </c>
      <c r="U1063" t="n">
        <v>0</v>
      </c>
      <c r="V1063" s="2" t="inlineStr"/>
    </row>
    <row r="1064" ht="15" customHeight="1">
      <c r="A1064" t="inlineStr">
        <is>
          <t>A 16504-2025</t>
        </is>
      </c>
      <c r="B1064" t="inlineStr">
        <is>
          <t>avverkningsanmälan</t>
        </is>
      </c>
      <c r="C1064" t="inlineStr">
        <is>
          <t>Föryngringsavverkning</t>
        </is>
      </c>
      <c r="D1064" s="1" t="n">
        <v>45751</v>
      </c>
      <c r="E1064" s="1" t="n">
        <v>46227</v>
      </c>
      <c r="F1064" t="inlineStr">
        <is>
          <t>VÄSTERBOTTENS LÄN</t>
        </is>
      </c>
      <c r="G1064" t="inlineStr">
        <is>
          <t>LYCKSELE</t>
        </is>
      </c>
      <c r="H1064" t="inlineStr">
        <is>
          <t>Holmen skog AB</t>
        </is>
      </c>
      <c r="I1064" t="n">
        <v>3.2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t="n">
        <v>0</v>
      </c>
      <c r="S1064" t="n">
        <v>0</v>
      </c>
      <c r="T1064" t="n">
        <v>0</v>
      </c>
      <c r="U1064" t="n">
        <v>0</v>
      </c>
      <c r="V1064" s="2" t="inlineStr"/>
    </row>
    <row r="1065" ht="15" customHeight="1">
      <c r="A1065" t="inlineStr">
        <is>
          <t>A 31653-2026</t>
        </is>
      </c>
      <c r="B1065" t="inlineStr">
        <is>
          <t>avverkningsanmälan</t>
        </is>
      </c>
      <c r="C1065" t="inlineStr">
        <is>
          <t>Föryngringsavverkning</t>
        </is>
      </c>
      <c r="D1065" s="1" t="n">
        <v>46225</v>
      </c>
      <c r="E1065" s="1" t="n">
        <v>46227</v>
      </c>
      <c r="F1065" t="inlineStr">
        <is>
          <t>VÄSTERBOTTENS LÄN</t>
        </is>
      </c>
      <c r="G1065" t="inlineStr">
        <is>
          <t>LYCKSELE</t>
        </is>
      </c>
      <c r="H1065" t="inlineStr">
        <is>
          <t>Sveaskog</t>
        </is>
      </c>
      <c r="I1065" t="n">
        <v>12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t="n">
        <v>0</v>
      </c>
      <c r="S1065" t="n">
        <v>0</v>
      </c>
      <c r="T1065" t="n">
        <v>0</v>
      </c>
      <c r="U1065" t="n">
        <v>0</v>
      </c>
      <c r="V1065" s="2" t="inlineStr"/>
    </row>
    <row r="1066" ht="15" customHeight="1">
      <c r="A1066" t="inlineStr">
        <is>
          <t>A 49130-2024</t>
        </is>
      </c>
      <c r="B1066" t="inlineStr">
        <is>
          <t>avverkningsanmälan</t>
        </is>
      </c>
      <c r="C1066" t="inlineStr">
        <is>
          <t>Föryngringsavverkning</t>
        </is>
      </c>
      <c r="D1066" s="1" t="n">
        <v>45594</v>
      </c>
      <c r="E1066" s="1" t="n">
        <v>46227</v>
      </c>
      <c r="F1066" t="inlineStr">
        <is>
          <t>VÄSTERBOTTENS LÄN</t>
        </is>
      </c>
      <c r="G1066" t="inlineStr">
        <is>
          <t>LYCKSELE</t>
        </is>
      </c>
      <c r="H1066" t="inlineStr">
        <is>
          <t>Sveaskog</t>
        </is>
      </c>
      <c r="I1066" t="n">
        <v>3.5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t="n">
        <v>0</v>
      </c>
      <c r="S1066" t="n">
        <v>0</v>
      </c>
      <c r="T1066" t="n">
        <v>0</v>
      </c>
      <c r="U1066" t="n">
        <v>0</v>
      </c>
      <c r="V1066" s="2" t="inlineStr"/>
    </row>
    <row r="1067" ht="15" customHeight="1">
      <c r="A1067" t="inlineStr">
        <is>
          <t>A 26485-2026</t>
        </is>
      </c>
      <c r="B1067" t="inlineStr">
        <is>
          <t>avverkningsanmälan</t>
        </is>
      </c>
      <c r="C1067" t="inlineStr">
        <is>
          <t>Föryngringsavverkning</t>
        </is>
      </c>
      <c r="D1067" s="1" t="n">
        <v>46183</v>
      </c>
      <c r="E1067" s="1" t="n">
        <v>46227</v>
      </c>
      <c r="F1067" t="inlineStr">
        <is>
          <t>VÄSTERBOTTENS LÄN</t>
        </is>
      </c>
      <c r="G1067" t="inlineStr">
        <is>
          <t>LYCKSELE</t>
        </is>
      </c>
      <c r="H1067" t="inlineStr">
        <is>
          <t>Sveaskog</t>
        </is>
      </c>
      <c r="I1067" t="n">
        <v>5.4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t="n">
        <v>0</v>
      </c>
      <c r="S1067" t="n">
        <v>0</v>
      </c>
      <c r="T1067" t="n">
        <v>0</v>
      </c>
      <c r="U1067" t="n">
        <v>0</v>
      </c>
      <c r="V1067" s="2" t="inlineStr"/>
    </row>
    <row r="1068" ht="15" customHeight="1">
      <c r="A1068" t="inlineStr">
        <is>
          <t>A 26276-2026</t>
        </is>
      </c>
      <c r="B1068" t="inlineStr">
        <is>
          <t>avverkningsanmälan</t>
        </is>
      </c>
      <c r="C1068" t="inlineStr">
        <is>
          <t>Föryngringsavverkning</t>
        </is>
      </c>
      <c r="D1068" s="1" t="n">
        <v>46182</v>
      </c>
      <c r="E1068" s="1" t="n">
        <v>46227</v>
      </c>
      <c r="F1068" t="inlineStr">
        <is>
          <t>VÄSTERBOTTENS LÄN</t>
        </is>
      </c>
      <c r="G1068" t="inlineStr">
        <is>
          <t>LYCKSELE</t>
        </is>
      </c>
      <c r="H1068" t="inlineStr">
        <is>
          <t>Holmen skog AB</t>
        </is>
      </c>
      <c r="I1068" t="n">
        <v>3.7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t="n">
        <v>0</v>
      </c>
      <c r="S1068" t="n">
        <v>0</v>
      </c>
      <c r="T1068" t="n">
        <v>0</v>
      </c>
      <c r="U1068" t="n">
        <v>0</v>
      </c>
      <c r="V1068" s="2" t="inlineStr"/>
    </row>
    <row r="1069" ht="15" customHeight="1">
      <c r="A1069" t="inlineStr">
        <is>
          <t>A 26246-2026</t>
        </is>
      </c>
      <c r="B1069" t="inlineStr">
        <is>
          <t>avverkningsanmälan</t>
        </is>
      </c>
      <c r="C1069" t="inlineStr">
        <is>
          <t>Föryngringsavverkning</t>
        </is>
      </c>
      <c r="D1069" s="1" t="n">
        <v>46182</v>
      </c>
      <c r="E1069" s="1" t="n">
        <v>46227</v>
      </c>
      <c r="F1069" t="inlineStr">
        <is>
          <t>VÄSTERBOTTENS LÄN</t>
        </is>
      </c>
      <c r="G1069" t="inlineStr">
        <is>
          <t>LYCKSELE</t>
        </is>
      </c>
      <c r="H1069" t="inlineStr">
        <is>
          <t>Holmen skog AB</t>
        </is>
      </c>
      <c r="I1069" t="n">
        <v>3.1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t="n">
        <v>0</v>
      </c>
      <c r="S1069" t="n">
        <v>0</v>
      </c>
      <c r="T1069" t="n">
        <v>0</v>
      </c>
      <c r="U1069" t="n">
        <v>0</v>
      </c>
      <c r="V1069" s="2" t="inlineStr"/>
    </row>
    <row r="1070" ht="15" customHeight="1">
      <c r="A1070" t="inlineStr">
        <is>
          <t>A 26387-2026</t>
        </is>
      </c>
      <c r="B1070" t="inlineStr">
        <is>
          <t>avverkningsanmälan</t>
        </is>
      </c>
      <c r="C1070" t="inlineStr">
        <is>
          <t>Föryngringsavverkning</t>
        </is>
      </c>
      <c r="D1070" s="1" t="n">
        <v>46183</v>
      </c>
      <c r="E1070" s="1" t="n">
        <v>46227</v>
      </c>
      <c r="F1070" t="inlineStr">
        <is>
          <t>VÄSTERBOTTENS LÄN</t>
        </is>
      </c>
      <c r="G1070" t="inlineStr">
        <is>
          <t>LYCKSELE</t>
        </is>
      </c>
      <c r="H1070" t="inlineStr">
        <is>
          <t>SCA</t>
        </is>
      </c>
      <c r="I1070" t="n">
        <v>9.9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t="n">
        <v>0</v>
      </c>
      <c r="S1070" t="n">
        <v>0</v>
      </c>
      <c r="T1070" t="n">
        <v>0</v>
      </c>
      <c r="U1070" t="n">
        <v>0</v>
      </c>
      <c r="V1070" s="2" t="inlineStr"/>
    </row>
    <row r="1071" ht="15" customHeight="1">
      <c r="A1071" t="inlineStr">
        <is>
          <t>A 37262-2023</t>
        </is>
      </c>
      <c r="B1071" t="inlineStr">
        <is>
          <t>avverkningsanmälan</t>
        </is>
      </c>
      <c r="C1071" t="inlineStr">
        <is>
          <t>Föryngringsavverkning</t>
        </is>
      </c>
      <c r="D1071" s="1" t="n">
        <v>45155</v>
      </c>
      <c r="E1071" s="1" t="n">
        <v>46227</v>
      </c>
      <c r="F1071" t="inlineStr">
        <is>
          <t>VÄSTERBOTTENS LÄN</t>
        </is>
      </c>
      <c r="G1071" t="inlineStr">
        <is>
          <t>LYCKSELE</t>
        </is>
      </c>
      <c r="H1071" t="inlineStr">
        <is>
          <t>SCA</t>
        </is>
      </c>
      <c r="I1071" t="n">
        <v>4.1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t="n">
        <v>0</v>
      </c>
      <c r="S1071" t="n">
        <v>0</v>
      </c>
      <c r="T1071" t="n">
        <v>0</v>
      </c>
      <c r="U1071" t="n">
        <v>0</v>
      </c>
      <c r="V1071" s="2" t="inlineStr"/>
    </row>
    <row r="1072" ht="15" customHeight="1">
      <c r="A1072" t="inlineStr">
        <is>
          <t>A 58714-2024</t>
        </is>
      </c>
      <c r="B1072" t="inlineStr">
        <is>
          <t>avverkningsanmälan</t>
        </is>
      </c>
      <c r="C1072" t="inlineStr">
        <is>
          <t>Föryngringsavverkning</t>
        </is>
      </c>
      <c r="D1072" s="1" t="n">
        <v>45635</v>
      </c>
      <c r="E1072" s="1" t="n">
        <v>46227</v>
      </c>
      <c r="F1072" t="inlineStr">
        <is>
          <t>VÄSTERBOTTENS LÄN</t>
        </is>
      </c>
      <c r="G1072" t="inlineStr">
        <is>
          <t>LYCKSELE</t>
        </is>
      </c>
      <c r="I1072" t="n">
        <v>25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t="n">
        <v>0</v>
      </c>
      <c r="S1072" t="n">
        <v>0</v>
      </c>
      <c r="T1072" t="n">
        <v>0</v>
      </c>
      <c r="U1072" t="n">
        <v>0</v>
      </c>
      <c r="V1072" s="2" t="inlineStr"/>
    </row>
    <row r="1073" ht="15" customHeight="1">
      <c r="A1073" t="inlineStr">
        <is>
          <t>A 1962-2024</t>
        </is>
      </c>
      <c r="B1073" t="inlineStr">
        <is>
          <t>avverkningsanmälan</t>
        </is>
      </c>
      <c r="C1073" t="inlineStr">
        <is>
          <t>Föryngringsavverkning</t>
        </is>
      </c>
      <c r="D1073" s="1" t="n">
        <v>45308</v>
      </c>
      <c r="E1073" s="1" t="n">
        <v>46227</v>
      </c>
      <c r="F1073" t="inlineStr">
        <is>
          <t>VÄSTERBOTTENS LÄN</t>
        </is>
      </c>
      <c r="G1073" t="inlineStr">
        <is>
          <t>LYCKSELE</t>
        </is>
      </c>
      <c r="H1073" t="inlineStr">
        <is>
          <t>Holmen skog AB</t>
        </is>
      </c>
      <c r="I1073" t="n">
        <v>9.300000000000001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t="n">
        <v>0</v>
      </c>
      <c r="S1073" t="n">
        <v>0</v>
      </c>
      <c r="T1073" t="n">
        <v>0</v>
      </c>
      <c r="U1073" t="n">
        <v>0</v>
      </c>
      <c r="V1073" s="2" t="inlineStr"/>
    </row>
    <row r="1074" ht="15" customHeight="1">
      <c r="A1074" t="inlineStr">
        <is>
          <t>A 46817-2024</t>
        </is>
      </c>
      <c r="B1074" t="inlineStr">
        <is>
          <t>avverkningsanmälan</t>
        </is>
      </c>
      <c r="C1074" t="inlineStr">
        <is>
          <t>Föryngringsavverkning</t>
        </is>
      </c>
      <c r="D1074" s="1" t="n">
        <v>45583</v>
      </c>
      <c r="E1074" s="1" t="n">
        <v>46227</v>
      </c>
      <c r="F1074" t="inlineStr">
        <is>
          <t>VÄSTERBOTTENS LÄN</t>
        </is>
      </c>
      <c r="G1074" t="inlineStr">
        <is>
          <t>LYCKSELE</t>
        </is>
      </c>
      <c r="I1074" t="n">
        <v>0.4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t="n">
        <v>0</v>
      </c>
      <c r="S1074" t="n">
        <v>0</v>
      </c>
      <c r="T1074" t="n">
        <v>0</v>
      </c>
      <c r="U1074" t="n">
        <v>0</v>
      </c>
      <c r="V1074" s="2" t="inlineStr"/>
    </row>
    <row r="1075" ht="15" customHeight="1">
      <c r="A1075" t="inlineStr">
        <is>
          <t>A 55203-2024</t>
        </is>
      </c>
      <c r="B1075" t="inlineStr">
        <is>
          <t>avverkningsanmälan</t>
        </is>
      </c>
      <c r="C1075" t="inlineStr">
        <is>
          <t>Föryngringsavverkning</t>
        </is>
      </c>
      <c r="D1075" s="1" t="n">
        <v>45621</v>
      </c>
      <c r="E1075" s="1" t="n">
        <v>46227</v>
      </c>
      <c r="F1075" t="inlineStr">
        <is>
          <t>VÄSTERBOTTENS LÄN</t>
        </is>
      </c>
      <c r="G1075" t="inlineStr">
        <is>
          <t>LYCKSELE</t>
        </is>
      </c>
      <c r="H1075" t="inlineStr">
        <is>
          <t>Sveaskog</t>
        </is>
      </c>
      <c r="I1075" t="n">
        <v>3.2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t="n">
        <v>0</v>
      </c>
      <c r="S1075" t="n">
        <v>0</v>
      </c>
      <c r="T1075" t="n">
        <v>0</v>
      </c>
      <c r="U1075" t="n">
        <v>0</v>
      </c>
      <c r="V1075" s="2" t="inlineStr"/>
    </row>
    <row r="1076" ht="15" customHeight="1">
      <c r="A1076" t="inlineStr">
        <is>
          <t>A 26511-2026</t>
        </is>
      </c>
      <c r="B1076" t="inlineStr">
        <is>
          <t>avverkningsanmälan</t>
        </is>
      </c>
      <c r="C1076" t="inlineStr">
        <is>
          <t>Föryngringsavverkning</t>
        </is>
      </c>
      <c r="D1076" s="1" t="n">
        <v>46183</v>
      </c>
      <c r="E1076" s="1" t="n">
        <v>46227</v>
      </c>
      <c r="F1076" t="inlineStr">
        <is>
          <t>VÄSTERBOTTENS LÄN</t>
        </is>
      </c>
      <c r="G1076" t="inlineStr">
        <is>
          <t>LYCKSELE</t>
        </is>
      </c>
      <c r="H1076" t="inlineStr">
        <is>
          <t>Sveaskog</t>
        </is>
      </c>
      <c r="I1076" t="n">
        <v>33.8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t="n">
        <v>0</v>
      </c>
      <c r="S1076" t="n">
        <v>0</v>
      </c>
      <c r="T1076" t="n">
        <v>0</v>
      </c>
      <c r="U1076" t="n">
        <v>0</v>
      </c>
      <c r="V1076" s="2" t="inlineStr"/>
    </row>
    <row r="1077" ht="15" customHeight="1">
      <c r="A1077" t="inlineStr">
        <is>
          <t>A 60482-2024</t>
        </is>
      </c>
      <c r="B1077" t="inlineStr">
        <is>
          <t>avverkningsanmälan</t>
        </is>
      </c>
      <c r="C1077" t="inlineStr">
        <is>
          <t>Föryngringsavverkning</t>
        </is>
      </c>
      <c r="D1077" s="1" t="n">
        <v>45643</v>
      </c>
      <c r="E1077" s="1" t="n">
        <v>46227</v>
      </c>
      <c r="F1077" t="inlineStr">
        <is>
          <t>VÄSTERBOTTENS LÄN</t>
        </is>
      </c>
      <c r="G1077" t="inlineStr">
        <is>
          <t>LYCKSELE</t>
        </is>
      </c>
      <c r="H1077" t="inlineStr">
        <is>
          <t>Sveaskog</t>
        </is>
      </c>
      <c r="I1077" t="n">
        <v>7.8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t="n">
        <v>0</v>
      </c>
      <c r="S1077" t="n">
        <v>0</v>
      </c>
      <c r="T1077" t="n">
        <v>0</v>
      </c>
      <c r="U1077" t="n">
        <v>0</v>
      </c>
      <c r="V1077" s="2" t="inlineStr"/>
    </row>
    <row r="1078" ht="15" customHeight="1">
      <c r="A1078" t="inlineStr">
        <is>
          <t>A 49631-2023</t>
        </is>
      </c>
      <c r="B1078" t="inlineStr">
        <is>
          <t>avverkningsanmälan</t>
        </is>
      </c>
      <c r="C1078" t="inlineStr">
        <is>
          <t>Avverkning för annat ändamål</t>
        </is>
      </c>
      <c r="D1078" s="1" t="n">
        <v>45211</v>
      </c>
      <c r="E1078" s="1" t="n">
        <v>46227</v>
      </c>
      <c r="F1078" t="inlineStr">
        <is>
          <t>VÄSTERBOTTENS LÄN</t>
        </is>
      </c>
      <c r="G1078" t="inlineStr">
        <is>
          <t>LYCKSELE</t>
        </is>
      </c>
      <c r="H1078" t="inlineStr">
        <is>
          <t>Kommuner</t>
        </is>
      </c>
      <c r="I1078" t="n">
        <v>0.1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t="n">
        <v>0</v>
      </c>
      <c r="S1078" t="n">
        <v>0</v>
      </c>
      <c r="T1078" t="n">
        <v>0</v>
      </c>
      <c r="U1078" t="n">
        <v>0</v>
      </c>
      <c r="V1078" s="2" t="inlineStr"/>
    </row>
    <row r="1079" ht="15" customHeight="1">
      <c r="A1079" t="inlineStr">
        <is>
          <t>A 27219-2026</t>
        </is>
      </c>
      <c r="B1079" t="inlineStr">
        <is>
          <t>avverkningsanmälan</t>
        </is>
      </c>
      <c r="C1079" t="inlineStr">
        <is>
          <t>Föryngringsavverkning</t>
        </is>
      </c>
      <c r="D1079" s="1" t="n">
        <v>46184</v>
      </c>
      <c r="E1079" s="1" t="n">
        <v>46227</v>
      </c>
      <c r="F1079" t="inlineStr">
        <is>
          <t>VÄSTERBOTTENS LÄN</t>
        </is>
      </c>
      <c r="G1079" t="inlineStr">
        <is>
          <t>LYCKSELE</t>
        </is>
      </c>
      <c r="I1079" t="n">
        <v>2.2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t="n">
        <v>0</v>
      </c>
      <c r="S1079" t="n">
        <v>0</v>
      </c>
      <c r="T1079" t="n">
        <v>0</v>
      </c>
      <c r="U1079" t="n">
        <v>0</v>
      </c>
      <c r="V1079" s="2" t="inlineStr"/>
    </row>
    <row r="1080" ht="15" customHeight="1">
      <c r="A1080" t="inlineStr">
        <is>
          <t>A 26175-2026</t>
        </is>
      </c>
      <c r="B1080" t="inlineStr">
        <is>
          <t>avverkningsanmälan</t>
        </is>
      </c>
      <c r="C1080" t="inlineStr">
        <is>
          <t>Föryngringsavverkning</t>
        </is>
      </c>
      <c r="D1080" s="1" t="n">
        <v>46182</v>
      </c>
      <c r="E1080" s="1" t="n">
        <v>46227</v>
      </c>
      <c r="F1080" t="inlineStr">
        <is>
          <t>VÄSTERBOTTENS LÄN</t>
        </is>
      </c>
      <c r="G1080" t="inlineStr">
        <is>
          <t>LYCKSELE</t>
        </is>
      </c>
      <c r="I1080" t="n">
        <v>1.9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t="n">
        <v>0</v>
      </c>
      <c r="S1080" t="n">
        <v>0</v>
      </c>
      <c r="T1080" t="n">
        <v>0</v>
      </c>
      <c r="U1080" t="n">
        <v>0</v>
      </c>
      <c r="V1080" s="2" t="inlineStr"/>
    </row>
    <row r="1081" ht="15" customHeight="1">
      <c r="A1081" t="inlineStr">
        <is>
          <t>A 26435-2026</t>
        </is>
      </c>
      <c r="B1081" t="inlineStr">
        <is>
          <t>avverkningsanmälan</t>
        </is>
      </c>
      <c r="C1081" t="inlineStr">
        <is>
          <t>Föryngringsavverkning</t>
        </is>
      </c>
      <c r="D1081" s="1" t="n">
        <v>46183</v>
      </c>
      <c r="E1081" s="1" t="n">
        <v>46227</v>
      </c>
      <c r="F1081" t="inlineStr">
        <is>
          <t>VÄSTERBOTTENS LÄN</t>
        </is>
      </c>
      <c r="G1081" t="inlineStr">
        <is>
          <t>LYCKSELE</t>
        </is>
      </c>
      <c r="H1081" t="inlineStr">
        <is>
          <t>Holmen skog AB</t>
        </is>
      </c>
      <c r="I1081" t="n">
        <v>2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t="n">
        <v>0</v>
      </c>
      <c r="S1081" t="n">
        <v>0</v>
      </c>
      <c r="T1081" t="n">
        <v>0</v>
      </c>
      <c r="U1081" t="n">
        <v>0</v>
      </c>
      <c r="V1081" s="2" t="inlineStr"/>
    </row>
    <row r="1082" ht="15" customHeight="1">
      <c r="A1082" t="inlineStr">
        <is>
          <t>A 37658-2024</t>
        </is>
      </c>
      <c r="B1082" t="inlineStr">
        <is>
          <t>avverkningsanmälan</t>
        </is>
      </c>
      <c r="C1082" t="inlineStr">
        <is>
          <t>Föryngringsavverkning</t>
        </is>
      </c>
      <c r="D1082" s="1" t="n">
        <v>45541</v>
      </c>
      <c r="E1082" s="1" t="n">
        <v>46227</v>
      </c>
      <c r="F1082" t="inlineStr">
        <is>
          <t>VÄSTERBOTTENS LÄN</t>
        </is>
      </c>
      <c r="G1082" t="inlineStr">
        <is>
          <t>LYCKSELE</t>
        </is>
      </c>
      <c r="H1082" t="inlineStr">
        <is>
          <t>Holmen skog AB</t>
        </is>
      </c>
      <c r="I1082" t="n">
        <v>1.1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t="n">
        <v>0</v>
      </c>
      <c r="S1082" t="n">
        <v>0</v>
      </c>
      <c r="T1082" t="n">
        <v>0</v>
      </c>
      <c r="U1082" t="n">
        <v>0</v>
      </c>
      <c r="V1082" s="2" t="inlineStr"/>
    </row>
    <row r="1083" ht="15" customHeight="1">
      <c r="A1083" t="inlineStr">
        <is>
          <t>A 28409-2023</t>
        </is>
      </c>
      <c r="B1083" t="inlineStr">
        <is>
          <t>avverkningsanmälan</t>
        </is>
      </c>
      <c r="C1083" t="inlineStr">
        <is>
          <t>Föryngringsavverkning</t>
        </is>
      </c>
      <c r="D1083" s="1" t="n">
        <v>45101</v>
      </c>
      <c r="E1083" s="1" t="n">
        <v>46227</v>
      </c>
      <c r="F1083" t="inlineStr">
        <is>
          <t>VÄSTERBOTTENS LÄN</t>
        </is>
      </c>
      <c r="G1083" t="inlineStr">
        <is>
          <t>LYCKSELE</t>
        </is>
      </c>
      <c r="I1083" t="n">
        <v>12.9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t="n">
        <v>0</v>
      </c>
      <c r="S1083" t="n">
        <v>0</v>
      </c>
      <c r="T1083" t="n">
        <v>0</v>
      </c>
      <c r="U1083" t="n">
        <v>0</v>
      </c>
      <c r="V1083" s="2" t="inlineStr"/>
    </row>
    <row r="1084" ht="15" customHeight="1">
      <c r="A1084" t="inlineStr">
        <is>
          <t>A 54446-2023</t>
        </is>
      </c>
      <c r="B1084" t="inlineStr">
        <is>
          <t>avverkningsanmälan</t>
        </is>
      </c>
      <c r="C1084" t="inlineStr">
        <is>
          <t>Föryngringsavverkning</t>
        </is>
      </c>
      <c r="D1084" s="1" t="n">
        <v>45233</v>
      </c>
      <c r="E1084" s="1" t="n">
        <v>46227</v>
      </c>
      <c r="F1084" t="inlineStr">
        <is>
          <t>VÄSTERBOTTENS LÄN</t>
        </is>
      </c>
      <c r="G1084" t="inlineStr">
        <is>
          <t>LYCKSELE</t>
        </is>
      </c>
      <c r="I1084" t="n">
        <v>21.4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t="n">
        <v>0</v>
      </c>
      <c r="S1084" t="n">
        <v>0</v>
      </c>
      <c r="T1084" t="n">
        <v>0</v>
      </c>
      <c r="U1084" t="n">
        <v>0</v>
      </c>
      <c r="V1084" s="2" t="inlineStr"/>
    </row>
    <row r="1085" ht="15" customHeight="1">
      <c r="A1085" t="inlineStr">
        <is>
          <t>A 40527-2024</t>
        </is>
      </c>
      <c r="B1085" t="inlineStr">
        <is>
          <t>avverkningsanmälan</t>
        </is>
      </c>
      <c r="C1085" t="inlineStr">
        <is>
          <t>Föryngringsavverkning</t>
        </is>
      </c>
      <c r="D1085" s="1" t="n">
        <v>45555</v>
      </c>
      <c r="E1085" s="1" t="n">
        <v>46227</v>
      </c>
      <c r="F1085" t="inlineStr">
        <is>
          <t>VÄSTERBOTTENS LÄN</t>
        </is>
      </c>
      <c r="G1085" t="inlineStr">
        <is>
          <t>LYCKSELE</t>
        </is>
      </c>
      <c r="H1085" t="inlineStr">
        <is>
          <t>Sveaskog</t>
        </is>
      </c>
      <c r="I1085" t="n">
        <v>8.9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t="n">
        <v>0</v>
      </c>
      <c r="S1085" t="n">
        <v>0</v>
      </c>
      <c r="T1085" t="n">
        <v>0</v>
      </c>
      <c r="U1085" t="n">
        <v>0</v>
      </c>
      <c r="V1085" s="2" t="inlineStr"/>
    </row>
    <row r="1086" ht="15" customHeight="1">
      <c r="A1086" t="inlineStr">
        <is>
          <t>A 48992-2023</t>
        </is>
      </c>
      <c r="B1086" t="inlineStr">
        <is>
          <t>avverkningsanmälan</t>
        </is>
      </c>
      <c r="C1086" t="inlineStr">
        <is>
          <t>Föryngringsavverkning</t>
        </is>
      </c>
      <c r="D1086" s="1" t="n">
        <v>45209</v>
      </c>
      <c r="E1086" s="1" t="n">
        <v>46227</v>
      </c>
      <c r="F1086" t="inlineStr">
        <is>
          <t>VÄSTERBOTTENS LÄN</t>
        </is>
      </c>
      <c r="G1086" t="inlineStr">
        <is>
          <t>LYCKSELE</t>
        </is>
      </c>
      <c r="I1086" t="n">
        <v>4.6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t="n">
        <v>0</v>
      </c>
      <c r="S1086" t="n">
        <v>0</v>
      </c>
      <c r="T1086" t="n">
        <v>0</v>
      </c>
      <c r="U1086" t="n">
        <v>0</v>
      </c>
      <c r="V1086" s="2" t="inlineStr"/>
    </row>
    <row r="1087" ht="15" customHeight="1">
      <c r="A1087" t="inlineStr">
        <is>
          <t>A 33708-2024</t>
        </is>
      </c>
      <c r="B1087" t="inlineStr">
        <is>
          <t>avverkningsanmälan</t>
        </is>
      </c>
      <c r="C1087" t="inlineStr">
        <is>
          <t>Föryngringsavverkning</t>
        </is>
      </c>
      <c r="D1087" s="1" t="n">
        <v>45520</v>
      </c>
      <c r="E1087" s="1" t="n">
        <v>46227</v>
      </c>
      <c r="F1087" t="inlineStr">
        <is>
          <t>VÄSTERBOTTENS LÄN</t>
        </is>
      </c>
      <c r="G1087" t="inlineStr">
        <is>
          <t>LYCKSELE</t>
        </is>
      </c>
      <c r="H1087" t="inlineStr">
        <is>
          <t>Sveaskog</t>
        </is>
      </c>
      <c r="I1087" t="n">
        <v>2.7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t="n">
        <v>0</v>
      </c>
      <c r="S1087" t="n">
        <v>0</v>
      </c>
      <c r="T1087" t="n">
        <v>0</v>
      </c>
      <c r="U1087" t="n">
        <v>0</v>
      </c>
      <c r="V1087" s="2" t="inlineStr"/>
    </row>
    <row r="1088" ht="15" customHeight="1">
      <c r="A1088" t="inlineStr">
        <is>
          <t>A 33714-2024</t>
        </is>
      </c>
      <c r="B1088" t="inlineStr">
        <is>
          <t>avverkningsanmälan</t>
        </is>
      </c>
      <c r="C1088" t="inlineStr">
        <is>
          <t>Föryngringsavverkning</t>
        </is>
      </c>
      <c r="D1088" s="1" t="n">
        <v>45520</v>
      </c>
      <c r="E1088" s="1" t="n">
        <v>46227</v>
      </c>
      <c r="F1088" t="inlineStr">
        <is>
          <t>VÄSTERBOTTENS LÄN</t>
        </is>
      </c>
      <c r="G1088" t="inlineStr">
        <is>
          <t>LYCKSELE</t>
        </is>
      </c>
      <c r="H1088" t="inlineStr">
        <is>
          <t>Sveaskog</t>
        </is>
      </c>
      <c r="I1088" t="n">
        <v>10.4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t="n">
        <v>0</v>
      </c>
      <c r="S1088" t="n">
        <v>0</v>
      </c>
      <c r="T1088" t="n">
        <v>0</v>
      </c>
      <c r="U1088" t="n">
        <v>0</v>
      </c>
      <c r="V1088" s="2" t="inlineStr"/>
    </row>
    <row r="1089" ht="15" customHeight="1">
      <c r="A1089" t="inlineStr">
        <is>
          <t>A 16669-2022</t>
        </is>
      </c>
      <c r="B1089" t="inlineStr">
        <is>
          <t>avverkningsanmälan</t>
        </is>
      </c>
      <c r="C1089" t="inlineStr">
        <is>
          <t>Föryngringsavverkning</t>
        </is>
      </c>
      <c r="D1089" s="1" t="n">
        <v>44672</v>
      </c>
      <c r="E1089" s="1" t="n">
        <v>46227</v>
      </c>
      <c r="F1089" t="inlineStr">
        <is>
          <t>VÄSTERBOTTENS LÄN</t>
        </is>
      </c>
      <c r="G1089" t="inlineStr">
        <is>
          <t>LYCKSELE</t>
        </is>
      </c>
      <c r="I1089" t="n">
        <v>12.8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t="n">
        <v>0</v>
      </c>
      <c r="S1089" t="n">
        <v>0</v>
      </c>
      <c r="T1089" t="n">
        <v>0</v>
      </c>
      <c r="U1089" t="n">
        <v>0</v>
      </c>
      <c r="V1089" s="2" t="inlineStr"/>
    </row>
    <row r="1090" ht="15" customHeight="1">
      <c r="A1090" t="inlineStr">
        <is>
          <t>A 57898-2021</t>
        </is>
      </c>
      <c r="B1090" t="inlineStr">
        <is>
          <t>avverkningsanmälan</t>
        </is>
      </c>
      <c r="C1090" t="inlineStr">
        <is>
          <t>Föryngringsavverkning</t>
        </is>
      </c>
      <c r="D1090" s="1" t="n">
        <v>44486</v>
      </c>
      <c r="E1090" s="1" t="n">
        <v>46227</v>
      </c>
      <c r="F1090" t="inlineStr">
        <is>
          <t>VÄSTERBOTTENS LÄN</t>
        </is>
      </c>
      <c r="G1090" t="inlineStr">
        <is>
          <t>LYCKSELE</t>
        </is>
      </c>
      <c r="I1090" t="n">
        <v>14.7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t="n">
        <v>0</v>
      </c>
      <c r="S1090" t="n">
        <v>0</v>
      </c>
      <c r="T1090" t="n">
        <v>0</v>
      </c>
      <c r="U1090" t="n">
        <v>0</v>
      </c>
      <c r="V1090" s="2" t="inlineStr"/>
    </row>
    <row r="1091" ht="15" customHeight="1">
      <c r="A1091" t="inlineStr">
        <is>
          <t>A 32408-2024</t>
        </is>
      </c>
      <c r="B1091" t="inlineStr">
        <is>
          <t>avverkningsanmälan</t>
        </is>
      </c>
      <c r="C1091" t="inlineStr">
        <is>
          <t>Föryngringsavverkning</t>
        </is>
      </c>
      <c r="D1091" s="1" t="n">
        <v>45512</v>
      </c>
      <c r="E1091" s="1" t="n">
        <v>46227</v>
      </c>
      <c r="F1091" t="inlineStr">
        <is>
          <t>VÄSTERBOTTENS LÄN</t>
        </is>
      </c>
      <c r="G1091" t="inlineStr">
        <is>
          <t>LYCKSELE</t>
        </is>
      </c>
      <c r="H1091" t="inlineStr">
        <is>
          <t>Naturvårdsverket</t>
        </is>
      </c>
      <c r="I1091" t="n">
        <v>1.7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t="n">
        <v>0</v>
      </c>
      <c r="S1091" t="n">
        <v>0</v>
      </c>
      <c r="T1091" t="n">
        <v>0</v>
      </c>
      <c r="U1091" t="n">
        <v>0</v>
      </c>
      <c r="V1091" s="2" t="inlineStr"/>
    </row>
    <row r="1092" ht="15" customHeight="1">
      <c r="A1092" t="inlineStr">
        <is>
          <t>A 39321-2024</t>
        </is>
      </c>
      <c r="B1092" t="inlineStr">
        <is>
          <t>avverkningsanmälan</t>
        </is>
      </c>
      <c r="C1092" t="inlineStr">
        <is>
          <t>Föryngringsavverkning</t>
        </is>
      </c>
      <c r="D1092" s="1" t="n">
        <v>45551</v>
      </c>
      <c r="E1092" s="1" t="n">
        <v>46227</v>
      </c>
      <c r="F1092" t="inlineStr">
        <is>
          <t>VÄSTERBOTTENS LÄN</t>
        </is>
      </c>
      <c r="G1092" t="inlineStr">
        <is>
          <t>LYCKSELE</t>
        </is>
      </c>
      <c r="I1092" t="n">
        <v>1.7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t="n">
        <v>0</v>
      </c>
      <c r="S1092" t="n">
        <v>0</v>
      </c>
      <c r="T1092" t="n">
        <v>0</v>
      </c>
      <c r="U1092" t="n">
        <v>0</v>
      </c>
      <c r="V1092" s="2" t="inlineStr"/>
    </row>
    <row r="1093" ht="15" customHeight="1">
      <c r="A1093" t="inlineStr">
        <is>
          <t>A 71412-2021</t>
        </is>
      </c>
      <c r="B1093" t="inlineStr">
        <is>
          <t>avverkningsanmälan</t>
        </is>
      </c>
      <c r="C1093" t="inlineStr">
        <is>
          <t>Föryngringsavverkning</t>
        </is>
      </c>
      <c r="D1093" s="1" t="n">
        <v>44540</v>
      </c>
      <c r="E1093" s="1" t="n">
        <v>46227</v>
      </c>
      <c r="F1093" t="inlineStr">
        <is>
          <t>VÄSTERBOTTENS LÄN</t>
        </is>
      </c>
      <c r="G1093" t="inlineStr">
        <is>
          <t>LYCKSELE</t>
        </is>
      </c>
      <c r="I1093" t="n">
        <v>3.2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t="n">
        <v>0</v>
      </c>
      <c r="S1093" t="n">
        <v>0</v>
      </c>
      <c r="T1093" t="n">
        <v>0</v>
      </c>
      <c r="U1093" t="n">
        <v>0</v>
      </c>
      <c r="V1093" s="2" t="inlineStr"/>
    </row>
    <row r="1094" ht="15" customHeight="1">
      <c r="A1094" t="inlineStr">
        <is>
          <t>A 10331-2023</t>
        </is>
      </c>
      <c r="B1094" t="inlineStr">
        <is>
          <t>avverkningsanmälan</t>
        </is>
      </c>
      <c r="C1094" t="inlineStr">
        <is>
          <t>Föryngringsavverkning</t>
        </is>
      </c>
      <c r="D1094" s="1" t="n">
        <v>44980</v>
      </c>
      <c r="E1094" s="1" t="n">
        <v>46227</v>
      </c>
      <c r="F1094" t="inlineStr">
        <is>
          <t>VÄSTERBOTTENS LÄN</t>
        </is>
      </c>
      <c r="G1094" t="inlineStr">
        <is>
          <t>LYCKSELE</t>
        </is>
      </c>
      <c r="I1094" t="n">
        <v>1.8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t="n">
        <v>0</v>
      </c>
      <c r="S1094" t="n">
        <v>0</v>
      </c>
      <c r="T1094" t="n">
        <v>0</v>
      </c>
      <c r="U1094" t="n">
        <v>0</v>
      </c>
      <c r="V1094" s="2" t="inlineStr"/>
    </row>
    <row r="1095" ht="15" customHeight="1">
      <c r="A1095" t="inlineStr">
        <is>
          <t>A 48832-2024</t>
        </is>
      </c>
      <c r="B1095" t="inlineStr">
        <is>
          <t>avverkningsanmälan</t>
        </is>
      </c>
      <c r="C1095" t="inlineStr">
        <is>
          <t>Föryngringsavverkning</t>
        </is>
      </c>
      <c r="D1095" s="1" t="n">
        <v>45593</v>
      </c>
      <c r="E1095" s="1" t="n">
        <v>46227</v>
      </c>
      <c r="F1095" t="inlineStr">
        <is>
          <t>VÄSTERBOTTENS LÄN</t>
        </is>
      </c>
      <c r="G1095" t="inlineStr">
        <is>
          <t>LYCKSELE</t>
        </is>
      </c>
      <c r="H1095" t="inlineStr">
        <is>
          <t>SCA</t>
        </is>
      </c>
      <c r="I1095" t="n">
        <v>3.7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t="n">
        <v>0</v>
      </c>
      <c r="S1095" t="n">
        <v>0</v>
      </c>
      <c r="T1095" t="n">
        <v>0</v>
      </c>
      <c r="U1095" t="n">
        <v>0</v>
      </c>
      <c r="V1095" s="2" t="inlineStr"/>
    </row>
    <row r="1096" ht="15" customHeight="1">
      <c r="A1096" t="inlineStr">
        <is>
          <t>A 10208-2024</t>
        </is>
      </c>
      <c r="B1096" t="inlineStr">
        <is>
          <t>avverkningsanmälan</t>
        </is>
      </c>
      <c r="C1096" t="inlineStr">
        <is>
          <t>Föryngringsavverkning</t>
        </is>
      </c>
      <c r="D1096" s="1" t="n">
        <v>45364</v>
      </c>
      <c r="E1096" s="1" t="n">
        <v>46227</v>
      </c>
      <c r="F1096" t="inlineStr">
        <is>
          <t>VÄSTERBOTTENS LÄN</t>
        </is>
      </c>
      <c r="G1096" t="inlineStr">
        <is>
          <t>LYCKSELE</t>
        </is>
      </c>
      <c r="I1096" t="n">
        <v>9.4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t="n">
        <v>0</v>
      </c>
      <c r="S1096" t="n">
        <v>0</v>
      </c>
      <c r="T1096" t="n">
        <v>0</v>
      </c>
      <c r="U1096" t="n">
        <v>0</v>
      </c>
      <c r="V1096" s="2" t="inlineStr"/>
    </row>
    <row r="1097" ht="15" customHeight="1">
      <c r="A1097" t="inlineStr">
        <is>
          <t>A 47807-2024</t>
        </is>
      </c>
      <c r="B1097" t="inlineStr">
        <is>
          <t>avverkningsanmälan</t>
        </is>
      </c>
      <c r="C1097" t="inlineStr">
        <is>
          <t>Föryngringsavverkning</t>
        </is>
      </c>
      <c r="D1097" s="1" t="n">
        <v>45588</v>
      </c>
      <c r="E1097" s="1" t="n">
        <v>46227</v>
      </c>
      <c r="F1097" t="inlineStr">
        <is>
          <t>VÄSTERBOTTENS LÄN</t>
        </is>
      </c>
      <c r="G1097" t="inlineStr">
        <is>
          <t>LYCKSELE</t>
        </is>
      </c>
      <c r="I1097" t="n">
        <v>0.4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t="n">
        <v>0</v>
      </c>
      <c r="S1097" t="n">
        <v>0</v>
      </c>
      <c r="T1097" t="n">
        <v>0</v>
      </c>
      <c r="U1097" t="n">
        <v>0</v>
      </c>
      <c r="V1097" s="2" t="inlineStr"/>
    </row>
    <row r="1098" ht="15" customHeight="1">
      <c r="A1098" t="inlineStr">
        <is>
          <t>A 44465-2022</t>
        </is>
      </c>
      <c r="B1098" t="inlineStr">
        <is>
          <t>avverkningsanmälan</t>
        </is>
      </c>
      <c r="C1098" t="inlineStr">
        <is>
          <t>Föryngringsavverkning</t>
        </is>
      </c>
      <c r="D1098" s="1" t="n">
        <v>44840</v>
      </c>
      <c r="E1098" s="1" t="n">
        <v>46227</v>
      </c>
      <c r="F1098" t="inlineStr">
        <is>
          <t>VÄSTERBOTTENS LÄN</t>
        </is>
      </c>
      <c r="G1098" t="inlineStr">
        <is>
          <t>LYCKSELE</t>
        </is>
      </c>
      <c r="I1098" t="n">
        <v>2.7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t="n">
        <v>0</v>
      </c>
      <c r="S1098" t="n">
        <v>0</v>
      </c>
      <c r="T1098" t="n">
        <v>0</v>
      </c>
      <c r="U1098" t="n">
        <v>0</v>
      </c>
      <c r="V1098" s="2" t="inlineStr"/>
    </row>
    <row r="1099" ht="15" customHeight="1">
      <c r="A1099" t="inlineStr">
        <is>
          <t>A 34810-2024</t>
        </is>
      </c>
      <c r="B1099" t="inlineStr">
        <is>
          <t>avverkningsanmälan</t>
        </is>
      </c>
      <c r="C1099" t="inlineStr">
        <is>
          <t>Föryngringsavverkning</t>
        </is>
      </c>
      <c r="D1099" s="1" t="n">
        <v>45526</v>
      </c>
      <c r="E1099" s="1" t="n">
        <v>46227</v>
      </c>
      <c r="F1099" t="inlineStr">
        <is>
          <t>VÄSTERBOTTENS LÄN</t>
        </is>
      </c>
      <c r="G1099" t="inlineStr">
        <is>
          <t>LYCKSELE</t>
        </is>
      </c>
      <c r="H1099" t="inlineStr">
        <is>
          <t>Sveaskog</t>
        </is>
      </c>
      <c r="I1099" t="n">
        <v>2.4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t="n">
        <v>0</v>
      </c>
      <c r="S1099" t="n">
        <v>0</v>
      </c>
      <c r="T1099" t="n">
        <v>0</v>
      </c>
      <c r="U1099" t="n">
        <v>0</v>
      </c>
      <c r="V1099" s="2" t="inlineStr"/>
    </row>
    <row r="1100" ht="15" customHeight="1">
      <c r="A1100" t="inlineStr">
        <is>
          <t>A 54428-2024</t>
        </is>
      </c>
      <c r="B1100" t="inlineStr">
        <is>
          <t>avverkningsanmälan</t>
        </is>
      </c>
      <c r="C1100" t="inlineStr">
        <is>
          <t>Föryngringsavverkning</t>
        </is>
      </c>
      <c r="D1100" s="1" t="n">
        <v>45617</v>
      </c>
      <c r="E1100" s="1" t="n">
        <v>46227</v>
      </c>
      <c r="F1100" t="inlineStr">
        <is>
          <t>VÄSTERBOTTENS LÄN</t>
        </is>
      </c>
      <c r="G1100" t="inlineStr">
        <is>
          <t>LYCKSELE</t>
        </is>
      </c>
      <c r="H1100" t="inlineStr">
        <is>
          <t>SCA</t>
        </is>
      </c>
      <c r="I1100" t="n">
        <v>12.9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t="n">
        <v>0</v>
      </c>
      <c r="S1100" t="n">
        <v>0</v>
      </c>
      <c r="T1100" t="n">
        <v>0</v>
      </c>
      <c r="U1100" t="n">
        <v>0</v>
      </c>
      <c r="V1100" s="2" t="inlineStr"/>
    </row>
    <row r="1101" ht="15" customHeight="1">
      <c r="A1101" t="inlineStr">
        <is>
          <t>A 41361-2023</t>
        </is>
      </c>
      <c r="B1101" t="inlineStr">
        <is>
          <t>avverkningsanmälan</t>
        </is>
      </c>
      <c r="C1101" t="inlineStr">
        <is>
          <t>Föryngringsavverkning</t>
        </is>
      </c>
      <c r="D1101" s="1" t="n">
        <v>45174</v>
      </c>
      <c r="E1101" s="1" t="n">
        <v>46227</v>
      </c>
      <c r="F1101" t="inlineStr">
        <is>
          <t>VÄSTERBOTTENS LÄN</t>
        </is>
      </c>
      <c r="G1101" t="inlineStr">
        <is>
          <t>LYCKSELE</t>
        </is>
      </c>
      <c r="H1101" t="inlineStr">
        <is>
          <t>Holmen skog AB</t>
        </is>
      </c>
      <c r="I1101" t="n">
        <v>6.6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t="n">
        <v>0</v>
      </c>
      <c r="S1101" t="n">
        <v>0</v>
      </c>
      <c r="T1101" t="n">
        <v>0</v>
      </c>
      <c r="U1101" t="n">
        <v>0</v>
      </c>
      <c r="V1101" s="2" t="inlineStr"/>
    </row>
    <row r="1102" ht="15" customHeight="1">
      <c r="A1102" t="inlineStr">
        <is>
          <t>A 37271-2023</t>
        </is>
      </c>
      <c r="B1102" t="inlineStr">
        <is>
          <t>avverkningsanmälan</t>
        </is>
      </c>
      <c r="C1102" t="inlineStr">
        <is>
          <t>Föryngringsavverkning</t>
        </is>
      </c>
      <c r="D1102" s="1" t="n">
        <v>45155</v>
      </c>
      <c r="E1102" s="1" t="n">
        <v>46227</v>
      </c>
      <c r="F1102" t="inlineStr">
        <is>
          <t>VÄSTERBOTTENS LÄN</t>
        </is>
      </c>
      <c r="G1102" t="inlineStr">
        <is>
          <t>LYCKSELE</t>
        </is>
      </c>
      <c r="H1102" t="inlineStr">
        <is>
          <t>SCA</t>
        </is>
      </c>
      <c r="I1102" t="n">
        <v>4.7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t="n">
        <v>0</v>
      </c>
      <c r="S1102" t="n">
        <v>0</v>
      </c>
      <c r="T1102" t="n">
        <v>0</v>
      </c>
      <c r="U1102" t="n">
        <v>0</v>
      </c>
      <c r="V1102" s="2" t="inlineStr"/>
    </row>
    <row r="1103" ht="15" customHeight="1">
      <c r="A1103" t="inlineStr">
        <is>
          <t>A 64336-2023</t>
        </is>
      </c>
      <c r="B1103" t="inlineStr">
        <is>
          <t>avverkningsanmälan</t>
        </is>
      </c>
      <c r="C1103" t="inlineStr">
        <is>
          <t>Föryngringsavverkning</t>
        </is>
      </c>
      <c r="D1103" s="1" t="n">
        <v>45279</v>
      </c>
      <c r="E1103" s="1" t="n">
        <v>46227</v>
      </c>
      <c r="F1103" t="inlineStr">
        <is>
          <t>VÄSTERBOTTENS LÄN</t>
        </is>
      </c>
      <c r="G1103" t="inlineStr">
        <is>
          <t>LYCKSELE</t>
        </is>
      </c>
      <c r="I1103" t="n">
        <v>6.4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t="n">
        <v>0</v>
      </c>
      <c r="S1103" t="n">
        <v>0</v>
      </c>
      <c r="T1103" t="n">
        <v>0</v>
      </c>
      <c r="U1103" t="n">
        <v>0</v>
      </c>
      <c r="V1103" s="2" t="inlineStr"/>
    </row>
    <row r="1104" ht="15" customHeight="1">
      <c r="A1104" t="inlineStr">
        <is>
          <t>A 9517-2025</t>
        </is>
      </c>
      <c r="B1104" t="inlineStr">
        <is>
          <t>avverkningsanmälan</t>
        </is>
      </c>
      <c r="C1104" t="inlineStr">
        <is>
          <t>Avverkning för att bevara och utveckla /försöksver</t>
        </is>
      </c>
      <c r="D1104" s="1" t="n">
        <v>45715</v>
      </c>
      <c r="E1104" s="1" t="n">
        <v>46227</v>
      </c>
      <c r="F1104" t="inlineStr">
        <is>
          <t>VÄSTERBOTTENS LÄN</t>
        </is>
      </c>
      <c r="G1104" t="inlineStr">
        <is>
          <t>LYCKSELE</t>
        </is>
      </c>
      <c r="H1104" t="inlineStr">
        <is>
          <t>SCA</t>
        </is>
      </c>
      <c r="I1104" t="n">
        <v>4.5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t="n">
        <v>0</v>
      </c>
      <c r="S1104" t="n">
        <v>0</v>
      </c>
      <c r="T1104" t="n">
        <v>0</v>
      </c>
      <c r="U1104" t="n">
        <v>0</v>
      </c>
      <c r="V1104" s="2" t="inlineStr"/>
    </row>
    <row r="1105" ht="15" customHeight="1">
      <c r="A1105" t="inlineStr">
        <is>
          <t>A 11640-2024</t>
        </is>
      </c>
      <c r="B1105" t="inlineStr">
        <is>
          <t>avverkningsanmälan</t>
        </is>
      </c>
      <c r="C1105" t="inlineStr">
        <is>
          <t>Avverkning för annat ändamål</t>
        </is>
      </c>
      <c r="D1105" s="1" t="n">
        <v>45373</v>
      </c>
      <c r="E1105" s="1" t="n">
        <v>46227</v>
      </c>
      <c r="F1105" t="inlineStr">
        <is>
          <t>VÄSTERBOTTENS LÄN</t>
        </is>
      </c>
      <c r="G1105" t="inlineStr">
        <is>
          <t>LYCKSELE</t>
        </is>
      </c>
      <c r="I1105" t="n">
        <v>0.5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t="n">
        <v>0</v>
      </c>
      <c r="S1105" t="n">
        <v>0</v>
      </c>
      <c r="T1105" t="n">
        <v>0</v>
      </c>
      <c r="U1105" t="n">
        <v>0</v>
      </c>
      <c r="V1105" s="2" t="inlineStr"/>
    </row>
    <row r="1106" ht="15" customHeight="1">
      <c r="A1106" t="inlineStr">
        <is>
          <t>A 41992-2022</t>
        </is>
      </c>
      <c r="B1106" t="inlineStr">
        <is>
          <t>avverkningsanmälan</t>
        </is>
      </c>
      <c r="C1106" t="inlineStr">
        <is>
          <t>Föryngringsavverkning</t>
        </is>
      </c>
      <c r="D1106" s="1" t="n">
        <v>44830</v>
      </c>
      <c r="E1106" s="1" t="n">
        <v>46227</v>
      </c>
      <c r="F1106" t="inlineStr">
        <is>
          <t>VÄSTERBOTTENS LÄN</t>
        </is>
      </c>
      <c r="G1106" t="inlineStr">
        <is>
          <t>LYCKSELE</t>
        </is>
      </c>
      <c r="H1106" t="inlineStr">
        <is>
          <t>Holmen skog AB</t>
        </is>
      </c>
      <c r="I1106" t="n">
        <v>3.5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t="n">
        <v>0</v>
      </c>
      <c r="S1106" t="n">
        <v>0</v>
      </c>
      <c r="T1106" t="n">
        <v>0</v>
      </c>
      <c r="U1106" t="n">
        <v>0</v>
      </c>
      <c r="V1106" s="2" t="inlineStr"/>
    </row>
    <row r="1107" ht="15" customHeight="1">
      <c r="A1107" t="inlineStr">
        <is>
          <t>A 17688-2025</t>
        </is>
      </c>
      <c r="B1107" t="inlineStr">
        <is>
          <t>avverkningsanmälan</t>
        </is>
      </c>
      <c r="C1107" t="inlineStr">
        <is>
          <t>Föryngringsavverkning</t>
        </is>
      </c>
      <c r="D1107" s="1" t="n">
        <v>45758</v>
      </c>
      <c r="E1107" s="1" t="n">
        <v>46227</v>
      </c>
      <c r="F1107" t="inlineStr">
        <is>
          <t>VÄSTERBOTTENS LÄN</t>
        </is>
      </c>
      <c r="G1107" t="inlineStr">
        <is>
          <t>LYCKSELE</t>
        </is>
      </c>
      <c r="H1107" t="inlineStr">
        <is>
          <t>Sveaskog</t>
        </is>
      </c>
      <c r="I1107" t="n">
        <v>3.5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t="n">
        <v>0</v>
      </c>
      <c r="S1107" t="n">
        <v>0</v>
      </c>
      <c r="T1107" t="n">
        <v>0</v>
      </c>
      <c r="U1107" t="n">
        <v>0</v>
      </c>
      <c r="V1107" s="2" t="inlineStr"/>
    </row>
    <row r="1108" ht="15" customHeight="1">
      <c r="A1108" t="inlineStr">
        <is>
          <t>A 60542-2024</t>
        </is>
      </c>
      <c r="B1108" t="inlineStr">
        <is>
          <t>avverkningsanmälan</t>
        </is>
      </c>
      <c r="C1108" t="inlineStr">
        <is>
          <t>Föryngringsavverkning</t>
        </is>
      </c>
      <c r="D1108" s="1" t="n">
        <v>45643</v>
      </c>
      <c r="E1108" s="1" t="n">
        <v>46227</v>
      </c>
      <c r="F1108" t="inlineStr">
        <is>
          <t>VÄSTERBOTTENS LÄN</t>
        </is>
      </c>
      <c r="G1108" t="inlineStr">
        <is>
          <t>LYCKSELE</t>
        </is>
      </c>
      <c r="I1108" t="n">
        <v>4.4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t="n">
        <v>0</v>
      </c>
      <c r="S1108" t="n">
        <v>0</v>
      </c>
      <c r="T1108" t="n">
        <v>0</v>
      </c>
      <c r="U1108" t="n">
        <v>0</v>
      </c>
      <c r="V1108" s="2" t="inlineStr"/>
    </row>
    <row r="1109" ht="15" customHeight="1">
      <c r="A1109" t="inlineStr">
        <is>
          <t>A 60143-2022</t>
        </is>
      </c>
      <c r="B1109" t="inlineStr">
        <is>
          <t>avverkningsanmälan</t>
        </is>
      </c>
      <c r="C1109" t="inlineStr">
        <is>
          <t>Föryngringsavverkning</t>
        </is>
      </c>
      <c r="D1109" s="1" t="n">
        <v>44909</v>
      </c>
      <c r="E1109" s="1" t="n">
        <v>46227</v>
      </c>
      <c r="F1109" t="inlineStr">
        <is>
          <t>VÄSTERBOTTENS LÄN</t>
        </is>
      </c>
      <c r="G1109" t="inlineStr">
        <is>
          <t>LYCKSELE</t>
        </is>
      </c>
      <c r="H1109" t="inlineStr">
        <is>
          <t>Sveaskog</t>
        </is>
      </c>
      <c r="I1109" t="n">
        <v>0.5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t="n">
        <v>0</v>
      </c>
      <c r="S1109" t="n">
        <v>0</v>
      </c>
      <c r="T1109" t="n">
        <v>0</v>
      </c>
      <c r="U1109" t="n">
        <v>0</v>
      </c>
      <c r="V1109" s="2" t="inlineStr"/>
    </row>
    <row r="1110" ht="15" customHeight="1">
      <c r="A1110" t="inlineStr">
        <is>
          <t>A 15239-2025</t>
        </is>
      </c>
      <c r="B1110" t="inlineStr">
        <is>
          <t>avverkningsanmälan</t>
        </is>
      </c>
      <c r="C1110" t="inlineStr">
        <is>
          <t>Föryngringsavverkning</t>
        </is>
      </c>
      <c r="D1110" s="1" t="n">
        <v>45744</v>
      </c>
      <c r="E1110" s="1" t="n">
        <v>46227</v>
      </c>
      <c r="F1110" t="inlineStr">
        <is>
          <t>VÄSTERBOTTENS LÄN</t>
        </is>
      </c>
      <c r="G1110" t="inlineStr">
        <is>
          <t>LYCKSELE</t>
        </is>
      </c>
      <c r="H1110" t="inlineStr">
        <is>
          <t>Holmen skog AB</t>
        </is>
      </c>
      <c r="I1110" t="n">
        <v>0.9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t="n">
        <v>0</v>
      </c>
      <c r="S1110" t="n">
        <v>0</v>
      </c>
      <c r="T1110" t="n">
        <v>0</v>
      </c>
      <c r="U1110" t="n">
        <v>0</v>
      </c>
      <c r="V1110" s="2" t="inlineStr"/>
    </row>
    <row r="1111" ht="15" customHeight="1">
      <c r="A1111" t="inlineStr">
        <is>
          <t>A 38478-2024</t>
        </is>
      </c>
      <c r="B1111" t="inlineStr">
        <is>
          <t>avverkningsanmälan</t>
        </is>
      </c>
      <c r="C1111" t="inlineStr">
        <is>
          <t>Avverkning för annat ändamål</t>
        </is>
      </c>
      <c r="D1111" s="1" t="n">
        <v>45546</v>
      </c>
      <c r="E1111" s="1" t="n">
        <v>46227</v>
      </c>
      <c r="F1111" t="inlineStr">
        <is>
          <t>VÄSTERBOTTENS LÄN</t>
        </is>
      </c>
      <c r="G1111" t="inlineStr">
        <is>
          <t>LYCKSELE</t>
        </is>
      </c>
      <c r="I1111" t="n">
        <v>0.1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t="n">
        <v>0</v>
      </c>
      <c r="S1111" t="n">
        <v>0</v>
      </c>
      <c r="T1111" t="n">
        <v>0</v>
      </c>
      <c r="U1111" t="n">
        <v>0</v>
      </c>
      <c r="V1111" s="2" t="inlineStr"/>
    </row>
    <row r="1112" ht="15" customHeight="1">
      <c r="A1112" t="inlineStr">
        <is>
          <t>A 2794-2025</t>
        </is>
      </c>
      <c r="B1112" t="inlineStr">
        <is>
          <t>avverkningsanmälan</t>
        </is>
      </c>
      <c r="C1112" t="inlineStr">
        <is>
          <t>Avverkning för annat ändamål</t>
        </is>
      </c>
      <c r="D1112" s="1" t="n">
        <v>45677</v>
      </c>
      <c r="E1112" s="1" t="n">
        <v>46227</v>
      </c>
      <c r="F1112" t="inlineStr">
        <is>
          <t>VÄSTERBOTTENS LÄN</t>
        </is>
      </c>
      <c r="G1112" t="inlineStr">
        <is>
          <t>LYCKSELE</t>
        </is>
      </c>
      <c r="H1112" t="inlineStr">
        <is>
          <t>Sveaskog</t>
        </is>
      </c>
      <c r="I1112" t="n">
        <v>1.6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t="n">
        <v>0</v>
      </c>
      <c r="S1112" t="n">
        <v>0</v>
      </c>
      <c r="T1112" t="n">
        <v>0</v>
      </c>
      <c r="U1112" t="n">
        <v>0</v>
      </c>
      <c r="V1112" s="2" t="inlineStr"/>
    </row>
    <row r="1113" ht="15" customHeight="1">
      <c r="A1113" t="inlineStr">
        <is>
          <t>A 57246-2024</t>
        </is>
      </c>
      <c r="B1113" t="inlineStr">
        <is>
          <t>avverkningsanmälan</t>
        </is>
      </c>
      <c r="C1113" t="inlineStr">
        <is>
          <t>Föryngringsavverkning</t>
        </is>
      </c>
      <c r="D1113" s="1" t="n">
        <v>45629</v>
      </c>
      <c r="E1113" s="1" t="n">
        <v>46227</v>
      </c>
      <c r="F1113" t="inlineStr">
        <is>
          <t>VÄSTERBOTTENS LÄN</t>
        </is>
      </c>
      <c r="G1113" t="inlineStr">
        <is>
          <t>LYCKSELE</t>
        </is>
      </c>
      <c r="H1113" t="inlineStr">
        <is>
          <t>Sveaskog</t>
        </is>
      </c>
      <c r="I1113" t="n">
        <v>6.3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t="n">
        <v>0</v>
      </c>
      <c r="S1113" t="n">
        <v>0</v>
      </c>
      <c r="T1113" t="n">
        <v>0</v>
      </c>
      <c r="U1113" t="n">
        <v>0</v>
      </c>
      <c r="V1113" s="2" t="inlineStr"/>
    </row>
    <row r="1114" ht="15" customHeight="1">
      <c r="A1114" t="inlineStr">
        <is>
          <t>S 919-2021</t>
        </is>
      </c>
      <c r="B1114" t="inlineStr">
        <is>
          <t>samrådsanmälan</t>
        </is>
      </c>
      <c r="C1114" t="inlineStr">
        <is>
          <t>Skogsgödsling</t>
        </is>
      </c>
      <c r="D1114" s="1" t="n">
        <v>44314</v>
      </c>
      <c r="E1114" s="1" t="n">
        <v>46227</v>
      </c>
      <c r="F1114" t="inlineStr">
        <is>
          <t>VÄSTERBOTTENS LÄN</t>
        </is>
      </c>
      <c r="G1114" t="inlineStr">
        <is>
          <t>LYCKSELE</t>
        </is>
      </c>
      <c r="I1114" t="n">
        <v>26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t="n">
        <v>0</v>
      </c>
      <c r="S1114" t="n">
        <v>0</v>
      </c>
      <c r="T1114" t="n">
        <v>0</v>
      </c>
      <c r="U1114" t="n">
        <v>0</v>
      </c>
      <c r="V1114" s="2" t="inlineStr"/>
    </row>
    <row r="1115" ht="15" customHeight="1">
      <c r="A1115" t="inlineStr">
        <is>
          <t>S 827-2022</t>
        </is>
      </c>
      <c r="B1115" t="inlineStr">
        <is>
          <t>samrådsanmälan</t>
        </is>
      </c>
      <c r="C1115" t="inlineStr">
        <is>
          <t>Skogsgödsling</t>
        </is>
      </c>
      <c r="D1115" s="1" t="n">
        <v>44603</v>
      </c>
      <c r="E1115" s="1" t="n">
        <v>46227</v>
      </c>
      <c r="F1115" t="inlineStr">
        <is>
          <t>VÄSTERBOTTENS LÄN</t>
        </is>
      </c>
      <c r="G1115" t="inlineStr">
        <is>
          <t>LYCKSELE</t>
        </is>
      </c>
      <c r="H1115" t="inlineStr">
        <is>
          <t>SCA</t>
        </is>
      </c>
      <c r="I1115" t="n">
        <v>42.7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t="n">
        <v>0</v>
      </c>
      <c r="S1115" t="n">
        <v>0</v>
      </c>
      <c r="T1115" t="n">
        <v>0</v>
      </c>
      <c r="U1115" t="n">
        <v>0</v>
      </c>
      <c r="V1115" s="2" t="inlineStr"/>
    </row>
    <row r="1116" ht="15" customHeight="1">
      <c r="A1116" t="inlineStr">
        <is>
          <t>S 165-2022</t>
        </is>
      </c>
      <c r="B1116" t="inlineStr">
        <is>
          <t>samrådsanmälan</t>
        </is>
      </c>
      <c r="C1116" t="inlineStr">
        <is>
          <t>Skogsbilväg</t>
        </is>
      </c>
      <c r="D1116" s="1" t="n">
        <v>44572</v>
      </c>
      <c r="E1116" s="1" t="n">
        <v>46227</v>
      </c>
      <c r="F1116" t="inlineStr">
        <is>
          <t>VÄSTERBOTTENS LÄN</t>
        </is>
      </c>
      <c r="G1116" t="inlineStr">
        <is>
          <t>LYCKSELE</t>
        </is>
      </c>
      <c r="I1116" t="n">
        <v>2.2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t="n">
        <v>0</v>
      </c>
      <c r="S1116" t="n">
        <v>0</v>
      </c>
      <c r="T1116" t="n">
        <v>0</v>
      </c>
      <c r="U1116" t="n">
        <v>0</v>
      </c>
      <c r="V1116" s="2" t="inlineStr"/>
    </row>
    <row r="1117" ht="15" customHeight="1">
      <c r="A1117" t="inlineStr">
        <is>
          <t>S 897-2022</t>
        </is>
      </c>
      <c r="B1117" t="inlineStr">
        <is>
          <t>samrådsanmälan</t>
        </is>
      </c>
      <c r="C1117" t="inlineStr">
        <is>
          <t>Skogsgödsling</t>
        </is>
      </c>
      <c r="D1117" s="1" t="n">
        <v>44607</v>
      </c>
      <c r="E1117" s="1" t="n">
        <v>46227</v>
      </c>
      <c r="F1117" t="inlineStr">
        <is>
          <t>VÄSTERBOTTENS LÄN</t>
        </is>
      </c>
      <c r="G1117" t="inlineStr">
        <is>
          <t>LYCKSELE</t>
        </is>
      </c>
      <c r="H1117" t="inlineStr">
        <is>
          <t>SCA</t>
        </is>
      </c>
      <c r="I1117" t="n">
        <v>264.9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t="n">
        <v>0</v>
      </c>
      <c r="S1117" t="n">
        <v>0</v>
      </c>
      <c r="T1117" t="n">
        <v>0</v>
      </c>
      <c r="U1117" t="n">
        <v>0</v>
      </c>
      <c r="V1117" s="2" t="inlineStr"/>
    </row>
    <row r="1118" ht="15" customHeight="1">
      <c r="A1118" t="inlineStr">
        <is>
          <t>S 1133-2024</t>
        </is>
      </c>
      <c r="B1118" t="inlineStr">
        <is>
          <t>samrådsanmälan</t>
        </is>
      </c>
      <c r="C1118" t="inlineStr">
        <is>
          <t>Skogsgödsling</t>
        </is>
      </c>
      <c r="D1118" s="1" t="n">
        <v>45393</v>
      </c>
      <c r="E1118" s="1" t="n">
        <v>46227</v>
      </c>
      <c r="F1118" t="inlineStr">
        <is>
          <t>VÄSTERBOTTENS LÄN</t>
        </is>
      </c>
      <c r="G1118" t="inlineStr">
        <is>
          <t>LYCKSELE</t>
        </is>
      </c>
      <c r="I1118" t="n">
        <v>33.1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t="n">
        <v>0</v>
      </c>
      <c r="S1118" t="n">
        <v>0</v>
      </c>
      <c r="T1118" t="n">
        <v>0</v>
      </c>
      <c r="U1118" t="n">
        <v>0</v>
      </c>
      <c r="V1118" s="2" t="inlineStr"/>
    </row>
    <row r="1119" ht="15" customHeight="1">
      <c r="A1119" t="inlineStr">
        <is>
          <t>S 6646-2021</t>
        </is>
      </c>
      <c r="B1119" t="inlineStr">
        <is>
          <t>samrådsanmälan</t>
        </is>
      </c>
      <c r="C1119" t="inlineStr">
        <is>
          <t>Basväg</t>
        </is>
      </c>
      <c r="D1119" s="1" t="n">
        <v>44455</v>
      </c>
      <c r="E1119" s="1" t="n">
        <v>46227</v>
      </c>
      <c r="F1119" t="inlineStr">
        <is>
          <t>VÄSTERBOTTENS LÄN</t>
        </is>
      </c>
      <c r="G1119" t="inlineStr">
        <is>
          <t>LYCKSELE</t>
        </is>
      </c>
      <c r="I1119" t="n">
        <v>0.2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t="n">
        <v>0</v>
      </c>
      <c r="S1119" t="n">
        <v>0</v>
      </c>
      <c r="T1119" t="n">
        <v>0</v>
      </c>
      <c r="U1119" t="n">
        <v>0</v>
      </c>
      <c r="V1119" s="2" t="inlineStr"/>
    </row>
    <row r="1120" ht="15" customHeight="1">
      <c r="A1120" t="inlineStr">
        <is>
          <t>S 4195-2023</t>
        </is>
      </c>
      <c r="B1120" t="inlineStr">
        <is>
          <t>samrådsanmälan</t>
        </is>
      </c>
      <c r="C1120" t="inlineStr">
        <is>
          <t>Skogsgödsling</t>
        </is>
      </c>
      <c r="D1120" s="1" t="n">
        <v>45250</v>
      </c>
      <c r="E1120" s="1" t="n">
        <v>46227</v>
      </c>
      <c r="F1120" t="inlineStr">
        <is>
          <t>VÄSTERBOTTENS LÄN</t>
        </is>
      </c>
      <c r="G1120" t="inlineStr">
        <is>
          <t>LYCKSELE</t>
        </is>
      </c>
      <c r="H1120" t="inlineStr">
        <is>
          <t>Holmen skog AB</t>
        </is>
      </c>
      <c r="I1120" t="n">
        <v>63.8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t="n">
        <v>0</v>
      </c>
      <c r="S1120" t="n">
        <v>0</v>
      </c>
      <c r="T1120" t="n">
        <v>0</v>
      </c>
      <c r="U1120" t="n">
        <v>0</v>
      </c>
      <c r="V1120" s="2" t="inlineStr"/>
    </row>
    <row r="1121" ht="15" customHeight="1">
      <c r="A1121" t="inlineStr">
        <is>
          <t>S 1398-2023</t>
        </is>
      </c>
      <c r="B1121" t="inlineStr">
        <is>
          <t>samrådsanmälan</t>
        </is>
      </c>
      <c r="C1121" t="inlineStr">
        <is>
          <t>Skogsgödsling</t>
        </is>
      </c>
      <c r="D1121" s="1" t="n">
        <v>45040</v>
      </c>
      <c r="E1121" s="1" t="n">
        <v>46227</v>
      </c>
      <c r="F1121" t="inlineStr">
        <is>
          <t>VÄSTERBOTTENS LÄN</t>
        </is>
      </c>
      <c r="G1121" t="inlineStr">
        <is>
          <t>LYCKSELE</t>
        </is>
      </c>
      <c r="I1121" t="n">
        <v>21.5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t="n">
        <v>0</v>
      </c>
      <c r="S1121" t="n">
        <v>0</v>
      </c>
      <c r="T1121" t="n">
        <v>0</v>
      </c>
      <c r="U1121" t="n">
        <v>0</v>
      </c>
      <c r="V1121" s="2" t="inlineStr"/>
    </row>
    <row r="1122" ht="15" customHeight="1">
      <c r="A1122" t="inlineStr">
        <is>
          <t>S 1378-2023</t>
        </is>
      </c>
      <c r="B1122" t="inlineStr">
        <is>
          <t>samrådsanmälan</t>
        </is>
      </c>
      <c r="C1122" t="inlineStr">
        <is>
          <t>Skogsgödsling</t>
        </is>
      </c>
      <c r="D1122" s="1" t="n">
        <v>45040</v>
      </c>
      <c r="E1122" s="1" t="n">
        <v>46227</v>
      </c>
      <c r="F1122" t="inlineStr">
        <is>
          <t>VÄSTERBOTTENS LÄN</t>
        </is>
      </c>
      <c r="G1122" t="inlineStr">
        <is>
          <t>LYCKSELE</t>
        </is>
      </c>
      <c r="I1122" t="n">
        <v>33.1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t="n">
        <v>0</v>
      </c>
      <c r="S1122" t="n">
        <v>0</v>
      </c>
      <c r="T1122" t="n">
        <v>0</v>
      </c>
      <c r="U1122" t="n">
        <v>0</v>
      </c>
      <c r="V1122" s="2" t="inlineStr"/>
    </row>
    <row r="1123" ht="15" customHeight="1">
      <c r="A1123" t="inlineStr">
        <is>
          <t>S 1656-2024</t>
        </is>
      </c>
      <c r="B1123" t="inlineStr">
        <is>
          <t>samrådsanmälan</t>
        </is>
      </c>
      <c r="C1123" t="inlineStr">
        <is>
          <t>Skogsgödsling</t>
        </is>
      </c>
      <c r="D1123" s="1" t="n">
        <v>45426</v>
      </c>
      <c r="E1123" s="1" t="n">
        <v>46227</v>
      </c>
      <c r="F1123" t="inlineStr">
        <is>
          <t>VÄSTERBOTTENS LÄN</t>
        </is>
      </c>
      <c r="G1123" t="inlineStr">
        <is>
          <t>LYCKSELE</t>
        </is>
      </c>
      <c r="I1123" t="n">
        <v>56.6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t="n">
        <v>0</v>
      </c>
      <c r="S1123" t="n">
        <v>0</v>
      </c>
      <c r="T1123" t="n">
        <v>0</v>
      </c>
      <c r="U1123" t="n">
        <v>0</v>
      </c>
      <c r="V1123" s="2" t="inlineStr"/>
    </row>
    <row r="1124" ht="15" customHeight="1">
      <c r="A1124" t="inlineStr">
        <is>
          <t>S 523-2024</t>
        </is>
      </c>
      <c r="B1124" t="inlineStr">
        <is>
          <t>samrådsanmälan</t>
        </is>
      </c>
      <c r="C1124" t="inlineStr">
        <is>
          <t>Skogsgödsling</t>
        </is>
      </c>
      <c r="D1124" s="1" t="n">
        <v>45348</v>
      </c>
      <c r="E1124" s="1" t="n">
        <v>46227</v>
      </c>
      <c r="F1124" t="inlineStr">
        <is>
          <t>VÄSTERBOTTENS LÄN</t>
        </is>
      </c>
      <c r="G1124" t="inlineStr">
        <is>
          <t>LYCKSELE</t>
        </is>
      </c>
      <c r="I1124" t="n">
        <v>19.9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t="n">
        <v>0</v>
      </c>
      <c r="S1124" t="n">
        <v>0</v>
      </c>
      <c r="T1124" t="n">
        <v>0</v>
      </c>
      <c r="U1124" t="n">
        <v>0</v>
      </c>
      <c r="V1124" s="2" t="inlineStr"/>
    </row>
    <row r="1125" ht="15" customHeight="1">
      <c r="A1125" t="inlineStr">
        <is>
          <t>S 3789-2024</t>
        </is>
      </c>
      <c r="B1125" t="inlineStr">
        <is>
          <t>samrådsanmälan</t>
        </is>
      </c>
      <c r="C1125" t="inlineStr">
        <is>
          <t>Annan skogsbruksåtgärd</t>
        </is>
      </c>
      <c r="D1125" s="1" t="n">
        <v>45558</v>
      </c>
      <c r="E1125" s="1" t="n">
        <v>46227</v>
      </c>
      <c r="F1125" t="inlineStr">
        <is>
          <t>VÄSTERBOTTENS LÄN</t>
        </is>
      </c>
      <c r="G1125" t="inlineStr">
        <is>
          <t>LYCKSELE</t>
        </is>
      </c>
      <c r="H1125" t="inlineStr">
        <is>
          <t>Sveaskog</t>
        </is>
      </c>
      <c r="I1125" t="n">
        <v>9.800000000000001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t="n">
        <v>0</v>
      </c>
      <c r="S1125" t="n">
        <v>0</v>
      </c>
      <c r="T1125" t="n">
        <v>0</v>
      </c>
      <c r="U1125" t="n">
        <v>0</v>
      </c>
      <c r="V1125" s="2" t="inlineStr"/>
    </row>
    <row r="1126" ht="15" customHeight="1">
      <c r="A1126" t="inlineStr">
        <is>
          <t>S 271-2024</t>
        </is>
      </c>
      <c r="B1126" t="inlineStr">
        <is>
          <t>samrådsanmälan</t>
        </is>
      </c>
      <c r="C1126" t="inlineStr">
        <is>
          <t>Skogsgödsling</t>
        </is>
      </c>
      <c r="D1126" s="1" t="n">
        <v>45323</v>
      </c>
      <c r="E1126" s="1" t="n">
        <v>46227</v>
      </c>
      <c r="F1126" t="inlineStr">
        <is>
          <t>VÄSTERBOTTENS LÄN</t>
        </is>
      </c>
      <c r="G1126" t="inlineStr">
        <is>
          <t>LYCKSELE</t>
        </is>
      </c>
      <c r="I1126" t="n">
        <v>48.7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t="n">
        <v>0</v>
      </c>
      <c r="S1126" t="n">
        <v>0</v>
      </c>
      <c r="T1126" t="n">
        <v>0</v>
      </c>
      <c r="U1126" t="n">
        <v>0</v>
      </c>
      <c r="V1126" s="2" t="inlineStr"/>
    </row>
    <row r="1127" ht="15" customHeight="1">
      <c r="A1127" t="inlineStr">
        <is>
          <t>S 1132-2024</t>
        </is>
      </c>
      <c r="B1127" t="inlineStr">
        <is>
          <t>samrådsanmälan</t>
        </is>
      </c>
      <c r="C1127" t="inlineStr">
        <is>
          <t>Skogsgödsling</t>
        </is>
      </c>
      <c r="D1127" s="1" t="n">
        <v>45393</v>
      </c>
      <c r="E1127" s="1" t="n">
        <v>46227</v>
      </c>
      <c r="F1127" t="inlineStr">
        <is>
          <t>VÄSTERBOTTENS LÄN</t>
        </is>
      </c>
      <c r="G1127" t="inlineStr">
        <is>
          <t>LYCKSELE</t>
        </is>
      </c>
      <c r="I1127" t="n">
        <v>19.2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t="n">
        <v>0</v>
      </c>
      <c r="S1127" t="n">
        <v>0</v>
      </c>
      <c r="T1127" t="n">
        <v>0</v>
      </c>
      <c r="U1127" t="n">
        <v>0</v>
      </c>
      <c r="V1127" s="2" t="inlineStr"/>
    </row>
    <row r="1128" ht="15" customHeight="1">
      <c r="A1128" t="inlineStr">
        <is>
          <t>S 1031-2025</t>
        </is>
      </c>
      <c r="B1128" t="inlineStr">
        <is>
          <t>samrådsanmälan</t>
        </is>
      </c>
      <c r="C1128" t="inlineStr">
        <is>
          <t>Skogsgödsling</t>
        </is>
      </c>
      <c r="D1128" s="1" t="n">
        <v>45747</v>
      </c>
      <c r="E1128" s="1" t="n">
        <v>46227</v>
      </c>
      <c r="F1128" t="inlineStr">
        <is>
          <t>VÄSTERBOTTENS LÄN</t>
        </is>
      </c>
      <c r="G1128" t="inlineStr">
        <is>
          <t>LYCKSELE</t>
        </is>
      </c>
      <c r="H1128" t="inlineStr">
        <is>
          <t>Sveaskog</t>
        </is>
      </c>
      <c r="I1128" t="n">
        <v>36.8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t="n">
        <v>0</v>
      </c>
      <c r="S1128" t="n">
        <v>0</v>
      </c>
      <c r="T1128" t="n">
        <v>0</v>
      </c>
      <c r="U1128" t="n">
        <v>0</v>
      </c>
      <c r="V1128" s="2" t="inlineStr"/>
    </row>
    <row r="1129" ht="15" customHeight="1">
      <c r="A1129" t="inlineStr">
        <is>
          <t>S 1037-2025</t>
        </is>
      </c>
      <c r="B1129" t="inlineStr">
        <is>
          <t>samrådsanmälan</t>
        </is>
      </c>
      <c r="C1129" t="inlineStr">
        <is>
          <t>Skogsgödsling</t>
        </is>
      </c>
      <c r="D1129" s="1" t="n">
        <v>45747</v>
      </c>
      <c r="E1129" s="1" t="n">
        <v>46227</v>
      </c>
      <c r="F1129" t="inlineStr">
        <is>
          <t>VÄSTERBOTTENS LÄN</t>
        </is>
      </c>
      <c r="G1129" t="inlineStr">
        <is>
          <t>LYCKSELE</t>
        </is>
      </c>
      <c r="H1129" t="inlineStr">
        <is>
          <t>Sveaskog</t>
        </is>
      </c>
      <c r="I1129" t="n">
        <v>138.5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t="n">
        <v>0</v>
      </c>
      <c r="S1129" t="n">
        <v>0</v>
      </c>
      <c r="T1129" t="n">
        <v>0</v>
      </c>
      <c r="U1129" t="n">
        <v>0</v>
      </c>
      <c r="V1129" s="2" t="inlineStr"/>
    </row>
    <row r="1130" ht="15" customHeight="1">
      <c r="A1130" t="inlineStr">
        <is>
          <t>S 1233-2025</t>
        </is>
      </c>
      <c r="B1130" t="inlineStr">
        <is>
          <t>samrådsanmälan</t>
        </is>
      </c>
      <c r="C1130" t="inlineStr">
        <is>
          <t>Annan skogsbruksåtgärd</t>
        </is>
      </c>
      <c r="D1130" s="1" t="n">
        <v>45757</v>
      </c>
      <c r="E1130" s="1" t="n">
        <v>46227</v>
      </c>
      <c r="F1130" t="inlineStr">
        <is>
          <t>VÄSTERBOTTENS LÄN</t>
        </is>
      </c>
      <c r="G1130" t="inlineStr">
        <is>
          <t>LYCKSELE</t>
        </is>
      </c>
      <c r="H1130" t="inlineStr">
        <is>
          <t>Holmen skog AB</t>
        </is>
      </c>
      <c r="I1130" t="n">
        <v>5.9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t="n">
        <v>0</v>
      </c>
      <c r="S1130" t="n">
        <v>0</v>
      </c>
      <c r="T1130" t="n">
        <v>0</v>
      </c>
      <c r="U1130" t="n">
        <v>0</v>
      </c>
      <c r="V1130" s="2" t="inlineStr"/>
    </row>
    <row r="1131" ht="15" customHeight="1">
      <c r="A1131" t="inlineStr">
        <is>
          <t>S 1326-2025</t>
        </is>
      </c>
      <c r="B1131" t="inlineStr">
        <is>
          <t>samrådsanmälan</t>
        </is>
      </c>
      <c r="C1131" t="inlineStr">
        <is>
          <t>Skogsgödsling</t>
        </is>
      </c>
      <c r="D1131" s="1" t="n">
        <v>45771</v>
      </c>
      <c r="E1131" s="1" t="n">
        <v>46227</v>
      </c>
      <c r="F1131" t="inlineStr">
        <is>
          <t>VÄSTERBOTTENS LÄN</t>
        </is>
      </c>
      <c r="G1131" t="inlineStr">
        <is>
          <t>LYCKSELE</t>
        </is>
      </c>
      <c r="I1131" t="n">
        <v>6.2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t="n">
        <v>0</v>
      </c>
      <c r="S1131" t="n">
        <v>0</v>
      </c>
      <c r="T1131" t="n">
        <v>0</v>
      </c>
      <c r="U1131" t="n">
        <v>0</v>
      </c>
      <c r="V1131" s="2" t="inlineStr"/>
    </row>
    <row r="1132" ht="15" customHeight="1">
      <c r="A1132" t="inlineStr">
        <is>
          <t>S 1841-2025</t>
        </is>
      </c>
      <c r="B1132" t="inlineStr">
        <is>
          <t>samrådsanmälan</t>
        </is>
      </c>
      <c r="C1132" t="inlineStr">
        <is>
          <t>Annan skogsbruksåtgärd</t>
        </is>
      </c>
      <c r="D1132" s="1" t="n">
        <v>45820</v>
      </c>
      <c r="E1132" s="1" t="n">
        <v>46227</v>
      </c>
      <c r="F1132" t="inlineStr">
        <is>
          <t>VÄSTERBOTTENS LÄN</t>
        </is>
      </c>
      <c r="G1132" t="inlineStr">
        <is>
          <t>LYCKSELE</t>
        </is>
      </c>
      <c r="H1132" t="inlineStr">
        <is>
          <t>Sveaskog</t>
        </is>
      </c>
      <c r="I1132" t="n">
        <v>2.5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t="n">
        <v>0</v>
      </c>
      <c r="S1132" t="n">
        <v>0</v>
      </c>
      <c r="T1132" t="n">
        <v>0</v>
      </c>
      <c r="U1132" t="n">
        <v>0</v>
      </c>
      <c r="V1132" s="2" t="inlineStr"/>
    </row>
    <row r="1133" ht="15" customHeight="1">
      <c r="A1133" t="inlineStr">
        <is>
          <t>S 447-2026</t>
        </is>
      </c>
      <c r="B1133" t="inlineStr">
        <is>
          <t>samrådsanmälan</t>
        </is>
      </c>
      <c r="C1133" t="inlineStr">
        <is>
          <t>Annan skogsbruksåtgärd</t>
        </is>
      </c>
      <c r="D1133" s="1" t="n">
        <v>46071</v>
      </c>
      <c r="E1133" s="1" t="n">
        <v>46227</v>
      </c>
      <c r="F1133" t="inlineStr">
        <is>
          <t>VÄSTERBOTTENS LÄN</t>
        </is>
      </c>
      <c r="G1133" t="inlineStr">
        <is>
          <t>LYCKSELE</t>
        </is>
      </c>
      <c r="I1133" t="n">
        <v>0.6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t="n">
        <v>0</v>
      </c>
      <c r="S1133" t="n">
        <v>0</v>
      </c>
      <c r="T1133" t="n">
        <v>0</v>
      </c>
      <c r="U1133" t="n">
        <v>0</v>
      </c>
      <c r="V1133" s="2" t="inlineStr"/>
    </row>
    <row r="1134" ht="15" customHeight="1">
      <c r="A1134" t="inlineStr">
        <is>
          <t>S 727-2026</t>
        </is>
      </c>
      <c r="B1134" t="inlineStr">
        <is>
          <t>samrådsanmälan</t>
        </is>
      </c>
      <c r="C1134" t="inlineStr">
        <is>
          <t>Skogsgödsling</t>
        </is>
      </c>
      <c r="D1134" s="1" t="n">
        <v>46093</v>
      </c>
      <c r="E1134" s="1" t="n">
        <v>46227</v>
      </c>
      <c r="F1134" t="inlineStr">
        <is>
          <t>VÄSTERBOTTENS LÄN</t>
        </is>
      </c>
      <c r="G1134" t="inlineStr">
        <is>
          <t>LYCKSELE</t>
        </is>
      </c>
      <c r="I1134" t="n">
        <v>23.5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t="n">
        <v>0</v>
      </c>
      <c r="S1134" t="n">
        <v>0</v>
      </c>
      <c r="T1134" t="n">
        <v>0</v>
      </c>
      <c r="U1134" t="n">
        <v>0</v>
      </c>
      <c r="V1134" s="2" t="inlineStr"/>
    </row>
    <row r="1135" ht="15" customHeight="1">
      <c r="A1135" t="inlineStr">
        <is>
          <t>S 1148-2026</t>
        </is>
      </c>
      <c r="B1135" t="inlineStr">
        <is>
          <t>samrådsanmälan</t>
        </is>
      </c>
      <c r="C1135" t="inlineStr">
        <is>
          <t>Askåterföring</t>
        </is>
      </c>
      <c r="D1135" s="1" t="n">
        <v>46135</v>
      </c>
      <c r="E1135" s="1" t="n">
        <v>46227</v>
      </c>
      <c r="F1135" t="inlineStr">
        <is>
          <t>VÄSTERBOTTENS LÄN</t>
        </is>
      </c>
      <c r="G1135" t="inlineStr">
        <is>
          <t>LYCKSELE</t>
        </is>
      </c>
      <c r="H1135" t="inlineStr">
        <is>
          <t>Holmen skog AB</t>
        </is>
      </c>
      <c r="I1135" t="n">
        <v>4.5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t="n">
        <v>0</v>
      </c>
      <c r="S1135" t="n">
        <v>0</v>
      </c>
      <c r="T1135" t="n">
        <v>0</v>
      </c>
      <c r="U1135" t="n">
        <v>0</v>
      </c>
      <c r="V1135" s="2" t="inlineStr"/>
    </row>
    <row r="1136" ht="15" customHeight="1">
      <c r="A1136" t="inlineStr">
        <is>
          <t>S 1358-2026</t>
        </is>
      </c>
      <c r="B1136" t="inlineStr">
        <is>
          <t>samrådsanmälan</t>
        </is>
      </c>
      <c r="C1136" t="inlineStr">
        <is>
          <t>Skogsgödsling</t>
        </is>
      </c>
      <c r="D1136" s="1" t="n">
        <v>46152</v>
      </c>
      <c r="E1136" s="1" t="n">
        <v>46227</v>
      </c>
      <c r="F1136" t="inlineStr">
        <is>
          <t>VÄSTERBOTTENS LÄN</t>
        </is>
      </c>
      <c r="G1136" t="inlineStr">
        <is>
          <t>LYCKSELE</t>
        </is>
      </c>
      <c r="I1136" t="n">
        <v>20.5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t="n">
        <v>0</v>
      </c>
      <c r="S1136" t="n">
        <v>0</v>
      </c>
      <c r="T1136" t="n">
        <v>0</v>
      </c>
      <c r="U1136" t="n">
        <v>0</v>
      </c>
      <c r="V1136" s="2" t="inlineStr"/>
    </row>
    <row r="1137">
      <c r="A1137" t="inlineStr">
        <is>
          <t>S 1524-2026</t>
        </is>
      </c>
      <c r="B1137" t="inlineStr">
        <is>
          <t>samrådsanmälan</t>
        </is>
      </c>
      <c r="C1137" t="inlineStr">
        <is>
          <t>Skogsgödsling</t>
        </is>
      </c>
      <c r="D1137" s="1" t="n">
        <v>46164</v>
      </c>
      <c r="E1137" s="1" t="n">
        <v>46227</v>
      </c>
      <c r="F1137" t="inlineStr">
        <is>
          <t>VÄSTERBOTTENS LÄN</t>
        </is>
      </c>
      <c r="G1137" t="inlineStr">
        <is>
          <t>LYCKSELE</t>
        </is>
      </c>
      <c r="I1137" t="n">
        <v>99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t="n">
        <v>0</v>
      </c>
      <c r="S1137" t="n">
        <v>0</v>
      </c>
      <c r="T1137" t="n">
        <v>0</v>
      </c>
      <c r="U1137" t="n">
        <v>0</v>
      </c>
      <c r="V113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2026-07-24T01:48:18Z</dcterms:created>
  <dcterms:modified xmlns:dcterms="http://purl.org/dc/terms/" xmlns:xsi="http://www.w3.org/2001/XMLSchema-instance" xsi:type="dcterms:W3CDTF">2026-07-24T01:48:19Z</dcterms:modified>
</cp:coreProperties>
</file>