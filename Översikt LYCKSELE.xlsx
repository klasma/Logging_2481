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46284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46284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46284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46284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46284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46284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46284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46284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46284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46284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46284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46284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46284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46284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46284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46284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46284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48832-2024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46284</v>
      </c>
      <c r="F26" t="inlineStr">
        <is>
          <t>VÄSTERBOTTENS LÄN</t>
        </is>
      </c>
      <c r="G26" t="inlineStr">
        <is>
          <t>LYCKSELE</t>
        </is>
      </c>
      <c r="H26" t="inlineStr">
        <is>
          <t>SCA</t>
        </is>
      </c>
      <c r="I26" t="n">
        <v>3.7</v>
      </c>
      <c r="J26" t="n">
        <v>4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Knärot
Skogsfru
Bollvitmossa
Spindelblomster
Ögonpyrola
Videsparv</t>
        </is>
      </c>
      <c r="W26">
        <f>HYPERLINK("https://klasma.github.io/Logging_2481/artfynd/A 48832-2024 artfynd.xlsx", "A 48832-2024")</f>
        <v/>
      </c>
      <c r="X26">
        <f>HYPERLINK("https://klasma.github.io/Logging_2481/kartor/A 48832-2024 karta.png", "A 48832-2024")</f>
        <v/>
      </c>
      <c r="Y26">
        <f>HYPERLINK("https://klasma.github.io/Logging_2481/kartor_geotiff/A 48832-2024 georefererad karta.tif", "A 48832-2024")</f>
        <v/>
      </c>
      <c r="Z26">
        <f>HYPERLINK("https://klasma.github.io/Logging_2481/knärot/A 48832-2024 karta knärot.png", "A 48832-2024")</f>
        <v/>
      </c>
      <c r="AA26">
        <f>HYPERLINK("https://klasma.github.io/Logging_2481/klagomål/A 48832-2024 FSC-klagomål.docx", "A 48832-2024")</f>
        <v/>
      </c>
      <c r="AB26">
        <f>HYPERLINK("https://klasma.github.io/Logging_2481/klagomålsmail/A 48832-2024 FSC-klagomål mail.docx", "A 48832-2024")</f>
        <v/>
      </c>
      <c r="AC26">
        <f>HYPERLINK("https://klasma.github.io/Logging_2481/tillsyn/A 48832-2024 tillsynsbegäran.docx", "A 48832-2024")</f>
        <v/>
      </c>
      <c r="AD26">
        <f>HYPERLINK("https://klasma.github.io/Logging_2481/tillsynsmail/A 48832-2024 tillsynsbegäran mail.docx", "A 48832-2024")</f>
        <v/>
      </c>
      <c r="AE26">
        <f>HYPERLINK("https://klasma.github.io/Logging_2481/fåglar/A 48832-2024 prioriterade fågelarter.docx", "A 48832-2024")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46284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46284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46284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46284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46284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46284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46284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46284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46284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46284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46284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46284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46284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46284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46284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46284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19492-2025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46284</v>
      </c>
      <c r="F44" t="inlineStr">
        <is>
          <t>VÄSTERBOTTENS LÄN</t>
        </is>
      </c>
      <c r="G44" t="inlineStr">
        <is>
          <t>LYCKSELE</t>
        </is>
      </c>
      <c r="H44" t="inlineStr">
        <is>
          <t>SCA</t>
        </is>
      </c>
      <c r="I44" t="n">
        <v>14.2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0</v>
      </c>
      <c r="V44" s="2" t="inlineStr">
        <is>
          <t>Garnlav
Lunglav
Skrovellav
Stuplav</t>
        </is>
      </c>
      <c r="W44">
        <f>HYPERLINK("https://klasma.github.io/Logging_2481/artfynd/A 19492-2025 artfynd.xlsx", "A 19492-2025")</f>
        <v/>
      </c>
      <c r="X44">
        <f>HYPERLINK("https://klasma.github.io/Logging_2481/kartor/A 19492-2025 karta.png", "A 19492-2025")</f>
        <v/>
      </c>
      <c r="Y44">
        <f>HYPERLINK("https://klasma.github.io/Logging_2481/kartor_geotiff/A 19492-2025 georefererad karta.tif", "A 19492-2025")</f>
        <v/>
      </c>
      <c r="AA44">
        <f>HYPERLINK("https://klasma.github.io/Logging_2481/klagomål/A 19492-2025 FSC-klagomål.docx", "A 19492-2025")</f>
        <v/>
      </c>
      <c r="AB44">
        <f>HYPERLINK("https://klasma.github.io/Logging_2481/klagomålsmail/A 19492-2025 FSC-klagomål mail.docx", "A 19492-2025")</f>
        <v/>
      </c>
      <c r="AC44">
        <f>HYPERLINK("https://klasma.github.io/Logging_2481/tillsyn/A 19492-2025 tillsynsbegäran.docx", "A 19492-2025")</f>
        <v/>
      </c>
      <c r="AD44">
        <f>HYPERLINK("https://klasma.github.io/Logging_2481/tillsynsmail/A 19492-2025 tillsynsbegäran mail.docx", "A 19492-2025")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46284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46284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46284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46284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46284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46284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46284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46284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46284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46284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46284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59276-2024 artfynd.xlsx", "A 59276-2024")</f>
        <v/>
      </c>
      <c r="X56">
        <f>HYPERLINK("https://klasma.github.io/Logging_2481/kartor/A 59276-2024 karta.png", "A 59276-2024")</f>
        <v/>
      </c>
      <c r="Y56">
        <f>HYPERLINK("https://klasma.github.io/Logging_2481/kartor_geotiff/A 59276-2024 georefererad karta.tif", "A 59276-2024")</f>
        <v/>
      </c>
      <c r="AA56">
        <f>HYPERLINK("https://klasma.github.io/Logging_2481/klagomål/A 59276-2024 FSC-klagomål.docx", "A 59276-2024")</f>
        <v/>
      </c>
      <c r="AB56">
        <f>HYPERLINK("https://klasma.github.io/Logging_2481/klagomålsmail/A 59276-2024 FSC-klagomål mail.docx", "A 59276-2024")</f>
        <v/>
      </c>
      <c r="AC56">
        <f>HYPERLINK("https://klasma.github.io/Logging_2481/tillsyn/A 59276-2024 tillsynsbegäran.docx", "A 59276-2024")</f>
        <v/>
      </c>
      <c r="AD56">
        <f>HYPERLINK("https://klasma.github.io/Logging_2481/tillsynsmail/A 59276-2024 tillsynsbegäran mail.docx", "A 59276-2024")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46284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53115-2024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45611</v>
      </c>
      <c r="E58" s="1" t="n">
        <v>46284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 taggsvamp
Kolflarnlav
Orange taggsvamp</t>
        </is>
      </c>
      <c r="W58">
        <f>HYPERLINK("https://klasma.github.io/Logging_2481/artfynd/A 53115-2024 artfynd.xlsx", "A 53115-2024")</f>
        <v/>
      </c>
      <c r="X58">
        <f>HYPERLINK("https://klasma.github.io/Logging_2481/kartor/A 53115-2024 karta.png", "A 53115-2024")</f>
        <v/>
      </c>
      <c r="Y58">
        <f>HYPERLINK("https://klasma.github.io/Logging_2481/kartor_geotiff/A 53115-2024 georefererad karta.tif", "A 53115-2024")</f>
        <v/>
      </c>
      <c r="AA58">
        <f>HYPERLINK("https://klasma.github.io/Logging_2481/klagomål/A 53115-2024 FSC-klagomål.docx", "A 53115-2024")</f>
        <v/>
      </c>
      <c r="AB58">
        <f>HYPERLINK("https://klasma.github.io/Logging_2481/klagomålsmail/A 53115-2024 FSC-klagomål mail.docx", "A 53115-2024")</f>
        <v/>
      </c>
      <c r="AC58">
        <f>HYPERLINK("https://klasma.github.io/Logging_2481/tillsyn/A 53115-2024 tillsynsbegäran.docx", "A 53115-2024")</f>
        <v/>
      </c>
      <c r="AD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46284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46284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21905-2026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46284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Lunglav</t>
        </is>
      </c>
      <c r="W61">
        <f>HYPERLINK("https://klasma.github.io/Logging_2481/artfynd/A 21905-2026 artfynd.xlsx", "A 21905-2026")</f>
        <v/>
      </c>
      <c r="X61">
        <f>HYPERLINK("https://klasma.github.io/Logging_2481/kartor/A 21905-2026 karta.png", "A 21905-2026")</f>
        <v/>
      </c>
      <c r="Y61">
        <f>HYPERLINK("https://klasma.github.io/Logging_2481/kartor_geotiff/A 21905-2026 georefererad karta.tif", "A 21905-2026")</f>
        <v/>
      </c>
      <c r="AA61">
        <f>HYPERLINK("https://klasma.github.io/Logging_2481/klagomål/A 21905-2026 FSC-klagomål.docx", "A 21905-2026")</f>
        <v/>
      </c>
      <c r="AB61">
        <f>HYPERLINK("https://klasma.github.io/Logging_2481/klagomålsmail/A 21905-2026 FSC-klagomål mail.docx", "A 21905-2026")</f>
        <v/>
      </c>
      <c r="AC61">
        <f>HYPERLINK("https://klasma.github.io/Logging_2481/tillsyn/A 21905-2026 tillsynsbegäran.docx", "A 21905-2026")</f>
        <v/>
      </c>
      <c r="AD61">
        <f>HYPERLINK("https://klasma.github.io/Logging_2481/tillsynsmail/A 21905-2026 tillsynsbegäran mail.docx", "A 21905-2026")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46284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46284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46284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46284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46284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46284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46284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12980-2026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46092</v>
      </c>
      <c r="E69" s="1" t="n">
        <v>46284</v>
      </c>
      <c r="F69" t="inlineStr">
        <is>
          <t>VÄSTERBOTTENS LÄN</t>
        </is>
      </c>
      <c r="G69" t="inlineStr">
        <is>
          <t>LYCKSELE</t>
        </is>
      </c>
      <c r="H69" t="inlineStr">
        <is>
          <t>SCA</t>
        </is>
      </c>
      <c r="I69" t="n">
        <v>7.2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Lunglav
Sälg
Videsparv</t>
        </is>
      </c>
      <c r="W69">
        <f>HYPERLINK("https://klasma.github.io/Logging_2481/artfynd/A 12980-2026 artfynd.xlsx", "A 12980-2026")</f>
        <v/>
      </c>
      <c r="X69">
        <f>HYPERLINK("https://klasma.github.io/Logging_2481/kartor/A 12980-2026 karta.png", "A 12980-2026")</f>
        <v/>
      </c>
      <c r="Y69">
        <f>HYPERLINK("https://klasma.github.io/Logging_2481/kartor_geotiff/A 12980-2026 georefererad karta.tif", "A 12980-2026")</f>
        <v/>
      </c>
      <c r="AA69">
        <f>HYPERLINK("https://klasma.github.io/Logging_2481/klagomål/A 12980-2026 FSC-klagomål.docx", "A 12980-2026")</f>
        <v/>
      </c>
      <c r="AB69">
        <f>HYPERLINK("https://klasma.github.io/Logging_2481/klagomålsmail/A 12980-2026 FSC-klagomål mail.docx", "A 12980-2026")</f>
        <v/>
      </c>
      <c r="AC69">
        <f>HYPERLINK("https://klasma.github.io/Logging_2481/tillsyn/A 12980-2026 tillsynsbegäran.docx", "A 12980-2026")</f>
        <v/>
      </c>
      <c r="AD69">
        <f>HYPERLINK("https://klasma.github.io/Logging_2481/tillsynsmail/A 12980-2026 tillsynsbegäran mail.docx", "A 12980-2026")</f>
        <v/>
      </c>
      <c r="AE69">
        <f>HYPERLINK("https://klasma.github.io/Logging_2481/fåglar/A 12980-2026 prioriterade fågelarter.docx", "A 12980-2026")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46284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46284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46284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46284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46284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22123-2025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45785</v>
      </c>
      <c r="E75" s="1" t="n">
        <v>46284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11.2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Blå taggsvamp
Dropptaggsvamp
Kolflarnlav</t>
        </is>
      </c>
      <c r="W75">
        <f>HYPERLINK("https://klasma.github.io/Logging_2481/artfynd/A 22123-2025 artfynd.xlsx", "A 22123-2025")</f>
        <v/>
      </c>
      <c r="X75">
        <f>HYPERLINK("https://klasma.github.io/Logging_2481/kartor/A 22123-2025 karta.png", "A 22123-2025")</f>
        <v/>
      </c>
      <c r="Y75">
        <f>HYPERLINK("https://klasma.github.io/Logging_2481/kartor_geotiff/A 22123-2025 georefererad karta.tif", "A 22123-2025")</f>
        <v/>
      </c>
      <c r="AA75">
        <f>HYPERLINK("https://klasma.github.io/Logging_2481/klagomål/A 22123-2025 FSC-klagomål.docx", "A 22123-2025")</f>
        <v/>
      </c>
      <c r="AB75">
        <f>HYPERLINK("https://klasma.github.io/Logging_2481/klagomålsmail/A 22123-2025 FSC-klagomål mail.docx", "A 22123-2025")</f>
        <v/>
      </c>
      <c r="AC75">
        <f>HYPERLINK("https://klasma.github.io/Logging_2481/tillsyn/A 22123-2025 tillsynsbegäran.docx", "A 22123-2025")</f>
        <v/>
      </c>
      <c r="AD75">
        <f>HYPERLINK("https://klasma.github.io/Logging_2481/tillsynsmail/A 22123-2025 tillsynsbegäran mail.docx", "A 22123-2025")</f>
        <v/>
      </c>
    </row>
    <row r="76" ht="15" customHeight="1">
      <c r="A76" t="inlineStr">
        <is>
          <t>A 37208-2026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46284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Kolflarnlav
Mörk kolflarnlav
Vedflamlav</t>
        </is>
      </c>
      <c r="W76">
        <f>HYPERLINK("https://klasma.github.io/Logging_2481/artfynd/A 37208-2026 artfynd.xlsx", "A 37208-2026")</f>
        <v/>
      </c>
      <c r="X76">
        <f>HYPERLINK("https://klasma.github.io/Logging_2481/kartor/A 37208-2026 karta.png", "A 37208-2026")</f>
        <v/>
      </c>
      <c r="Y76">
        <f>HYPERLINK("https://klasma.github.io/Logging_2481/kartor_geotiff/A 37208-2026 georefererad karta.tif", "A 37208-2026")</f>
        <v/>
      </c>
      <c r="AA76">
        <f>HYPERLINK("https://klasma.github.io/Logging_2481/klagomål/A 37208-2026 FSC-klagomål.docx", "A 37208-2026")</f>
        <v/>
      </c>
      <c r="AB76">
        <f>HYPERLINK("https://klasma.github.io/Logging_2481/klagomålsmail/A 37208-2026 FSC-klagomål mail.docx", "A 37208-2026")</f>
        <v/>
      </c>
      <c r="AC76">
        <f>HYPERLINK("https://klasma.github.io/Logging_2481/tillsyn/A 37208-2026 tillsynsbegäran.docx", "A 37208-2026")</f>
        <v/>
      </c>
      <c r="AD76">
        <f>HYPERLINK("https://klasma.github.io/Logging_2481/tillsynsmail/A 37208-2026 tillsynsbegäran mail.docx", "A 37208-2026")</f>
        <v/>
      </c>
    </row>
    <row r="77" ht="15" customHeight="1">
      <c r="A77" t="inlineStr">
        <is>
          <t>A 30608-2025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46284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3.2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4</v>
      </c>
      <c r="U77" t="n">
        <v>0</v>
      </c>
      <c r="V77" s="2" t="inlineStr">
        <is>
          <t>Myrstarr
Lunglav
Fläcknycklar</t>
        </is>
      </c>
      <c r="W77">
        <f>HYPERLINK("https://klasma.github.io/Logging_2481/artfynd/A 30608-2025 artfynd.xlsx", "A 30608-2025")</f>
        <v/>
      </c>
      <c r="X77">
        <f>HYPERLINK("https://klasma.github.io/Logging_2481/kartor/A 30608-2025 karta.png", "A 30608-2025")</f>
        <v/>
      </c>
      <c r="Y77">
        <f>HYPERLINK("https://klasma.github.io/Logging_2481/kartor_geotiff/A 30608-2025 georefererad karta.tif", "A 30608-2025")</f>
        <v/>
      </c>
      <c r="AA77">
        <f>HYPERLINK("https://klasma.github.io/Logging_2481/klagomål/A 30608-2025 FSC-klagomål.docx", "A 30608-2025")</f>
        <v/>
      </c>
      <c r="AB77">
        <f>HYPERLINK("https://klasma.github.io/Logging_2481/klagomålsmail/A 30608-2025 FSC-klagomål mail.docx", "A 30608-2025")</f>
        <v/>
      </c>
      <c r="AC77">
        <f>HYPERLINK("https://klasma.github.io/Logging_2481/tillsyn/A 30608-2025 tillsynsbegäran.docx", "A 30608-2025")</f>
        <v/>
      </c>
      <c r="AD77">
        <f>HYPERLINK("https://klasma.github.io/Logging_2481/tillsynsmail/A 30608-2025 tillsynsbegäran mail.docx", "A 30608-2025")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46284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46284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45935-2024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45580</v>
      </c>
      <c r="E81" s="1" t="n">
        <v>46284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Orange taggsvamp</t>
        </is>
      </c>
      <c r="W81">
        <f>HYPERLINK("https://klasma.github.io/Logging_2481/artfynd/A 45935-2024 artfynd.xlsx", "A 45935-2024")</f>
        <v/>
      </c>
      <c r="X81">
        <f>HYPERLINK("https://klasma.github.io/Logging_2481/kartor/A 45935-2024 karta.png", "A 45935-2024")</f>
        <v/>
      </c>
      <c r="Y81">
        <f>HYPERLINK("https://klasma.github.io/Logging_2481/kartor_geotiff/A 45935-2024 georefererad karta.tif", "A 45935-2024")</f>
        <v/>
      </c>
      <c r="AA81">
        <f>HYPERLINK("https://klasma.github.io/Logging_2481/klagomål/A 45935-2024 FSC-klagomål.docx", "A 45935-2024")</f>
        <v/>
      </c>
      <c r="AB81">
        <f>HYPERLINK("https://klasma.github.io/Logging_2481/klagomålsmail/A 45935-2024 FSC-klagomål mail.docx", "A 45935-2024")</f>
        <v/>
      </c>
      <c r="AC81">
        <f>HYPERLINK("https://klasma.github.io/Logging_2481/tillsyn/A 45935-2024 tillsynsbegäran.docx", "A 45935-2024")</f>
        <v/>
      </c>
      <c r="AD81">
        <f>HYPERLINK("https://klasma.github.io/Logging_2481/tillsynsmail/A 45935-2024 tillsynsbegäran mail.docx", "A 45935-2024")</f>
        <v/>
      </c>
    </row>
    <row r="82" ht="15" customHeight="1">
      <c r="A82" t="inlineStr">
        <is>
          <t>A 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46284</v>
      </c>
      <c r="F82" t="inlineStr">
        <is>
          <t>VÄSTERBOTTENS LÄN</t>
        </is>
      </c>
      <c r="G82" t="inlineStr">
        <is>
          <t>LYCKSELE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7</v>
      </c>
      <c r="U82" t="n">
        <v>7</v>
      </c>
      <c r="V82" s="2" t="inlineStr">
        <is>
          <t>Garnlav
Dropptaggsvamp</t>
        </is>
      </c>
      <c r="W82">
        <f>HYPERLINK("https://klasma.github.io/Logging_2481/artfynd/A 2893-2023 artfynd.xlsx", "A 2893-2023")</f>
        <v/>
      </c>
      <c r="X82">
        <f>HYPERLINK("https://klasma.github.io/Logging_2481/kartor/A 2893-2023 karta.png", "A 2893-2023")</f>
        <v/>
      </c>
      <c r="Y82">
        <f>HYPERLINK("https://klasma.github.io/Logging_2481/kartor_geotiff/A 2893-2023 georefererad karta.tif", "A 2893-2023")</f>
        <v/>
      </c>
      <c r="AA82">
        <f>HYPERLINK("https://klasma.github.io/Logging_2481/klagomål/A 2893-2023 FSC-klagomål.docx", "A 2893-2023")</f>
        <v/>
      </c>
      <c r="AB82">
        <f>HYPERLINK("https://klasma.github.io/Logging_2481/klagomålsmail/A 2893-2023 FSC-klagomål mail.docx", "A 2893-2023")</f>
        <v/>
      </c>
      <c r="AC82">
        <f>HYPERLINK("https://klasma.github.io/Logging_2481/tillsyn/A 2893-2023 tillsynsbegäran.docx", "A 2893-2023")</f>
        <v/>
      </c>
      <c r="AD82">
        <f>HYPERLINK("https://klasma.github.io/Logging_2481/tillsynsmail/A 2893-2023 tillsynsbegäran mail.docx", "A 2893-2023")</f>
        <v/>
      </c>
    </row>
    <row r="83" ht="15" customHeight="1">
      <c r="A83" t="inlineStr">
        <is>
          <t>A 16914-2024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46284</v>
      </c>
      <c r="F83" t="inlineStr">
        <is>
          <t>VÄSTERBOTTENS LÄN</t>
        </is>
      </c>
      <c r="G83" t="inlineStr">
        <is>
          <t>LYCKSELE</t>
        </is>
      </c>
      <c r="I83" t="n">
        <v>24.6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Lavskrika
Tretåig hackspett</t>
        </is>
      </c>
      <c r="W83">
        <f>HYPERLINK("https://klasma.github.io/Logging_2481/artfynd/A 16914-2024 artfynd.xlsx", "A 16914-2024")</f>
        <v/>
      </c>
      <c r="X83">
        <f>HYPERLINK("https://klasma.github.io/Logging_2481/kartor/A 16914-2024 karta.png", "A 16914-2024")</f>
        <v/>
      </c>
      <c r="Y83">
        <f>HYPERLINK("https://klasma.github.io/Logging_2481/kartor_geotiff/A 16914-2024 georefererad karta.tif", "A 16914-2024")</f>
        <v/>
      </c>
      <c r="AA83">
        <f>HYPERLINK("https://klasma.github.io/Logging_2481/klagomål/A 16914-2024 FSC-klagomål.docx", "A 16914-2024")</f>
        <v/>
      </c>
      <c r="AB83">
        <f>HYPERLINK("https://klasma.github.io/Logging_2481/klagomålsmail/A 16914-2024 FSC-klagomål mail.docx", "A 16914-2024")</f>
        <v/>
      </c>
      <c r="AC83">
        <f>HYPERLINK("https://klasma.github.io/Logging_2481/tillsyn/A 16914-2024 tillsynsbegäran.docx", "A 16914-2024")</f>
        <v/>
      </c>
      <c r="AD83">
        <f>HYPERLINK("https://klasma.github.io/Logging_2481/tillsynsmail/A 16914-2024 tillsynsbegäran mail.docx", "A 16914-2024")</f>
        <v/>
      </c>
      <c r="AE83">
        <f>HYPERLINK("https://klasma.github.io/Logging_2481/fåglar/A 16914-2024 prioriterade fågelarter.docx", "A 16914-2024")</f>
        <v/>
      </c>
    </row>
    <row r="84" ht="15" customHeight="1">
      <c r="A84" t="inlineStr">
        <is>
          <t>A 58657-2023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46284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14.4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Talltita
Bollvitmossa</t>
        </is>
      </c>
      <c r="W84">
        <f>HYPERLINK("https://klasma.github.io/Logging_2481/artfynd/A 58657-2023 artfynd.xlsx", "A 58657-2023")</f>
        <v/>
      </c>
      <c r="X84">
        <f>HYPERLINK("https://klasma.github.io/Logging_2481/kartor/A 58657-2023 karta.png", "A 58657-2023")</f>
        <v/>
      </c>
      <c r="Y84">
        <f>HYPERLINK("https://klasma.github.io/Logging_2481/kartor_geotiff/A 58657-2023 georefererad karta.tif", "A 58657-2023")</f>
        <v/>
      </c>
      <c r="AA84">
        <f>HYPERLINK("https://klasma.github.io/Logging_2481/klagomål/A 58657-2023 FSC-klagomål.docx", "A 58657-2023")</f>
        <v/>
      </c>
      <c r="AB84">
        <f>HYPERLINK("https://klasma.github.io/Logging_2481/klagomålsmail/A 58657-2023 FSC-klagomål mail.docx", "A 58657-2023")</f>
        <v/>
      </c>
      <c r="AC84">
        <f>HYPERLINK("https://klasma.github.io/Logging_2481/tillsyn/A 58657-2023 tillsynsbegäran.docx", "A 58657-2023")</f>
        <v/>
      </c>
      <c r="AD84">
        <f>HYPERLINK("https://klasma.github.io/Logging_2481/tillsynsmail/A 58657-2023 tillsynsbegäran mail.docx", "A 58657-2023")</f>
        <v/>
      </c>
      <c r="AE84">
        <f>HYPERLINK("https://klasma.github.io/Logging_2481/fåglar/A 58657-2023 prioriterade fågelarter.docx", "A 58657-2023")</f>
        <v/>
      </c>
    </row>
    <row r="85" ht="15" customHeight="1">
      <c r="A85" t="inlineStr">
        <is>
          <t>A 38776-2025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46284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Kolflarnlav</t>
        </is>
      </c>
      <c r="W85">
        <f>HYPERLINK("https://klasma.github.io/Logging_2481/artfynd/A 38776-2025 artfynd.xlsx", "A 38776-2025")</f>
        <v/>
      </c>
      <c r="X85">
        <f>HYPERLINK("https://klasma.github.io/Logging_2481/kartor/A 38776-2025 karta.png", "A 38776-2025")</f>
        <v/>
      </c>
      <c r="Y85">
        <f>HYPERLINK("https://klasma.github.io/Logging_2481/kartor_geotiff/A 38776-2025 georefererad karta.tif", "A 38776-2025")</f>
        <v/>
      </c>
      <c r="AA85">
        <f>HYPERLINK("https://klasma.github.io/Logging_2481/klagomål/A 38776-2025 FSC-klagomål.docx", "A 38776-2025")</f>
        <v/>
      </c>
      <c r="AB85">
        <f>HYPERLINK("https://klasma.github.io/Logging_2481/klagomålsmail/A 38776-2025 FSC-klagomål mail.docx", "A 38776-2025")</f>
        <v/>
      </c>
      <c r="AC85">
        <f>HYPERLINK("https://klasma.github.io/Logging_2481/tillsyn/A 38776-2025 tillsynsbegäran.docx", "A 38776-2025")</f>
        <v/>
      </c>
      <c r="AD85">
        <f>HYPERLINK("https://klasma.github.io/Logging_2481/tillsynsmail/A 38776-2025 tillsynsbegäran mail.docx", "A 38776-2025")</f>
        <v/>
      </c>
    </row>
    <row r="86" ht="15" customHeight="1">
      <c r="A86" t="inlineStr">
        <is>
          <t>A 42159-2025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46284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42159-2025 artfynd.xlsx", "A 42159-2025")</f>
        <v/>
      </c>
      <c r="X86">
        <f>HYPERLINK("https://klasma.github.io/Logging_2481/kartor/A 42159-2025 karta.png", "A 42159-2025")</f>
        <v/>
      </c>
      <c r="Y86">
        <f>HYPERLINK("https://klasma.github.io/Logging_2481/kartor_geotiff/A 42159-2025 georefererad karta.tif", "A 42159-2025")</f>
        <v/>
      </c>
      <c r="AA86">
        <f>HYPERLINK("https://klasma.github.io/Logging_2481/klagomål/A 42159-2025 FSC-klagomål.docx", "A 42159-2025")</f>
        <v/>
      </c>
      <c r="AB86">
        <f>HYPERLINK("https://klasma.github.io/Logging_2481/klagomålsmail/A 42159-2025 FSC-klagomål mail.docx", "A 42159-2025")</f>
        <v/>
      </c>
      <c r="AC86">
        <f>HYPERLINK("https://klasma.github.io/Logging_2481/tillsyn/A 42159-2025 tillsynsbegäran.docx", "A 42159-2025")</f>
        <v/>
      </c>
      <c r="AD86">
        <f>HYPERLINK("https://klasma.github.io/Logging_2481/tillsynsmail/A 42159-2025 tillsynsbegäran mail.docx", "A 42159-2025")</f>
        <v/>
      </c>
    </row>
    <row r="87" ht="15" customHeight="1">
      <c r="A87" t="inlineStr">
        <is>
          <t>A 38475-2023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46284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 taggsvamp
Mörk kolflarnlav</t>
        </is>
      </c>
      <c r="W87">
        <f>HYPERLINK("https://klasma.github.io/Logging_2481/artfynd/A 38475-2023 artfynd.xlsx", "A 38475-2023")</f>
        <v/>
      </c>
      <c r="X87">
        <f>HYPERLINK("https://klasma.github.io/Logging_2481/kartor/A 38475-2023 karta.png", "A 38475-2023")</f>
        <v/>
      </c>
      <c r="Y87">
        <f>HYPERLINK("https://klasma.github.io/Logging_2481/kartor_geotiff/A 38475-2023 georefererad karta.tif", "A 38475-2023")</f>
        <v/>
      </c>
      <c r="AA87">
        <f>HYPERLINK("https://klasma.github.io/Logging_2481/klagomål/A 38475-2023 FSC-klagomål.docx", "A 38475-2023")</f>
        <v/>
      </c>
      <c r="AB87">
        <f>HYPERLINK("https://klasma.github.io/Logging_2481/klagomålsmail/A 38475-2023 FSC-klagomål mail.docx", "A 38475-2023")</f>
        <v/>
      </c>
      <c r="AC87">
        <f>HYPERLINK("https://klasma.github.io/Logging_2481/tillsyn/A 38475-2023 tillsynsbegäran.docx", "A 38475-2023")</f>
        <v/>
      </c>
      <c r="AD87">
        <f>HYPERLINK("https://klasma.github.io/Logging_2481/tillsynsmail/A 38475-2023 tillsynsbegäran mail.docx", "A 38475-2023")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46284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46284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46284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46284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46284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46284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46284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13.8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Kolflarnlav
Mörk kolflarnlav</t>
        </is>
      </c>
      <c r="W94">
        <f>HYPERLINK("https://klasma.github.io/Logging_2481/artfynd/A 49740-2025 artfynd.xlsx", "A 49740-2025")</f>
        <v/>
      </c>
      <c r="X94">
        <f>HYPERLINK("https://klasma.github.io/Logging_2481/kartor/A 49740-2025 karta.png", "A 49740-2025")</f>
        <v/>
      </c>
      <c r="Y94">
        <f>HYPERLINK("https://klasma.github.io/Logging_2481/kartor_geotiff/A 49740-2025 georefererad karta.tif", "A 49740-2025")</f>
        <v/>
      </c>
      <c r="AA94">
        <f>HYPERLINK("https://klasma.github.io/Logging_2481/klagomål/A 49740-2025 FSC-klagomål.docx", "A 49740-2025")</f>
        <v/>
      </c>
      <c r="AB94">
        <f>HYPERLINK("https://klasma.github.io/Logging_2481/klagomålsmail/A 49740-2025 FSC-klagomål mail.docx", "A 49740-2025")</f>
        <v/>
      </c>
      <c r="AC94">
        <f>HYPERLINK("https://klasma.github.io/Logging_2481/tillsyn/A 49740-2025 tillsynsbegäran.docx", "A 49740-2025")</f>
        <v/>
      </c>
      <c r="AD94">
        <f>HYPERLINK("https://klasma.github.io/Logging_2481/tillsynsmail/A 49740-2025 tillsynsbegäran mail.docx", "A 49740-2025")</f>
        <v/>
      </c>
    </row>
    <row r="95" ht="15" customHeight="1">
      <c r="A95" t="inlineStr">
        <is>
          <t>A 28515-2023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46284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Lunglav
Tallticka</t>
        </is>
      </c>
      <c r="W95">
        <f>HYPERLINK("https://klasma.github.io/Logging_2481/artfynd/A 28515-2023 artfynd.xlsx", "A 28515-2023")</f>
        <v/>
      </c>
      <c r="X95">
        <f>HYPERLINK("https://klasma.github.io/Logging_2481/kartor/A 28515-2023 karta.png", "A 28515-2023")</f>
        <v/>
      </c>
      <c r="Y95">
        <f>HYPERLINK("https://klasma.github.io/Logging_2481/kartor_geotiff/A 28515-2023 georefererad karta.tif", "A 28515-2023")</f>
        <v/>
      </c>
      <c r="AA95">
        <f>HYPERLINK("https://klasma.github.io/Logging_2481/klagomål/A 28515-2023 FSC-klagomål.docx", "A 28515-2023")</f>
        <v/>
      </c>
      <c r="AB95">
        <f>HYPERLINK("https://klasma.github.io/Logging_2481/klagomålsmail/A 28515-2023 FSC-klagomål mail.docx", "A 28515-2023")</f>
        <v/>
      </c>
      <c r="AC95">
        <f>HYPERLINK("https://klasma.github.io/Logging_2481/tillsyn/A 28515-2023 tillsynsbegäran.docx", "A 28515-2023")</f>
        <v/>
      </c>
      <c r="AD95">
        <f>HYPERLINK("https://klasma.github.io/Logging_2481/tillsynsmail/A 28515-2023 tillsynsbegäran mail.docx", "A 28515-2023")</f>
        <v/>
      </c>
    </row>
    <row r="96" ht="15" customHeight="1">
      <c r="A96" t="inlineStr">
        <is>
          <t>A 53650-2025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46284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19.1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Tretåig hackspett
Luddlav</t>
        </is>
      </c>
      <c r="W96">
        <f>HYPERLINK("https://klasma.github.io/Logging_2481/artfynd/A 53650-2025 artfynd.xlsx", "A 53650-2025")</f>
        <v/>
      </c>
      <c r="X96">
        <f>HYPERLINK("https://klasma.github.io/Logging_2481/kartor/A 53650-2025 karta.png", "A 53650-2025")</f>
        <v/>
      </c>
      <c r="Y96">
        <f>HYPERLINK("https://klasma.github.io/Logging_2481/kartor_geotiff/A 53650-2025 georefererad karta.tif", "A 53650-2025")</f>
        <v/>
      </c>
      <c r="AA96">
        <f>HYPERLINK("https://klasma.github.io/Logging_2481/klagomål/A 53650-2025 FSC-klagomål.docx", "A 53650-2025")</f>
        <v/>
      </c>
      <c r="AB96">
        <f>HYPERLINK("https://klasma.github.io/Logging_2481/klagomålsmail/A 53650-2025 FSC-klagomål mail.docx", "A 53650-2025")</f>
        <v/>
      </c>
      <c r="AC96">
        <f>HYPERLINK("https://klasma.github.io/Logging_2481/tillsyn/A 53650-2025 tillsynsbegäran.docx", "A 53650-2025")</f>
        <v/>
      </c>
      <c r="AD96">
        <f>HYPERLINK("https://klasma.github.io/Logging_2481/tillsynsmail/A 53650-2025 tillsynsbegäran mail.docx", "A 53650-2025")</f>
        <v/>
      </c>
      <c r="AE96">
        <f>HYPERLINK("https://klasma.github.io/Logging_2481/fåglar/A 53650-2025 prioriterade fågelarter.docx", "A 53650-2025")</f>
        <v/>
      </c>
    </row>
    <row r="97" ht="15" customHeight="1">
      <c r="A97" t="inlineStr">
        <is>
          <t>A 41776-2024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46284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Kolflarnlav
Koralltaggsvamp</t>
        </is>
      </c>
      <c r="W97">
        <f>HYPERLINK("https://klasma.github.io/Logging_2481/artfynd/A 41776-2024 artfynd.xlsx", "A 41776-2024")</f>
        <v/>
      </c>
      <c r="X97">
        <f>HYPERLINK("https://klasma.github.io/Logging_2481/kartor/A 41776-2024 karta.png", "A 41776-2024")</f>
        <v/>
      </c>
      <c r="Y97">
        <f>HYPERLINK("https://klasma.github.io/Logging_2481/kartor_geotiff/A 41776-2024 georefererad karta.tif", "A 41776-2024")</f>
        <v/>
      </c>
      <c r="AA97">
        <f>HYPERLINK("https://klasma.github.io/Logging_2481/klagomål/A 41776-2024 FSC-klagomål.docx", "A 41776-2024")</f>
        <v/>
      </c>
      <c r="AB97">
        <f>HYPERLINK("https://klasma.github.io/Logging_2481/klagomålsmail/A 41776-2024 FSC-klagomål mail.docx", "A 41776-2024")</f>
        <v/>
      </c>
      <c r="AC97">
        <f>HYPERLINK("https://klasma.github.io/Logging_2481/tillsyn/A 41776-2024 tillsynsbegäran.docx", "A 41776-2024")</f>
        <v/>
      </c>
      <c r="AD97">
        <f>HYPERLINK("https://klasma.github.io/Logging_2481/tillsynsmail/A 41776-2024 tillsynsbegäran mail.docx", "A 41776-2024")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46284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22688-2026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46156</v>
      </c>
      <c r="E99" s="1" t="n">
        <v>46284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18.3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Kolflarnlav</t>
        </is>
      </c>
      <c r="W99">
        <f>HYPERLINK("https://klasma.github.io/Logging_2481/artfynd/A 22688-2026 artfynd.xlsx", "A 22688-2026")</f>
        <v/>
      </c>
      <c r="X99">
        <f>HYPERLINK("https://klasma.github.io/Logging_2481/kartor/A 22688-2026 karta.png", "A 22688-2026")</f>
        <v/>
      </c>
      <c r="Y99">
        <f>HYPERLINK("https://klasma.github.io/Logging_2481/kartor_geotiff/A 22688-2026 georefererad karta.tif", "A 22688-2026")</f>
        <v/>
      </c>
      <c r="AA99">
        <f>HYPERLINK("https://klasma.github.io/Logging_2481/klagomål/A 22688-2026 FSC-klagomål.docx", "A 22688-2026")</f>
        <v/>
      </c>
      <c r="AB99">
        <f>HYPERLINK("https://klasma.github.io/Logging_2481/klagomålsmail/A 22688-2026 FSC-klagomål mail.docx", "A 22688-2026")</f>
        <v/>
      </c>
      <c r="AC99">
        <f>HYPERLINK("https://klasma.github.io/Logging_2481/tillsyn/A 22688-2026 tillsynsbegäran.docx", "A 22688-2026")</f>
        <v/>
      </c>
      <c r="AD99">
        <f>HYPERLINK("https://klasma.github.io/Logging_2481/tillsynsmail/A 22688-2026 tillsynsbegäran mail.docx", "A 22688-2026")</f>
        <v/>
      </c>
    </row>
    <row r="100" ht="15" customHeight="1">
      <c r="A100" t="inlineStr">
        <is>
          <t>A 23096-2026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46284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12.7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23096-2026 artfynd.xlsx", "A 23096-2026")</f>
        <v/>
      </c>
      <c r="X100">
        <f>HYPERLINK("https://klasma.github.io/Logging_2481/kartor/A 23096-2026 karta.png", "A 23096-2026")</f>
        <v/>
      </c>
      <c r="Y100">
        <f>HYPERLINK("https://klasma.github.io/Logging_2481/kartor_geotiff/A 23096-2026 georefererad karta.tif", "A 23096-2026")</f>
        <v/>
      </c>
      <c r="AA100">
        <f>HYPERLINK("https://klasma.github.io/Logging_2481/klagomål/A 23096-2026 FSC-klagomål.docx", "A 23096-2026")</f>
        <v/>
      </c>
      <c r="AB100">
        <f>HYPERLINK("https://klasma.github.io/Logging_2481/klagomålsmail/A 23096-2026 FSC-klagomål mail.docx", "A 23096-2026")</f>
        <v/>
      </c>
      <c r="AC100">
        <f>HYPERLINK("https://klasma.github.io/Logging_2481/tillsyn/A 23096-2026 tillsynsbegäran.docx", "A 23096-2026")</f>
        <v/>
      </c>
      <c r="AD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46284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23098-2026 artfynd.xlsx", "A 23098-2026")</f>
        <v/>
      </c>
      <c r="X101">
        <f>HYPERLINK("https://klasma.github.io/Logging_2481/kartor/A 23098-2026 karta.png", "A 23098-2026")</f>
        <v/>
      </c>
      <c r="Y101">
        <f>HYPERLINK("https://klasma.github.io/Logging_2481/kartor_geotiff/A 23098-2026 georefererad karta.tif", "A 23098-2026")</f>
        <v/>
      </c>
      <c r="AA101">
        <f>HYPERLINK("https://klasma.github.io/Logging_2481/klagomål/A 23098-2026 FSC-klagomål.docx", "A 23098-2026")</f>
        <v/>
      </c>
      <c r="AB101">
        <f>HYPERLINK("https://klasma.github.io/Logging_2481/klagomålsmail/A 23098-2026 FSC-klagomål mail.docx", "A 23098-2026")</f>
        <v/>
      </c>
      <c r="AC101">
        <f>HYPERLINK("https://klasma.github.io/Logging_2481/tillsyn/A 23098-2026 tillsynsbegäran.docx", "A 23098-2026")</f>
        <v/>
      </c>
      <c r="AD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55566-2024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46284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Harticka
Ullticka</t>
        </is>
      </c>
      <c r="W102">
        <f>HYPERLINK("https://klasma.github.io/Logging_2481/artfynd/A 55566-2024 artfynd.xlsx", "A 55566-2024")</f>
        <v/>
      </c>
      <c r="X102">
        <f>HYPERLINK("https://klasma.github.io/Logging_2481/kartor/A 55566-2024 karta.png", "A 55566-2024")</f>
        <v/>
      </c>
      <c r="Y102">
        <f>HYPERLINK("https://klasma.github.io/Logging_2481/kartor_geotiff/A 55566-2024 georefererad karta.tif", "A 55566-2024")</f>
        <v/>
      </c>
      <c r="AA102">
        <f>HYPERLINK("https://klasma.github.io/Logging_2481/klagomål/A 55566-2024 FSC-klagomål.docx", "A 55566-2024")</f>
        <v/>
      </c>
      <c r="AB102">
        <f>HYPERLINK("https://klasma.github.io/Logging_2481/klagomålsmail/A 55566-2024 FSC-klagomål mail.docx", "A 55566-2024")</f>
        <v/>
      </c>
      <c r="AC102">
        <f>HYPERLINK("https://klasma.github.io/Logging_2481/tillsyn/A 55566-2024 tillsynsbegäran.docx", "A 55566-2024")</f>
        <v/>
      </c>
      <c r="AD102">
        <f>HYPERLINK("https://klasma.github.io/Logging_2481/tillsynsmail/A 55566-2024 tillsynsbegäran mail.docx", "A 55566-2024")</f>
        <v/>
      </c>
    </row>
    <row r="103" ht="15" customHeight="1">
      <c r="A103" t="inlineStr">
        <is>
          <t>A 25713-2026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46284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Kolflarnlav
Mörk kolflarnlav</t>
        </is>
      </c>
      <c r="W103">
        <f>HYPERLINK("https://klasma.github.io/Logging_2481/artfynd/A 25713-2026 artfynd.xlsx", "A 25713-2026")</f>
        <v/>
      </c>
      <c r="X103">
        <f>HYPERLINK("https://klasma.github.io/Logging_2481/kartor/A 25713-2026 karta.png", "A 25713-2026")</f>
        <v/>
      </c>
      <c r="Y103">
        <f>HYPERLINK("https://klasma.github.io/Logging_2481/kartor_geotiff/A 25713-2026 georefererad karta.tif", "A 25713-2026")</f>
        <v/>
      </c>
      <c r="AA103">
        <f>HYPERLINK("https://klasma.github.io/Logging_2481/klagomål/A 25713-2026 FSC-klagomål.docx", "A 25713-2026")</f>
        <v/>
      </c>
      <c r="AB103">
        <f>HYPERLINK("https://klasma.github.io/Logging_2481/klagomålsmail/A 25713-2026 FSC-klagomål mail.docx", "A 25713-2026")</f>
        <v/>
      </c>
      <c r="AC103">
        <f>HYPERLINK("https://klasma.github.io/Logging_2481/tillsyn/A 25713-2026 tillsynsbegäran.docx", "A 25713-2026")</f>
        <v/>
      </c>
      <c r="AD103">
        <f>HYPERLINK("https://klasma.github.io/Logging_2481/tillsynsmail/A 25713-2026 tillsynsbegäran mail.docx", "A 25713-2026")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46284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46284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Vedticka</t>
        </is>
      </c>
      <c r="W105">
        <f>HYPERLINK("https://klasma.github.io/Logging_2481/artfynd/A 26116-2026 artfynd.xlsx", "A 26116-2026")</f>
        <v/>
      </c>
      <c r="X105">
        <f>HYPERLINK("https://klasma.github.io/Logging_2481/kartor/A 26116-2026 karta.png", "A 26116-2026")</f>
        <v/>
      </c>
      <c r="Y105">
        <f>HYPERLINK("https://klasma.github.io/Logging_2481/kartor_geotiff/A 26116-2026 georefererad karta.tif", "A 26116-2026")</f>
        <v/>
      </c>
      <c r="AA105">
        <f>HYPERLINK("https://klasma.github.io/Logging_2481/klagomål/A 26116-2026 FSC-klagomål.docx", "A 26116-2026")</f>
        <v/>
      </c>
      <c r="AB105">
        <f>HYPERLINK("https://klasma.github.io/Logging_2481/klagomålsmail/A 26116-2026 FSC-klagomål mail.docx", "A 26116-2026")</f>
        <v/>
      </c>
      <c r="AC105">
        <f>HYPERLINK("https://klasma.github.io/Logging_2481/tillsyn/A 26116-2026 tillsynsbegäran.docx", "A 26116-2026")</f>
        <v/>
      </c>
      <c r="AD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20111-2025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46284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 taggsvamp
Orange taggsvamp</t>
        </is>
      </c>
      <c r="W106">
        <f>HYPERLINK("https://klasma.github.io/Logging_2481/artfynd/A 20111-2025 artfynd.xlsx", "A 20111-2025")</f>
        <v/>
      </c>
      <c r="X106">
        <f>HYPERLINK("https://klasma.github.io/Logging_2481/kartor/A 20111-2025 karta.png", "A 20111-2025")</f>
        <v/>
      </c>
      <c r="Y106">
        <f>HYPERLINK("https://klasma.github.io/Logging_2481/kartor_geotiff/A 20111-2025 georefererad karta.tif", "A 20111-2025")</f>
        <v/>
      </c>
      <c r="AA106">
        <f>HYPERLINK("https://klasma.github.io/Logging_2481/klagomål/A 20111-2025 FSC-klagomål.docx", "A 20111-2025")</f>
        <v/>
      </c>
      <c r="AB106">
        <f>HYPERLINK("https://klasma.github.io/Logging_2481/klagomålsmail/A 20111-2025 FSC-klagomål mail.docx", "A 20111-2025")</f>
        <v/>
      </c>
      <c r="AC106">
        <f>HYPERLINK("https://klasma.github.io/Logging_2481/tillsyn/A 20111-2025 tillsynsbegäran.docx", "A 20111-2025")</f>
        <v/>
      </c>
      <c r="AD106">
        <f>HYPERLINK("https://klasma.github.io/Logging_2481/tillsynsmail/A 20111-2025 tillsynsbegäran mail.docx", "A 20111-2025")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46284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12619-2026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46091</v>
      </c>
      <c r="E108" s="1" t="n">
        <v>46284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3.6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Kungsörn
Orre</t>
        </is>
      </c>
      <c r="W108">
        <f>HYPERLINK("https://klasma.github.io/Logging_2481/artfynd/A 12619-2026 artfynd.xlsx", "A 12619-2026")</f>
        <v/>
      </c>
      <c r="X108">
        <f>HYPERLINK("https://klasma.github.io/Logging_2481/kartor/A 12619-2026 karta.png", "A 12619-2026")</f>
        <v/>
      </c>
      <c r="Y108">
        <f>HYPERLINK("https://klasma.github.io/Logging_2481/kartor_geotiff/A 12619-2026 georefererad karta.tif", "A 12619-2026")</f>
        <v/>
      </c>
      <c r="AA108">
        <f>HYPERLINK("https://klasma.github.io/Logging_2481/klagomål/A 12619-2026 FSC-klagomål.docx", "A 12619-2026")</f>
        <v/>
      </c>
      <c r="AB108">
        <f>HYPERLINK("https://klasma.github.io/Logging_2481/klagomålsmail/A 12619-2026 FSC-klagomål mail.docx", "A 12619-2026")</f>
        <v/>
      </c>
      <c r="AC108">
        <f>HYPERLINK("https://klasma.github.io/Logging_2481/tillsyn/A 12619-2026 tillsynsbegäran.docx", "A 12619-2026")</f>
        <v/>
      </c>
      <c r="AD108">
        <f>HYPERLINK("https://klasma.github.io/Logging_2481/tillsynsmail/A 12619-2026 tillsynsbegäran mail.docx", "A 12619-2026")</f>
        <v/>
      </c>
      <c r="AE108">
        <f>HYPERLINK("https://klasma.github.io/Logging_2481/fåglar/A 12619-2026 prioriterade fågelarter.docx", "A 12619-2026")</f>
        <v/>
      </c>
    </row>
    <row r="109" ht="15" customHeight="1">
      <c r="A109" t="inlineStr">
        <is>
          <t>A 33817-2026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46284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19.3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Kolflarnlav
Orange taggsvamp</t>
        </is>
      </c>
      <c r="W109">
        <f>HYPERLINK("https://klasma.github.io/Logging_2481/artfynd/A 33817-2026 artfynd.xlsx", "A 33817-2026")</f>
        <v/>
      </c>
      <c r="X109">
        <f>HYPERLINK("https://klasma.github.io/Logging_2481/kartor/A 33817-2026 karta.png", "A 33817-2026")</f>
        <v/>
      </c>
      <c r="Y109">
        <f>HYPERLINK("https://klasma.github.io/Logging_2481/kartor_geotiff/A 33817-2026 georefererad karta.tif", "A 33817-2026")</f>
        <v/>
      </c>
      <c r="AA109">
        <f>HYPERLINK("https://klasma.github.io/Logging_2481/klagomål/A 33817-2026 FSC-klagomål.docx", "A 33817-2026")</f>
        <v/>
      </c>
      <c r="AB109">
        <f>HYPERLINK("https://klasma.github.io/Logging_2481/klagomålsmail/A 33817-2026 FSC-klagomål mail.docx", "A 33817-2026")</f>
        <v/>
      </c>
      <c r="AC109">
        <f>HYPERLINK("https://klasma.github.io/Logging_2481/tillsyn/A 33817-2026 tillsynsbegäran.docx", "A 33817-2026")</f>
        <v/>
      </c>
      <c r="AD109">
        <f>HYPERLINK("https://klasma.github.io/Logging_2481/tillsynsmail/A 33817-2026 tillsynsbegäran mail.docx", "A 33817-2026")</f>
        <v/>
      </c>
    </row>
    <row r="110" ht="15" customHeight="1">
      <c r="A110" t="inlineStr">
        <is>
          <t>A 52234-2024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46284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2.7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Lavskrika</t>
        </is>
      </c>
      <c r="W110">
        <f>HYPERLINK("https://klasma.github.io/Logging_2481/artfynd/A 52234-2024 artfynd.xlsx", "A 52234-2024")</f>
        <v/>
      </c>
      <c r="X110">
        <f>HYPERLINK("https://klasma.github.io/Logging_2481/kartor/A 52234-2024 karta.png", "A 52234-2024")</f>
        <v/>
      </c>
      <c r="Y110">
        <f>HYPERLINK("https://klasma.github.io/Logging_2481/kartor_geotiff/A 52234-2024 georefererad karta.tif", "A 52234-2024")</f>
        <v/>
      </c>
      <c r="AA110">
        <f>HYPERLINK("https://klasma.github.io/Logging_2481/klagomål/A 52234-2024 FSC-klagomål.docx", "A 52234-2024")</f>
        <v/>
      </c>
      <c r="AB110">
        <f>HYPERLINK("https://klasma.github.io/Logging_2481/klagomålsmail/A 52234-2024 FSC-klagomål mail.docx", "A 52234-2024")</f>
        <v/>
      </c>
      <c r="AC110">
        <f>HYPERLINK("https://klasma.github.io/Logging_2481/tillsyn/A 52234-2024 tillsynsbegäran.docx", "A 52234-2024")</f>
        <v/>
      </c>
      <c r="AD110">
        <f>HYPERLINK("https://klasma.github.io/Logging_2481/tillsynsmail/A 52234-2024 tillsynsbegäran mail.docx", "A 52234-2024")</f>
        <v/>
      </c>
      <c r="AE110">
        <f>HYPERLINK("https://klasma.github.io/Logging_2481/fåglar/A 52234-2024 prioriterade fågelarter.docx", "A 52234-2024")</f>
        <v/>
      </c>
    </row>
    <row r="111" ht="15" customHeight="1">
      <c r="A111" t="inlineStr">
        <is>
          <t>A 33809-2026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46284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Kolflarnlav</t>
        </is>
      </c>
      <c r="W111">
        <f>HYPERLINK("https://klasma.github.io/Logging_2481/artfynd/A 33809-2026 artfynd.xlsx", "A 33809-2026")</f>
        <v/>
      </c>
      <c r="X111">
        <f>HYPERLINK("https://klasma.github.io/Logging_2481/kartor/A 33809-2026 karta.png", "A 33809-2026")</f>
        <v/>
      </c>
      <c r="Y111">
        <f>HYPERLINK("https://klasma.github.io/Logging_2481/kartor_geotiff/A 33809-2026 georefererad karta.tif", "A 33809-2026")</f>
        <v/>
      </c>
      <c r="AA111">
        <f>HYPERLINK("https://klasma.github.io/Logging_2481/klagomål/A 33809-2026 FSC-klagomål.docx", "A 33809-2026")</f>
        <v/>
      </c>
      <c r="AB111">
        <f>HYPERLINK("https://klasma.github.io/Logging_2481/klagomålsmail/A 33809-2026 FSC-klagomål mail.docx", "A 33809-2026")</f>
        <v/>
      </c>
      <c r="AC111">
        <f>HYPERLINK("https://klasma.github.io/Logging_2481/tillsyn/A 33809-2026 tillsynsbegäran.docx", "A 33809-2026")</f>
        <v/>
      </c>
      <c r="AD111">
        <f>HYPERLINK("https://klasma.github.io/Logging_2481/tillsynsmail/A 33809-2026 tillsynsbegäran mail.docx", "A 33809-2026")</f>
        <v/>
      </c>
    </row>
    <row r="112" ht="15" customHeight="1">
      <c r="A112" t="inlineStr">
        <is>
          <t>A 15197-2023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46284</v>
      </c>
      <c r="F112" t="inlineStr">
        <is>
          <t>VÄSTERBOTTENS LÄN</t>
        </is>
      </c>
      <c r="G112" t="inlineStr">
        <is>
          <t>LYCKSELE</t>
        </is>
      </c>
      <c r="I112" t="n">
        <v>11.2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Vaddporing</t>
        </is>
      </c>
      <c r="W112">
        <f>HYPERLINK("https://klasma.github.io/Logging_2481/artfynd/A 15197-2023 artfynd.xlsx", "A 15197-2023")</f>
        <v/>
      </c>
      <c r="X112">
        <f>HYPERLINK("https://klasma.github.io/Logging_2481/kartor/A 15197-2023 karta.png", "A 15197-2023")</f>
        <v/>
      </c>
      <c r="Y112">
        <f>HYPERLINK("https://klasma.github.io/Logging_2481/kartor_geotiff/A 15197-2023 georefererad karta.tif", "A 15197-2023")</f>
        <v/>
      </c>
      <c r="AA112">
        <f>HYPERLINK("https://klasma.github.io/Logging_2481/klagomål/A 15197-2023 FSC-klagomål.docx", "A 15197-2023")</f>
        <v/>
      </c>
      <c r="AB112">
        <f>HYPERLINK("https://klasma.github.io/Logging_2481/klagomålsmail/A 15197-2023 FSC-klagomål mail.docx", "A 15197-2023")</f>
        <v/>
      </c>
      <c r="AC112">
        <f>HYPERLINK("https://klasma.github.io/Logging_2481/tillsyn/A 15197-2023 tillsynsbegäran.docx", "A 15197-2023")</f>
        <v/>
      </c>
      <c r="AD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46284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46284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26271-2025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46284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Gammelgransskål
Lunglav</t>
        </is>
      </c>
      <c r="W115">
        <f>HYPERLINK("https://klasma.github.io/Logging_2481/artfynd/A 26271-2025 artfynd.xlsx", "A 26271-2025")</f>
        <v/>
      </c>
      <c r="X115">
        <f>HYPERLINK("https://klasma.github.io/Logging_2481/kartor/A 26271-2025 karta.png", "A 26271-2025")</f>
        <v/>
      </c>
      <c r="Y115">
        <f>HYPERLINK("https://klasma.github.io/Logging_2481/kartor_geotiff/A 26271-2025 georefererad karta.tif", "A 26271-2025")</f>
        <v/>
      </c>
      <c r="AA115">
        <f>HYPERLINK("https://klasma.github.io/Logging_2481/klagomål/A 26271-2025 FSC-klagomål.docx", "A 26271-2025")</f>
        <v/>
      </c>
      <c r="AB115">
        <f>HYPERLINK("https://klasma.github.io/Logging_2481/klagomålsmail/A 26271-2025 FSC-klagomål mail.docx", "A 26271-2025")</f>
        <v/>
      </c>
      <c r="AC115">
        <f>HYPERLINK("https://klasma.github.io/Logging_2481/tillsyn/A 26271-2025 tillsynsbegäran.docx", "A 26271-2025")</f>
        <v/>
      </c>
      <c r="AD115">
        <f>HYPERLINK("https://klasma.github.io/Logging_2481/tillsynsmail/A 26271-2025 tillsynsbegäran mail.docx", "A 26271-2025")</f>
        <v/>
      </c>
    </row>
    <row r="116" ht="15" customHeight="1">
      <c r="A116" t="inlineStr">
        <is>
          <t>A 30691-2025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46284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2</v>
      </c>
      <c r="V116" s="2" t="inlineStr">
        <is>
          <t>Mörk kolflarnlav
Tretåig hackspett</t>
        </is>
      </c>
      <c r="W116">
        <f>HYPERLINK("https://klasma.github.io/Logging_2481/artfynd/A 30691-2025 artfynd.xlsx", "A 30691-2025")</f>
        <v/>
      </c>
      <c r="X116">
        <f>HYPERLINK("https://klasma.github.io/Logging_2481/kartor/A 30691-2025 karta.png", "A 30691-2025")</f>
        <v/>
      </c>
      <c r="Y116">
        <f>HYPERLINK("https://klasma.github.io/Logging_2481/kartor_geotiff/A 30691-2025 georefererad karta.tif", "A 30691-2025")</f>
        <v/>
      </c>
      <c r="AA116">
        <f>HYPERLINK("https://klasma.github.io/Logging_2481/klagomål/A 30691-2025 FSC-klagomål.docx", "A 30691-2025")</f>
        <v/>
      </c>
      <c r="AB116">
        <f>HYPERLINK("https://klasma.github.io/Logging_2481/klagomålsmail/A 30691-2025 FSC-klagomål mail.docx", "A 30691-2025")</f>
        <v/>
      </c>
      <c r="AC116">
        <f>HYPERLINK("https://klasma.github.io/Logging_2481/tillsyn/A 30691-2025 tillsynsbegäran.docx", "A 30691-2025")</f>
        <v/>
      </c>
      <c r="AD116">
        <f>HYPERLINK("https://klasma.github.io/Logging_2481/tillsynsmail/A 30691-2025 tillsynsbegäran mail.docx", "A 30691-2025")</f>
        <v/>
      </c>
      <c r="AE116">
        <f>HYPERLINK("https://klasma.github.io/Logging_2481/fåglar/A 30691-2025 prioriterade fågelarter.docx", "A 30691-2025")</f>
        <v/>
      </c>
    </row>
    <row r="117" ht="15" customHeight="1">
      <c r="A117" t="inlineStr">
        <is>
          <t>A 37458-2025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46284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Holmen skog AB</t>
        </is>
      </c>
      <c r="I117" t="n">
        <v>5.1</v>
      </c>
      <c r="J117" t="n">
        <v>1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Lavskrika</t>
        </is>
      </c>
      <c r="W117">
        <f>HYPERLINK("https://klasma.github.io/Logging_2481/artfynd/A 37458-2025 artfynd.xlsx", "A 37458-2025")</f>
        <v/>
      </c>
      <c r="X117">
        <f>HYPERLINK("https://klasma.github.io/Logging_2481/kartor/A 37458-2025 karta.png", "A 37458-2025")</f>
        <v/>
      </c>
      <c r="Y117">
        <f>HYPERLINK("https://klasma.github.io/Logging_2481/kartor_geotiff/A 37458-2025 georefererad karta.tif", "A 37458-2025")</f>
        <v/>
      </c>
      <c r="AA117">
        <f>HYPERLINK("https://klasma.github.io/Logging_2481/klagomål/A 37458-2025 FSC-klagomål.docx", "A 37458-2025")</f>
        <v/>
      </c>
      <c r="AB117">
        <f>HYPERLINK("https://klasma.github.io/Logging_2481/klagomålsmail/A 37458-2025 FSC-klagomål mail.docx", "A 37458-2025")</f>
        <v/>
      </c>
      <c r="AC117">
        <f>HYPERLINK("https://klasma.github.io/Logging_2481/tillsyn/A 37458-2025 tillsynsbegäran.docx", "A 37458-2025")</f>
        <v/>
      </c>
      <c r="AD117">
        <f>HYPERLINK("https://klasma.github.io/Logging_2481/tillsynsmail/A 37458-2025 tillsynsbegäran mail.docx", "A 37458-2025")</f>
        <v/>
      </c>
      <c r="AE117">
        <f>HYPERLINK("https://klasma.github.io/Logging_2481/fåglar/A 37458-2025 prioriterade fågelarter.docx", "A 37458-2025")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46284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46284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46284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46284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46284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50279-2021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44459</v>
      </c>
      <c r="E123" s="1" t="n">
        <v>46284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10.9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50279-2021 artfynd.xlsx", "A 50279-2021")</f>
        <v/>
      </c>
      <c r="X123">
        <f>HYPERLINK("https://klasma.github.io/Logging_2481/kartor/A 50279-2021 karta.png", "A 50279-2021")</f>
        <v/>
      </c>
      <c r="Y123">
        <f>HYPERLINK("https://klasma.github.io/Logging_2481/kartor_geotiff/A 50279-2021 georefererad karta.tif", "A 50279-2021")</f>
        <v/>
      </c>
      <c r="AA123">
        <f>HYPERLINK("https://klasma.github.io/Logging_2481/klagomål/A 50279-2021 FSC-klagomål.docx", "A 50279-2021")</f>
        <v/>
      </c>
      <c r="AB123">
        <f>HYPERLINK("https://klasma.github.io/Logging_2481/klagomålsmail/A 50279-2021 FSC-klagomål mail.docx", "A 50279-2021")</f>
        <v/>
      </c>
      <c r="AC123">
        <f>HYPERLINK("https://klasma.github.io/Logging_2481/tillsyn/A 50279-2021 tillsynsbegäran.docx", "A 50279-2021")</f>
        <v/>
      </c>
      <c r="AD123">
        <f>HYPERLINK("https://klasma.github.io/Logging_2481/tillsynsmail/A 50279-2021 tillsynsbegäran mail.docx", "A 50279-2021")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46284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46284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46284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45774-2024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46284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Barkticka</t>
        </is>
      </c>
      <c r="W127">
        <f>HYPERLINK("https://klasma.github.io/Logging_2481/artfynd/A 45774-2024 artfynd.xlsx", "A 45774-2024")</f>
        <v/>
      </c>
      <c r="X127">
        <f>HYPERLINK("https://klasma.github.io/Logging_2481/kartor/A 45774-2024 karta.png", "A 45774-2024")</f>
        <v/>
      </c>
      <c r="Y127">
        <f>HYPERLINK("https://klasma.github.io/Logging_2481/kartor_geotiff/A 45774-2024 georefererad karta.tif", "A 45774-2024")</f>
        <v/>
      </c>
      <c r="AA127">
        <f>HYPERLINK("https://klasma.github.io/Logging_2481/klagomål/A 45774-2024 FSC-klagomål.docx", "A 45774-2024")</f>
        <v/>
      </c>
      <c r="AB127">
        <f>HYPERLINK("https://klasma.github.io/Logging_2481/klagomålsmail/A 45774-2024 FSC-klagomål mail.docx", "A 45774-2024")</f>
        <v/>
      </c>
      <c r="AC127">
        <f>HYPERLINK("https://klasma.github.io/Logging_2481/tillsyn/A 45774-2024 tillsynsbegäran.docx", "A 45774-2024")</f>
        <v/>
      </c>
      <c r="AD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9924-2024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46284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HYPERLINK("https://klasma.github.io/Logging_2481/artfynd/A 9924-2024 artfynd.xlsx", "A 9924-2024")</f>
        <v/>
      </c>
      <c r="X128">
        <f>HYPERLINK("https://klasma.github.io/Logging_2481/kartor/A 9924-2024 karta.png", "A 9924-2024")</f>
        <v/>
      </c>
      <c r="Y128">
        <f>HYPERLINK("https://klasma.github.io/Logging_2481/kartor_geotiff/A 9924-2024 georefererad karta.tif", "A 9924-2024")</f>
        <v/>
      </c>
      <c r="AA128">
        <f>HYPERLINK("https://klasma.github.io/Logging_2481/klagomål/A 9924-2024 FSC-klagomål.docx", "A 9924-2024")</f>
        <v/>
      </c>
      <c r="AB128">
        <f>HYPERLINK("https://klasma.github.io/Logging_2481/klagomålsmail/A 9924-2024 FSC-klagomål mail.docx", "A 9924-2024")</f>
        <v/>
      </c>
      <c r="AC128">
        <f>HYPERLINK("https://klasma.github.io/Logging_2481/tillsyn/A 9924-2024 tillsynsbegäran.docx", "A 9924-2024")</f>
        <v/>
      </c>
      <c r="AD128">
        <f>HYPERLINK("https://klasma.github.io/Logging_2481/tillsynsmail/A 9924-2024 tillsynsbegäran mail.docx", "A 9924-2024")</f>
        <v/>
      </c>
    </row>
    <row r="129" ht="15" customHeight="1">
      <c r="A129" t="inlineStr">
        <is>
          <t>A 24824-2024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46284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6.1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Kungsörn</t>
        </is>
      </c>
      <c r="W129">
        <f>HYPERLINK("https://klasma.github.io/Logging_2481/artfynd/A 24824-2024 artfynd.xlsx", "A 24824-2024")</f>
        <v/>
      </c>
      <c r="X129">
        <f>HYPERLINK("https://klasma.github.io/Logging_2481/kartor/A 24824-2024 karta.png", "A 24824-2024")</f>
        <v/>
      </c>
      <c r="Y129">
        <f>HYPERLINK("https://klasma.github.io/Logging_2481/kartor_geotiff/A 24824-2024 georefererad karta.tif", "A 24824-2024")</f>
        <v/>
      </c>
      <c r="AA129">
        <f>HYPERLINK("https://klasma.github.io/Logging_2481/klagomål/A 24824-2024 FSC-klagomål.docx", "A 24824-2024")</f>
        <v/>
      </c>
      <c r="AB129">
        <f>HYPERLINK("https://klasma.github.io/Logging_2481/klagomålsmail/A 24824-2024 FSC-klagomål mail.docx", "A 24824-2024")</f>
        <v/>
      </c>
      <c r="AC129">
        <f>HYPERLINK("https://klasma.github.io/Logging_2481/tillsyn/A 24824-2024 tillsynsbegäran.docx", "A 24824-2024")</f>
        <v/>
      </c>
      <c r="AD129">
        <f>HYPERLINK("https://klasma.github.io/Logging_2481/tillsynsmail/A 24824-2024 tillsynsbegäran mail.docx", "A 24824-2024")</f>
        <v/>
      </c>
      <c r="AE129">
        <f>HYPERLINK("https://klasma.github.io/Logging_2481/fåglar/A 24824-2024 prioriterade fågelarter.docx", "A 24824-2024")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46284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46284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46284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HYPERLINK("https://klasma.github.io/Logging_2481/artfynd/A 59283-2024 artfynd.xlsx", "A 59283-2024")</f>
        <v/>
      </c>
      <c r="X132">
        <f>HYPERLINK("https://klasma.github.io/Logging_2481/kartor/A 59283-2024 karta.png", "A 59283-2024")</f>
        <v/>
      </c>
      <c r="Y132">
        <f>HYPERLINK("https://klasma.github.io/Logging_2481/kartor_geotiff/A 59283-2024 georefererad karta.tif", "A 59283-2024")</f>
        <v/>
      </c>
      <c r="AA132">
        <f>HYPERLINK("https://klasma.github.io/Logging_2481/klagomål/A 59283-2024 FSC-klagomål.docx", "A 59283-2024")</f>
        <v/>
      </c>
      <c r="AB132">
        <f>HYPERLINK("https://klasma.github.io/Logging_2481/klagomålsmail/A 59283-2024 FSC-klagomål mail.docx", "A 59283-2024")</f>
        <v/>
      </c>
      <c r="AC132">
        <f>HYPERLINK("https://klasma.github.io/Logging_2481/tillsyn/A 59283-2024 tillsynsbegäran.docx", "A 59283-2024")</f>
        <v/>
      </c>
      <c r="AD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35559-2023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45147</v>
      </c>
      <c r="E133" s="1" t="n">
        <v>46284</v>
      </c>
      <c r="F133" t="inlineStr">
        <is>
          <t>VÄSTERBOTTENS LÄN</t>
        </is>
      </c>
      <c r="G133" t="inlineStr">
        <is>
          <t>LYCKSELE</t>
        </is>
      </c>
      <c r="I133" t="n">
        <v>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Stjärntagging</t>
        </is>
      </c>
      <c r="W133">
        <f>HYPERLINK("https://klasma.github.io/Logging_2481/artfynd/A 35559-2023 artfynd.xlsx", "A 35559-2023")</f>
        <v/>
      </c>
      <c r="X133">
        <f>HYPERLINK("https://klasma.github.io/Logging_2481/kartor/A 35559-2023 karta.png", "A 35559-2023")</f>
        <v/>
      </c>
      <c r="Y133">
        <f>HYPERLINK("https://klasma.github.io/Logging_2481/kartor_geotiff/A 35559-2023 georefererad karta.tif", "A 35559-2023")</f>
        <v/>
      </c>
      <c r="AA133">
        <f>HYPERLINK("https://klasma.github.io/Logging_2481/klagomål/A 35559-2023 FSC-klagomål.docx", "A 35559-2023")</f>
        <v/>
      </c>
      <c r="AB133">
        <f>HYPERLINK("https://klasma.github.io/Logging_2481/klagomålsmail/A 35559-2023 FSC-klagomål mail.docx", "A 35559-2023")</f>
        <v/>
      </c>
      <c r="AC133">
        <f>HYPERLINK("https://klasma.github.io/Logging_2481/tillsyn/A 35559-2023 tillsynsbegäran.docx", "A 35559-2023")</f>
        <v/>
      </c>
      <c r="AD133">
        <f>HYPERLINK("https://klasma.github.io/Logging_2481/tillsynsmail/A 35559-2023 tillsynsbegäran mail.docx", "A 35559-2023")</f>
        <v/>
      </c>
    </row>
    <row r="134" ht="15" customHeight="1">
      <c r="A134" t="inlineStr">
        <is>
          <t>A 37669-2024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46284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37669-2024 artfynd.xlsx", "A 37669-2024")</f>
        <v/>
      </c>
      <c r="X134">
        <f>HYPERLINK("https://klasma.github.io/Logging_2481/kartor/A 37669-2024 karta.png", "A 37669-2024")</f>
        <v/>
      </c>
      <c r="Y134">
        <f>HYPERLINK("https://klasma.github.io/Logging_2481/kartor_geotiff/A 37669-2024 georefererad karta.tif", "A 37669-2024")</f>
        <v/>
      </c>
      <c r="AA134">
        <f>HYPERLINK("https://klasma.github.io/Logging_2481/klagomål/A 37669-2024 FSC-klagomål.docx", "A 37669-2024")</f>
        <v/>
      </c>
      <c r="AB134">
        <f>HYPERLINK("https://klasma.github.io/Logging_2481/klagomålsmail/A 37669-2024 FSC-klagomål mail.docx", "A 37669-2024")</f>
        <v/>
      </c>
      <c r="AC134">
        <f>HYPERLINK("https://klasma.github.io/Logging_2481/tillsyn/A 37669-2024 tillsynsbegäran.docx", "A 37669-2024")</f>
        <v/>
      </c>
      <c r="AD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72131-2021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44543</v>
      </c>
      <c r="E135" s="1" t="n">
        <v>46284</v>
      </c>
      <c r="F135" t="inlineStr">
        <is>
          <t>VÄSTERBOTTENS LÄN</t>
        </is>
      </c>
      <c r="G135" t="inlineStr">
        <is>
          <t>LYCKSELE</t>
        </is>
      </c>
      <c r="I135" t="n">
        <v>19.1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Tretåig hackspett</t>
        </is>
      </c>
      <c r="W135">
        <f>HYPERLINK("https://klasma.github.io/Logging_2481/artfynd/A 72131-2021 artfynd.xlsx", "A 72131-2021")</f>
        <v/>
      </c>
      <c r="X135">
        <f>HYPERLINK("https://klasma.github.io/Logging_2481/kartor/A 72131-2021 karta.png", "A 72131-2021")</f>
        <v/>
      </c>
      <c r="Y135">
        <f>HYPERLINK("https://klasma.github.io/Logging_2481/kartor_geotiff/A 72131-2021 georefererad karta.tif", "A 72131-2021")</f>
        <v/>
      </c>
      <c r="AA135">
        <f>HYPERLINK("https://klasma.github.io/Logging_2481/klagomål/A 72131-2021 FSC-klagomål.docx", "A 72131-2021")</f>
        <v/>
      </c>
      <c r="AB135">
        <f>HYPERLINK("https://klasma.github.io/Logging_2481/klagomålsmail/A 72131-2021 FSC-klagomål mail.docx", "A 72131-2021")</f>
        <v/>
      </c>
      <c r="AC135">
        <f>HYPERLINK("https://klasma.github.io/Logging_2481/tillsyn/A 72131-2021 tillsynsbegäran.docx", "A 72131-2021")</f>
        <v/>
      </c>
      <c r="AD135">
        <f>HYPERLINK("https://klasma.github.io/Logging_2481/tillsynsmail/A 72131-2021 tillsynsbegäran mail.docx", "A 72131-2021")</f>
        <v/>
      </c>
      <c r="AE135">
        <f>HYPERLINK("https://klasma.github.io/Logging_2481/fåglar/A 72131-2021 prioriterade fågelarter.docx", "A 72131-2021")</f>
        <v/>
      </c>
    </row>
    <row r="136" ht="15" customHeight="1">
      <c r="A136" t="inlineStr">
        <is>
          <t>A 39231-2025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45889</v>
      </c>
      <c r="E136" s="1" t="n">
        <v>46284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16.3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Mörk kolflarnlav</t>
        </is>
      </c>
      <c r="W136">
        <f>HYPERLINK("https://klasma.github.io/Logging_2481/artfynd/A 39231-2025 artfynd.xlsx", "A 39231-2025")</f>
        <v/>
      </c>
      <c r="X136">
        <f>HYPERLINK("https://klasma.github.io/Logging_2481/kartor/A 39231-2025 karta.png", "A 39231-2025")</f>
        <v/>
      </c>
      <c r="Y136">
        <f>HYPERLINK("https://klasma.github.io/Logging_2481/kartor_geotiff/A 39231-2025 georefererad karta.tif", "A 39231-2025")</f>
        <v/>
      </c>
      <c r="AA136">
        <f>HYPERLINK("https://klasma.github.io/Logging_2481/klagomål/A 39231-2025 FSC-klagomål.docx", "A 39231-2025")</f>
        <v/>
      </c>
      <c r="AB136">
        <f>HYPERLINK("https://klasma.github.io/Logging_2481/klagomålsmail/A 39231-2025 FSC-klagomål mail.docx", "A 39231-2025")</f>
        <v/>
      </c>
      <c r="AC136">
        <f>HYPERLINK("https://klasma.github.io/Logging_2481/tillsyn/A 39231-2025 tillsynsbegäran.docx", "A 39231-2025")</f>
        <v/>
      </c>
      <c r="AD136">
        <f>HYPERLINK("https://klasma.github.io/Logging_2481/tillsynsmail/A 39231-2025 tillsynsbegäran mail.docx", "A 39231-2025")</f>
        <v/>
      </c>
    </row>
    <row r="137" ht="15" customHeight="1">
      <c r="A137" t="inlineStr">
        <is>
          <t>A 39280-2025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46284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9.199999999999999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Lunglav</t>
        </is>
      </c>
      <c r="W137">
        <f>HYPERLINK("https://klasma.github.io/Logging_2481/artfynd/A 39280-2025 artfynd.xlsx", "A 39280-2025")</f>
        <v/>
      </c>
      <c r="X137">
        <f>HYPERLINK("https://klasma.github.io/Logging_2481/kartor/A 39280-2025 karta.png", "A 39280-2025")</f>
        <v/>
      </c>
      <c r="Y137">
        <f>HYPERLINK("https://klasma.github.io/Logging_2481/kartor_geotiff/A 39280-2025 georefererad karta.tif", "A 39280-2025")</f>
        <v/>
      </c>
      <c r="AA137">
        <f>HYPERLINK("https://klasma.github.io/Logging_2481/klagomål/A 39280-2025 FSC-klagomål.docx", "A 39280-2025")</f>
        <v/>
      </c>
      <c r="AB137">
        <f>HYPERLINK("https://klasma.github.io/Logging_2481/klagomålsmail/A 39280-2025 FSC-klagomål mail.docx", "A 39280-2025")</f>
        <v/>
      </c>
      <c r="AC137">
        <f>HYPERLINK("https://klasma.github.io/Logging_2481/tillsyn/A 39280-2025 tillsynsbegäran.docx", "A 39280-2025")</f>
        <v/>
      </c>
      <c r="AD137">
        <f>HYPERLINK("https://klasma.github.io/Logging_2481/tillsynsmail/A 39280-2025 tillsynsbegäran mail.docx", "A 39280-2025")</f>
        <v/>
      </c>
    </row>
    <row r="138" ht="15" customHeight="1">
      <c r="A138" t="inlineStr">
        <is>
          <t>A 55938-2023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46284</v>
      </c>
      <c r="F138" t="inlineStr">
        <is>
          <t>VÄSTERBOTTENS LÄN</t>
        </is>
      </c>
      <c r="G138" t="inlineStr">
        <is>
          <t>LYCKSELE</t>
        </is>
      </c>
      <c r="I138" t="n">
        <v>1.9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Järpe</t>
        </is>
      </c>
      <c r="W138">
        <f>HYPERLINK("https://klasma.github.io/Logging_2481/artfynd/A 55938-2023 artfynd.xlsx", "A 55938-2023")</f>
        <v/>
      </c>
      <c r="X138">
        <f>HYPERLINK("https://klasma.github.io/Logging_2481/kartor/A 55938-2023 karta.png", "A 55938-2023")</f>
        <v/>
      </c>
      <c r="Y138">
        <f>HYPERLINK("https://klasma.github.io/Logging_2481/kartor_geotiff/A 55938-2023 georefererad karta.tif", "A 55938-2023")</f>
        <v/>
      </c>
      <c r="AA138">
        <f>HYPERLINK("https://klasma.github.io/Logging_2481/klagomål/A 55938-2023 FSC-klagomål.docx", "A 55938-2023")</f>
        <v/>
      </c>
      <c r="AB138">
        <f>HYPERLINK("https://klasma.github.io/Logging_2481/klagomålsmail/A 55938-2023 FSC-klagomål mail.docx", "A 55938-2023")</f>
        <v/>
      </c>
      <c r="AC138">
        <f>HYPERLINK("https://klasma.github.io/Logging_2481/tillsyn/A 55938-2023 tillsynsbegäran.docx", "A 55938-2023")</f>
        <v/>
      </c>
      <c r="AD138">
        <f>HYPERLINK("https://klasma.github.io/Logging_2481/tillsynsmail/A 55938-2023 tillsynsbegäran mail.docx", "A 55938-2023")</f>
        <v/>
      </c>
      <c r="AE138">
        <f>HYPERLINK("https://klasma.github.io/Logging_2481/fåglar/A 55938-2023 prioriterade fågelarter.docx", "A 55938-2023")</f>
        <v/>
      </c>
    </row>
    <row r="139" ht="15" customHeight="1">
      <c r="A139" t="inlineStr">
        <is>
          <t>A 20404-2026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46284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20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Utter</t>
        </is>
      </c>
      <c r="W139">
        <f>HYPERLINK("https://klasma.github.io/Logging_2481/artfynd/A 20404-2026 artfynd.xlsx", "A 20404-2026")</f>
        <v/>
      </c>
      <c r="X139">
        <f>HYPERLINK("https://klasma.github.io/Logging_2481/kartor/A 20404-2026 karta.png", "A 20404-2026")</f>
        <v/>
      </c>
      <c r="Y139">
        <f>HYPERLINK("https://klasma.github.io/Logging_2481/kartor_geotiff/A 20404-2026 georefererad karta.tif", "A 20404-2026")</f>
        <v/>
      </c>
      <c r="AA139">
        <f>HYPERLINK("https://klasma.github.io/Logging_2481/klagomål/A 20404-2026 FSC-klagomål.docx", "A 20404-2026")</f>
        <v/>
      </c>
      <c r="AB139">
        <f>HYPERLINK("https://klasma.github.io/Logging_2481/klagomålsmail/A 20404-2026 FSC-klagomål mail.docx", "A 20404-2026")</f>
        <v/>
      </c>
      <c r="AC139">
        <f>HYPERLINK("https://klasma.github.io/Logging_2481/tillsyn/A 20404-2026 tillsynsbegäran.docx", "A 20404-2026")</f>
        <v/>
      </c>
      <c r="AD139">
        <f>HYPERLINK("https://klasma.github.io/Logging_2481/tillsynsmail/A 20404-2026 tillsynsbegäran mail.docx", "A 20404-2026")</f>
        <v/>
      </c>
    </row>
    <row r="140" ht="15" customHeight="1">
      <c r="A140" t="inlineStr">
        <is>
          <t>A 44360-2025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46284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Garnlav</t>
        </is>
      </c>
      <c r="W140">
        <f>HYPERLINK("https://klasma.github.io/Logging_2481/artfynd/A 44360-2025 artfynd.xlsx", "A 44360-2025")</f>
        <v/>
      </c>
      <c r="X140">
        <f>HYPERLINK("https://klasma.github.io/Logging_2481/kartor/A 44360-2025 karta.png", "A 44360-2025")</f>
        <v/>
      </c>
      <c r="Y140">
        <f>HYPERLINK("https://klasma.github.io/Logging_2481/kartor_geotiff/A 44360-2025 georefererad karta.tif", "A 44360-2025")</f>
        <v/>
      </c>
      <c r="AA140">
        <f>HYPERLINK("https://klasma.github.io/Logging_2481/klagomål/A 44360-2025 FSC-klagomål.docx", "A 44360-2025")</f>
        <v/>
      </c>
      <c r="AB140">
        <f>HYPERLINK("https://klasma.github.io/Logging_2481/klagomålsmail/A 44360-2025 FSC-klagomål mail.docx", "A 44360-2025")</f>
        <v/>
      </c>
      <c r="AC140">
        <f>HYPERLINK("https://klasma.github.io/Logging_2481/tillsyn/A 44360-2025 tillsynsbegäran.docx", "A 44360-2025")</f>
        <v/>
      </c>
      <c r="AD140">
        <f>HYPERLINK("https://klasma.github.io/Logging_2481/tillsynsmail/A 44360-2025 tillsynsbegäran mail.docx", "A 44360-2025")</f>
        <v/>
      </c>
    </row>
    <row r="141" ht="15" customHeight="1">
      <c r="A141" t="inlineStr">
        <is>
          <t>A 44331-2025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45916</v>
      </c>
      <c r="E141" s="1" t="n">
        <v>46284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Kolflarnlav</t>
        </is>
      </c>
      <c r="W141">
        <f>HYPERLINK("https://klasma.github.io/Logging_2481/artfynd/A 44331-2025 artfynd.xlsx", "A 44331-2025")</f>
        <v/>
      </c>
      <c r="X141">
        <f>HYPERLINK("https://klasma.github.io/Logging_2481/kartor/A 44331-2025 karta.png", "A 44331-2025")</f>
        <v/>
      </c>
      <c r="Y141">
        <f>HYPERLINK("https://klasma.github.io/Logging_2481/kartor_geotiff/A 44331-2025 georefererad karta.tif", "A 44331-2025")</f>
        <v/>
      </c>
      <c r="AA141">
        <f>HYPERLINK("https://klasma.github.io/Logging_2481/klagomål/A 44331-2025 FSC-klagomål.docx", "A 44331-2025")</f>
        <v/>
      </c>
      <c r="AB141">
        <f>HYPERLINK("https://klasma.github.io/Logging_2481/klagomålsmail/A 44331-2025 FSC-klagomål mail.docx", "A 44331-2025")</f>
        <v/>
      </c>
      <c r="AC141">
        <f>HYPERLINK("https://klasma.github.io/Logging_2481/tillsyn/A 44331-2025 tillsynsbegäran.docx", "A 44331-2025")</f>
        <v/>
      </c>
      <c r="AD141">
        <f>HYPERLINK("https://klasma.github.io/Logging_2481/tillsynsmail/A 44331-2025 tillsynsbegäran mail.docx", "A 44331-2025")</f>
        <v/>
      </c>
    </row>
    <row r="142" ht="15" customHeight="1">
      <c r="A142" t="inlineStr">
        <is>
          <t>A 45127-2025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46284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45127-2025 artfynd.xlsx", "A 45127-2025")</f>
        <v/>
      </c>
      <c r="X142">
        <f>HYPERLINK("https://klasma.github.io/Logging_2481/kartor/A 45127-2025 karta.png", "A 45127-2025")</f>
        <v/>
      </c>
      <c r="Y142">
        <f>HYPERLINK("https://klasma.github.io/Logging_2481/kartor_geotiff/A 45127-2025 georefererad karta.tif", "A 45127-2025")</f>
        <v/>
      </c>
      <c r="AA142">
        <f>HYPERLINK("https://klasma.github.io/Logging_2481/klagomål/A 45127-2025 FSC-klagomål.docx", "A 45127-2025")</f>
        <v/>
      </c>
      <c r="AB142">
        <f>HYPERLINK("https://klasma.github.io/Logging_2481/klagomålsmail/A 45127-2025 FSC-klagomål mail.docx", "A 45127-2025")</f>
        <v/>
      </c>
      <c r="AC142">
        <f>HYPERLINK("https://klasma.github.io/Logging_2481/tillsyn/A 45127-2025 tillsynsbegäran.docx", "A 45127-2025")</f>
        <v/>
      </c>
      <c r="AD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47454-2025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46284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3.8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HYPERLINK("https://klasma.github.io/Logging_2481/artfynd/A 47454-2025 artfynd.xlsx", "A 47454-2025")</f>
        <v/>
      </c>
      <c r="X143">
        <f>HYPERLINK("https://klasma.github.io/Logging_2481/kartor/A 47454-2025 karta.png", "A 47454-2025")</f>
        <v/>
      </c>
      <c r="Y143">
        <f>HYPERLINK("https://klasma.github.io/Logging_2481/kartor_geotiff/A 47454-2025 georefererad karta.tif", "A 47454-2025")</f>
        <v/>
      </c>
      <c r="AA143">
        <f>HYPERLINK("https://klasma.github.io/Logging_2481/klagomål/A 47454-2025 FSC-klagomål.docx", "A 47454-2025")</f>
        <v/>
      </c>
      <c r="AB143">
        <f>HYPERLINK("https://klasma.github.io/Logging_2481/klagomålsmail/A 47454-2025 FSC-klagomål mail.docx", "A 47454-2025")</f>
        <v/>
      </c>
      <c r="AC143">
        <f>HYPERLINK("https://klasma.github.io/Logging_2481/tillsyn/A 47454-2025 tillsynsbegäran.docx", "A 47454-2025")</f>
        <v/>
      </c>
      <c r="AD143">
        <f>HYPERLINK("https://klasma.github.io/Logging_2481/tillsynsmail/A 47454-2025 tillsynsbegäran mail.docx", "A 47454-2025")</f>
        <v/>
      </c>
    </row>
    <row r="144" ht="15" customHeight="1">
      <c r="A144" t="inlineStr">
        <is>
          <t>A 50463-2025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46284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50463-2025 artfynd.xlsx", "A 50463-2025")</f>
        <v/>
      </c>
      <c r="X144">
        <f>HYPERLINK("https://klasma.github.io/Logging_2481/kartor/A 50463-2025 karta.png", "A 50463-2025")</f>
        <v/>
      </c>
      <c r="Y144">
        <f>HYPERLINK("https://klasma.github.io/Logging_2481/kartor_geotiff/A 50463-2025 georefererad karta.tif", "A 50463-2025")</f>
        <v/>
      </c>
      <c r="AA144">
        <f>HYPERLINK("https://klasma.github.io/Logging_2481/klagomål/A 50463-2025 FSC-klagomål.docx", "A 50463-2025")</f>
        <v/>
      </c>
      <c r="AB144">
        <f>HYPERLINK("https://klasma.github.io/Logging_2481/klagomålsmail/A 50463-2025 FSC-klagomål mail.docx", "A 50463-2025")</f>
        <v/>
      </c>
      <c r="AC144">
        <f>HYPERLINK("https://klasma.github.io/Logging_2481/tillsyn/A 50463-2025 tillsynsbegäran.docx", "A 50463-2025")</f>
        <v/>
      </c>
      <c r="AD144">
        <f>HYPERLINK("https://klasma.github.io/Logging_2481/tillsynsmail/A 50463-2025 tillsynsbegäran mail.docx", "A 50463-2025")</f>
        <v/>
      </c>
    </row>
    <row r="145" ht="15" customHeight="1">
      <c r="A145" t="inlineStr">
        <is>
          <t>A 38507-2023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46284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Blå taggsvamp</t>
        </is>
      </c>
      <c r="W145">
        <f>HYPERLINK("https://klasma.github.io/Logging_2481/artfynd/A 38507-2023 artfynd.xlsx", "A 38507-2023")</f>
        <v/>
      </c>
      <c r="X145">
        <f>HYPERLINK("https://klasma.github.io/Logging_2481/kartor/A 38507-2023 karta.png", "A 38507-2023")</f>
        <v/>
      </c>
      <c r="Y145">
        <f>HYPERLINK("https://klasma.github.io/Logging_2481/kartor_geotiff/A 38507-2023 georefererad karta.tif", "A 38507-2023")</f>
        <v/>
      </c>
      <c r="AA145">
        <f>HYPERLINK("https://klasma.github.io/Logging_2481/klagomål/A 38507-2023 FSC-klagomål.docx", "A 38507-2023")</f>
        <v/>
      </c>
      <c r="AB145">
        <f>HYPERLINK("https://klasma.github.io/Logging_2481/klagomålsmail/A 38507-2023 FSC-klagomål mail.docx", "A 38507-2023")</f>
        <v/>
      </c>
      <c r="AC145">
        <f>HYPERLINK("https://klasma.github.io/Logging_2481/tillsyn/A 38507-2023 tillsynsbegäran.docx", "A 38507-2023")</f>
        <v/>
      </c>
      <c r="AD145">
        <f>HYPERLINK("https://klasma.github.io/Logging_2481/tillsynsmail/A 38507-2023 tillsynsbegäran mail.docx", "A 38507-2023")</f>
        <v/>
      </c>
    </row>
    <row r="146" ht="15" customHeight="1">
      <c r="A146" t="inlineStr">
        <is>
          <t>A 20929-2025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45777</v>
      </c>
      <c r="E146" s="1" t="n">
        <v>46284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20929-2025 artfynd.xlsx", "A 20929-2025")</f>
        <v/>
      </c>
      <c r="X146">
        <f>HYPERLINK("https://klasma.github.io/Logging_2481/kartor/A 20929-2025 karta.png", "A 20929-2025")</f>
        <v/>
      </c>
      <c r="Y146">
        <f>HYPERLINK("https://klasma.github.io/Logging_2481/kartor_geotiff/A 20929-2025 georefererad karta.tif", "A 20929-2025")</f>
        <v/>
      </c>
      <c r="AA146">
        <f>HYPERLINK("https://klasma.github.io/Logging_2481/klagomål/A 20929-2025 FSC-klagomål.docx", "A 20929-2025")</f>
        <v/>
      </c>
      <c r="AB146">
        <f>HYPERLINK("https://klasma.github.io/Logging_2481/klagomålsmail/A 20929-2025 FSC-klagomål mail.docx", "A 20929-2025")</f>
        <v/>
      </c>
      <c r="AC146">
        <f>HYPERLINK("https://klasma.github.io/Logging_2481/tillsyn/A 20929-2025 tillsynsbegäran.docx", "A 20929-2025")</f>
        <v/>
      </c>
      <c r="AD146">
        <f>HYPERLINK("https://klasma.github.io/Logging_2481/tillsynsmail/A 20929-2025 tillsynsbegäran mail.docx", "A 20929-2025")</f>
        <v/>
      </c>
    </row>
    <row r="147" ht="15" customHeight="1">
      <c r="A147" t="inlineStr">
        <is>
          <t>A 22120-2026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46284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22120-2026 artfynd.xlsx", "A 22120-2026")</f>
        <v/>
      </c>
      <c r="X147">
        <f>HYPERLINK("https://klasma.github.io/Logging_2481/kartor/A 22120-2026 karta.png", "A 22120-2026")</f>
        <v/>
      </c>
      <c r="Y147">
        <f>HYPERLINK("https://klasma.github.io/Logging_2481/kartor_geotiff/A 22120-2026 georefererad karta.tif", "A 22120-2026")</f>
        <v/>
      </c>
      <c r="AA147">
        <f>HYPERLINK("https://klasma.github.io/Logging_2481/klagomål/A 22120-2026 FSC-klagomål.docx", "A 22120-2026")</f>
        <v/>
      </c>
      <c r="AB147">
        <f>HYPERLINK("https://klasma.github.io/Logging_2481/klagomålsmail/A 22120-2026 FSC-klagomål mail.docx", "A 22120-2026")</f>
        <v/>
      </c>
      <c r="AC147">
        <f>HYPERLINK("https://klasma.github.io/Logging_2481/tillsyn/A 22120-2026 tillsynsbegäran.docx", "A 22120-2026")</f>
        <v/>
      </c>
      <c r="AD147">
        <f>HYPERLINK("https://klasma.github.io/Logging_2481/tillsynsmail/A 22120-2026 tillsynsbegäran mail.docx", "A 22120-2026")</f>
        <v/>
      </c>
    </row>
    <row r="148" ht="15" customHeight="1">
      <c r="A148" t="inlineStr">
        <is>
          <t>A 53110-2025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46284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16.2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HYPERLINK("https://klasma.github.io/Logging_2481/artfynd/A 53110-2025 artfynd.xlsx", "A 53110-2025")</f>
        <v/>
      </c>
      <c r="X148">
        <f>HYPERLINK("https://klasma.github.io/Logging_2481/kartor/A 53110-2025 karta.png", "A 53110-2025")</f>
        <v/>
      </c>
      <c r="Y148">
        <f>HYPERLINK("https://klasma.github.io/Logging_2481/kartor_geotiff/A 53110-2025 georefererad karta.tif", "A 53110-2025")</f>
        <v/>
      </c>
      <c r="AA148">
        <f>HYPERLINK("https://klasma.github.io/Logging_2481/klagomål/A 53110-2025 FSC-klagomål.docx", "A 53110-2025")</f>
        <v/>
      </c>
      <c r="AB148">
        <f>HYPERLINK("https://klasma.github.io/Logging_2481/klagomålsmail/A 53110-2025 FSC-klagomål mail.docx", "A 53110-2025")</f>
        <v/>
      </c>
      <c r="AC148">
        <f>HYPERLINK("https://klasma.github.io/Logging_2481/tillsyn/A 53110-2025 tillsynsbegäran.docx", "A 53110-2025")</f>
        <v/>
      </c>
      <c r="AD148">
        <f>HYPERLINK("https://klasma.github.io/Logging_2481/tillsynsmail/A 53110-2025 tillsynsbegäran mail.docx", "A 53110-2025")</f>
        <v/>
      </c>
    </row>
    <row r="149" ht="15" customHeight="1">
      <c r="A149" t="inlineStr">
        <is>
          <t>A 53108-2025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46284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14.1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Bårdlav</t>
        </is>
      </c>
      <c r="W149">
        <f>HYPERLINK("https://klasma.github.io/Logging_2481/artfynd/A 53108-2025 artfynd.xlsx", "A 53108-2025")</f>
        <v/>
      </c>
      <c r="X149">
        <f>HYPERLINK("https://klasma.github.io/Logging_2481/kartor/A 53108-2025 karta.png", "A 53108-2025")</f>
        <v/>
      </c>
      <c r="Y149">
        <f>HYPERLINK("https://klasma.github.io/Logging_2481/kartor_geotiff/A 53108-2025 georefererad karta.tif", "A 53108-2025")</f>
        <v/>
      </c>
      <c r="AA149">
        <f>HYPERLINK("https://klasma.github.io/Logging_2481/klagomål/A 53108-2025 FSC-klagomål.docx", "A 53108-2025")</f>
        <v/>
      </c>
      <c r="AB149">
        <f>HYPERLINK("https://klasma.github.io/Logging_2481/klagomålsmail/A 53108-2025 FSC-klagomål mail.docx", "A 53108-2025")</f>
        <v/>
      </c>
      <c r="AC149">
        <f>HYPERLINK("https://klasma.github.io/Logging_2481/tillsyn/A 53108-2025 tillsynsbegäran.docx", "A 53108-2025")</f>
        <v/>
      </c>
      <c r="AD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46284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57243-2025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45979</v>
      </c>
      <c r="E151" s="1" t="n">
        <v>46284</v>
      </c>
      <c r="F151" t="inlineStr">
        <is>
          <t>VÄSTERBOTTENS LÄN</t>
        </is>
      </c>
      <c r="G151" t="inlineStr">
        <is>
          <t>LYCKSELE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57243-2025 artfynd.xlsx", "A 57243-2025")</f>
        <v/>
      </c>
      <c r="X151">
        <f>HYPERLINK("https://klasma.github.io/Logging_2481/kartor/A 57243-2025 karta.png", "A 57243-2025")</f>
        <v/>
      </c>
      <c r="Y151">
        <f>HYPERLINK("https://klasma.github.io/Logging_2481/kartor_geotiff/A 57243-2025 georefererad karta.tif", "A 57243-2025")</f>
        <v/>
      </c>
      <c r="AA151">
        <f>HYPERLINK("https://klasma.github.io/Logging_2481/klagomål/A 57243-2025 FSC-klagomål.docx", "A 57243-2025")</f>
        <v/>
      </c>
      <c r="AB151">
        <f>HYPERLINK("https://klasma.github.io/Logging_2481/klagomålsmail/A 57243-2025 FSC-klagomål mail.docx", "A 57243-2025")</f>
        <v/>
      </c>
      <c r="AC151">
        <f>HYPERLINK("https://klasma.github.io/Logging_2481/tillsyn/A 57243-2025 tillsynsbegäran.docx", "A 57243-2025")</f>
        <v/>
      </c>
      <c r="AD151">
        <f>HYPERLINK("https://klasma.github.io/Logging_2481/tillsynsmail/A 57243-2025 tillsynsbegäran mail.docx", "A 57243-2025")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46284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58390-2025 artfynd.xlsx", "A 58390-2025")</f>
        <v/>
      </c>
      <c r="X152">
        <f>HYPERLINK("https://klasma.github.io/Logging_2481/kartor/A 58390-2025 karta.png", "A 58390-2025")</f>
        <v/>
      </c>
      <c r="Y152">
        <f>HYPERLINK("https://klasma.github.io/Logging_2481/kartor_geotiff/A 58390-2025 georefererad karta.tif", "A 58390-2025")</f>
        <v/>
      </c>
      <c r="AA152">
        <f>HYPERLINK("https://klasma.github.io/Logging_2481/klagomål/A 58390-2025 FSC-klagomål.docx", "A 58390-2025")</f>
        <v/>
      </c>
      <c r="AB152">
        <f>HYPERLINK("https://klasma.github.io/Logging_2481/klagomålsmail/A 58390-2025 FSC-klagomål mail.docx", "A 58390-2025")</f>
        <v/>
      </c>
      <c r="AC152">
        <f>HYPERLINK("https://klasma.github.io/Logging_2481/tillsyn/A 58390-2025 tillsynsbegäran.docx", "A 58390-2025")</f>
        <v/>
      </c>
      <c r="AD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46284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23396-2026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46162</v>
      </c>
      <c r="E154" s="1" t="n">
        <v>46284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SCA</t>
        </is>
      </c>
      <c r="I154" t="n">
        <v>6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Källpraktmossa</t>
        </is>
      </c>
      <c r="W154">
        <f>HYPERLINK("https://klasma.github.io/Logging_2481/artfynd/A 23396-2026 artfynd.xlsx", "A 23396-2026")</f>
        <v/>
      </c>
      <c r="X154">
        <f>HYPERLINK("https://klasma.github.io/Logging_2481/kartor/A 23396-2026 karta.png", "A 23396-2026")</f>
        <v/>
      </c>
      <c r="Y154">
        <f>HYPERLINK("https://klasma.github.io/Logging_2481/kartor_geotiff/A 23396-2026 georefererad karta.tif", "A 23396-2026")</f>
        <v/>
      </c>
      <c r="AA154">
        <f>HYPERLINK("https://klasma.github.io/Logging_2481/klagomål/A 23396-2026 FSC-klagomål.docx", "A 23396-2026")</f>
        <v/>
      </c>
      <c r="AB154">
        <f>HYPERLINK("https://klasma.github.io/Logging_2481/klagomålsmail/A 23396-2026 FSC-klagomål mail.docx", "A 23396-2026")</f>
        <v/>
      </c>
      <c r="AC154">
        <f>HYPERLINK("https://klasma.github.io/Logging_2481/tillsyn/A 23396-2026 tillsynsbegäran.docx", "A 23396-2026")</f>
        <v/>
      </c>
      <c r="AD154">
        <f>HYPERLINK("https://klasma.github.io/Logging_2481/tillsynsmail/A 23396-2026 tillsynsbegäran mail.docx", "A 23396-2026")</f>
        <v/>
      </c>
    </row>
    <row r="155" ht="15" customHeight="1">
      <c r="A155" t="inlineStr">
        <is>
          <t>A 59883-2025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46284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59883-2025 artfynd.xlsx", "A 59883-2025")</f>
        <v/>
      </c>
      <c r="X155">
        <f>HYPERLINK("https://klasma.github.io/Logging_2481/kartor/A 59883-2025 karta.png", "A 59883-2025")</f>
        <v/>
      </c>
      <c r="Y155">
        <f>HYPERLINK("https://klasma.github.io/Logging_2481/kartor_geotiff/A 59883-2025 georefererad karta.tif", "A 59883-2025")</f>
        <v/>
      </c>
      <c r="AA155">
        <f>HYPERLINK("https://klasma.github.io/Logging_2481/klagomål/A 59883-2025 FSC-klagomål.docx", "A 59883-2025")</f>
        <v/>
      </c>
      <c r="AB155">
        <f>HYPERLINK("https://klasma.github.io/Logging_2481/klagomålsmail/A 59883-2025 FSC-klagomål mail.docx", "A 59883-2025")</f>
        <v/>
      </c>
      <c r="AC155">
        <f>HYPERLINK("https://klasma.github.io/Logging_2481/tillsyn/A 59883-2025 tillsynsbegäran.docx", "A 59883-2025")</f>
        <v/>
      </c>
      <c r="AD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41793-2024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45561</v>
      </c>
      <c r="E156" s="1" t="n">
        <v>46284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7.1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HYPERLINK("https://klasma.github.io/Logging_2481/artfynd/A 41793-2024 artfynd.xlsx", "A 41793-2024")</f>
        <v/>
      </c>
      <c r="X156">
        <f>HYPERLINK("https://klasma.github.io/Logging_2481/kartor/A 41793-2024 karta.png", "A 41793-2024")</f>
        <v/>
      </c>
      <c r="Y156">
        <f>HYPERLINK("https://klasma.github.io/Logging_2481/kartor_geotiff/A 41793-2024 georefererad karta.tif", "A 41793-2024")</f>
        <v/>
      </c>
      <c r="AA156">
        <f>HYPERLINK("https://klasma.github.io/Logging_2481/klagomål/A 41793-2024 FSC-klagomål.docx", "A 41793-2024")</f>
        <v/>
      </c>
      <c r="AB156">
        <f>HYPERLINK("https://klasma.github.io/Logging_2481/klagomålsmail/A 41793-2024 FSC-klagomål mail.docx", "A 41793-2024")</f>
        <v/>
      </c>
      <c r="AC156">
        <f>HYPERLINK("https://klasma.github.io/Logging_2481/tillsyn/A 41793-2024 tillsynsbegäran.docx", "A 41793-2024")</f>
        <v/>
      </c>
      <c r="AD156">
        <f>HYPERLINK("https://klasma.github.io/Logging_2481/tillsynsmail/A 41793-2024 tillsynsbegäran mail.docx", "A 41793-2024")</f>
        <v/>
      </c>
    </row>
    <row r="157" ht="15" customHeight="1">
      <c r="A157" t="inlineStr">
        <is>
          <t>A 62317-2025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46284</v>
      </c>
      <c r="F157" t="inlineStr">
        <is>
          <t>VÄSTERBOTTENS LÄN</t>
        </is>
      </c>
      <c r="G157" t="inlineStr">
        <is>
          <t>LYCKSELE</t>
        </is>
      </c>
      <c r="I157" t="n">
        <v>0.9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Plattlummer</t>
        </is>
      </c>
      <c r="W157">
        <f>HYPERLINK("https://klasma.github.io/Logging_2481/artfynd/A 62317-2025 artfynd.xlsx", "A 62317-2025")</f>
        <v/>
      </c>
      <c r="X157">
        <f>HYPERLINK("https://klasma.github.io/Logging_2481/kartor/A 62317-2025 karta.png", "A 62317-2025")</f>
        <v/>
      </c>
      <c r="Y157">
        <f>HYPERLINK("https://klasma.github.io/Logging_2481/kartor_geotiff/A 62317-2025 georefererad karta.tif", "A 62317-2025")</f>
        <v/>
      </c>
      <c r="AA157">
        <f>HYPERLINK("https://klasma.github.io/Logging_2481/klagomål/A 62317-2025 FSC-klagomål.docx", "A 62317-2025")</f>
        <v/>
      </c>
      <c r="AB157">
        <f>HYPERLINK("https://klasma.github.io/Logging_2481/klagomålsmail/A 62317-2025 FSC-klagomål mail.docx", "A 62317-2025")</f>
        <v/>
      </c>
      <c r="AC157">
        <f>HYPERLINK("https://klasma.github.io/Logging_2481/tillsyn/A 62317-2025 tillsynsbegäran.docx", "A 62317-2025")</f>
        <v/>
      </c>
      <c r="AD157">
        <f>HYPERLINK("https://klasma.github.io/Logging_2481/tillsynsmail/A 62317-2025 tillsynsbegäran mail.docx", "A 62317-2025")</f>
        <v/>
      </c>
    </row>
    <row r="158" ht="15" customHeight="1">
      <c r="A158" t="inlineStr">
        <is>
          <t>A 2499-2026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46284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19.3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HYPERLINK("https://klasma.github.io/Logging_2481/artfynd/A 2499-2026 artfynd.xlsx", "A 2499-2026")</f>
        <v/>
      </c>
      <c r="X158">
        <f>HYPERLINK("https://klasma.github.io/Logging_2481/kartor/A 2499-2026 karta.png", "A 2499-2026")</f>
        <v/>
      </c>
      <c r="Y158">
        <f>HYPERLINK("https://klasma.github.io/Logging_2481/kartor_geotiff/A 2499-2026 georefererad karta.tif", "A 2499-2026")</f>
        <v/>
      </c>
      <c r="AA158">
        <f>HYPERLINK("https://klasma.github.io/Logging_2481/klagomål/A 2499-2026 FSC-klagomål.docx", "A 2499-2026")</f>
        <v/>
      </c>
      <c r="AB158">
        <f>HYPERLINK("https://klasma.github.io/Logging_2481/klagomålsmail/A 2499-2026 FSC-klagomål mail.docx", "A 2499-2026")</f>
        <v/>
      </c>
      <c r="AC158">
        <f>HYPERLINK("https://klasma.github.io/Logging_2481/tillsyn/A 2499-2026 tillsynsbegäran.docx", "A 2499-2026")</f>
        <v/>
      </c>
      <c r="AD158">
        <f>HYPERLINK("https://klasma.github.io/Logging_2481/tillsynsmail/A 2499-2026 tillsynsbegäran mail.docx", "A 2499-2026")</f>
        <v/>
      </c>
    </row>
    <row r="159" ht="15" customHeight="1">
      <c r="A159" t="inlineStr">
        <is>
          <t>A 25701-2026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46178</v>
      </c>
      <c r="E159" s="1" t="n">
        <v>46284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Skrovellav</t>
        </is>
      </c>
      <c r="W159">
        <f>HYPERLINK("https://klasma.github.io/Logging_2481/artfynd/A 25701-2026 artfynd.xlsx", "A 25701-2026")</f>
        <v/>
      </c>
      <c r="X159">
        <f>HYPERLINK("https://klasma.github.io/Logging_2481/kartor/A 25701-2026 karta.png", "A 25701-2026")</f>
        <v/>
      </c>
      <c r="Y159">
        <f>HYPERLINK("https://klasma.github.io/Logging_2481/kartor_geotiff/A 25701-2026 georefererad karta.tif", "A 25701-2026")</f>
        <v/>
      </c>
      <c r="AA159">
        <f>HYPERLINK("https://klasma.github.io/Logging_2481/klagomål/A 25701-2026 FSC-klagomål.docx", "A 25701-2026")</f>
        <v/>
      </c>
      <c r="AB159">
        <f>HYPERLINK("https://klasma.github.io/Logging_2481/klagomålsmail/A 25701-2026 FSC-klagomål mail.docx", "A 25701-2026")</f>
        <v/>
      </c>
      <c r="AC159">
        <f>HYPERLINK("https://klasma.github.io/Logging_2481/tillsyn/A 25701-2026 tillsynsbegäran.docx", "A 25701-2026")</f>
        <v/>
      </c>
      <c r="AD159">
        <f>HYPERLINK("https://klasma.github.io/Logging_2481/tillsynsmail/A 25701-2026 tillsynsbegäran mail.docx", "A 25701-2026")</f>
        <v/>
      </c>
    </row>
    <row r="160" ht="15" customHeight="1">
      <c r="A160" t="inlineStr">
        <is>
          <t>A 25591-2026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46284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15.9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Gränsticka</t>
        </is>
      </c>
      <c r="W160">
        <f>HYPERLINK("https://klasma.github.io/Logging_2481/artfynd/A 25591-2026 artfynd.xlsx", "A 25591-2026")</f>
        <v/>
      </c>
      <c r="X160">
        <f>HYPERLINK("https://klasma.github.io/Logging_2481/kartor/A 25591-2026 karta.png", "A 25591-2026")</f>
        <v/>
      </c>
      <c r="Y160">
        <f>HYPERLINK("https://klasma.github.io/Logging_2481/kartor_geotiff/A 25591-2026 georefererad karta.tif", "A 25591-2026")</f>
        <v/>
      </c>
      <c r="AA160">
        <f>HYPERLINK("https://klasma.github.io/Logging_2481/klagomål/A 25591-2026 FSC-klagomål.docx", "A 25591-2026")</f>
        <v/>
      </c>
      <c r="AB160">
        <f>HYPERLINK("https://klasma.github.io/Logging_2481/klagomålsmail/A 25591-2026 FSC-klagomål mail.docx", "A 25591-2026")</f>
        <v/>
      </c>
      <c r="AC160">
        <f>HYPERLINK("https://klasma.github.io/Logging_2481/tillsyn/A 25591-2026 tillsynsbegäran.docx", "A 25591-2026")</f>
        <v/>
      </c>
      <c r="AD160">
        <f>HYPERLINK("https://klasma.github.io/Logging_2481/tillsynsmail/A 25591-2026 tillsynsbegäran mail.docx", "A 25591-2026")</f>
        <v/>
      </c>
    </row>
    <row r="161" ht="15" customHeight="1">
      <c r="A161" t="inlineStr">
        <is>
          <t>A 25720-2026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46284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Orange taggsvamp</t>
        </is>
      </c>
      <c r="W161">
        <f>HYPERLINK("https://klasma.github.io/Logging_2481/artfynd/A 25720-2026 artfynd.xlsx", "A 25720-2026")</f>
        <v/>
      </c>
      <c r="X161">
        <f>HYPERLINK("https://klasma.github.io/Logging_2481/kartor/A 25720-2026 karta.png", "A 25720-2026")</f>
        <v/>
      </c>
      <c r="Y161">
        <f>HYPERLINK("https://klasma.github.io/Logging_2481/kartor_geotiff/A 25720-2026 georefererad karta.tif", "A 25720-2026")</f>
        <v/>
      </c>
      <c r="AA161">
        <f>HYPERLINK("https://klasma.github.io/Logging_2481/klagomål/A 25720-2026 FSC-klagomål.docx", "A 25720-2026")</f>
        <v/>
      </c>
      <c r="AB161">
        <f>HYPERLINK("https://klasma.github.io/Logging_2481/klagomålsmail/A 25720-2026 FSC-klagomål mail.docx", "A 25720-2026")</f>
        <v/>
      </c>
      <c r="AC161">
        <f>HYPERLINK("https://klasma.github.io/Logging_2481/tillsyn/A 25720-2026 tillsynsbegäran.docx", "A 25720-2026")</f>
        <v/>
      </c>
      <c r="AD161">
        <f>HYPERLINK("https://klasma.github.io/Logging_2481/tillsynsmail/A 25720-2026 tillsynsbegäran mail.docx", "A 25720-2026")</f>
        <v/>
      </c>
    </row>
    <row r="162" ht="15" customHeight="1">
      <c r="A162" t="inlineStr">
        <is>
          <t>A 25706-2026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46284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7.9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25706-2026 artfynd.xlsx", "A 25706-2026")</f>
        <v/>
      </c>
      <c r="X162">
        <f>HYPERLINK("https://klasma.github.io/Logging_2481/kartor/A 25706-2026 karta.png", "A 25706-2026")</f>
        <v/>
      </c>
      <c r="Y162">
        <f>HYPERLINK("https://klasma.github.io/Logging_2481/kartor_geotiff/A 25706-2026 georefererad karta.tif", "A 25706-2026")</f>
        <v/>
      </c>
      <c r="AA162">
        <f>HYPERLINK("https://klasma.github.io/Logging_2481/klagomål/A 25706-2026 FSC-klagomål.docx", "A 25706-2026")</f>
        <v/>
      </c>
      <c r="AB162">
        <f>HYPERLINK("https://klasma.github.io/Logging_2481/klagomålsmail/A 25706-2026 FSC-klagomål mail.docx", "A 25706-2026")</f>
        <v/>
      </c>
      <c r="AC162">
        <f>HYPERLINK("https://klasma.github.io/Logging_2481/tillsyn/A 25706-2026 tillsynsbegäran.docx", "A 25706-2026")</f>
        <v/>
      </c>
      <c r="AD162">
        <f>HYPERLINK("https://klasma.github.io/Logging_2481/tillsynsmail/A 25706-2026 tillsynsbegäran mail.docx", "A 25706-2026")</f>
        <v/>
      </c>
    </row>
    <row r="163" ht="15" customHeight="1">
      <c r="A163" t="inlineStr">
        <is>
          <t>A 8491-2026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46284</v>
      </c>
      <c r="F163" t="inlineStr">
        <is>
          <t>VÄSTERBOTTENS LÄN</t>
        </is>
      </c>
      <c r="G163" t="inlineStr">
        <is>
          <t>LYCKSELE</t>
        </is>
      </c>
      <c r="I163" t="n">
        <v>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8491-2026 artfynd.xlsx", "A 8491-2026")</f>
        <v/>
      </c>
      <c r="X163">
        <f>HYPERLINK("https://klasma.github.io/Logging_2481/kartor/A 8491-2026 karta.png", "A 8491-2026")</f>
        <v/>
      </c>
      <c r="Y163">
        <f>HYPERLINK("https://klasma.github.io/Logging_2481/kartor_geotiff/A 8491-2026 georefererad karta.tif", "A 8491-2026")</f>
        <v/>
      </c>
      <c r="AA163">
        <f>HYPERLINK("https://klasma.github.io/Logging_2481/klagomål/A 8491-2026 FSC-klagomål.docx", "A 8491-2026")</f>
        <v/>
      </c>
      <c r="AB163">
        <f>HYPERLINK("https://klasma.github.io/Logging_2481/klagomålsmail/A 8491-2026 FSC-klagomål mail.docx", "A 8491-2026")</f>
        <v/>
      </c>
      <c r="AC163">
        <f>HYPERLINK("https://klasma.github.io/Logging_2481/tillsyn/A 8491-2026 tillsynsbegäran.docx", "A 8491-2026")</f>
        <v/>
      </c>
      <c r="AD163">
        <f>HYPERLINK("https://klasma.github.io/Logging_2481/tillsynsmail/A 8491-2026 tillsynsbegäran mail.docx", "A 8491-2026")</f>
        <v/>
      </c>
    </row>
    <row r="164" ht="15" customHeight="1">
      <c r="A164" t="inlineStr">
        <is>
          <t>A 9722-2026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46072</v>
      </c>
      <c r="E164" s="1" t="n">
        <v>46284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Holmen skog AB</t>
        </is>
      </c>
      <c r="I164" t="n">
        <v>4.5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HYPERLINK("https://klasma.github.io/Logging_2481/artfynd/A 9722-2026 artfynd.xlsx", "A 9722-2026")</f>
        <v/>
      </c>
      <c r="X164">
        <f>HYPERLINK("https://klasma.github.io/Logging_2481/kartor/A 9722-2026 karta.png", "A 9722-2026")</f>
        <v/>
      </c>
      <c r="Y164">
        <f>HYPERLINK("https://klasma.github.io/Logging_2481/kartor_geotiff/A 9722-2026 georefererad karta.tif", "A 9722-2026")</f>
        <v/>
      </c>
      <c r="AA164">
        <f>HYPERLINK("https://klasma.github.io/Logging_2481/klagomål/A 9722-2026 FSC-klagomål.docx", "A 9722-2026")</f>
        <v/>
      </c>
      <c r="AB164">
        <f>HYPERLINK("https://klasma.github.io/Logging_2481/klagomålsmail/A 9722-2026 FSC-klagomål mail.docx", "A 9722-2026")</f>
        <v/>
      </c>
      <c r="AC164">
        <f>HYPERLINK("https://klasma.github.io/Logging_2481/tillsyn/A 9722-2026 tillsynsbegäran.docx", "A 9722-2026")</f>
        <v/>
      </c>
      <c r="AD164">
        <f>HYPERLINK("https://klasma.github.io/Logging_2481/tillsynsmail/A 9722-2026 tillsynsbegäran mail.docx", "A 9722-2026")</f>
        <v/>
      </c>
    </row>
    <row r="165" ht="15" customHeight="1">
      <c r="A165" t="inlineStr">
        <is>
          <t>A 27161-2026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46188</v>
      </c>
      <c r="E165" s="1" t="n">
        <v>46284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5.2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27161-2026 artfynd.xlsx", "A 27161-2026")</f>
        <v/>
      </c>
      <c r="X165">
        <f>HYPERLINK("https://klasma.github.io/Logging_2481/kartor/A 27161-2026 karta.png", "A 27161-2026")</f>
        <v/>
      </c>
      <c r="Y165">
        <f>HYPERLINK("https://klasma.github.io/Logging_2481/kartor_geotiff/A 27161-2026 georefererad karta.tif", "A 27161-2026")</f>
        <v/>
      </c>
      <c r="AA165">
        <f>HYPERLINK("https://klasma.github.io/Logging_2481/klagomål/A 27161-2026 FSC-klagomål.docx", "A 27161-2026")</f>
        <v/>
      </c>
      <c r="AB165">
        <f>HYPERLINK("https://klasma.github.io/Logging_2481/klagomålsmail/A 27161-2026 FSC-klagomål mail.docx", "A 27161-2026")</f>
        <v/>
      </c>
      <c r="AC165">
        <f>HYPERLINK("https://klasma.github.io/Logging_2481/tillsyn/A 27161-2026 tillsynsbegäran.docx", "A 27161-2026")</f>
        <v/>
      </c>
      <c r="AD165">
        <f>HYPERLINK("https://klasma.github.io/Logging_2481/tillsynsmail/A 27161-2026 tillsynsbegäran mail.docx", "A 27161-2026")</f>
        <v/>
      </c>
    </row>
    <row r="166" ht="15" customHeight="1">
      <c r="A166" t="inlineStr">
        <is>
          <t>A 27830-2026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46191</v>
      </c>
      <c r="E166" s="1" t="n">
        <v>46284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1.6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HYPERLINK("https://klasma.github.io/Logging_2481/artfynd/A 27830-2026 artfynd.xlsx", "A 27830-2026")</f>
        <v/>
      </c>
      <c r="X166">
        <f>HYPERLINK("https://klasma.github.io/Logging_2481/kartor/A 27830-2026 karta.png", "A 27830-2026")</f>
        <v/>
      </c>
      <c r="Y166">
        <f>HYPERLINK("https://klasma.github.io/Logging_2481/kartor_geotiff/A 27830-2026 georefererad karta.tif", "A 27830-2026")</f>
        <v/>
      </c>
      <c r="AA166">
        <f>HYPERLINK("https://klasma.github.io/Logging_2481/klagomål/A 27830-2026 FSC-klagomål.docx", "A 27830-2026")</f>
        <v/>
      </c>
      <c r="AB166">
        <f>HYPERLINK("https://klasma.github.io/Logging_2481/klagomålsmail/A 27830-2026 FSC-klagomål mail.docx", "A 27830-2026")</f>
        <v/>
      </c>
      <c r="AC166">
        <f>HYPERLINK("https://klasma.github.io/Logging_2481/tillsyn/A 27830-2026 tillsynsbegäran.docx", "A 27830-2026")</f>
        <v/>
      </c>
      <c r="AD166">
        <f>HYPERLINK("https://klasma.github.io/Logging_2481/tillsynsmail/A 27830-2026 tillsynsbegäran mail.docx", "A 27830-2026")</f>
        <v/>
      </c>
    </row>
    <row r="167" ht="15" customHeight="1">
      <c r="A167" t="inlineStr">
        <is>
          <t>A 49394-2024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45595</v>
      </c>
      <c r="E167" s="1" t="n">
        <v>46284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10.6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49394-2024 artfynd.xlsx", "A 49394-2024")</f>
        <v/>
      </c>
      <c r="X167">
        <f>HYPERLINK("https://klasma.github.io/Logging_2481/kartor/A 49394-2024 karta.png", "A 49394-2024")</f>
        <v/>
      </c>
      <c r="Y167">
        <f>HYPERLINK("https://klasma.github.io/Logging_2481/kartor_geotiff/A 49394-2024 georefererad karta.tif", "A 49394-2024")</f>
        <v/>
      </c>
      <c r="AA167">
        <f>HYPERLINK("https://klasma.github.io/Logging_2481/klagomål/A 49394-2024 FSC-klagomål.docx", "A 49394-2024")</f>
        <v/>
      </c>
      <c r="AB167">
        <f>HYPERLINK("https://klasma.github.io/Logging_2481/klagomålsmail/A 49394-2024 FSC-klagomål mail.docx", "A 49394-2024")</f>
        <v/>
      </c>
      <c r="AC167">
        <f>HYPERLINK("https://klasma.github.io/Logging_2481/tillsyn/A 49394-2024 tillsynsbegäran.docx", "A 49394-2024")</f>
        <v/>
      </c>
      <c r="AD167">
        <f>HYPERLINK("https://klasma.github.io/Logging_2481/tillsynsmail/A 49394-2024 tillsynsbegäran mail.docx", "A 49394-2024")</f>
        <v/>
      </c>
    </row>
    <row r="168" ht="15" customHeight="1">
      <c r="A168" t="inlineStr">
        <is>
          <t>A 28716-2026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46198</v>
      </c>
      <c r="E168" s="1" t="n">
        <v>46284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11.2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28716-2026 artfynd.xlsx", "A 28716-2026")</f>
        <v/>
      </c>
      <c r="X168">
        <f>HYPERLINK("https://klasma.github.io/Logging_2481/kartor/A 28716-2026 karta.png", "A 28716-2026")</f>
        <v/>
      </c>
      <c r="Y168">
        <f>HYPERLINK("https://klasma.github.io/Logging_2481/kartor_geotiff/A 28716-2026 georefererad karta.tif", "A 28716-2026")</f>
        <v/>
      </c>
      <c r="AA168">
        <f>HYPERLINK("https://klasma.github.io/Logging_2481/klagomål/A 28716-2026 FSC-klagomål.docx", "A 28716-2026")</f>
        <v/>
      </c>
      <c r="AB168">
        <f>HYPERLINK("https://klasma.github.io/Logging_2481/klagomålsmail/A 28716-2026 FSC-klagomål mail.docx", "A 28716-2026")</f>
        <v/>
      </c>
      <c r="AC168">
        <f>HYPERLINK("https://klasma.github.io/Logging_2481/tillsyn/A 28716-2026 tillsynsbegäran.docx", "A 28716-2026")</f>
        <v/>
      </c>
      <c r="AD168">
        <f>HYPERLINK("https://klasma.github.io/Logging_2481/tillsynsmail/A 28716-2026 tillsynsbegäran mail.docx", "A 28716-2026")</f>
        <v/>
      </c>
    </row>
    <row r="169" ht="15" customHeight="1">
      <c r="A169" t="inlineStr">
        <is>
          <t>A 28459-2026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46197</v>
      </c>
      <c r="E169" s="1" t="n">
        <v>46284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SCA</t>
        </is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Fläcknycklar</t>
        </is>
      </c>
      <c r="W169">
        <f>HYPERLINK("https://klasma.github.io/Logging_2481/artfynd/A 28459-2026 artfynd.xlsx", "A 28459-2026")</f>
        <v/>
      </c>
      <c r="X169">
        <f>HYPERLINK("https://klasma.github.io/Logging_2481/kartor/A 28459-2026 karta.png", "A 28459-2026")</f>
        <v/>
      </c>
      <c r="Y169">
        <f>HYPERLINK("https://klasma.github.io/Logging_2481/kartor_geotiff/A 28459-2026 georefererad karta.tif", "A 28459-2026")</f>
        <v/>
      </c>
      <c r="AA169">
        <f>HYPERLINK("https://klasma.github.io/Logging_2481/klagomål/A 28459-2026 FSC-klagomål.docx", "A 28459-2026")</f>
        <v/>
      </c>
      <c r="AB169">
        <f>HYPERLINK("https://klasma.github.io/Logging_2481/klagomålsmail/A 28459-2026 FSC-klagomål mail.docx", "A 28459-2026")</f>
        <v/>
      </c>
      <c r="AC169">
        <f>HYPERLINK("https://klasma.github.io/Logging_2481/tillsyn/A 28459-2026 tillsynsbegäran.docx", "A 28459-2026")</f>
        <v/>
      </c>
      <c r="AD169">
        <f>HYPERLINK("https://klasma.github.io/Logging_2481/tillsynsmail/A 28459-2026 tillsynsbegäran mail.docx", "A 28459-2026")</f>
        <v/>
      </c>
    </row>
    <row r="170" ht="15" customHeight="1">
      <c r="A170" t="inlineStr">
        <is>
          <t>A 28806-2026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46284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3.3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Skinnlav</t>
        </is>
      </c>
      <c r="W170">
        <f>HYPERLINK("https://klasma.github.io/Logging_2481/artfynd/A 28806-2026 artfynd.xlsx", "A 28806-2026")</f>
        <v/>
      </c>
      <c r="X170">
        <f>HYPERLINK("https://klasma.github.io/Logging_2481/kartor/A 28806-2026 karta.png", "A 28806-2026")</f>
        <v/>
      </c>
      <c r="Y170">
        <f>HYPERLINK("https://klasma.github.io/Logging_2481/kartor_geotiff/A 28806-2026 georefererad karta.tif", "A 28806-2026")</f>
        <v/>
      </c>
      <c r="AA170">
        <f>HYPERLINK("https://klasma.github.io/Logging_2481/klagomål/A 28806-2026 FSC-klagomål.docx", "A 28806-2026")</f>
        <v/>
      </c>
      <c r="AB170">
        <f>HYPERLINK("https://klasma.github.io/Logging_2481/klagomålsmail/A 28806-2026 FSC-klagomål mail.docx", "A 28806-2026")</f>
        <v/>
      </c>
      <c r="AC170">
        <f>HYPERLINK("https://klasma.github.io/Logging_2481/tillsyn/A 28806-2026 tillsynsbegäran.docx", "A 28806-2026")</f>
        <v/>
      </c>
      <c r="AD170">
        <f>HYPERLINK("https://klasma.github.io/Logging_2481/tillsynsmail/A 28806-2026 tillsynsbegäran mail.docx", "A 28806-2026")</f>
        <v/>
      </c>
    </row>
    <row r="171" ht="15" customHeight="1">
      <c r="A171" t="inlineStr">
        <is>
          <t>A 28408-2023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45101</v>
      </c>
      <c r="E171" s="1" t="n">
        <v>46284</v>
      </c>
      <c r="F171" t="inlineStr">
        <is>
          <t>VÄSTERBOTTENS LÄN</t>
        </is>
      </c>
      <c r="G171" t="inlineStr">
        <is>
          <t>LYCKSELE</t>
        </is>
      </c>
      <c r="I171" t="n">
        <v>5.7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 taggsvamp</t>
        </is>
      </c>
      <c r="W171">
        <f>HYPERLINK("https://klasma.github.io/Logging_2481/artfynd/A 28408-2023 artfynd.xlsx", "A 28408-2023")</f>
        <v/>
      </c>
      <c r="X171">
        <f>HYPERLINK("https://klasma.github.io/Logging_2481/kartor/A 28408-2023 karta.png", "A 28408-2023")</f>
        <v/>
      </c>
      <c r="Y171">
        <f>HYPERLINK("https://klasma.github.io/Logging_2481/kartor_geotiff/A 28408-2023 georefererad karta.tif", "A 28408-2023")</f>
        <v/>
      </c>
      <c r="AA171">
        <f>HYPERLINK("https://klasma.github.io/Logging_2481/klagomål/A 28408-2023 FSC-klagomål.docx", "A 28408-2023")</f>
        <v/>
      </c>
      <c r="AB171">
        <f>HYPERLINK("https://klasma.github.io/Logging_2481/klagomålsmail/A 28408-2023 FSC-klagomål mail.docx", "A 28408-2023")</f>
        <v/>
      </c>
      <c r="AC171">
        <f>HYPERLINK("https://klasma.github.io/Logging_2481/tillsyn/A 28408-2023 tillsynsbegäran.docx", "A 28408-2023")</f>
        <v/>
      </c>
      <c r="AD171">
        <f>HYPERLINK("https://klasma.github.io/Logging_2481/tillsynsmail/A 28408-2023 tillsynsbegäran mail.docx", "A 28408-2023")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46284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33726-2022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44789</v>
      </c>
      <c r="E173" s="1" t="n">
        <v>46284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12.7</v>
      </c>
      <c r="J173" t="n">
        <v>1</v>
      </c>
      <c r="K173" t="n">
        <v>0</v>
      </c>
      <c r="L173" t="n">
        <v>0</v>
      </c>
      <c r="M173" t="n">
        <v>0</v>
      </c>
      <c r="N173" t="n">
        <v>1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s="2" t="inlineStr">
        <is>
          <t>Pärluggla</t>
        </is>
      </c>
      <c r="W173">
        <f>HYPERLINK("https://klasma.github.io/Logging_2481/artfynd/A 33726-2022 artfynd.xlsx", "A 33726-2022")</f>
        <v/>
      </c>
      <c r="X173">
        <f>HYPERLINK("https://klasma.github.io/Logging_2481/kartor/A 33726-2022 karta.png", "A 33726-2022")</f>
        <v/>
      </c>
      <c r="Y173">
        <f>HYPERLINK("https://klasma.github.io/Logging_2481/kartor_geotiff/A 33726-2022 georefererad karta.tif", "A 33726-2022")</f>
        <v/>
      </c>
      <c r="AA173">
        <f>HYPERLINK("https://klasma.github.io/Logging_2481/klagomål/A 33726-2022 FSC-klagomål.docx", "A 33726-2022")</f>
        <v/>
      </c>
      <c r="AB173">
        <f>HYPERLINK("https://klasma.github.io/Logging_2481/klagomålsmail/A 33726-2022 FSC-klagomål mail.docx", "A 33726-2022")</f>
        <v/>
      </c>
      <c r="AC173">
        <f>HYPERLINK("https://klasma.github.io/Logging_2481/tillsyn/A 33726-2022 tillsynsbegäran.docx", "A 33726-2022")</f>
        <v/>
      </c>
      <c r="AD173">
        <f>HYPERLINK("https://klasma.github.io/Logging_2481/tillsynsmail/A 33726-2022 tillsynsbegäran mail.docx", "A 33726-2022")</f>
        <v/>
      </c>
      <c r="AE173">
        <f>HYPERLINK("https://klasma.github.io/Logging_2481/fåglar/A 33726-2022 prioriterade fågelarter.docx", "A 33726-2022")</f>
        <v/>
      </c>
    </row>
    <row r="174" ht="15" customHeight="1">
      <c r="A174" t="inlineStr">
        <is>
          <t>A 219-2025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45660</v>
      </c>
      <c r="E174" s="1" t="n">
        <v>46284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HYPERLINK("https://klasma.github.io/Logging_2481/artfynd/A 219-2025 artfynd.xlsx", "A 219-2025")</f>
        <v/>
      </c>
      <c r="X174">
        <f>HYPERLINK("https://klasma.github.io/Logging_2481/kartor/A 219-2025 karta.png", "A 219-2025")</f>
        <v/>
      </c>
      <c r="Y174">
        <f>HYPERLINK("https://klasma.github.io/Logging_2481/kartor_geotiff/A 219-2025 georefererad karta.tif", "A 219-2025")</f>
        <v/>
      </c>
      <c r="AA174">
        <f>HYPERLINK("https://klasma.github.io/Logging_2481/klagomål/A 219-2025 FSC-klagomål.docx", "A 219-2025")</f>
        <v/>
      </c>
      <c r="AB174">
        <f>HYPERLINK("https://klasma.github.io/Logging_2481/klagomålsmail/A 219-2025 FSC-klagomål mail.docx", "A 219-2025")</f>
        <v/>
      </c>
      <c r="AC174">
        <f>HYPERLINK("https://klasma.github.io/Logging_2481/tillsyn/A 219-2025 tillsynsbegäran.docx", "A 219-2025")</f>
        <v/>
      </c>
      <c r="AD174">
        <f>HYPERLINK("https://klasma.github.io/Logging_2481/tillsynsmail/A 219-2025 tillsynsbegäran mail.docx", "A 219-2025")</f>
        <v/>
      </c>
    </row>
    <row r="175" ht="15" customHeight="1">
      <c r="A175" t="inlineStr">
        <is>
          <t>A 29828-2026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46205</v>
      </c>
      <c r="E175" s="1" t="n">
        <v>46284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HYPERLINK("https://klasma.github.io/Logging_2481/artfynd/A 29828-2026 artfynd.xlsx", "A 29828-2026")</f>
        <v/>
      </c>
      <c r="X175">
        <f>HYPERLINK("https://klasma.github.io/Logging_2481/kartor/A 29828-2026 karta.png", "A 29828-2026")</f>
        <v/>
      </c>
      <c r="Y175">
        <f>HYPERLINK("https://klasma.github.io/Logging_2481/kartor_geotiff/A 29828-2026 georefererad karta.tif", "A 29828-2026")</f>
        <v/>
      </c>
      <c r="AA175">
        <f>HYPERLINK("https://klasma.github.io/Logging_2481/klagomål/A 29828-2026 FSC-klagomål.docx", "A 29828-2026")</f>
        <v/>
      </c>
      <c r="AB175">
        <f>HYPERLINK("https://klasma.github.io/Logging_2481/klagomålsmail/A 29828-2026 FSC-klagomål mail.docx", "A 29828-2026")</f>
        <v/>
      </c>
      <c r="AC175">
        <f>HYPERLINK("https://klasma.github.io/Logging_2481/tillsyn/A 29828-2026 tillsynsbegäran.docx", "A 29828-2026")</f>
        <v/>
      </c>
      <c r="AD175">
        <f>HYPERLINK("https://klasma.github.io/Logging_2481/tillsynsmail/A 29828-2026 tillsynsbegäran mail.docx", "A 29828-2026")</f>
        <v/>
      </c>
    </row>
    <row r="176" ht="15" customHeight="1">
      <c r="A176" t="inlineStr">
        <is>
          <t>A 28838-2024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46284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Kolflarnlav</t>
        </is>
      </c>
      <c r="W176">
        <f>HYPERLINK("https://klasma.github.io/Logging_2481/artfynd/A 28838-2024 artfynd.xlsx", "A 28838-2024")</f>
        <v/>
      </c>
      <c r="X176">
        <f>HYPERLINK("https://klasma.github.io/Logging_2481/kartor/A 28838-2024 karta.png", "A 28838-2024")</f>
        <v/>
      </c>
      <c r="Y176">
        <f>HYPERLINK("https://klasma.github.io/Logging_2481/kartor_geotiff/A 28838-2024 georefererad karta.tif", "A 28838-2024")</f>
        <v/>
      </c>
      <c r="AA176">
        <f>HYPERLINK("https://klasma.github.io/Logging_2481/klagomål/A 28838-2024 FSC-klagomål.docx", "A 28838-2024")</f>
        <v/>
      </c>
      <c r="AB176">
        <f>HYPERLINK("https://klasma.github.io/Logging_2481/klagomålsmail/A 28838-2024 FSC-klagomål mail.docx", "A 28838-2024")</f>
        <v/>
      </c>
      <c r="AC176">
        <f>HYPERLINK("https://klasma.github.io/Logging_2481/tillsyn/A 28838-2024 tillsynsbegäran.docx", "A 28838-2024")</f>
        <v/>
      </c>
      <c r="AD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50826-2024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45602</v>
      </c>
      <c r="E177" s="1" t="n">
        <v>46284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50826-2024 artfynd.xlsx", "A 50826-2024")</f>
        <v/>
      </c>
      <c r="X177">
        <f>HYPERLINK("https://klasma.github.io/Logging_2481/kartor/A 50826-2024 karta.png", "A 50826-2024")</f>
        <v/>
      </c>
      <c r="Y177">
        <f>HYPERLINK("https://klasma.github.io/Logging_2481/kartor_geotiff/A 50826-2024 georefererad karta.tif", "A 50826-2024")</f>
        <v/>
      </c>
      <c r="AA177">
        <f>HYPERLINK("https://klasma.github.io/Logging_2481/klagomål/A 50826-2024 FSC-klagomål.docx", "A 50826-2024")</f>
        <v/>
      </c>
      <c r="AB177">
        <f>HYPERLINK("https://klasma.github.io/Logging_2481/klagomålsmail/A 50826-2024 FSC-klagomål mail.docx", "A 50826-2024")</f>
        <v/>
      </c>
      <c r="AC177">
        <f>HYPERLINK("https://klasma.github.io/Logging_2481/tillsyn/A 50826-2024 tillsynsbegäran.docx", "A 50826-2024")</f>
        <v/>
      </c>
      <c r="AD177">
        <f>HYPERLINK("https://klasma.github.io/Logging_2481/tillsynsmail/A 50826-2024 tillsynsbegäran mail.docx", "A 50826-2024")</f>
        <v/>
      </c>
    </row>
    <row r="178" ht="15" customHeight="1">
      <c r="A178" t="inlineStr">
        <is>
          <t>A 34789-2026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46258</v>
      </c>
      <c r="E178" s="1" t="n">
        <v>46284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7.7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34789-2026 artfynd.xlsx", "A 34789-2026")</f>
        <v/>
      </c>
      <c r="X178">
        <f>HYPERLINK("https://klasma.github.io/Logging_2481/kartor/A 34789-2026 karta.png", "A 34789-2026")</f>
        <v/>
      </c>
      <c r="Y178">
        <f>HYPERLINK("https://klasma.github.io/Logging_2481/kartor_geotiff/A 34789-2026 georefererad karta.tif", "A 34789-2026")</f>
        <v/>
      </c>
      <c r="Z178">
        <f>HYPERLINK("https://klasma.github.io/Logging_2481/knärot/A 34789-2026 karta knärot.png", "A 34789-2026")</f>
        <v/>
      </c>
      <c r="AA178">
        <f>HYPERLINK("https://klasma.github.io/Logging_2481/klagomål/A 34789-2026 FSC-klagomål.docx", "A 34789-2026")</f>
        <v/>
      </c>
      <c r="AB178">
        <f>HYPERLINK("https://klasma.github.io/Logging_2481/klagomålsmail/A 34789-2026 FSC-klagomål mail.docx", "A 34789-2026")</f>
        <v/>
      </c>
      <c r="AC178">
        <f>HYPERLINK("https://klasma.github.io/Logging_2481/tillsyn/A 34789-2026 tillsynsbegäran.docx", "A 34789-2026")</f>
        <v/>
      </c>
      <c r="AD178">
        <f>HYPERLINK("https://klasma.github.io/Logging_2481/tillsynsmail/A 34789-2026 tillsynsbegäran mail.docx", "A 34789-2026")</f>
        <v/>
      </c>
    </row>
    <row r="179" ht="15" customHeight="1">
      <c r="A179" t="inlineStr">
        <is>
          <t>A 30994-2026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46213</v>
      </c>
      <c r="E179" s="1" t="n">
        <v>46284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Violettgrå tagellav</t>
        </is>
      </c>
      <c r="W179">
        <f>HYPERLINK("https://klasma.github.io/Logging_2481/artfynd/A 30994-2026 artfynd.xlsx", "A 30994-2026")</f>
        <v/>
      </c>
      <c r="X179">
        <f>HYPERLINK("https://klasma.github.io/Logging_2481/kartor/A 30994-2026 karta.png", "A 30994-2026")</f>
        <v/>
      </c>
      <c r="Y179">
        <f>HYPERLINK("https://klasma.github.io/Logging_2481/kartor_geotiff/A 30994-2026 georefererad karta.tif", "A 30994-2026")</f>
        <v/>
      </c>
      <c r="AA179">
        <f>HYPERLINK("https://klasma.github.io/Logging_2481/klagomål/A 30994-2026 FSC-klagomål.docx", "A 30994-2026")</f>
        <v/>
      </c>
      <c r="AB179">
        <f>HYPERLINK("https://klasma.github.io/Logging_2481/klagomålsmail/A 30994-2026 FSC-klagomål mail.docx", "A 30994-2026")</f>
        <v/>
      </c>
      <c r="AC179">
        <f>HYPERLINK("https://klasma.github.io/Logging_2481/tillsyn/A 30994-2026 tillsynsbegäran.docx", "A 30994-2026")</f>
        <v/>
      </c>
      <c r="AD179">
        <f>HYPERLINK("https://klasma.github.io/Logging_2481/tillsynsmail/A 30994-2026 tillsynsbegäran mail.docx", "A 30994-2026")</f>
        <v/>
      </c>
    </row>
    <row r="180" ht="15" customHeight="1">
      <c r="A180" t="inlineStr">
        <is>
          <t>A 31290-2026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46218</v>
      </c>
      <c r="E180" s="1" t="n">
        <v>46284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10.8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Kolflarnlav</t>
        </is>
      </c>
      <c r="W180">
        <f>HYPERLINK("https://klasma.github.io/Logging_2481/artfynd/A 31290-2026 artfynd.xlsx", "A 31290-2026")</f>
        <v/>
      </c>
      <c r="X180">
        <f>HYPERLINK("https://klasma.github.io/Logging_2481/kartor/A 31290-2026 karta.png", "A 31290-2026")</f>
        <v/>
      </c>
      <c r="Y180">
        <f>HYPERLINK("https://klasma.github.io/Logging_2481/kartor_geotiff/A 31290-2026 georefererad karta.tif", "A 31290-2026")</f>
        <v/>
      </c>
      <c r="AA180">
        <f>HYPERLINK("https://klasma.github.io/Logging_2481/klagomål/A 31290-2026 FSC-klagomål.docx", "A 31290-2026")</f>
        <v/>
      </c>
      <c r="AB180">
        <f>HYPERLINK("https://klasma.github.io/Logging_2481/klagomålsmail/A 31290-2026 FSC-klagomål mail.docx", "A 31290-2026")</f>
        <v/>
      </c>
      <c r="AC180">
        <f>HYPERLINK("https://klasma.github.io/Logging_2481/tillsyn/A 31290-2026 tillsynsbegäran.docx", "A 31290-2026")</f>
        <v/>
      </c>
      <c r="AD180">
        <f>HYPERLINK("https://klasma.github.io/Logging_2481/tillsynsmail/A 31290-2026 tillsynsbegäran mail.docx", "A 31290-2026")</f>
        <v/>
      </c>
    </row>
    <row r="181" ht="15" customHeight="1">
      <c r="A181" t="inlineStr">
        <is>
          <t>A 35509-2026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46262</v>
      </c>
      <c r="E181" s="1" t="n">
        <v>46284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19.1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Orange taggsvamp</t>
        </is>
      </c>
      <c r="W181">
        <f>HYPERLINK("https://klasma.github.io/Logging_2481/artfynd/A 35509-2026 artfynd.xlsx", "A 35509-2026")</f>
        <v/>
      </c>
      <c r="X181">
        <f>HYPERLINK("https://klasma.github.io/Logging_2481/kartor/A 35509-2026 karta.png", "A 35509-2026")</f>
        <v/>
      </c>
      <c r="Y181">
        <f>HYPERLINK("https://klasma.github.io/Logging_2481/kartor_geotiff/A 35509-2026 georefererad karta.tif", "A 35509-2026")</f>
        <v/>
      </c>
      <c r="AA181">
        <f>HYPERLINK("https://klasma.github.io/Logging_2481/klagomål/A 35509-2026 FSC-klagomål.docx", "A 35509-2026")</f>
        <v/>
      </c>
      <c r="AB181">
        <f>HYPERLINK("https://klasma.github.io/Logging_2481/klagomålsmail/A 35509-2026 FSC-klagomål mail.docx", "A 35509-2026")</f>
        <v/>
      </c>
      <c r="AC181">
        <f>HYPERLINK("https://klasma.github.io/Logging_2481/tillsyn/A 35509-2026 tillsynsbegäran.docx", "A 35509-2026")</f>
        <v/>
      </c>
      <c r="AD181">
        <f>HYPERLINK("https://klasma.github.io/Logging_2481/tillsynsmail/A 35509-2026 tillsynsbegäran mail.docx", "A 35509-2026")</f>
        <v/>
      </c>
    </row>
    <row r="182" ht="15" customHeight="1">
      <c r="A182" t="inlineStr">
        <is>
          <t>A 35751-2026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46284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11.7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Skarp dropptaggsvamp</t>
        </is>
      </c>
      <c r="W182">
        <f>HYPERLINK("https://klasma.github.io/Logging_2481/artfynd/A 35751-2026 artfynd.xlsx", "A 35751-2026")</f>
        <v/>
      </c>
      <c r="X182">
        <f>HYPERLINK("https://klasma.github.io/Logging_2481/kartor/A 35751-2026 karta.png", "A 35751-2026")</f>
        <v/>
      </c>
      <c r="Y182">
        <f>HYPERLINK("https://klasma.github.io/Logging_2481/kartor_geotiff/A 35751-2026 georefererad karta.tif", "A 35751-2026")</f>
        <v/>
      </c>
      <c r="AA182">
        <f>HYPERLINK("https://klasma.github.io/Logging_2481/klagomål/A 35751-2026 FSC-klagomål.docx", "A 35751-2026")</f>
        <v/>
      </c>
      <c r="AB182">
        <f>HYPERLINK("https://klasma.github.io/Logging_2481/klagomålsmail/A 35751-2026 FSC-klagomål mail.docx", "A 35751-2026")</f>
        <v/>
      </c>
      <c r="AC182">
        <f>HYPERLINK("https://klasma.github.io/Logging_2481/tillsyn/A 35751-2026 tillsynsbegäran.docx", "A 35751-2026")</f>
        <v/>
      </c>
      <c r="AD182">
        <f>HYPERLINK("https://klasma.github.io/Logging_2481/tillsynsmail/A 35751-2026 tillsynsbegäran mail.docx", "A 35751-2026")</f>
        <v/>
      </c>
    </row>
    <row r="183" ht="15" customHeight="1">
      <c r="A183" t="inlineStr">
        <is>
          <t>A 496-2024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45299</v>
      </c>
      <c r="E183" s="1" t="n">
        <v>46284</v>
      </c>
      <c r="F183" t="inlineStr">
        <is>
          <t>VÄSTERBOTTENS LÄN</t>
        </is>
      </c>
      <c r="G183" t="inlineStr">
        <is>
          <t>LYCKSELE</t>
        </is>
      </c>
      <c r="I183" t="n">
        <v>5.2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7</v>
      </c>
      <c r="U183" t="n">
        <v>7</v>
      </c>
      <c r="V183" s="2" t="inlineStr">
        <is>
          <t>Tretåig hackspett</t>
        </is>
      </c>
      <c r="W183">
        <f>HYPERLINK("https://klasma.github.io/Logging_2481/artfynd/A 496-2024 artfynd.xlsx", "A 496-2024")</f>
        <v/>
      </c>
      <c r="X183">
        <f>HYPERLINK("https://klasma.github.io/Logging_2481/kartor/A 496-2024 karta.png", "A 496-2024")</f>
        <v/>
      </c>
      <c r="Y183">
        <f>HYPERLINK("https://klasma.github.io/Logging_2481/kartor_geotiff/A 496-2024 georefererad karta.tif", "A 496-2024")</f>
        <v/>
      </c>
      <c r="AA183">
        <f>HYPERLINK("https://klasma.github.io/Logging_2481/klagomål/A 496-2024 FSC-klagomål.docx", "A 496-2024")</f>
        <v/>
      </c>
      <c r="AB183">
        <f>HYPERLINK("https://klasma.github.io/Logging_2481/klagomålsmail/A 496-2024 FSC-klagomål mail.docx", "A 496-2024")</f>
        <v/>
      </c>
      <c r="AC183">
        <f>HYPERLINK("https://klasma.github.io/Logging_2481/tillsyn/A 496-2024 tillsynsbegäran.docx", "A 496-2024")</f>
        <v/>
      </c>
      <c r="AD183">
        <f>HYPERLINK("https://klasma.github.io/Logging_2481/tillsynsmail/A 496-2024 tillsynsbegäran mail.docx", "A 496-2024")</f>
        <v/>
      </c>
      <c r="AE183">
        <f>HYPERLINK("https://klasma.github.io/Logging_2481/fåglar/A 496-2024 prioriterade fågelarter.docx", "A 496-2024")</f>
        <v/>
      </c>
    </row>
    <row r="184" ht="15" customHeight="1">
      <c r="A184" t="inlineStr">
        <is>
          <t>A 37214-2026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46284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1.6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Utter</t>
        </is>
      </c>
      <c r="W184">
        <f>HYPERLINK("https://klasma.github.io/Logging_2481/artfynd/A 37214-2026 artfynd.xlsx", "A 37214-2026")</f>
        <v/>
      </c>
      <c r="X184">
        <f>HYPERLINK("https://klasma.github.io/Logging_2481/kartor/A 37214-2026 karta.png", "A 37214-2026")</f>
        <v/>
      </c>
      <c r="Y184">
        <f>HYPERLINK("https://klasma.github.io/Logging_2481/kartor_geotiff/A 37214-2026 georefererad karta.tif", "A 37214-2026")</f>
        <v/>
      </c>
      <c r="AA184">
        <f>HYPERLINK("https://klasma.github.io/Logging_2481/klagomål/A 37214-2026 FSC-klagomål.docx", "A 37214-2026")</f>
        <v/>
      </c>
      <c r="AB184">
        <f>HYPERLINK("https://klasma.github.io/Logging_2481/klagomålsmail/A 37214-2026 FSC-klagomål mail.docx", "A 37214-2026")</f>
        <v/>
      </c>
      <c r="AC184">
        <f>HYPERLINK("https://klasma.github.io/Logging_2481/tillsyn/A 37214-2026 tillsynsbegäran.docx", "A 37214-2026")</f>
        <v/>
      </c>
      <c r="AD184">
        <f>HYPERLINK("https://klasma.github.io/Logging_2481/tillsynsmail/A 37214-2026 tillsynsbegäran mail.docx", "A 37214-2026")</f>
        <v/>
      </c>
    </row>
    <row r="185" ht="15" customHeight="1">
      <c r="A185" t="inlineStr">
        <is>
          <t>A 37163-2026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46284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37163-2026 artfynd.xlsx", "A 37163-2026")</f>
        <v/>
      </c>
      <c r="X185">
        <f>HYPERLINK("https://klasma.github.io/Logging_2481/kartor/A 37163-2026 karta.png", "A 37163-2026")</f>
        <v/>
      </c>
      <c r="Y185">
        <f>HYPERLINK("https://klasma.github.io/Logging_2481/kartor_geotiff/A 37163-2026 georefererad karta.tif", "A 37163-2026")</f>
        <v/>
      </c>
      <c r="AA185">
        <f>HYPERLINK("https://klasma.github.io/Logging_2481/klagomål/A 37163-2026 FSC-klagomål.docx", "A 37163-2026")</f>
        <v/>
      </c>
      <c r="AB185">
        <f>HYPERLINK("https://klasma.github.io/Logging_2481/klagomålsmail/A 37163-2026 FSC-klagomål mail.docx", "A 37163-2026")</f>
        <v/>
      </c>
      <c r="AC185">
        <f>HYPERLINK("https://klasma.github.io/Logging_2481/tillsyn/A 37163-2026 tillsynsbegäran.docx", "A 37163-2026")</f>
        <v/>
      </c>
      <c r="AD185">
        <f>HYPERLINK("https://klasma.github.io/Logging_2481/tillsynsmail/A 37163-2026 tillsynsbegäran mail.docx", "A 37163-2026")</f>
        <v/>
      </c>
    </row>
    <row r="186" ht="15" customHeight="1">
      <c r="A186" t="inlineStr">
        <is>
          <t>A 22373-2025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45786</v>
      </c>
      <c r="E186" s="1" t="n">
        <v>46284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Holmen skog AB</t>
        </is>
      </c>
      <c r="I186" t="n">
        <v>5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0</v>
      </c>
      <c r="V186" s="2" t="inlineStr">
        <is>
          <t>Garnlav</t>
        </is>
      </c>
      <c r="W186">
        <f>HYPERLINK("https://klasma.github.io/Logging_2481/artfynd/A 22373-2025 artfynd.xlsx", "A 22373-2025")</f>
        <v/>
      </c>
      <c r="X186">
        <f>HYPERLINK("https://klasma.github.io/Logging_2481/kartor/A 22373-2025 karta.png", "A 22373-2025")</f>
        <v/>
      </c>
      <c r="Y186">
        <f>HYPERLINK("https://klasma.github.io/Logging_2481/kartor_geotiff/A 22373-2025 georefererad karta.tif", "A 22373-2025")</f>
        <v/>
      </c>
      <c r="AA186">
        <f>HYPERLINK("https://klasma.github.io/Logging_2481/klagomål/A 22373-2025 FSC-klagomål.docx", "A 22373-2025")</f>
        <v/>
      </c>
      <c r="AB186">
        <f>HYPERLINK("https://klasma.github.io/Logging_2481/klagomålsmail/A 22373-2025 FSC-klagomål mail.docx", "A 22373-2025")</f>
        <v/>
      </c>
      <c r="AC186">
        <f>HYPERLINK("https://klasma.github.io/Logging_2481/tillsyn/A 22373-2025 tillsynsbegäran.docx", "A 22373-2025")</f>
        <v/>
      </c>
      <c r="AD186">
        <f>HYPERLINK("https://klasma.github.io/Logging_2481/tillsynsmail/A 22373-2025 tillsynsbegäran mail.docx", "A 22373-2025")</f>
        <v/>
      </c>
    </row>
    <row r="187" ht="15" customHeight="1">
      <c r="A187" t="inlineStr">
        <is>
          <t>A 38104-2026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46281</v>
      </c>
      <c r="E187" s="1" t="n">
        <v>46284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16.3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Skrovellav</t>
        </is>
      </c>
      <c r="W187">
        <f>HYPERLINK("https://klasma.github.io/Logging_2481/artfynd/A 38104-2026 artfynd.xlsx", "A 38104-2026")</f>
        <v/>
      </c>
      <c r="X187">
        <f>HYPERLINK("https://klasma.github.io/Logging_2481/kartor/A 38104-2026 karta.png", "A 38104-2026")</f>
        <v/>
      </c>
      <c r="Y187">
        <f>HYPERLINK("https://klasma.github.io/Logging_2481/kartor_geotiff/A 38104-2026 georefererad karta.tif", "A 38104-2026")</f>
        <v/>
      </c>
      <c r="AA187">
        <f>HYPERLINK("https://klasma.github.io/Logging_2481/klagomål/A 38104-2026 FSC-klagomål.docx", "A 38104-2026")</f>
        <v/>
      </c>
      <c r="AB187">
        <f>HYPERLINK("https://klasma.github.io/Logging_2481/klagomålsmail/A 38104-2026 FSC-klagomål mail.docx", "A 38104-2026")</f>
        <v/>
      </c>
      <c r="AC187">
        <f>HYPERLINK("https://klasma.github.io/Logging_2481/tillsyn/A 38104-2026 tillsynsbegäran.docx", "A 38104-2026")</f>
        <v/>
      </c>
      <c r="AD187">
        <f>HYPERLINK("https://klasma.github.io/Logging_2481/tillsynsmail/A 38104-2026 tillsynsbegäran mail.docx", "A 38104-2026")</f>
        <v/>
      </c>
    </row>
    <row r="188" ht="15" customHeight="1">
      <c r="A188" t="inlineStr">
        <is>
          <t>A 37951-2026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46280</v>
      </c>
      <c r="E188" s="1" t="n">
        <v>46284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15.9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Lunglav</t>
        </is>
      </c>
      <c r="W188">
        <f>HYPERLINK("https://klasma.github.io/Logging_2481/artfynd/A 37951-2026 artfynd.xlsx", "A 37951-2026")</f>
        <v/>
      </c>
      <c r="X188">
        <f>HYPERLINK("https://klasma.github.io/Logging_2481/kartor/A 37951-2026 karta.png", "A 37951-2026")</f>
        <v/>
      </c>
      <c r="Y188">
        <f>HYPERLINK("https://klasma.github.io/Logging_2481/kartor_geotiff/A 37951-2026 georefererad karta.tif", "A 37951-2026")</f>
        <v/>
      </c>
      <c r="AA188">
        <f>HYPERLINK("https://klasma.github.io/Logging_2481/klagomål/A 37951-2026 FSC-klagomål.docx", "A 37951-2026")</f>
        <v/>
      </c>
      <c r="AB188">
        <f>HYPERLINK("https://klasma.github.io/Logging_2481/klagomålsmail/A 37951-2026 FSC-klagomål mail.docx", "A 37951-2026")</f>
        <v/>
      </c>
      <c r="AC188">
        <f>HYPERLINK("https://klasma.github.io/Logging_2481/tillsyn/A 37951-2026 tillsynsbegäran.docx", "A 37951-2026")</f>
        <v/>
      </c>
      <c r="AD188">
        <f>HYPERLINK("https://klasma.github.io/Logging_2481/tillsynsmail/A 37951-2026 tillsynsbegäran mail.docx", "A 37951-2026")</f>
        <v/>
      </c>
    </row>
    <row r="189" ht="15" customHeight="1">
      <c r="A189" t="inlineStr">
        <is>
          <t>A 38263-2026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46284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13.1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38263-2026 artfynd.xlsx", "A 38263-2026")</f>
        <v/>
      </c>
      <c r="X189">
        <f>HYPERLINK("https://klasma.github.io/Logging_2481/kartor/A 38263-2026 karta.png", "A 38263-2026")</f>
        <v/>
      </c>
      <c r="Y189">
        <f>HYPERLINK("https://klasma.github.io/Logging_2481/kartor_geotiff/A 38263-2026 georefererad karta.tif", "A 38263-2026")</f>
        <v/>
      </c>
      <c r="AA189">
        <f>HYPERLINK("https://klasma.github.io/Logging_2481/klagomål/A 38263-2026 FSC-klagomål.docx", "A 38263-2026")</f>
        <v/>
      </c>
      <c r="AB189">
        <f>HYPERLINK("https://klasma.github.io/Logging_2481/klagomålsmail/A 38263-2026 FSC-klagomål mail.docx", "A 38263-2026")</f>
        <v/>
      </c>
      <c r="AC189">
        <f>HYPERLINK("https://klasma.github.io/Logging_2481/tillsyn/A 38263-2026 tillsynsbegäran.docx", "A 38263-2026")</f>
        <v/>
      </c>
      <c r="AD189">
        <f>HYPERLINK("https://klasma.github.io/Logging_2481/tillsynsmail/A 38263-2026 tillsynsbegäran mail.docx", "A 38263-2026")</f>
        <v/>
      </c>
    </row>
    <row r="190" ht="15" customHeight="1">
      <c r="A190" t="inlineStr">
        <is>
          <t>A 32246-2026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46237</v>
      </c>
      <c r="E190" s="1" t="n">
        <v>46284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32246-2026 artfynd.xlsx", "A 32246-2026")</f>
        <v/>
      </c>
      <c r="X190">
        <f>HYPERLINK("https://klasma.github.io/Logging_2481/kartor/A 32246-2026 karta.png", "A 32246-2026")</f>
        <v/>
      </c>
      <c r="Y190">
        <f>HYPERLINK("https://klasma.github.io/Logging_2481/kartor_geotiff/A 32246-2026 georefererad karta.tif", "A 32246-2026")</f>
        <v/>
      </c>
      <c r="AA190">
        <f>HYPERLINK("https://klasma.github.io/Logging_2481/klagomål/A 32246-2026 FSC-klagomål.docx", "A 32246-2026")</f>
        <v/>
      </c>
      <c r="AB190">
        <f>HYPERLINK("https://klasma.github.io/Logging_2481/klagomålsmail/A 32246-2026 FSC-klagomål mail.docx", "A 32246-2026")</f>
        <v/>
      </c>
      <c r="AC190">
        <f>HYPERLINK("https://klasma.github.io/Logging_2481/tillsyn/A 32246-2026 tillsynsbegäran.docx", "A 32246-2026")</f>
        <v/>
      </c>
      <c r="AD190">
        <f>HYPERLINK("https://klasma.github.io/Logging_2481/tillsynsmail/A 32246-2026 tillsynsbegäran mail.docx", "A 32246-2026")</f>
        <v/>
      </c>
    </row>
    <row r="191" ht="15" customHeight="1">
      <c r="A191" t="inlineStr">
        <is>
          <t>A 53226-2022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44876</v>
      </c>
      <c r="E191" s="1" t="n">
        <v>46284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10.5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Ängsmetallvinge</t>
        </is>
      </c>
      <c r="W191">
        <f>HYPERLINK("https://klasma.github.io/Logging_2481/artfynd/A 53226-2022 artfynd.xlsx", "A 53226-2022")</f>
        <v/>
      </c>
      <c r="X191">
        <f>HYPERLINK("https://klasma.github.io/Logging_2481/kartor/A 53226-2022 karta.png", "A 53226-2022")</f>
        <v/>
      </c>
      <c r="Y191">
        <f>HYPERLINK("https://klasma.github.io/Logging_2481/kartor_geotiff/A 53226-2022 georefererad karta.tif", "A 53226-2022")</f>
        <v/>
      </c>
      <c r="AA191">
        <f>HYPERLINK("https://klasma.github.io/Logging_2481/klagomål/A 53226-2022 FSC-klagomål.docx", "A 53226-2022")</f>
        <v/>
      </c>
      <c r="AB191">
        <f>HYPERLINK("https://klasma.github.io/Logging_2481/klagomålsmail/A 53226-2022 FSC-klagomål mail.docx", "A 53226-2022")</f>
        <v/>
      </c>
      <c r="AC191">
        <f>HYPERLINK("https://klasma.github.io/Logging_2481/tillsyn/A 53226-2022 tillsynsbegäran.docx", "A 53226-2022")</f>
        <v/>
      </c>
      <c r="AD191">
        <f>HYPERLINK("https://klasma.github.io/Logging_2481/tillsynsmail/A 53226-2022 tillsynsbegäran mail.docx", "A 53226-2022")</f>
        <v/>
      </c>
    </row>
    <row r="192" ht="15" customHeight="1">
      <c r="A192" t="inlineStr">
        <is>
          <t>A 32612-2026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46284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32612-2026 artfynd.xlsx", "A 32612-2026")</f>
        <v/>
      </c>
      <c r="X192">
        <f>HYPERLINK("https://klasma.github.io/Logging_2481/kartor/A 32612-2026 karta.png", "A 32612-2026")</f>
        <v/>
      </c>
      <c r="Y192">
        <f>HYPERLINK("https://klasma.github.io/Logging_2481/kartor_geotiff/A 32612-2026 georefererad karta.tif", "A 32612-2026")</f>
        <v/>
      </c>
      <c r="AA192">
        <f>HYPERLINK("https://klasma.github.io/Logging_2481/klagomål/A 32612-2026 FSC-klagomål.docx", "A 32612-2026")</f>
        <v/>
      </c>
      <c r="AB192">
        <f>HYPERLINK("https://klasma.github.io/Logging_2481/klagomålsmail/A 32612-2026 FSC-klagomål mail.docx", "A 32612-2026")</f>
        <v/>
      </c>
      <c r="AC192">
        <f>HYPERLINK("https://klasma.github.io/Logging_2481/tillsyn/A 32612-2026 tillsynsbegäran.docx", "A 32612-2026")</f>
        <v/>
      </c>
      <c r="AD192">
        <f>HYPERLINK("https://klasma.github.io/Logging_2481/tillsynsmail/A 32612-2026 tillsynsbegäran mail.docx", "A 32612-2026")</f>
        <v/>
      </c>
    </row>
    <row r="193" ht="15" customHeight="1">
      <c r="A193" t="inlineStr">
        <is>
          <t>A 32686-2026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46284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17.4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Doftticka</t>
        </is>
      </c>
      <c r="W193">
        <f>HYPERLINK("https://klasma.github.io/Logging_2481/artfynd/A 32686-2026 artfynd.xlsx", "A 32686-2026")</f>
        <v/>
      </c>
      <c r="X193">
        <f>HYPERLINK("https://klasma.github.io/Logging_2481/kartor/A 32686-2026 karta.png", "A 32686-2026")</f>
        <v/>
      </c>
      <c r="Y193">
        <f>HYPERLINK("https://klasma.github.io/Logging_2481/kartor_geotiff/A 32686-2026 georefererad karta.tif", "A 32686-2026")</f>
        <v/>
      </c>
      <c r="AA193">
        <f>HYPERLINK("https://klasma.github.io/Logging_2481/klagomål/A 32686-2026 FSC-klagomål.docx", "A 32686-2026")</f>
        <v/>
      </c>
      <c r="AB193">
        <f>HYPERLINK("https://klasma.github.io/Logging_2481/klagomålsmail/A 32686-2026 FSC-klagomål mail.docx", "A 32686-2026")</f>
        <v/>
      </c>
      <c r="AC193">
        <f>HYPERLINK("https://klasma.github.io/Logging_2481/tillsyn/A 32686-2026 tillsynsbegäran.docx", "A 32686-2026")</f>
        <v/>
      </c>
      <c r="AD193">
        <f>HYPERLINK("https://klasma.github.io/Logging_2481/tillsynsmail/A 32686-2026 tillsynsbegäran mail.docx", "A 32686-2026")</f>
        <v/>
      </c>
    </row>
    <row r="194" ht="15" customHeight="1">
      <c r="A194" t="inlineStr">
        <is>
          <t>A 7768-2023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46284</v>
      </c>
      <c r="F194" t="inlineStr">
        <is>
          <t>VÄSTERBOTTENS LÄN</t>
        </is>
      </c>
      <c r="G194" t="inlineStr">
        <is>
          <t>LYCKSELE</t>
        </is>
      </c>
      <c r="I194" t="n">
        <v>2.3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Knärot</t>
        </is>
      </c>
      <c r="W194">
        <f>HYPERLINK("https://klasma.github.io/Logging_2481/artfynd/A 7768-2023 artfynd.xlsx", "A 7768-2023")</f>
        <v/>
      </c>
      <c r="X194">
        <f>HYPERLINK("https://klasma.github.io/Logging_2481/kartor/A 7768-2023 karta.png", "A 7768-2023")</f>
        <v/>
      </c>
      <c r="Y194">
        <f>HYPERLINK("https://klasma.github.io/Logging_2481/kartor_geotiff/A 7768-2023 georefererad karta.tif", "A 7768-2023")</f>
        <v/>
      </c>
      <c r="Z194">
        <f>HYPERLINK("https://klasma.github.io/Logging_2481/knärot/A 7768-2023 karta knärot.png", "A 7768-2023")</f>
        <v/>
      </c>
      <c r="AA194">
        <f>HYPERLINK("https://klasma.github.io/Logging_2481/klagomål/A 7768-2023 FSC-klagomål.docx", "A 7768-2023")</f>
        <v/>
      </c>
      <c r="AB194">
        <f>HYPERLINK("https://klasma.github.io/Logging_2481/klagomålsmail/A 7768-2023 FSC-klagomål mail.docx", "A 7768-2023")</f>
        <v/>
      </c>
      <c r="AC194">
        <f>HYPERLINK("https://klasma.github.io/Logging_2481/tillsyn/A 7768-2023 tillsynsbegäran.docx", "A 7768-2023")</f>
        <v/>
      </c>
      <c r="AD194">
        <f>HYPERLINK("https://klasma.github.io/Logging_2481/tillsynsmail/A 7768-2023 tillsynsbegäran mail.docx", "A 7768-2023")</f>
        <v/>
      </c>
    </row>
    <row r="195" ht="15" customHeight="1">
      <c r="A195" t="inlineStr">
        <is>
          <t>A 30515-2025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46284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8.1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Ullticka</t>
        </is>
      </c>
      <c r="W195">
        <f>HYPERLINK("https://klasma.github.io/Logging_2481/artfynd/A 30515-2025 artfynd.xlsx", "A 30515-2025")</f>
        <v/>
      </c>
      <c r="X195">
        <f>HYPERLINK("https://klasma.github.io/Logging_2481/kartor/A 30515-2025 karta.png", "A 30515-2025")</f>
        <v/>
      </c>
      <c r="Y195">
        <f>HYPERLINK("https://klasma.github.io/Logging_2481/kartor_geotiff/A 30515-2025 georefererad karta.tif", "A 30515-2025")</f>
        <v/>
      </c>
      <c r="AA195">
        <f>HYPERLINK("https://klasma.github.io/Logging_2481/klagomål/A 30515-2025 FSC-klagomål.docx", "A 30515-2025")</f>
        <v/>
      </c>
      <c r="AB195">
        <f>HYPERLINK("https://klasma.github.io/Logging_2481/klagomålsmail/A 30515-2025 FSC-klagomål mail.docx", "A 30515-2025")</f>
        <v/>
      </c>
      <c r="AC195">
        <f>HYPERLINK("https://klasma.github.io/Logging_2481/tillsyn/A 30515-2025 tillsynsbegäran.docx", "A 30515-2025")</f>
        <v/>
      </c>
      <c r="AD195">
        <f>HYPERLINK("https://klasma.github.io/Logging_2481/tillsynsmail/A 30515-2025 tillsynsbegäran mail.docx", "A 30515-2025")</f>
        <v/>
      </c>
    </row>
    <row r="196" ht="15" customHeight="1">
      <c r="A196" t="inlineStr">
        <is>
          <t>A 33346-2025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46284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7.8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Doftskinn</t>
        </is>
      </c>
      <c r="W196">
        <f>HYPERLINK("https://klasma.github.io/Logging_2481/artfynd/A 33346-2025 artfynd.xlsx", "A 33346-2025")</f>
        <v/>
      </c>
      <c r="X196">
        <f>HYPERLINK("https://klasma.github.io/Logging_2481/kartor/A 33346-2025 karta.png", "A 33346-2025")</f>
        <v/>
      </c>
      <c r="Y196">
        <f>HYPERLINK("https://klasma.github.io/Logging_2481/kartor_geotiff/A 33346-2025 georefererad karta.tif", "A 33346-2025")</f>
        <v/>
      </c>
      <c r="AA196">
        <f>HYPERLINK("https://klasma.github.io/Logging_2481/klagomål/A 33346-2025 FSC-klagomål.docx", "A 33346-2025")</f>
        <v/>
      </c>
      <c r="AB196">
        <f>HYPERLINK("https://klasma.github.io/Logging_2481/klagomålsmail/A 33346-2025 FSC-klagomål mail.docx", "A 33346-2025")</f>
        <v/>
      </c>
      <c r="AC196">
        <f>HYPERLINK("https://klasma.github.io/Logging_2481/tillsyn/A 33346-2025 tillsynsbegäran.docx", "A 33346-2025")</f>
        <v/>
      </c>
      <c r="AD196">
        <f>HYPERLINK("https://klasma.github.io/Logging_2481/tillsynsmail/A 33346-2025 tillsynsbegäran mail.docx", "A 33346-2025")</f>
        <v/>
      </c>
    </row>
    <row r="197" ht="15" customHeight="1">
      <c r="A197" t="inlineStr">
        <is>
          <t>A 34958-2025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45849</v>
      </c>
      <c r="E197" s="1" t="n">
        <v>46284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4.1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Spillkråka</t>
        </is>
      </c>
      <c r="W197">
        <f>HYPERLINK("https://klasma.github.io/Logging_2481/artfynd/A 34958-2025 artfynd.xlsx", "A 34958-2025")</f>
        <v/>
      </c>
      <c r="X197">
        <f>HYPERLINK("https://klasma.github.io/Logging_2481/kartor/A 34958-2025 karta.png", "A 34958-2025")</f>
        <v/>
      </c>
      <c r="Y197">
        <f>HYPERLINK("https://klasma.github.io/Logging_2481/kartor_geotiff/A 34958-2025 georefererad karta.tif", "A 34958-2025")</f>
        <v/>
      </c>
      <c r="AA197">
        <f>HYPERLINK("https://klasma.github.io/Logging_2481/klagomål/A 34958-2025 FSC-klagomål.docx", "A 34958-2025")</f>
        <v/>
      </c>
      <c r="AB197">
        <f>HYPERLINK("https://klasma.github.io/Logging_2481/klagomålsmail/A 34958-2025 FSC-klagomål mail.docx", "A 34958-2025")</f>
        <v/>
      </c>
      <c r="AC197">
        <f>HYPERLINK("https://klasma.github.io/Logging_2481/tillsyn/A 34958-2025 tillsynsbegäran.docx", "A 34958-2025")</f>
        <v/>
      </c>
      <c r="AD197">
        <f>HYPERLINK("https://klasma.github.io/Logging_2481/tillsynsmail/A 34958-2025 tillsynsbegäran mail.docx", "A 34958-2025")</f>
        <v/>
      </c>
      <c r="AE197">
        <f>HYPERLINK("https://klasma.github.io/Logging_2481/fåglar/A 34958-2025 prioriterade fågelarter.docx", "A 34958-2025")</f>
        <v/>
      </c>
    </row>
    <row r="198" ht="15" customHeight="1">
      <c r="A198" t="inlineStr">
        <is>
          <t>A 35239-2025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45853</v>
      </c>
      <c r="E198" s="1" t="n">
        <v>46284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8.699999999999999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Gammelgransskål</t>
        </is>
      </c>
      <c r="W198">
        <f>HYPERLINK("https://klasma.github.io/Logging_2481/artfynd/A 35239-2025 artfynd.xlsx", "A 35239-2025")</f>
        <v/>
      </c>
      <c r="X198">
        <f>HYPERLINK("https://klasma.github.io/Logging_2481/kartor/A 35239-2025 karta.png", "A 35239-2025")</f>
        <v/>
      </c>
      <c r="Y198">
        <f>HYPERLINK("https://klasma.github.io/Logging_2481/kartor_geotiff/A 35239-2025 georefererad karta.tif", "A 35239-2025")</f>
        <v/>
      </c>
      <c r="AA198">
        <f>HYPERLINK("https://klasma.github.io/Logging_2481/klagomål/A 35239-2025 FSC-klagomål.docx", "A 35239-2025")</f>
        <v/>
      </c>
      <c r="AB198">
        <f>HYPERLINK("https://klasma.github.io/Logging_2481/klagomålsmail/A 35239-2025 FSC-klagomål mail.docx", "A 35239-2025")</f>
        <v/>
      </c>
      <c r="AC198">
        <f>HYPERLINK("https://klasma.github.io/Logging_2481/tillsyn/A 35239-2025 tillsynsbegäran.docx", "A 35239-2025")</f>
        <v/>
      </c>
      <c r="AD198">
        <f>HYPERLINK("https://klasma.github.io/Logging_2481/tillsynsmail/A 35239-2025 tillsynsbegäran mail.docx", "A 35239-2025")</f>
        <v/>
      </c>
    </row>
    <row r="199" ht="15" customHeight="1">
      <c r="A199" t="inlineStr">
        <is>
          <t>A 35226-2025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45853</v>
      </c>
      <c r="E199" s="1" t="n">
        <v>46284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14.7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Tretåig hackspett</t>
        </is>
      </c>
      <c r="W199">
        <f>HYPERLINK("https://klasma.github.io/Logging_2481/artfynd/A 35226-2025 artfynd.xlsx", "A 35226-2025")</f>
        <v/>
      </c>
      <c r="X199">
        <f>HYPERLINK("https://klasma.github.io/Logging_2481/kartor/A 35226-2025 karta.png", "A 35226-2025")</f>
        <v/>
      </c>
      <c r="Y199">
        <f>HYPERLINK("https://klasma.github.io/Logging_2481/kartor_geotiff/A 35226-2025 georefererad karta.tif", "A 35226-2025")</f>
        <v/>
      </c>
      <c r="AA199">
        <f>HYPERLINK("https://klasma.github.io/Logging_2481/klagomål/A 35226-2025 FSC-klagomål.docx", "A 35226-2025")</f>
        <v/>
      </c>
      <c r="AB199">
        <f>HYPERLINK("https://klasma.github.io/Logging_2481/klagomålsmail/A 35226-2025 FSC-klagomål mail.docx", "A 35226-2025")</f>
        <v/>
      </c>
      <c r="AC199">
        <f>HYPERLINK("https://klasma.github.io/Logging_2481/tillsyn/A 35226-2025 tillsynsbegäran.docx", "A 35226-2025")</f>
        <v/>
      </c>
      <c r="AD199">
        <f>HYPERLINK("https://klasma.github.io/Logging_2481/tillsynsmail/A 35226-2025 tillsynsbegäran mail.docx", "A 35226-2025")</f>
        <v/>
      </c>
      <c r="AE199">
        <f>HYPERLINK("https://klasma.github.io/Logging_2481/fåglar/A 35226-2025 prioriterade fågelarter.docx", "A 35226-2025")</f>
        <v/>
      </c>
    </row>
    <row r="200" ht="15" customHeight="1">
      <c r="A200" t="inlineStr">
        <is>
          <t>A 7398-2025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45705</v>
      </c>
      <c r="E200" s="1" t="n">
        <v>46284</v>
      </c>
      <c r="F200" t="inlineStr">
        <is>
          <t>VÄSTERBOTTENS LÄN</t>
        </is>
      </c>
      <c r="G200" t="inlineStr">
        <is>
          <t>LYCKSELE</t>
        </is>
      </c>
      <c r="I200" t="n">
        <v>2.4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Gråspett</t>
        </is>
      </c>
      <c r="W200">
        <f>HYPERLINK("https://klasma.github.io/Logging_2481/artfynd/A 7398-2025 artfynd.xlsx", "A 7398-2025")</f>
        <v/>
      </c>
      <c r="X200">
        <f>HYPERLINK("https://klasma.github.io/Logging_2481/kartor/A 7398-2025 karta.png", "A 7398-2025")</f>
        <v/>
      </c>
      <c r="Y200">
        <f>HYPERLINK("https://klasma.github.io/Logging_2481/kartor_geotiff/A 7398-2025 georefererad karta.tif", "A 7398-2025")</f>
        <v/>
      </c>
      <c r="AA200">
        <f>HYPERLINK("https://klasma.github.io/Logging_2481/klagomål/A 7398-2025 FSC-klagomål.docx", "A 7398-2025")</f>
        <v/>
      </c>
      <c r="AB200">
        <f>HYPERLINK("https://klasma.github.io/Logging_2481/klagomålsmail/A 7398-2025 FSC-klagomål mail.docx", "A 7398-2025")</f>
        <v/>
      </c>
      <c r="AC200">
        <f>HYPERLINK("https://klasma.github.io/Logging_2481/tillsyn/A 7398-2025 tillsynsbegäran.docx", "A 7398-2025")</f>
        <v/>
      </c>
      <c r="AD200">
        <f>HYPERLINK("https://klasma.github.io/Logging_2481/tillsynsmail/A 7398-2025 tillsynsbegäran mail.docx", "A 7398-2025")</f>
        <v/>
      </c>
      <c r="AE200">
        <f>HYPERLINK("https://klasma.github.io/Logging_2481/fåglar/A 7398-2025 prioriterade fågelarter.docx", "A 7398-2025")</f>
        <v/>
      </c>
    </row>
    <row r="201" ht="15" customHeight="1">
      <c r="A201" t="inlineStr">
        <is>
          <t>A 35981-2025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45863</v>
      </c>
      <c r="E201" s="1" t="n">
        <v>46284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6.1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Dropptaggsvamp</t>
        </is>
      </c>
      <c r="W201">
        <f>HYPERLINK("https://klasma.github.io/Logging_2481/artfynd/A 35981-2025 artfynd.xlsx", "A 35981-2025")</f>
        <v/>
      </c>
      <c r="X201">
        <f>HYPERLINK("https://klasma.github.io/Logging_2481/kartor/A 35981-2025 karta.png", "A 35981-2025")</f>
        <v/>
      </c>
      <c r="Y201">
        <f>HYPERLINK("https://klasma.github.io/Logging_2481/kartor_geotiff/A 35981-2025 georefererad karta.tif", "A 35981-2025")</f>
        <v/>
      </c>
      <c r="AA201">
        <f>HYPERLINK("https://klasma.github.io/Logging_2481/klagomål/A 35981-2025 FSC-klagomål.docx", "A 35981-2025")</f>
        <v/>
      </c>
      <c r="AB201">
        <f>HYPERLINK("https://klasma.github.io/Logging_2481/klagomålsmail/A 35981-2025 FSC-klagomål mail.docx", "A 35981-2025")</f>
        <v/>
      </c>
      <c r="AC201">
        <f>HYPERLINK("https://klasma.github.io/Logging_2481/tillsyn/A 35981-2025 tillsynsbegäran.docx", "A 35981-2025")</f>
        <v/>
      </c>
      <c r="AD201">
        <f>HYPERLINK("https://klasma.github.io/Logging_2481/tillsynsmail/A 35981-2025 tillsynsbegäran mail.docx", "A 35981-2025")</f>
        <v/>
      </c>
    </row>
    <row r="202" ht="15" customHeight="1">
      <c r="A202" t="inlineStr">
        <is>
          <t>A 36687-2025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46284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Kolflarnlav</t>
        </is>
      </c>
      <c r="W202">
        <f>HYPERLINK("https://klasma.github.io/Logging_2481/artfynd/A 36687-2025 artfynd.xlsx", "A 36687-2025")</f>
        <v/>
      </c>
      <c r="X202">
        <f>HYPERLINK("https://klasma.github.io/Logging_2481/kartor/A 36687-2025 karta.png", "A 36687-2025")</f>
        <v/>
      </c>
      <c r="Y202">
        <f>HYPERLINK("https://klasma.github.io/Logging_2481/kartor_geotiff/A 36687-2025 georefererad karta.tif", "A 36687-2025")</f>
        <v/>
      </c>
      <c r="AA202">
        <f>HYPERLINK("https://klasma.github.io/Logging_2481/klagomål/A 36687-2025 FSC-klagomål.docx", "A 36687-2025")</f>
        <v/>
      </c>
      <c r="AB202">
        <f>HYPERLINK("https://klasma.github.io/Logging_2481/klagomålsmail/A 36687-2025 FSC-klagomål mail.docx", "A 36687-2025")</f>
        <v/>
      </c>
      <c r="AC202">
        <f>HYPERLINK("https://klasma.github.io/Logging_2481/tillsyn/A 36687-2025 tillsynsbegäran.docx", "A 36687-2025")</f>
        <v/>
      </c>
      <c r="AD202">
        <f>HYPERLINK("https://klasma.github.io/Logging_2481/tillsynsmail/A 36687-2025 tillsynsbegäran mail.docx", "A 36687-2025")</f>
        <v/>
      </c>
    </row>
    <row r="203" ht="15" customHeight="1">
      <c r="A203" t="inlineStr">
        <is>
          <t>A 37823-2025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45881</v>
      </c>
      <c r="E203" s="1" t="n">
        <v>46284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2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Plattlummer</t>
        </is>
      </c>
      <c r="W203">
        <f>HYPERLINK("https://klasma.github.io/Logging_2481/artfynd/A 37823-2025 artfynd.xlsx", "A 37823-2025")</f>
        <v/>
      </c>
      <c r="X203">
        <f>HYPERLINK("https://klasma.github.io/Logging_2481/kartor/A 37823-2025 karta.png", "A 37823-2025")</f>
        <v/>
      </c>
      <c r="Y203">
        <f>HYPERLINK("https://klasma.github.io/Logging_2481/kartor_geotiff/A 37823-2025 georefererad karta.tif", "A 37823-2025")</f>
        <v/>
      </c>
      <c r="AA203">
        <f>HYPERLINK("https://klasma.github.io/Logging_2481/klagomål/A 37823-2025 FSC-klagomål.docx", "A 37823-2025")</f>
        <v/>
      </c>
      <c r="AB203">
        <f>HYPERLINK("https://klasma.github.io/Logging_2481/klagomålsmail/A 37823-2025 FSC-klagomål mail.docx", "A 37823-2025")</f>
        <v/>
      </c>
      <c r="AC203">
        <f>HYPERLINK("https://klasma.github.io/Logging_2481/tillsyn/A 37823-2025 tillsynsbegäran.docx", "A 37823-2025")</f>
        <v/>
      </c>
      <c r="AD203">
        <f>HYPERLINK("https://klasma.github.io/Logging_2481/tillsynsmail/A 37823-2025 tillsynsbegäran mail.docx", "A 37823-2025")</f>
        <v/>
      </c>
    </row>
    <row r="204" ht="15" customHeight="1">
      <c r="A204" t="inlineStr">
        <is>
          <t>S 156-2023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44943</v>
      </c>
      <c r="E204" s="1" t="n">
        <v>46284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SCA</t>
        </is>
      </c>
      <c r="I204" t="n">
        <v>356.6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Norrlandslav</t>
        </is>
      </c>
      <c r="W204">
        <f>HYPERLINK("https://klasma.github.io/Logging_2481/artfynd/S 156-2023 artfynd.xlsx", "S 156-2023")</f>
        <v/>
      </c>
      <c r="X204">
        <f>HYPERLINK("https://klasma.github.io/Logging_2481/kartor/S 156-2023 karta.png", "S 156-2023")</f>
        <v/>
      </c>
      <c r="Y204">
        <f>HYPERLINK("https://klasma.github.io/Logging_2481/kartor_geotiff/S 156-2023 georefererad karta.tif", "S 156-2023")</f>
        <v/>
      </c>
      <c r="AA204">
        <f>HYPERLINK("https://klasma.github.io/Logging_2481/klagomål/S 156-2023 FSC-klagomål.docx", "S 156-2023")</f>
        <v/>
      </c>
      <c r="AB204">
        <f>HYPERLINK("https://klasma.github.io/Logging_2481/klagomålsmail/S 156-2023 FSC-klagomål mail.docx", "S 156-2023")</f>
        <v/>
      </c>
      <c r="AC204">
        <f>HYPERLINK("https://klasma.github.io/Logging_2481/tillsyn/S 156-2023 tillsynsbegäran.docx", "S 156-2023")</f>
        <v/>
      </c>
      <c r="AD204">
        <f>HYPERLINK("https://klasma.github.io/Logging_2481/tillsynsmail/S 156-2023 tillsynsbegäran mail.docx", "S 156-2023")</f>
        <v/>
      </c>
    </row>
    <row r="205" ht="15" customHeight="1">
      <c r="A205" t="inlineStr">
        <is>
          <t>S 454-2025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45701</v>
      </c>
      <c r="E205" s="1" t="n">
        <v>46284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74.3</v>
      </c>
      <c r="J205" t="n">
        <v>1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Doftticka</t>
        </is>
      </c>
      <c r="W205">
        <f>HYPERLINK("https://klasma.github.io/Logging_2481/artfynd/S 454-2025 artfynd.xlsx", "S 454-2025")</f>
        <v/>
      </c>
      <c r="X205">
        <f>HYPERLINK("https://klasma.github.io/Logging_2481/kartor/S 454-2025 karta.png", "S 454-2025")</f>
        <v/>
      </c>
      <c r="Y205">
        <f>HYPERLINK("https://klasma.github.io/Logging_2481/kartor_geotiff/S 454-2025 georefererad karta.tif", "S 454-2025")</f>
        <v/>
      </c>
      <c r="AA205">
        <f>HYPERLINK("https://klasma.github.io/Logging_2481/klagomål/S 454-2025 FSC-klagomål.docx", "S 454-2025")</f>
        <v/>
      </c>
      <c r="AB205">
        <f>HYPERLINK("https://klasma.github.io/Logging_2481/klagomålsmail/S 454-2025 FSC-klagomål mail.docx", "S 454-2025")</f>
        <v/>
      </c>
      <c r="AC205">
        <f>HYPERLINK("https://klasma.github.io/Logging_2481/tillsyn/S 454-2025 tillsynsbegäran.docx", "S 454-2025")</f>
        <v/>
      </c>
      <c r="AD205">
        <f>HYPERLINK("https://klasma.github.io/Logging_2481/tillsynsmail/S 454-2025 tillsynsbegäran mail.docx", "S 454-2025")</f>
        <v/>
      </c>
    </row>
    <row r="206" ht="15" customHeight="1">
      <c r="A206" t="inlineStr">
        <is>
          <t>A 36846-2022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44805</v>
      </c>
      <c r="E206" s="1" t="n">
        <v>46284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44567</v>
      </c>
      <c r="E207" s="1" t="n">
        <v>46284</v>
      </c>
      <c r="F207" t="inlineStr">
        <is>
          <t>VÄSTERBOTTENS LÄN</t>
        </is>
      </c>
      <c r="G207" t="inlineStr">
        <is>
          <t>LYCKSELE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57821-2021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44484</v>
      </c>
      <c r="E208" s="1" t="n">
        <v>46284</v>
      </c>
      <c r="F208" t="inlineStr">
        <is>
          <t>VÄSTERBOTTENS LÄN</t>
        </is>
      </c>
      <c r="G208" t="inlineStr">
        <is>
          <t>LYCKSELE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44585</v>
      </c>
      <c r="E209" s="1" t="n">
        <v>46284</v>
      </c>
      <c r="F209" t="inlineStr">
        <is>
          <t>VÄSTERBOTTENS LÄN</t>
        </is>
      </c>
      <c r="G209" t="inlineStr">
        <is>
          <t>LYCKSELE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53979-2021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46284</v>
      </c>
      <c r="F210" t="inlineStr">
        <is>
          <t>VÄSTERBOTTENS LÄN</t>
        </is>
      </c>
      <c r="G210" t="inlineStr">
        <is>
          <t>LYCKSELE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46284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46284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46284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46284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46284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46284</v>
      </c>
      <c r="F216" t="inlineStr">
        <is>
          <t>VÄSTERBOTTENS LÄN</t>
        </is>
      </c>
      <c r="G216" t="inlineStr">
        <is>
          <t>LYCKSELE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55565-2021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44475</v>
      </c>
      <c r="E217" s="1" t="n">
        <v>46284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46284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44622</v>
      </c>
      <c r="E219" s="1" t="n">
        <v>46284</v>
      </c>
      <c r="F219" t="inlineStr">
        <is>
          <t>VÄSTERBOTTENS LÄN</t>
        </is>
      </c>
      <c r="G219" t="inlineStr">
        <is>
          <t>LYCKSELE</t>
        </is>
      </c>
      <c r="I219" t="n">
        <v>13.8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46284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46284</v>
      </c>
      <c r="F221" t="inlineStr">
        <is>
          <t>VÄSTERBOTTENS LÄN</t>
        </is>
      </c>
      <c r="G221" t="inlineStr">
        <is>
          <t>LYCKSELE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46284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44761</v>
      </c>
      <c r="E223" s="1" t="n">
        <v>46284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46284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46284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22075-2022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44711</v>
      </c>
      <c r="E226" s="1" t="n">
        <v>46284</v>
      </c>
      <c r="F226" t="inlineStr">
        <is>
          <t>VÄSTERBOTTENS LÄN</t>
        </is>
      </c>
      <c r="G226" t="inlineStr">
        <is>
          <t>LYCKSELE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46284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46284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46284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46284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65487-2021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46284</v>
      </c>
      <c r="F231" t="inlineStr">
        <is>
          <t>VÄSTERBOTTENS LÄN</t>
        </is>
      </c>
      <c r="G231" t="inlineStr">
        <is>
          <t>LYCKSELE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61651-2021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46284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10.7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54794-2021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44473</v>
      </c>
      <c r="E233" s="1" t="n">
        <v>46284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44783</v>
      </c>
      <c r="E234" s="1" t="n">
        <v>46284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56898-2021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44481</v>
      </c>
      <c r="E235" s="1" t="n">
        <v>46284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Naturvårdsverket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44867</v>
      </c>
      <c r="E236" s="1" t="n">
        <v>46284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44731</v>
      </c>
      <c r="E237" s="1" t="n">
        <v>46284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37423-2022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44809</v>
      </c>
      <c r="E238" s="1" t="n">
        <v>46284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44469</v>
      </c>
      <c r="E239" s="1" t="n">
        <v>46284</v>
      </c>
      <c r="F239" t="inlineStr">
        <is>
          <t>VÄSTERBOTTENS LÄN</t>
        </is>
      </c>
      <c r="G239" t="inlineStr">
        <is>
          <t>LYCKSELE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46284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44673</v>
      </c>
      <c r="E241" s="1" t="n">
        <v>46284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46284</v>
      </c>
      <c r="F242" t="inlineStr">
        <is>
          <t>VÄSTERBOTTENS LÄN</t>
        </is>
      </c>
      <c r="G242" t="inlineStr">
        <is>
          <t>LYCKSELE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46284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46284</v>
      </c>
      <c r="F244" t="inlineStr">
        <is>
          <t>VÄSTERBOTTENS LÄN</t>
        </is>
      </c>
      <c r="G244" t="inlineStr">
        <is>
          <t>LYCKSELE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45964-2022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44846</v>
      </c>
      <c r="E245" s="1" t="n">
        <v>46284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Holmen skog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69627-2021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44532</v>
      </c>
      <c r="E246" s="1" t="n">
        <v>46284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46284</v>
      </c>
      <c r="F247" t="inlineStr">
        <is>
          <t>VÄSTERBOTTENS LÄN</t>
        </is>
      </c>
      <c r="G247" t="inlineStr">
        <is>
          <t>LYCKSELE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44749</v>
      </c>
      <c r="E248" s="1" t="n">
        <v>46284</v>
      </c>
      <c r="F248" t="inlineStr">
        <is>
          <t>VÄSTERBOTTENS LÄN</t>
        </is>
      </c>
      <c r="G248" t="inlineStr">
        <is>
          <t>LYCKSELE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46284</v>
      </c>
      <c r="F249" t="inlineStr">
        <is>
          <t>VÄSTERBOTTENS LÄN</t>
        </is>
      </c>
      <c r="G249" t="inlineStr">
        <is>
          <t>LYCKSELE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46284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46284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69226-2021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44531</v>
      </c>
      <c r="E252" s="1" t="n">
        <v>46284</v>
      </c>
      <c r="F252" t="inlineStr">
        <is>
          <t>VÄSTERBOTTENS LÄN</t>
        </is>
      </c>
      <c r="G252" t="inlineStr">
        <is>
          <t>LYCKSELE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65231-2021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44513</v>
      </c>
      <c r="E253" s="1" t="n">
        <v>46284</v>
      </c>
      <c r="F253" t="inlineStr">
        <is>
          <t>VÄSTERBOTTENS LÄN</t>
        </is>
      </c>
      <c r="G253" t="inlineStr">
        <is>
          <t>LYCKSELE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46284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46284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46284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46284</v>
      </c>
      <c r="F257" t="inlineStr">
        <is>
          <t>VÄSTERBOTTENS LÄN</t>
        </is>
      </c>
      <c r="G257" t="inlineStr">
        <is>
          <t>LYCKSELE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46284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46284</v>
      </c>
      <c r="F259" t="inlineStr">
        <is>
          <t>VÄSTERBOTTENS LÄN</t>
        </is>
      </c>
      <c r="G259" t="inlineStr">
        <is>
          <t>LYCKSELE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44670</v>
      </c>
      <c r="E260" s="1" t="n">
        <v>46284</v>
      </c>
      <c r="F260" t="inlineStr">
        <is>
          <t>VÄSTERBOTTENS LÄN</t>
        </is>
      </c>
      <c r="G260" t="inlineStr">
        <is>
          <t>LYCKSELE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46284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46284</v>
      </c>
      <c r="F262" t="inlineStr">
        <is>
          <t>VÄSTERBOTTENS LÄN</t>
        </is>
      </c>
      <c r="G262" t="inlineStr">
        <is>
          <t>LYCKSELE</t>
        </is>
      </c>
      <c r="I262" t="n">
        <v>10.5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45455</v>
      </c>
      <c r="E263" s="1" t="n">
        <v>46284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53116-2024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46284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41980-2024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46284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45758</v>
      </c>
      <c r="E266" s="1" t="n">
        <v>46284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64346-2023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46284</v>
      </c>
      <c r="F267" t="inlineStr">
        <is>
          <t>VÄSTERBOTTENS LÄN</t>
        </is>
      </c>
      <c r="G267" t="inlineStr">
        <is>
          <t>LYCKSELE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41419-2022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44826</v>
      </c>
      <c r="E268" s="1" t="n">
        <v>46284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Naturvårdsverket</t>
        </is>
      </c>
      <c r="I268" t="n">
        <v>32.1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33706-2024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45520</v>
      </c>
      <c r="E269" s="1" t="n">
        <v>46284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46284</v>
      </c>
      <c r="F270" t="inlineStr">
        <is>
          <t>VÄSTERBOTTENS LÄN</t>
        </is>
      </c>
      <c r="G270" t="inlineStr">
        <is>
          <t>LYCKSELE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16292-2025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45751</v>
      </c>
      <c r="E271" s="1" t="n">
        <v>46284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33716-2024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45520</v>
      </c>
      <c r="E272" s="1" t="n">
        <v>46284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46284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46284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46284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54619-2024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46284</v>
      </c>
      <c r="F276" t="inlineStr">
        <is>
          <t>VÄSTERBOTTENS LÄN</t>
        </is>
      </c>
      <c r="G276" t="inlineStr">
        <is>
          <t>LYCKSELE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34903-2023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45142</v>
      </c>
      <c r="E277" s="1" t="n">
        <v>46284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46284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45107</v>
      </c>
      <c r="E279" s="1" t="n">
        <v>46284</v>
      </c>
      <c r="F279" t="inlineStr">
        <is>
          <t>VÄSTERBOTTENS LÄN</t>
        </is>
      </c>
      <c r="G279" t="inlineStr">
        <is>
          <t>LYCKSELE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45559-2022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44845</v>
      </c>
      <c r="E280" s="1" t="n">
        <v>46284</v>
      </c>
      <c r="F280" t="inlineStr">
        <is>
          <t>VÄSTERBOTTENS LÄN</t>
        </is>
      </c>
      <c r="G280" t="inlineStr">
        <is>
          <t>LYCKSELE</t>
        </is>
      </c>
      <c r="I280" t="n">
        <v>17.8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14623-2025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46284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Naturvårdsverket</t>
        </is>
      </c>
      <c r="I281" t="n">
        <v>10.4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29937-2024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46284</v>
      </c>
      <c r="F282" t="inlineStr">
        <is>
          <t>VÄSTERBOTTENS LÄN</t>
        </is>
      </c>
      <c r="G282" t="inlineStr">
        <is>
          <t>LYCKSELE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45576</v>
      </c>
      <c r="E283" s="1" t="n">
        <v>46284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10.8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47131-2024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45586</v>
      </c>
      <c r="E284" s="1" t="n">
        <v>46284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16504-2025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46284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56401-2021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44477</v>
      </c>
      <c r="E286" s="1" t="n">
        <v>46284</v>
      </c>
      <c r="F286" t="inlineStr">
        <is>
          <t>VÄSTERBOTTENS LÄN</t>
        </is>
      </c>
      <c r="G286" t="inlineStr">
        <is>
          <t>LYCKSELE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53369-2022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44874</v>
      </c>
      <c r="E287" s="1" t="n">
        <v>46284</v>
      </c>
      <c r="F287" t="inlineStr">
        <is>
          <t>VÄSTERBOTTENS LÄN</t>
        </is>
      </c>
      <c r="G287" t="inlineStr">
        <is>
          <t>LYCKSELE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38114-2024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45545</v>
      </c>
      <c r="E288" s="1" t="n">
        <v>46284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12335-2024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45378</v>
      </c>
      <c r="E289" s="1" t="n">
        <v>46284</v>
      </c>
      <c r="F289" t="inlineStr">
        <is>
          <t>VÄSTERBOTTENS LÄN</t>
        </is>
      </c>
      <c r="G289" t="inlineStr">
        <is>
          <t>LYCKSELE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45681</v>
      </c>
      <c r="E290" s="1" t="n">
        <v>46284</v>
      </c>
      <c r="F290" t="inlineStr">
        <is>
          <t>VÄSTERBOTTENS LÄN</t>
        </is>
      </c>
      <c r="G290" t="inlineStr">
        <is>
          <t>LYCKSELE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44571</v>
      </c>
      <c r="E291" s="1" t="n">
        <v>46284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30470-2022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44761</v>
      </c>
      <c r="E292" s="1" t="n">
        <v>46284</v>
      </c>
      <c r="F292" t="inlineStr">
        <is>
          <t>VÄSTERBOTTENS LÄN</t>
        </is>
      </c>
      <c r="G292" t="inlineStr">
        <is>
          <t>LYCKSELE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58439-2022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44901</v>
      </c>
      <c r="E293" s="1" t="n">
        <v>46284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44851</v>
      </c>
      <c r="E294" s="1" t="n">
        <v>46284</v>
      </c>
      <c r="F294" t="inlineStr">
        <is>
          <t>VÄSTERBOTTENS LÄN</t>
        </is>
      </c>
      <c r="G294" t="inlineStr">
        <is>
          <t>LYCKSELE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46284</v>
      </c>
      <c r="F295" t="inlineStr">
        <is>
          <t>VÄSTERBOTTENS LÄN</t>
        </is>
      </c>
      <c r="G295" t="inlineStr">
        <is>
          <t>LYCKSELE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31372-2024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45503</v>
      </c>
      <c r="E296" s="1" t="n">
        <v>46284</v>
      </c>
      <c r="F296" t="inlineStr">
        <is>
          <t>VÄSTERBOTTENS LÄN</t>
        </is>
      </c>
      <c r="G296" t="inlineStr">
        <is>
          <t>LYCKSELE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46284</v>
      </c>
      <c r="F297" t="inlineStr">
        <is>
          <t>VÄSTERBOTTENS LÄN</t>
        </is>
      </c>
      <c r="G297" t="inlineStr">
        <is>
          <t>LYCKSELE</t>
        </is>
      </c>
      <c r="I297" t="n">
        <v>20.5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45544</v>
      </c>
      <c r="E298" s="1" t="n">
        <v>46284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25327-2024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45462</v>
      </c>
      <c r="E299" s="1" t="n">
        <v>46284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44735</v>
      </c>
      <c r="E300" s="1" t="n">
        <v>46284</v>
      </c>
      <c r="F300" t="inlineStr">
        <is>
          <t>VÄSTERBOTTENS LÄN</t>
        </is>
      </c>
      <c r="G300" t="inlineStr">
        <is>
          <t>LYCKSELE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45561</v>
      </c>
      <c r="E301" s="1" t="n">
        <v>46284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24340-2024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45457</v>
      </c>
      <c r="E302" s="1" t="n">
        <v>46284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53035-2023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45226</v>
      </c>
      <c r="E303" s="1" t="n">
        <v>46284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SCA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44952</v>
      </c>
      <c r="E304" s="1" t="n">
        <v>46284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36900-2023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45154</v>
      </c>
      <c r="E305" s="1" t="n">
        <v>46284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Holmen skog AB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16183-2025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45750</v>
      </c>
      <c r="E306" s="1" t="n">
        <v>46284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46284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45629</v>
      </c>
      <c r="E308" s="1" t="n">
        <v>46284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64336-2023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45279</v>
      </c>
      <c r="E309" s="1" t="n">
        <v>46284</v>
      </c>
      <c r="F309" t="inlineStr">
        <is>
          <t>VÄSTERBOTTENS LÄN</t>
        </is>
      </c>
      <c r="G309" t="inlineStr">
        <is>
          <t>LYCKSELE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45694</v>
      </c>
      <c r="E310" s="1" t="n">
        <v>46284</v>
      </c>
      <c r="F310" t="inlineStr">
        <is>
          <t>VÄSTERBOTTENS LÄN</t>
        </is>
      </c>
      <c r="G310" t="inlineStr">
        <is>
          <t>LYCKSELE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35765-2023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45147</v>
      </c>
      <c r="E311" s="1" t="n">
        <v>46284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29543-2023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45106</v>
      </c>
      <c r="E312" s="1" t="n">
        <v>46284</v>
      </c>
      <c r="F312" t="inlineStr">
        <is>
          <t>VÄSTERBOTTENS LÄN</t>
        </is>
      </c>
      <c r="G312" t="inlineStr">
        <is>
          <t>LYCKSELE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43875-2023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45187</v>
      </c>
      <c r="E313" s="1" t="n">
        <v>46284</v>
      </c>
      <c r="F313" t="inlineStr">
        <is>
          <t>VÄSTERBOTTENS LÄN</t>
        </is>
      </c>
      <c r="G313" t="inlineStr">
        <is>
          <t>LYCKSELE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932-2022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44571</v>
      </c>
      <c r="E314" s="1" t="n">
        <v>46284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53323-2021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44468</v>
      </c>
      <c r="E315" s="1" t="n">
        <v>46284</v>
      </c>
      <c r="F315" t="inlineStr">
        <is>
          <t>VÄSTERBOTTENS LÄN</t>
        </is>
      </c>
      <c r="G315" t="inlineStr">
        <is>
          <t>LYCKSELE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45103</v>
      </c>
      <c r="E316" s="1" t="n">
        <v>46284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8.300000000000001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37599-2024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45541</v>
      </c>
      <c r="E317" s="1" t="n">
        <v>46284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Holmen skog AB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2794-2025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45677</v>
      </c>
      <c r="E318" s="1" t="n">
        <v>46284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15239-2025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45744</v>
      </c>
      <c r="E319" s="1" t="n">
        <v>46284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39605-2024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45552</v>
      </c>
      <c r="E320" s="1" t="n">
        <v>46284</v>
      </c>
      <c r="F320" t="inlineStr">
        <is>
          <t>VÄSTERBOTTENS LÄN</t>
        </is>
      </c>
      <c r="G320" t="inlineStr">
        <is>
          <t>LYCKSELE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21660-2023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45063</v>
      </c>
      <c r="E321" s="1" t="n">
        <v>46284</v>
      </c>
      <c r="F321" t="inlineStr">
        <is>
          <t>VÄSTERBOTTENS LÄN</t>
        </is>
      </c>
      <c r="G321" t="inlineStr">
        <is>
          <t>LYCKSELE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44733</v>
      </c>
      <c r="E322" s="1" t="n">
        <v>46284</v>
      </c>
      <c r="F322" t="inlineStr">
        <is>
          <t>VÄSTERBOTTENS LÄN</t>
        </is>
      </c>
      <c r="G322" t="inlineStr">
        <is>
          <t>LYCKSELE</t>
        </is>
      </c>
      <c r="I322" t="n">
        <v>8.199999999999999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30421-2024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45491</v>
      </c>
      <c r="E323" s="1" t="n">
        <v>46284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48542-2023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46284</v>
      </c>
      <c r="F324" t="inlineStr">
        <is>
          <t>VÄSTERBOTTENS LÄN</t>
        </is>
      </c>
      <c r="G324" t="inlineStr">
        <is>
          <t>LYCKSELE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38623-2024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45546</v>
      </c>
      <c r="E325" s="1" t="n">
        <v>46284</v>
      </c>
      <c r="F325" t="inlineStr">
        <is>
          <t>VÄSTERBOTTENS LÄN</t>
        </is>
      </c>
      <c r="G325" t="inlineStr">
        <is>
          <t>LYCKSELE</t>
        </is>
      </c>
      <c r="I325" t="n">
        <v>5.9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45124</v>
      </c>
      <c r="E326" s="1" t="n">
        <v>46284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45652</v>
      </c>
      <c r="E327" s="1" t="n">
        <v>46284</v>
      </c>
      <c r="F327" t="inlineStr">
        <is>
          <t>VÄSTERBOTTENS LÄN</t>
        </is>
      </c>
      <c r="G327" t="inlineStr">
        <is>
          <t>LYCKSELE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8035-2024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45350</v>
      </c>
      <c r="E328" s="1" t="n">
        <v>46284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64668-2023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45281</v>
      </c>
      <c r="E329" s="1" t="n">
        <v>46284</v>
      </c>
      <c r="F329" t="inlineStr">
        <is>
          <t>VÄSTERBOTTENS LÄN</t>
        </is>
      </c>
      <c r="G329" t="inlineStr">
        <is>
          <t>LYCKSELE</t>
        </is>
      </c>
      <c r="I329" t="n">
        <v>5.5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34060-2023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45135</v>
      </c>
      <c r="E330" s="1" t="n">
        <v>46284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44566</v>
      </c>
      <c r="E331" s="1" t="n">
        <v>46284</v>
      </c>
      <c r="F331" t="inlineStr">
        <is>
          <t>VÄSTERBOTTENS LÄN</t>
        </is>
      </c>
      <c r="G331" t="inlineStr">
        <is>
          <t>LYCKSELE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45685</v>
      </c>
      <c r="E332" s="1" t="n">
        <v>46284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45461</v>
      </c>
      <c r="E333" s="1" t="n">
        <v>46284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SCA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46284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SCA</t>
        </is>
      </c>
      <c r="I334" t="n">
        <v>22.9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46284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Naturvårdsverket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37817-2024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46284</v>
      </c>
      <c r="F336" t="inlineStr">
        <is>
          <t>VÄSTERBOTTENS LÄN</t>
        </is>
      </c>
      <c r="G336" t="inlineStr">
        <is>
          <t>LYCKSELE</t>
        </is>
      </c>
      <c r="I336" t="n">
        <v>12.3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37950-2024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45544</v>
      </c>
      <c r="E337" s="1" t="n">
        <v>46284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47182-2024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45586</v>
      </c>
      <c r="E338" s="1" t="n">
        <v>46284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26483-2024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46284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46284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64663-2023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45281</v>
      </c>
      <c r="E341" s="1" t="n">
        <v>46284</v>
      </c>
      <c r="F341" t="inlineStr">
        <is>
          <t>VÄSTERBOTTENS LÄN</t>
        </is>
      </c>
      <c r="G341" t="inlineStr">
        <is>
          <t>LYCKSELE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59209-2024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46284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46284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25170-2024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45462</v>
      </c>
      <c r="E344" s="1" t="n">
        <v>46284</v>
      </c>
      <c r="F344" t="inlineStr">
        <is>
          <t>VÄSTERBOTTENS LÄN</t>
        </is>
      </c>
      <c r="G344" t="inlineStr">
        <is>
          <t>LYCKSELE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45520</v>
      </c>
      <c r="E345" s="1" t="n">
        <v>46284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11626-2024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45373</v>
      </c>
      <c r="E346" s="1" t="n">
        <v>46284</v>
      </c>
      <c r="F346" t="inlineStr">
        <is>
          <t>VÄSTERBOTTENS LÄN</t>
        </is>
      </c>
      <c r="G346" t="inlineStr">
        <is>
          <t>LYCKSELE</t>
        </is>
      </c>
      <c r="I346" t="n">
        <v>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26357-2023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45091</v>
      </c>
      <c r="E347" s="1" t="n">
        <v>46284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45041</v>
      </c>
      <c r="E348" s="1" t="n">
        <v>46284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SCA</t>
        </is>
      </c>
      <c r="I348" t="n">
        <v>22.4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48230-2023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45205</v>
      </c>
      <c r="E349" s="1" t="n">
        <v>46284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16669-2022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44672</v>
      </c>
      <c r="E350" s="1" t="n">
        <v>46284</v>
      </c>
      <c r="F350" t="inlineStr">
        <is>
          <t>VÄSTERBOTTENS LÄN</t>
        </is>
      </c>
      <c r="G350" t="inlineStr">
        <is>
          <t>LYCKSELE</t>
        </is>
      </c>
      <c r="I350" t="n">
        <v>12.8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44465-2022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44840</v>
      </c>
      <c r="E351" s="1" t="n">
        <v>46284</v>
      </c>
      <c r="F351" t="inlineStr">
        <is>
          <t>VÄSTERBOTTENS LÄN</t>
        </is>
      </c>
      <c r="G351" t="inlineStr">
        <is>
          <t>LYCKSELE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13883-2025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45737</v>
      </c>
      <c r="E352" s="1" t="n">
        <v>46284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Naturvårdsverket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44826</v>
      </c>
      <c r="E353" s="1" t="n">
        <v>46284</v>
      </c>
      <c r="F353" t="inlineStr">
        <is>
          <t>VÄSTERBOTTENS LÄN</t>
        </is>
      </c>
      <c r="G353" t="inlineStr">
        <is>
          <t>LYCKSELE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11822-2023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46284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SCA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33704-2024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45520</v>
      </c>
      <c r="E355" s="1" t="n">
        <v>46284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9551-2025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45715</v>
      </c>
      <c r="E356" s="1" t="n">
        <v>46284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22050-2024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45443</v>
      </c>
      <c r="E357" s="1" t="n">
        <v>46284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30401-2023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45103</v>
      </c>
      <c r="E358" s="1" t="n">
        <v>46284</v>
      </c>
      <c r="F358" t="inlineStr">
        <is>
          <t>VÄSTERBOTTENS LÄN</t>
        </is>
      </c>
      <c r="G358" t="inlineStr">
        <is>
          <t>LYCKSELE</t>
        </is>
      </c>
      <c r="I358" t="n">
        <v>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2758-2023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44943</v>
      </c>
      <c r="E359" s="1" t="n">
        <v>46284</v>
      </c>
      <c r="F359" t="inlineStr">
        <is>
          <t>VÄSTERBOTTENS LÄN</t>
        </is>
      </c>
      <c r="G359" t="inlineStr">
        <is>
          <t>LYCKSELE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42208-2022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44830</v>
      </c>
      <c r="E360" s="1" t="n">
        <v>46284</v>
      </c>
      <c r="F360" t="inlineStr">
        <is>
          <t>VÄSTERBOTTENS LÄN</t>
        </is>
      </c>
      <c r="G360" t="inlineStr">
        <is>
          <t>LYCKSELE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8727-2024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45356</v>
      </c>
      <c r="E361" s="1" t="n">
        <v>46284</v>
      </c>
      <c r="F361" t="inlineStr">
        <is>
          <t>VÄSTERBOTTENS LÄN</t>
        </is>
      </c>
      <c r="G361" t="inlineStr">
        <is>
          <t>LYCKSELE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53320-2021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44468</v>
      </c>
      <c r="E362" s="1" t="n">
        <v>46284</v>
      </c>
      <c r="F362" t="inlineStr">
        <is>
          <t>VÄSTERBOTTENS LÄN</t>
        </is>
      </c>
      <c r="G362" t="inlineStr">
        <is>
          <t>LYCKSELE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12430-2025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45730</v>
      </c>
      <c r="E363" s="1" t="n">
        <v>46284</v>
      </c>
      <c r="F363" t="inlineStr">
        <is>
          <t>VÄSTERBOTTENS LÄN</t>
        </is>
      </c>
      <c r="G363" t="inlineStr">
        <is>
          <t>LYCKSELE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53036-2023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46284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46284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Holmen skog AB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41992-2022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46284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Holmen skog AB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8360-2024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45352</v>
      </c>
      <c r="E367" s="1" t="n">
        <v>46284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31.5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46003</v>
      </c>
      <c r="E368" s="1" t="n">
        <v>46284</v>
      </c>
      <c r="F368" t="inlineStr">
        <is>
          <t>VÄSTERBOTTENS LÄN</t>
        </is>
      </c>
      <c r="G368" t="inlineStr">
        <is>
          <t>LYCKSELE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45673</v>
      </c>
      <c r="E369" s="1" t="n">
        <v>46284</v>
      </c>
      <c r="F369" t="inlineStr">
        <is>
          <t>VÄSTERBOTTENS LÄN</t>
        </is>
      </c>
      <c r="G369" t="inlineStr">
        <is>
          <t>LYCKSELE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57224-2023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45239</v>
      </c>
      <c r="E370" s="1" t="n">
        <v>46284</v>
      </c>
      <c r="F370" t="inlineStr">
        <is>
          <t>VÄSTERBOTTENS LÄN</t>
        </is>
      </c>
      <c r="G370" t="inlineStr">
        <is>
          <t>LYCKSELE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38960-2025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45887</v>
      </c>
      <c r="E371" s="1" t="n">
        <v>46284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41523-2024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45560</v>
      </c>
      <c r="E372" s="1" t="n">
        <v>46284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26999-2023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45093</v>
      </c>
      <c r="E373" s="1" t="n">
        <v>46284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20242-2026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46139</v>
      </c>
      <c r="E374" s="1" t="n">
        <v>46284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SCA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71412-2021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44540</v>
      </c>
      <c r="E375" s="1" t="n">
        <v>46284</v>
      </c>
      <c r="F375" t="inlineStr">
        <is>
          <t>VÄSTERBOTTENS LÄN</t>
        </is>
      </c>
      <c r="G375" t="inlineStr">
        <is>
          <t>LYCKSELE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45673</v>
      </c>
      <c r="E376" s="1" t="n">
        <v>46284</v>
      </c>
      <c r="F376" t="inlineStr">
        <is>
          <t>VÄSTERBOTTENS LÄN</t>
        </is>
      </c>
      <c r="G376" t="inlineStr">
        <is>
          <t>LYCKSELE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52699-2021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44466</v>
      </c>
      <c r="E377" s="1" t="n">
        <v>46284</v>
      </c>
      <c r="F377" t="inlineStr">
        <is>
          <t>VÄSTERBOTTENS LÄN</t>
        </is>
      </c>
      <c r="G377" t="inlineStr">
        <is>
          <t>LYCKSELE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12261-2022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44637</v>
      </c>
      <c r="E378" s="1" t="n">
        <v>46284</v>
      </c>
      <c r="F378" t="inlineStr">
        <is>
          <t>VÄSTERBOTTENS LÄN</t>
        </is>
      </c>
      <c r="G378" t="inlineStr">
        <is>
          <t>LYCKSELE</t>
        </is>
      </c>
      <c r="I378" t="n">
        <v>30.8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60081-2025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46284</v>
      </c>
      <c r="F379" t="inlineStr">
        <is>
          <t>VÄSTERBOTTENS LÄN</t>
        </is>
      </c>
      <c r="G379" t="inlineStr">
        <is>
          <t>LYCKSELE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57618-2022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44897</v>
      </c>
      <c r="E380" s="1" t="n">
        <v>46284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Holmen skog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45888</v>
      </c>
      <c r="E381" s="1" t="n">
        <v>46284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45889</v>
      </c>
      <c r="E382" s="1" t="n">
        <v>46284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SCA</t>
        </is>
      </c>
      <c r="I382" t="n">
        <v>13.5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62870-2023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45271</v>
      </c>
      <c r="E383" s="1" t="n">
        <v>46284</v>
      </c>
      <c r="F383" t="inlineStr">
        <is>
          <t>VÄSTERBOTTENS LÄN</t>
        </is>
      </c>
      <c r="G383" t="inlineStr">
        <is>
          <t>LYCKSELE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47096-2023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45201</v>
      </c>
      <c r="E384" s="1" t="n">
        <v>46284</v>
      </c>
      <c r="F384" t="inlineStr">
        <is>
          <t>VÄSTERBOTTENS LÄN</t>
        </is>
      </c>
      <c r="G384" t="inlineStr">
        <is>
          <t>LYCKSELE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45888</v>
      </c>
      <c r="E385" s="1" t="n">
        <v>46284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8941-2025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45713</v>
      </c>
      <c r="E386" s="1" t="n">
        <v>46284</v>
      </c>
      <c r="F386" t="inlineStr">
        <is>
          <t>VÄSTERBOTTENS LÄN</t>
        </is>
      </c>
      <c r="G386" t="inlineStr">
        <is>
          <t>LYCKSELE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39239-2025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45889</v>
      </c>
      <c r="E387" s="1" t="n">
        <v>46284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38922-2025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45887</v>
      </c>
      <c r="E388" s="1" t="n">
        <v>46284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45888</v>
      </c>
      <c r="E389" s="1" t="n">
        <v>46284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9.300000000000001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39342-2025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45889</v>
      </c>
      <c r="E390" s="1" t="n">
        <v>46284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7.9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57898-2021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44486</v>
      </c>
      <c r="E391" s="1" t="n">
        <v>46284</v>
      </c>
      <c r="F391" t="inlineStr">
        <is>
          <t>VÄSTERBOTTENS LÄN</t>
        </is>
      </c>
      <c r="G391" t="inlineStr">
        <is>
          <t>LYCKSELE</t>
        </is>
      </c>
      <c r="I391" t="n">
        <v>14.7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38777-2025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45887</v>
      </c>
      <c r="E392" s="1" t="n">
        <v>46284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44933</v>
      </c>
      <c r="E393" s="1" t="n">
        <v>46284</v>
      </c>
      <c r="F393" t="inlineStr">
        <is>
          <t>VÄSTERBOTTENS LÄN</t>
        </is>
      </c>
      <c r="G393" t="inlineStr">
        <is>
          <t>LYCKSELE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39521-2025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46284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20.2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39562-2025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45890</v>
      </c>
      <c r="E395" s="1" t="n">
        <v>46284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45890</v>
      </c>
      <c r="E396" s="1" t="n">
        <v>46284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39458-2025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45889</v>
      </c>
      <c r="E397" s="1" t="n">
        <v>46284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7.8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39482-2025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45890</v>
      </c>
      <c r="E398" s="1" t="n">
        <v>46284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39552-2025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45890</v>
      </c>
      <c r="E399" s="1" t="n">
        <v>46284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39543-2025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45890</v>
      </c>
      <c r="E400" s="1" t="n">
        <v>46284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38925-2025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45887</v>
      </c>
      <c r="E401" s="1" t="n">
        <v>46284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13566-2023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45006</v>
      </c>
      <c r="E402" s="1" t="n">
        <v>46284</v>
      </c>
      <c r="F402" t="inlineStr">
        <is>
          <t>VÄSTERBOTTENS LÄN</t>
        </is>
      </c>
      <c r="G402" t="inlineStr">
        <is>
          <t>LYCKSELE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60425-2021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44496</v>
      </c>
      <c r="E403" s="1" t="n">
        <v>46284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46284</v>
      </c>
      <c r="F404" t="inlineStr">
        <is>
          <t>VÄSTERBOTTENS LÄN</t>
        </is>
      </c>
      <c r="G404" t="inlineStr">
        <is>
          <t>LYCKSELE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45894</v>
      </c>
      <c r="E405" s="1" t="n">
        <v>46284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40238-2025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45894</v>
      </c>
      <c r="E406" s="1" t="n">
        <v>46284</v>
      </c>
      <c r="F406" t="inlineStr">
        <is>
          <t>VÄSTERBOTTENS LÄN</t>
        </is>
      </c>
      <c r="G406" t="inlineStr">
        <is>
          <t>LYCKSELE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54428-2024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45617</v>
      </c>
      <c r="E407" s="1" t="n">
        <v>46284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SCA</t>
        </is>
      </c>
      <c r="I407" t="n">
        <v>12.9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45982</v>
      </c>
      <c r="E408" s="1" t="n">
        <v>46284</v>
      </c>
      <c r="F408" t="inlineStr">
        <is>
          <t>VÄSTERBOTTENS LÄN</t>
        </is>
      </c>
      <c r="G408" t="inlineStr">
        <is>
          <t>LYCKSELE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51152-2024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46284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16887-2024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45411</v>
      </c>
      <c r="E410" s="1" t="n">
        <v>46284</v>
      </c>
      <c r="F410" t="inlineStr">
        <is>
          <t>VÄSTERBOTTENS LÄN</t>
        </is>
      </c>
      <c r="G410" t="inlineStr">
        <is>
          <t>LYCKSELE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45490</v>
      </c>
      <c r="E411" s="1" t="n">
        <v>46284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Holmen skog AB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9879-2022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44620</v>
      </c>
      <c r="E412" s="1" t="n">
        <v>46284</v>
      </c>
      <c r="F412" t="inlineStr">
        <is>
          <t>VÄSTERBOTTENS LÄN</t>
        </is>
      </c>
      <c r="G412" t="inlineStr">
        <is>
          <t>LYCKSELE</t>
        </is>
      </c>
      <c r="I412" t="n">
        <v>8.699999999999999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41604-2025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45901</v>
      </c>
      <c r="E413" s="1" t="n">
        <v>46284</v>
      </c>
      <c r="F413" t="inlineStr">
        <is>
          <t>VÄSTERBOTTENS LÄN</t>
        </is>
      </c>
      <c r="G413" t="inlineStr">
        <is>
          <t>LYCKSELE</t>
        </is>
      </c>
      <c r="I413" t="n">
        <v>16.6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38774-2025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45887</v>
      </c>
      <c r="E414" s="1" t="n">
        <v>46284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10.7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45313</v>
      </c>
      <c r="E415" s="1" t="n">
        <v>46284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Naturvårdsverket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325-2022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44564</v>
      </c>
      <c r="E416" s="1" t="n">
        <v>46284</v>
      </c>
      <c r="F416" t="inlineStr">
        <is>
          <t>VÄSTERBOTTENS LÄN</t>
        </is>
      </c>
      <c r="G416" t="inlineStr">
        <is>
          <t>LYCKSELE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54167-2022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44881</v>
      </c>
      <c r="E417" s="1" t="n">
        <v>46284</v>
      </c>
      <c r="F417" t="inlineStr">
        <is>
          <t>VÄSTERBOTTENS LÄN</t>
        </is>
      </c>
      <c r="G417" t="inlineStr">
        <is>
          <t>LYCKSELE</t>
        </is>
      </c>
      <c r="I417" t="n">
        <v>11.3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45898</v>
      </c>
      <c r="E418" s="1" t="n">
        <v>46284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45903</v>
      </c>
      <c r="E419" s="1" t="n">
        <v>46284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9.4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45483</v>
      </c>
      <c r="E420" s="1" t="n">
        <v>46284</v>
      </c>
      <c r="F420" t="inlineStr">
        <is>
          <t>VÄSTERBOTTENS LÄN</t>
        </is>
      </c>
      <c r="G420" t="inlineStr">
        <is>
          <t>LYCKSELE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42019-2025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46284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Holmen skog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42075-2025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45902</v>
      </c>
      <c r="E422" s="1" t="n">
        <v>46284</v>
      </c>
      <c r="F422" t="inlineStr">
        <is>
          <t>VÄSTERBOTTENS LÄN</t>
        </is>
      </c>
      <c r="G422" t="inlineStr">
        <is>
          <t>LYCKSELE</t>
        </is>
      </c>
      <c r="I422" t="n">
        <v>4.5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42051-2025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46284</v>
      </c>
      <c r="F423" t="inlineStr">
        <is>
          <t>VÄSTERBOTTENS LÄN</t>
        </is>
      </c>
      <c r="G423" t="inlineStr">
        <is>
          <t>LYCKSELE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41906-2025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45903</v>
      </c>
      <c r="E424" s="1" t="n">
        <v>46284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47113-2025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45929</v>
      </c>
      <c r="E425" s="1" t="n">
        <v>46284</v>
      </c>
      <c r="F425" t="inlineStr">
        <is>
          <t>VÄSTERBOTTENS LÄN</t>
        </is>
      </c>
      <c r="G425" t="inlineStr">
        <is>
          <t>LYCKSELE</t>
        </is>
      </c>
      <c r="I425" t="n">
        <v>8.5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42028-2025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45903</v>
      </c>
      <c r="E426" s="1" t="n">
        <v>46284</v>
      </c>
      <c r="F426" t="inlineStr">
        <is>
          <t>VÄSTERBOTTENS LÄN</t>
        </is>
      </c>
      <c r="G426" t="inlineStr">
        <is>
          <t>LYCKSELE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29034-2025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45821</v>
      </c>
      <c r="E427" s="1" t="n">
        <v>46284</v>
      </c>
      <c r="F427" t="inlineStr">
        <is>
          <t>VÄSTERBOTTENS LÄN</t>
        </is>
      </c>
      <c r="G427" t="inlineStr">
        <is>
          <t>LYCKSELE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57666-2021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44484</v>
      </c>
      <c r="E428" s="1" t="n">
        <v>46284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48585-2025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45936</v>
      </c>
      <c r="E429" s="1" t="n">
        <v>46284</v>
      </c>
      <c r="F429" t="inlineStr">
        <is>
          <t>VÄSTERBOTTENS LÄN</t>
        </is>
      </c>
      <c r="G429" t="inlineStr">
        <is>
          <t>LYCKSELE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42500-2025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45905</v>
      </c>
      <c r="E430" s="1" t="n">
        <v>46284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24.3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62094-2023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45266</v>
      </c>
      <c r="E431" s="1" t="n">
        <v>46284</v>
      </c>
      <c r="F431" t="inlineStr">
        <is>
          <t>VÄSTERBOTTENS LÄN</t>
        </is>
      </c>
      <c r="G431" t="inlineStr">
        <is>
          <t>LYCKSELE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42405-2025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45905</v>
      </c>
      <c r="E432" s="1" t="n">
        <v>46284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23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42616-2025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46284</v>
      </c>
      <c r="F433" t="inlineStr">
        <is>
          <t>VÄSTERBOTTENS LÄN</t>
        </is>
      </c>
      <c r="G433" t="inlineStr">
        <is>
          <t>LYCKSELE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40342-2025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46284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62547-2022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44924</v>
      </c>
      <c r="E435" s="1" t="n">
        <v>46284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29835-2023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46284</v>
      </c>
      <c r="F436" t="inlineStr">
        <is>
          <t>VÄSTERBOTTENS LÄN</t>
        </is>
      </c>
      <c r="G436" t="inlineStr">
        <is>
          <t>LYCKSELE</t>
        </is>
      </c>
      <c r="I436" t="n">
        <v>17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42986-2025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45909</v>
      </c>
      <c r="E437" s="1" t="n">
        <v>46284</v>
      </c>
      <c r="F437" t="inlineStr">
        <is>
          <t>VÄSTERBOTTENS LÄN</t>
        </is>
      </c>
      <c r="G437" t="inlineStr">
        <is>
          <t>LYCKSELE</t>
        </is>
      </c>
      <c r="I437" t="n">
        <v>6.5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46284</v>
      </c>
      <c r="F438" t="inlineStr">
        <is>
          <t>VÄSTERBOTTENS LÄN</t>
        </is>
      </c>
      <c r="G438" t="inlineStr">
        <is>
          <t>LYCKSELE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19059-2026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46132</v>
      </c>
      <c r="E439" s="1" t="n">
        <v>46284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SCA</t>
        </is>
      </c>
      <c r="I439" t="n">
        <v>10.8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25573-2025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45803</v>
      </c>
      <c r="E440" s="1" t="n">
        <v>46284</v>
      </c>
      <c r="F440" t="inlineStr">
        <is>
          <t>VÄSTERBOTTENS LÄN</t>
        </is>
      </c>
      <c r="G440" t="inlineStr">
        <is>
          <t>LYCKSELE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44087-2025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45915</v>
      </c>
      <c r="E441" s="1" t="n">
        <v>46284</v>
      </c>
      <c r="F441" t="inlineStr">
        <is>
          <t>VÄSTERBOTTENS LÄN</t>
        </is>
      </c>
      <c r="G441" t="inlineStr">
        <is>
          <t>LYCKSELE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44098-2025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46284</v>
      </c>
      <c r="F442" t="inlineStr">
        <is>
          <t>VÄSTERBOTTENS LÄN</t>
        </is>
      </c>
      <c r="G442" t="inlineStr">
        <is>
          <t>LYCKSELE</t>
        </is>
      </c>
      <c r="I442" t="n">
        <v>8.4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46284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58263-2025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46284</v>
      </c>
      <c r="F444" t="inlineStr">
        <is>
          <t>VÄSTERBOTTENS LÄN</t>
        </is>
      </c>
      <c r="G444" t="inlineStr">
        <is>
          <t>LYCKSELE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43928-2025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46284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43929-2025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45915</v>
      </c>
      <c r="E446" s="1" t="n">
        <v>46284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50468-2024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45601</v>
      </c>
      <c r="E447" s="1" t="n">
        <v>46284</v>
      </c>
      <c r="F447" t="inlineStr">
        <is>
          <t>VÄSTERBOTTENS LÄN</t>
        </is>
      </c>
      <c r="G447" t="inlineStr">
        <is>
          <t>LYCKSELE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50365-2024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45600</v>
      </c>
      <c r="E448" s="1" t="n">
        <v>46284</v>
      </c>
      <c r="F448" t="inlineStr">
        <is>
          <t>VÄSTERBOTTENS LÄN</t>
        </is>
      </c>
      <c r="G448" t="inlineStr">
        <is>
          <t>LYCKSELE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45447-2024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45576</v>
      </c>
      <c r="E449" s="1" t="n">
        <v>46284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Naturvårdsverket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43931-2025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46284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9.9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46284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44337-2025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46284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45916</v>
      </c>
      <c r="E453" s="1" t="n">
        <v>46284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58714-2024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45635</v>
      </c>
      <c r="E454" s="1" t="n">
        <v>46284</v>
      </c>
      <c r="F454" t="inlineStr">
        <is>
          <t>VÄSTERBOTTENS LÄN</t>
        </is>
      </c>
      <c r="G454" t="inlineStr">
        <is>
          <t>LYCKSELE</t>
        </is>
      </c>
      <c r="I454" t="n">
        <v>25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44340-2025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46284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44345-2025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45916</v>
      </c>
      <c r="E456" s="1" t="n">
        <v>46284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44909</v>
      </c>
      <c r="E457" s="1" t="n">
        <v>46284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44547-2025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45917</v>
      </c>
      <c r="E458" s="1" t="n">
        <v>46284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44342-2025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45916</v>
      </c>
      <c r="E459" s="1" t="n">
        <v>46284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4.1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44346-2025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45916</v>
      </c>
      <c r="E460" s="1" t="n">
        <v>46284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18.4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45174-2025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46284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44107-2025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45915</v>
      </c>
      <c r="E462" s="1" t="n">
        <v>46284</v>
      </c>
      <c r="F462" t="inlineStr">
        <is>
          <t>VÄSTERBOTTENS LÄN</t>
        </is>
      </c>
      <c r="G462" t="inlineStr">
        <is>
          <t>LYCKSELE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44094-2025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45915</v>
      </c>
      <c r="E463" s="1" t="n">
        <v>46284</v>
      </c>
      <c r="F463" t="inlineStr">
        <is>
          <t>VÄSTERBOTTENS LÄN</t>
        </is>
      </c>
      <c r="G463" t="inlineStr">
        <is>
          <t>LYCKSELE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44924</v>
      </c>
      <c r="E464" s="1" t="n">
        <v>46284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14343-2025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45741</v>
      </c>
      <c r="E465" s="1" t="n">
        <v>46284</v>
      </c>
      <c r="F465" t="inlineStr">
        <is>
          <t>VÄSTERBOTTENS LÄN</t>
        </is>
      </c>
      <c r="G465" t="inlineStr">
        <is>
          <t>LYCKSELE</t>
        </is>
      </c>
      <c r="I465" t="n">
        <v>6.4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45837-2025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46284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16192-2024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45406</v>
      </c>
      <c r="E467" s="1" t="n">
        <v>46284</v>
      </c>
      <c r="F467" t="inlineStr">
        <is>
          <t>VÄSTERBOTTENS LÄN</t>
        </is>
      </c>
      <c r="G467" t="inlineStr">
        <is>
          <t>LYCKSELE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44572</v>
      </c>
      <c r="E468" s="1" t="n">
        <v>46284</v>
      </c>
      <c r="F468" t="inlineStr">
        <is>
          <t>VÄSTERBOTTENS LÄN</t>
        </is>
      </c>
      <c r="G468" t="inlineStr">
        <is>
          <t>LYCKSELE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45512</v>
      </c>
      <c r="E469" s="1" t="n">
        <v>46284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Naturvårdsverket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46077-2025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46284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Holmen skog AB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15809-2023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45021</v>
      </c>
      <c r="E471" s="1" t="n">
        <v>46284</v>
      </c>
      <c r="F471" t="inlineStr">
        <is>
          <t>VÄSTERBOTTENS LÄN</t>
        </is>
      </c>
      <c r="G471" t="inlineStr">
        <is>
          <t>LYCKSELE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45666</v>
      </c>
      <c r="E472" s="1" t="n">
        <v>46284</v>
      </c>
      <c r="F472" t="inlineStr">
        <is>
          <t>VÄSTERBOTTENS LÄN</t>
        </is>
      </c>
      <c r="G472" t="inlineStr">
        <is>
          <t>LYCKSELE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46284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70197-2021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44534</v>
      </c>
      <c r="E474" s="1" t="n">
        <v>46284</v>
      </c>
      <c r="F474" t="inlineStr">
        <is>
          <t>VÄSTERBOTTENS LÄN</t>
        </is>
      </c>
      <c r="G474" t="inlineStr">
        <is>
          <t>LYCKSELE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47459-2025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45930</v>
      </c>
      <c r="E475" s="1" t="n">
        <v>46284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Sveaskog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46284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4.3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47700-2025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45931</v>
      </c>
      <c r="E477" s="1" t="n">
        <v>46284</v>
      </c>
      <c r="F477" t="inlineStr">
        <is>
          <t>VÄSTERBOTTENS LÄN</t>
        </is>
      </c>
      <c r="G477" t="inlineStr">
        <is>
          <t>LYCKSELE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47461-2025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46284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35227-2023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45145</v>
      </c>
      <c r="E479" s="1" t="n">
        <v>46284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50652-2021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44459</v>
      </c>
      <c r="E480" s="1" t="n">
        <v>46284</v>
      </c>
      <c r="F480" t="inlineStr">
        <is>
          <t>VÄSTERBOTTENS LÄN</t>
        </is>
      </c>
      <c r="G480" t="inlineStr">
        <is>
          <t>LYCKSELE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24511-2025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45798</v>
      </c>
      <c r="E481" s="1" t="n">
        <v>46284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29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24518-2025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46284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29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21080-2026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46146</v>
      </c>
      <c r="E483" s="1" t="n">
        <v>46284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21096-2026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46146</v>
      </c>
      <c r="E484" s="1" t="n">
        <v>46284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Holmen skog AB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21141-2026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46284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47930-2025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45932</v>
      </c>
      <c r="E486" s="1" t="n">
        <v>46284</v>
      </c>
      <c r="F486" t="inlineStr">
        <is>
          <t>VÄSTERBOTTENS LÄN</t>
        </is>
      </c>
      <c r="G486" t="inlineStr">
        <is>
          <t>LYCKSELE</t>
        </is>
      </c>
      <c r="I486" t="n">
        <v>17.8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48208-2025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45933</v>
      </c>
      <c r="E487" s="1" t="n">
        <v>46284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Holmen skog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3632-2024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45320</v>
      </c>
      <c r="E488" s="1" t="n">
        <v>46284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21150-2026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46146</v>
      </c>
      <c r="E489" s="1" t="n">
        <v>46284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21066-2026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46146</v>
      </c>
      <c r="E490" s="1" t="n">
        <v>46284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21082-2026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46284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Holmen skog AB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48493-2025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45936</v>
      </c>
      <c r="E492" s="1" t="n">
        <v>46284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21317-2026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46147</v>
      </c>
      <c r="E493" s="1" t="n">
        <v>46284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45798</v>
      </c>
      <c r="E494" s="1" t="n">
        <v>46284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29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8600-2025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45709</v>
      </c>
      <c r="E495" s="1" t="n">
        <v>46284</v>
      </c>
      <c r="F495" t="inlineStr">
        <is>
          <t>VÄSTERBOTTENS LÄN</t>
        </is>
      </c>
      <c r="G495" t="inlineStr">
        <is>
          <t>LYCKSELE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21142-2026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46146</v>
      </c>
      <c r="E496" s="1" t="n">
        <v>46284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23679-2025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45793</v>
      </c>
      <c r="E497" s="1" t="n">
        <v>46284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29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21052-2026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46284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21079-2026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46284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46284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45789</v>
      </c>
      <c r="E501" s="1" t="n">
        <v>46284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29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23769-2023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45077</v>
      </c>
      <c r="E502" s="1" t="n">
        <v>46284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46284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Holmen skog AB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45938</v>
      </c>
      <c r="E504" s="1" t="n">
        <v>46284</v>
      </c>
      <c r="F504" t="inlineStr">
        <is>
          <t>VÄSTERBOTTENS LÄN</t>
        </is>
      </c>
      <c r="G504" t="inlineStr">
        <is>
          <t>LYCKSELE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49859-2025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45940</v>
      </c>
      <c r="E505" s="1" t="n">
        <v>46284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49977-2025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45942</v>
      </c>
      <c r="E506" s="1" t="n">
        <v>46284</v>
      </c>
      <c r="F506" t="inlineStr">
        <is>
          <t>VÄSTERBOTTENS LÄN</t>
        </is>
      </c>
      <c r="G506" t="inlineStr">
        <is>
          <t>LYCKSELE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50021-2025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45943</v>
      </c>
      <c r="E507" s="1" t="n">
        <v>46284</v>
      </c>
      <c r="F507" t="inlineStr">
        <is>
          <t>VÄSTERBOTTENS LÄN</t>
        </is>
      </c>
      <c r="G507" t="inlineStr">
        <is>
          <t>LYCKSELE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45941</v>
      </c>
      <c r="E508" s="1" t="n">
        <v>46284</v>
      </c>
      <c r="F508" t="inlineStr">
        <is>
          <t>VÄSTERBOTTENS LÄN</t>
        </is>
      </c>
      <c r="G508" t="inlineStr">
        <is>
          <t>LYCKSELE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19233-2023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45048</v>
      </c>
      <c r="E509" s="1" t="n">
        <v>46284</v>
      </c>
      <c r="F509" t="inlineStr">
        <is>
          <t>VÄSTERBOTTENS LÄN</t>
        </is>
      </c>
      <c r="G509" t="inlineStr">
        <is>
          <t>LYCKSELE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21642-2026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46149</v>
      </c>
      <c r="E510" s="1" t="n">
        <v>46284</v>
      </c>
      <c r="F510" t="inlineStr">
        <is>
          <t>VÄSTERBOTTENS LÄN</t>
        </is>
      </c>
      <c r="G510" t="inlineStr">
        <is>
          <t>LYCKSELE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37262-2023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45155</v>
      </c>
      <c r="E511" s="1" t="n">
        <v>46284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27964-2023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45098</v>
      </c>
      <c r="E512" s="1" t="n">
        <v>46284</v>
      </c>
      <c r="F512" t="inlineStr">
        <is>
          <t>VÄSTERBOTTENS LÄN</t>
        </is>
      </c>
      <c r="G512" t="inlineStr">
        <is>
          <t>LYCKSELE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51207-2025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45947</v>
      </c>
      <c r="E513" s="1" t="n">
        <v>46284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Holmen skog AB</t>
        </is>
      </c>
      <c r="I513" t="n">
        <v>7.8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8577-2026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46284</v>
      </c>
      <c r="F514" t="inlineStr">
        <is>
          <t>VÄSTERBOTTENS LÄN</t>
        </is>
      </c>
      <c r="G514" t="inlineStr">
        <is>
          <t>LYCKSELE</t>
        </is>
      </c>
      <c r="I514" t="n">
        <v>9.9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32854-2024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45516</v>
      </c>
      <c r="E515" s="1" t="n">
        <v>46284</v>
      </c>
      <c r="F515" t="inlineStr">
        <is>
          <t>VÄSTERBOTTENS LÄN</t>
        </is>
      </c>
      <c r="G515" t="inlineStr">
        <is>
          <t>LYCKSELE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51748-2025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46284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19.8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21918-2026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46150</v>
      </c>
      <c r="E517" s="1" t="n">
        <v>46284</v>
      </c>
      <c r="F517" t="inlineStr">
        <is>
          <t>VÄSTERBOTTENS LÄN</t>
        </is>
      </c>
      <c r="G517" t="inlineStr">
        <is>
          <t>LYCKSELE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48379-2024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45590</v>
      </c>
      <c r="E518" s="1" t="n">
        <v>46284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51859-2025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45952</v>
      </c>
      <c r="E519" s="1" t="n">
        <v>46284</v>
      </c>
      <c r="F519" t="inlineStr">
        <is>
          <t>VÄSTERBOTTENS LÄN</t>
        </is>
      </c>
      <c r="G519" t="inlineStr">
        <is>
          <t>LYCKSELE</t>
        </is>
      </c>
      <c r="I519" t="n">
        <v>13.5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23971-2024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45455</v>
      </c>
      <c r="E520" s="1" t="n">
        <v>46284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27929-2024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45475</v>
      </c>
      <c r="E521" s="1" t="n">
        <v>46284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Naturvårdsverket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27932-2024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45475</v>
      </c>
      <c r="E522" s="1" t="n">
        <v>46284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Naturvårdsverket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44952</v>
      </c>
      <c r="E523" s="1" t="n">
        <v>46284</v>
      </c>
      <c r="F523" t="inlineStr">
        <is>
          <t>VÄSTERBOTTENS LÄN</t>
        </is>
      </c>
      <c r="G523" t="inlineStr">
        <is>
          <t>LYCKSELE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62874-2023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45271</v>
      </c>
      <c r="E524" s="1" t="n">
        <v>46284</v>
      </c>
      <c r="F524" t="inlineStr">
        <is>
          <t>VÄSTERBOTTENS LÄN</t>
        </is>
      </c>
      <c r="G524" t="inlineStr">
        <is>
          <t>LYCKSELE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32475-2024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45513</v>
      </c>
      <c r="E525" s="1" t="n">
        <v>46284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52945-2025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45957</v>
      </c>
      <c r="E526" s="1" t="n">
        <v>46284</v>
      </c>
      <c r="F526" t="inlineStr">
        <is>
          <t>VÄSTERBOTTENS LÄN</t>
        </is>
      </c>
      <c r="G526" t="inlineStr">
        <is>
          <t>LYCKSELE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41101-2022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44820</v>
      </c>
      <c r="E527" s="1" t="n">
        <v>46284</v>
      </c>
      <c r="F527" t="inlineStr">
        <is>
          <t>VÄSTERBOTTENS LÄN</t>
        </is>
      </c>
      <c r="G527" t="inlineStr">
        <is>
          <t>LYCKSELE</t>
        </is>
      </c>
      <c r="I527" t="n">
        <v>13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45352-2024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45576</v>
      </c>
      <c r="E528" s="1" t="n">
        <v>46284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51466-2024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45604</v>
      </c>
      <c r="E529" s="1" t="n">
        <v>46284</v>
      </c>
      <c r="F529" t="inlineStr">
        <is>
          <t>VÄSTERBOTTENS LÄN</t>
        </is>
      </c>
      <c r="G529" t="inlineStr">
        <is>
          <t>LYCKSELE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52941-2025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46284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46284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60542-2024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45643</v>
      </c>
      <c r="E532" s="1" t="n">
        <v>46284</v>
      </c>
      <c r="F532" t="inlineStr">
        <is>
          <t>VÄSTERBOTTENS LÄN</t>
        </is>
      </c>
      <c r="G532" t="inlineStr">
        <is>
          <t>LYCKSELE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53451-2025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45959</v>
      </c>
      <c r="E533" s="1" t="n">
        <v>46284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45020</v>
      </c>
      <c r="E534" s="1" t="n">
        <v>46284</v>
      </c>
      <c r="F534" t="inlineStr">
        <is>
          <t>VÄSTERBOTTENS LÄN</t>
        </is>
      </c>
      <c r="G534" t="inlineStr">
        <is>
          <t>LYCKSELE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46817-2024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45583</v>
      </c>
      <c r="E535" s="1" t="n">
        <v>46284</v>
      </c>
      <c r="F535" t="inlineStr">
        <is>
          <t>VÄSTERBOTTENS LÄN</t>
        </is>
      </c>
      <c r="G535" t="inlineStr">
        <is>
          <t>LYCKSELE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35970-2024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45533</v>
      </c>
      <c r="E536" s="1" t="n">
        <v>46284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Sveaskog</t>
        </is>
      </c>
      <c r="I536" t="n">
        <v>12.6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43973-2023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45187</v>
      </c>
      <c r="E537" s="1" t="n">
        <v>46284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15046-2023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45015</v>
      </c>
      <c r="E538" s="1" t="n">
        <v>46284</v>
      </c>
      <c r="F538" t="inlineStr">
        <is>
          <t>VÄSTERBOTTENS LÄN</t>
        </is>
      </c>
      <c r="G538" t="inlineStr">
        <is>
          <t>LYCKSELE</t>
        </is>
      </c>
      <c r="I538" t="n">
        <v>13.4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45361-2024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45576</v>
      </c>
      <c r="E539" s="1" t="n">
        <v>46284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22367-2026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46154</v>
      </c>
      <c r="E540" s="1" t="n">
        <v>46284</v>
      </c>
      <c r="F540" t="inlineStr">
        <is>
          <t>VÄSTERBOTTENS LÄN</t>
        </is>
      </c>
      <c r="G540" t="inlineStr">
        <is>
          <t>LYCKSELE</t>
        </is>
      </c>
      <c r="I540" t="n">
        <v>18.8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9090-2025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45713</v>
      </c>
      <c r="E541" s="1" t="n">
        <v>46284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22654-2026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46155</v>
      </c>
      <c r="E542" s="1" t="n">
        <v>46284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41756-2024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45561</v>
      </c>
      <c r="E543" s="1" t="n">
        <v>46284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59272-2022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44904</v>
      </c>
      <c r="E544" s="1" t="n">
        <v>46284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6.1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14773-2025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45742</v>
      </c>
      <c r="E545" s="1" t="n">
        <v>46284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50.1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45967</v>
      </c>
      <c r="E546" s="1" t="n">
        <v>46284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68665-2021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44529</v>
      </c>
      <c r="E547" s="1" t="n">
        <v>46284</v>
      </c>
      <c r="F547" t="inlineStr">
        <is>
          <t>VÄSTERBOTTENS LÄN</t>
        </is>
      </c>
      <c r="G547" t="inlineStr">
        <is>
          <t>LYCKSELE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54906-2025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46284</v>
      </c>
      <c r="F548" t="inlineStr">
        <is>
          <t>VÄSTERBOTTENS LÄN</t>
        </is>
      </c>
      <c r="G548" t="inlineStr">
        <is>
          <t>LYCKSELE</t>
        </is>
      </c>
      <c r="I548" t="n">
        <v>24.9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54943-2025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45967</v>
      </c>
      <c r="E549" s="1" t="n">
        <v>46284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28525-2023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45103</v>
      </c>
      <c r="E550" s="1" t="n">
        <v>46284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28545-2023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45103</v>
      </c>
      <c r="E551" s="1" t="n">
        <v>46284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55187-2025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45968</v>
      </c>
      <c r="E552" s="1" t="n">
        <v>46284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8.9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12424-2025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45730</v>
      </c>
      <c r="E553" s="1" t="n">
        <v>46284</v>
      </c>
      <c r="F553" t="inlineStr">
        <is>
          <t>VÄSTERBOTTENS LÄN</t>
        </is>
      </c>
      <c r="G553" t="inlineStr">
        <is>
          <t>LYCKSELE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73113-2021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44550</v>
      </c>
      <c r="E554" s="1" t="n">
        <v>46284</v>
      </c>
      <c r="F554" t="inlineStr">
        <is>
          <t>VÄSTERBOTTENS LÄN</t>
        </is>
      </c>
      <c r="G554" t="inlineStr">
        <is>
          <t>LYCKSELE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7837-2023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44973</v>
      </c>
      <c r="E555" s="1" t="n">
        <v>46284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12333-2024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45378</v>
      </c>
      <c r="E556" s="1" t="n">
        <v>46284</v>
      </c>
      <c r="F556" t="inlineStr">
        <is>
          <t>VÄSTERBOTTENS LÄN</t>
        </is>
      </c>
      <c r="G556" t="inlineStr">
        <is>
          <t>LYCKSELE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55216-2025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45968</v>
      </c>
      <c r="E557" s="1" t="n">
        <v>46284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Naturvårdsverket</t>
        </is>
      </c>
      <c r="I557" t="n">
        <v>8.699999999999999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55545-2025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45971</v>
      </c>
      <c r="E558" s="1" t="n">
        <v>46284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55333-2025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45971</v>
      </c>
      <c r="E559" s="1" t="n">
        <v>46284</v>
      </c>
      <c r="F559" t="inlineStr">
        <is>
          <t>VÄSTERBOTTENS LÄN</t>
        </is>
      </c>
      <c r="G559" t="inlineStr">
        <is>
          <t>LYCKSELE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55627-2025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45972</v>
      </c>
      <c r="E560" s="1" t="n">
        <v>46284</v>
      </c>
      <c r="F560" t="inlineStr">
        <is>
          <t>VÄSTERBOTTENS LÄN</t>
        </is>
      </c>
      <c r="G560" t="inlineStr">
        <is>
          <t>LYCKSELE</t>
        </is>
      </c>
      <c r="I560" t="n">
        <v>14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24377-2024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45457</v>
      </c>
      <c r="E561" s="1" t="n">
        <v>46284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Holmen skog AB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55666-2025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45972</v>
      </c>
      <c r="E562" s="1" t="n">
        <v>46284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30899-2024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45498</v>
      </c>
      <c r="E563" s="1" t="n">
        <v>46284</v>
      </c>
      <c r="F563" t="inlineStr">
        <is>
          <t>VÄSTERBOTTENS LÄN</t>
        </is>
      </c>
      <c r="G563" t="inlineStr">
        <is>
          <t>LYCKSELE</t>
        </is>
      </c>
      <c r="I563" t="n">
        <v>14.4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21109-2023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45061</v>
      </c>
      <c r="E564" s="1" t="n">
        <v>46284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56172-2025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45974</v>
      </c>
      <c r="E565" s="1" t="n">
        <v>46284</v>
      </c>
      <c r="F565" t="inlineStr">
        <is>
          <t>VÄSTERBOTTENS LÄN</t>
        </is>
      </c>
      <c r="G565" t="inlineStr">
        <is>
          <t>LYCKSELE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56744-2025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45978</v>
      </c>
      <c r="E566" s="1" t="n">
        <v>46284</v>
      </c>
      <c r="F566" t="inlineStr">
        <is>
          <t>VÄSTERBOTTENS LÄN</t>
        </is>
      </c>
      <c r="G566" t="inlineStr">
        <is>
          <t>LYCKSELE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57241-2025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45979</v>
      </c>
      <c r="E567" s="1" t="n">
        <v>46284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49631-2023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45211</v>
      </c>
      <c r="E568" s="1" t="n">
        <v>46284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Kommuner</t>
        </is>
      </c>
      <c r="I568" t="n">
        <v>0.1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38478-2024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45546</v>
      </c>
      <c r="E569" s="1" t="n">
        <v>46284</v>
      </c>
      <c r="F569" t="inlineStr">
        <is>
          <t>VÄSTERBOTTENS LÄN</t>
        </is>
      </c>
      <c r="G569" t="inlineStr">
        <is>
          <t>LYCKSELE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46176-2023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45196</v>
      </c>
      <c r="E570" s="1" t="n">
        <v>46284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5.5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58140-2025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45981</v>
      </c>
      <c r="E571" s="1" t="n">
        <v>46284</v>
      </c>
      <c r="F571" t="inlineStr">
        <is>
          <t>VÄSTERBOTTENS LÄN</t>
        </is>
      </c>
      <c r="G571" t="inlineStr">
        <is>
          <t>LYCKSELE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57330-2025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45980</v>
      </c>
      <c r="E572" s="1" t="n">
        <v>46284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9.300000000000001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58553-2023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46284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54778-2024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45618</v>
      </c>
      <c r="E574" s="1" t="n">
        <v>46284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57669-2025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45981</v>
      </c>
      <c r="E575" s="1" t="n">
        <v>46284</v>
      </c>
      <c r="F575" t="inlineStr">
        <is>
          <t>VÄSTERBOTTENS LÄN</t>
        </is>
      </c>
      <c r="G575" t="inlineStr">
        <is>
          <t>LYCKSELE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22285-2026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46154</v>
      </c>
      <c r="E576" s="1" t="n">
        <v>46284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4.9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57531-2025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46284</v>
      </c>
      <c r="F577" t="inlineStr">
        <is>
          <t>VÄSTERBOTTENS LÄN</t>
        </is>
      </c>
      <c r="G577" t="inlineStr">
        <is>
          <t>LYCKSELE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57668-2025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45981</v>
      </c>
      <c r="E578" s="1" t="n">
        <v>46284</v>
      </c>
      <c r="F578" t="inlineStr">
        <is>
          <t>VÄSTERBOTTENS LÄN</t>
        </is>
      </c>
      <c r="G578" t="inlineStr">
        <is>
          <t>LYCKSELE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26531-2024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45469</v>
      </c>
      <c r="E579" s="1" t="n">
        <v>46284</v>
      </c>
      <c r="F579" t="inlineStr">
        <is>
          <t>VÄSTERBOTTENS LÄN</t>
        </is>
      </c>
      <c r="G579" t="inlineStr">
        <is>
          <t>LYCKSELE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31453-2024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45505</v>
      </c>
      <c r="E580" s="1" t="n">
        <v>46284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8.300000000000001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58097-2025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45982</v>
      </c>
      <c r="E581" s="1" t="n">
        <v>46284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58094-2025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45982</v>
      </c>
      <c r="E582" s="1" t="n">
        <v>46284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58171-2025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46284</v>
      </c>
      <c r="F583" t="inlineStr">
        <is>
          <t>VÄSTERBOTTENS LÄN</t>
        </is>
      </c>
      <c r="G583" t="inlineStr">
        <is>
          <t>LYCKSELE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40912-2024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45558</v>
      </c>
      <c r="E584" s="1" t="n">
        <v>46284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11.1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53241-2022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44876</v>
      </c>
      <c r="E585" s="1" t="n">
        <v>46284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9517-2025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45715</v>
      </c>
      <c r="E586" s="1" t="n">
        <v>46284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46284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Sveaskog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61281-2022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44909</v>
      </c>
      <c r="E588" s="1" t="n">
        <v>46284</v>
      </c>
      <c r="F588" t="inlineStr">
        <is>
          <t>VÄSTERBOTTENS LÄN</t>
        </is>
      </c>
      <c r="G588" t="inlineStr">
        <is>
          <t>LYCKSELE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22685-2026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46156</v>
      </c>
      <c r="E589" s="1" t="n">
        <v>46284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49514-2022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44861</v>
      </c>
      <c r="E590" s="1" t="n">
        <v>46284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46284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46284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3.3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45992</v>
      </c>
      <c r="E593" s="1" t="n">
        <v>46284</v>
      </c>
      <c r="F593" t="inlineStr">
        <is>
          <t>VÄSTERBOTTENS LÄN</t>
        </is>
      </c>
      <c r="G593" t="inlineStr">
        <is>
          <t>LYCKSELE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46284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59927-2025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45993</v>
      </c>
      <c r="E595" s="1" t="n">
        <v>46284</v>
      </c>
      <c r="F595" t="inlineStr">
        <is>
          <t>VÄSTERBOTTENS LÄN</t>
        </is>
      </c>
      <c r="G595" t="inlineStr">
        <is>
          <t>LYCKSELE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57571-2025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45980</v>
      </c>
      <c r="E596" s="1" t="n">
        <v>46284</v>
      </c>
      <c r="F596" t="inlineStr">
        <is>
          <t>VÄSTERBOTTENS LÄN</t>
        </is>
      </c>
      <c r="G596" t="inlineStr">
        <is>
          <t>LYCKSELE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54234-2023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45232</v>
      </c>
      <c r="E597" s="1" t="n">
        <v>46284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Holmen skog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28890-2024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45479</v>
      </c>
      <c r="E598" s="1" t="n">
        <v>46284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28892-2024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45479</v>
      </c>
      <c r="E599" s="1" t="n">
        <v>46284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54287-2024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45617</v>
      </c>
      <c r="E600" s="1" t="n">
        <v>46284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Sveaskog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45429</v>
      </c>
      <c r="E601" s="1" t="n">
        <v>46284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Holmen skog AB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23356-2026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46162</v>
      </c>
      <c r="E602" s="1" t="n">
        <v>46284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23391-2026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46162</v>
      </c>
      <c r="E603" s="1" t="n">
        <v>46284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10.2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51842-2025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45952</v>
      </c>
      <c r="E604" s="1" t="n">
        <v>46284</v>
      </c>
      <c r="F604" t="inlineStr">
        <is>
          <t>VÄSTERBOTTENS LÄN</t>
        </is>
      </c>
      <c r="G604" t="inlineStr">
        <is>
          <t>LYCKSELE</t>
        </is>
      </c>
      <c r="I604" t="n">
        <v>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53011-2024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45611</v>
      </c>
      <c r="E605" s="1" t="n">
        <v>46284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7.1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43134-2023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45182</v>
      </c>
      <c r="E606" s="1" t="n">
        <v>46284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SCA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59736-2025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46284</v>
      </c>
      <c r="F607" t="inlineStr">
        <is>
          <t>VÄSTERBOTTENS LÄN</t>
        </is>
      </c>
      <c r="G607" t="inlineStr">
        <is>
          <t>LYCKSELE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59812-2025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46284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Sveaskog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19765-2024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45432</v>
      </c>
      <c r="E609" s="1" t="n">
        <v>46284</v>
      </c>
      <c r="F609" t="inlineStr">
        <is>
          <t>VÄSTERBOTTENS LÄN</t>
        </is>
      </c>
      <c r="G609" t="inlineStr">
        <is>
          <t>LYCKSELE</t>
        </is>
      </c>
      <c r="I609" t="n">
        <v>3.7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27818-2024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45475</v>
      </c>
      <c r="E610" s="1" t="n">
        <v>46284</v>
      </c>
      <c r="F610" t="inlineStr">
        <is>
          <t>VÄSTERBOTTENS LÄN</t>
        </is>
      </c>
      <c r="G610" t="inlineStr">
        <is>
          <t>LYCKSELE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2193-2023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44942</v>
      </c>
      <c r="E611" s="1" t="n">
        <v>46284</v>
      </c>
      <c r="F611" t="inlineStr">
        <is>
          <t>VÄSTERBOTTENS LÄN</t>
        </is>
      </c>
      <c r="G611" t="inlineStr">
        <is>
          <t>LYCKSELE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23274-2026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46162</v>
      </c>
      <c r="E612" s="1" t="n">
        <v>46284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42216-2022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44830</v>
      </c>
      <c r="E613" s="1" t="n">
        <v>46284</v>
      </c>
      <c r="F613" t="inlineStr">
        <is>
          <t>VÄSTERBOTTENS LÄN</t>
        </is>
      </c>
      <c r="G613" t="inlineStr">
        <is>
          <t>LYCKSELE</t>
        </is>
      </c>
      <c r="I613" t="n">
        <v>15.9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60309-2025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45994</v>
      </c>
      <c r="E614" s="1" t="n">
        <v>46284</v>
      </c>
      <c r="F614" t="inlineStr">
        <is>
          <t>VÄSTERBOTTENS LÄN</t>
        </is>
      </c>
      <c r="G614" t="inlineStr">
        <is>
          <t>LYCKSELE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12839-2022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44642</v>
      </c>
      <c r="E615" s="1" t="n">
        <v>46284</v>
      </c>
      <c r="F615" t="inlineStr">
        <is>
          <t>VÄSTERBOTTENS LÄN</t>
        </is>
      </c>
      <c r="G615" t="inlineStr">
        <is>
          <t>LYCKSELE</t>
        </is>
      </c>
      <c r="I615" t="n">
        <v>7.3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58716-2024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45635</v>
      </c>
      <c r="E616" s="1" t="n">
        <v>46284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Holmen skog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45996</v>
      </c>
      <c r="E617" s="1" t="n">
        <v>46284</v>
      </c>
      <c r="F617" t="inlineStr">
        <is>
          <t>VÄSTERBOTTENS LÄN</t>
        </is>
      </c>
      <c r="G617" t="inlineStr">
        <is>
          <t>LYCKSELE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61086-2025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46000</v>
      </c>
      <c r="E618" s="1" t="n">
        <v>46284</v>
      </c>
      <c r="F618" t="inlineStr">
        <is>
          <t>VÄSTERBOTTENS LÄN</t>
        </is>
      </c>
      <c r="G618" t="inlineStr">
        <is>
          <t>LYCKSELE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61334-2025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46001</v>
      </c>
      <c r="E619" s="1" t="n">
        <v>46284</v>
      </c>
      <c r="F619" t="inlineStr">
        <is>
          <t>VÄSTERBOTTENS LÄN</t>
        </is>
      </c>
      <c r="G619" t="inlineStr">
        <is>
          <t>LYCKSELE</t>
        </is>
      </c>
      <c r="I619" t="n">
        <v>8.9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46284</v>
      </c>
      <c r="F620" t="inlineStr">
        <is>
          <t>VÄSTERBOTTENS LÄN</t>
        </is>
      </c>
      <c r="G620" t="inlineStr">
        <is>
          <t>LYCKSELE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61096-2025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46284</v>
      </c>
      <c r="F621" t="inlineStr">
        <is>
          <t>VÄSTERBOTTENS LÄN</t>
        </is>
      </c>
      <c r="G621" t="inlineStr">
        <is>
          <t>LYCKSELE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61091-2025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46284</v>
      </c>
      <c r="F622" t="inlineStr">
        <is>
          <t>VÄSTERBOTTENS LÄN</t>
        </is>
      </c>
      <c r="G622" t="inlineStr">
        <is>
          <t>LYCKSELE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61335-2025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46001</v>
      </c>
      <c r="E623" s="1" t="n">
        <v>46284</v>
      </c>
      <c r="F623" t="inlineStr">
        <is>
          <t>VÄSTERBOTTENS LÄN</t>
        </is>
      </c>
      <c r="G623" t="inlineStr">
        <is>
          <t>LYCKSELE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61353-2025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46001</v>
      </c>
      <c r="E624" s="1" t="n">
        <v>46284</v>
      </c>
      <c r="F624" t="inlineStr">
        <is>
          <t>VÄSTERBOTTENS LÄN</t>
        </is>
      </c>
      <c r="G624" t="inlineStr">
        <is>
          <t>LYCKSELE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23988-2026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46284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Holmen skog AB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61351-2025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46001</v>
      </c>
      <c r="E626" s="1" t="n">
        <v>46284</v>
      </c>
      <c r="F626" t="inlineStr">
        <is>
          <t>VÄSTERBOTTENS LÄN</t>
        </is>
      </c>
      <c r="G626" t="inlineStr">
        <is>
          <t>LYCKSELE</t>
        </is>
      </c>
      <c r="I626" t="n">
        <v>8.199999999999999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61472-2025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46001</v>
      </c>
      <c r="E627" s="1" t="n">
        <v>46284</v>
      </c>
      <c r="F627" t="inlineStr">
        <is>
          <t>VÄSTERBOTTENS LÄN</t>
        </is>
      </c>
      <c r="G627" t="inlineStr">
        <is>
          <t>LYCKSELE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61590-2025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46002</v>
      </c>
      <c r="E628" s="1" t="n">
        <v>46284</v>
      </c>
      <c r="F628" t="inlineStr">
        <is>
          <t>VÄSTERBOTTENS LÄN</t>
        </is>
      </c>
      <c r="G628" t="inlineStr">
        <is>
          <t>LYCKSELE</t>
        </is>
      </c>
      <c r="I628" t="n">
        <v>12.4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61854-2025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46003</v>
      </c>
      <c r="E629" s="1" t="n">
        <v>46284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Sveaskog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14276-2025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45740</v>
      </c>
      <c r="E630" s="1" t="n">
        <v>46284</v>
      </c>
      <c r="F630" t="inlineStr">
        <is>
          <t>VÄSTERBOTTENS LÄN</t>
        </is>
      </c>
      <c r="G630" t="inlineStr">
        <is>
          <t>LYCKSELE</t>
        </is>
      </c>
      <c r="I630" t="n">
        <v>34.9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1746-2026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46034</v>
      </c>
      <c r="E631" s="1" t="n">
        <v>46284</v>
      </c>
      <c r="F631" t="inlineStr">
        <is>
          <t>VÄSTERBOTTENS LÄN</t>
        </is>
      </c>
      <c r="G631" t="inlineStr">
        <is>
          <t>LYCKSELE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21289-2025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45779</v>
      </c>
      <c r="E632" s="1" t="n">
        <v>46284</v>
      </c>
      <c r="F632" t="inlineStr">
        <is>
          <t>VÄSTERBOTTENS LÄN</t>
        </is>
      </c>
      <c r="G632" t="inlineStr">
        <is>
          <t>LYCKSELE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61593-2025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46002</v>
      </c>
      <c r="E633" s="1" t="n">
        <v>46284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25.2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62877-2023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45271</v>
      </c>
      <c r="E634" s="1" t="n">
        <v>46284</v>
      </c>
      <c r="F634" t="inlineStr">
        <is>
          <t>VÄSTERBOTTENS LÄN</t>
        </is>
      </c>
      <c r="G634" t="inlineStr">
        <is>
          <t>LYCKSELE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62476-2025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46007</v>
      </c>
      <c r="E635" s="1" t="n">
        <v>46284</v>
      </c>
      <c r="F635" t="inlineStr">
        <is>
          <t>VÄSTERBOTTENS LÄN</t>
        </is>
      </c>
      <c r="G635" t="inlineStr">
        <is>
          <t>LYCKSELE</t>
        </is>
      </c>
      <c r="I635" t="n">
        <v>36.8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34567-2023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45140</v>
      </c>
      <c r="E636" s="1" t="n">
        <v>46284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Sveaskog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63100-2025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46009</v>
      </c>
      <c r="E637" s="1" t="n">
        <v>46284</v>
      </c>
      <c r="F637" t="inlineStr">
        <is>
          <t>VÄSTERBOTTENS LÄN</t>
        </is>
      </c>
      <c r="G637" t="inlineStr">
        <is>
          <t>LYCKSELE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62906-2025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46009</v>
      </c>
      <c r="E638" s="1" t="n">
        <v>46284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Holmen skog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66460-2021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44518</v>
      </c>
      <c r="E639" s="1" t="n">
        <v>46284</v>
      </c>
      <c r="F639" t="inlineStr">
        <is>
          <t>VÄSTERBOTTENS LÄN</t>
        </is>
      </c>
      <c r="G639" t="inlineStr">
        <is>
          <t>LYCKSELE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63096-2025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46284</v>
      </c>
      <c r="F640" t="inlineStr">
        <is>
          <t>VÄSTERBOTTENS LÄN</t>
        </is>
      </c>
      <c r="G640" t="inlineStr">
        <is>
          <t>LYCKSELE</t>
        </is>
      </c>
      <c r="I640" t="n">
        <v>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52755-2023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45225</v>
      </c>
      <c r="E641" s="1" t="n">
        <v>46284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9550-2025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45715</v>
      </c>
      <c r="E642" s="1" t="n">
        <v>46284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20.6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24175-2026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46284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6.5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14857-2023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45014</v>
      </c>
      <c r="E644" s="1" t="n">
        <v>46284</v>
      </c>
      <c r="F644" t="inlineStr">
        <is>
          <t>VÄSTERBOTTENS LÄN</t>
        </is>
      </c>
      <c r="G644" t="inlineStr">
        <is>
          <t>LYCKSELE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57298-2025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45979</v>
      </c>
      <c r="E645" s="1" t="n">
        <v>46284</v>
      </c>
      <c r="F645" t="inlineStr">
        <is>
          <t>VÄSTERBOTTENS LÄN</t>
        </is>
      </c>
      <c r="G645" t="inlineStr">
        <is>
          <t>LYCKSELE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37391-2024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45540</v>
      </c>
      <c r="E646" s="1" t="n">
        <v>46284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6.7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2859-2022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44581</v>
      </c>
      <c r="E647" s="1" t="n">
        <v>46284</v>
      </c>
      <c r="F647" t="inlineStr">
        <is>
          <t>VÄSTERBOTTENS LÄN</t>
        </is>
      </c>
      <c r="G647" t="inlineStr">
        <is>
          <t>LYCKSELE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63315-2025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46010</v>
      </c>
      <c r="E648" s="1" t="n">
        <v>46284</v>
      </c>
      <c r="F648" t="inlineStr">
        <is>
          <t>VÄSTERBOTTENS LÄN</t>
        </is>
      </c>
      <c r="G648" t="inlineStr">
        <is>
          <t>LYCKSELE</t>
        </is>
      </c>
      <c r="I648" t="n">
        <v>9.199999999999999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24204-2026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46284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Holmen skog AB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62715-2022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44925</v>
      </c>
      <c r="E650" s="1" t="n">
        <v>46284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63639-2025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46014</v>
      </c>
      <c r="E651" s="1" t="n">
        <v>46284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22451-2026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46153</v>
      </c>
      <c r="E652" s="1" t="n">
        <v>46284</v>
      </c>
      <c r="F652" t="inlineStr">
        <is>
          <t>VÄSTERBOTTENS LÄN</t>
        </is>
      </c>
      <c r="G652" t="inlineStr">
        <is>
          <t>LYCKSELE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29524-2023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46284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44924</v>
      </c>
      <c r="E654" s="1" t="n">
        <v>46284</v>
      </c>
      <c r="F654" t="inlineStr">
        <is>
          <t>VÄSTERBOTTENS LÄN</t>
        </is>
      </c>
      <c r="G654" t="inlineStr">
        <is>
          <t>LYCKSELE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32800-2024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45516</v>
      </c>
      <c r="E655" s="1" t="n">
        <v>46284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64893-2021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44512</v>
      </c>
      <c r="E656" s="1" t="n">
        <v>46284</v>
      </c>
      <c r="F656" t="inlineStr">
        <is>
          <t>VÄSTERBOTTENS LÄN</t>
        </is>
      </c>
      <c r="G656" t="inlineStr">
        <is>
          <t>LYCKSELE</t>
        </is>
      </c>
      <c r="I656" t="n">
        <v>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24205-2026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46168</v>
      </c>
      <c r="E657" s="1" t="n">
        <v>46284</v>
      </c>
      <c r="F657" t="inlineStr">
        <is>
          <t>VÄSTERBOTTENS LÄN</t>
        </is>
      </c>
      <c r="G657" t="inlineStr">
        <is>
          <t>LYCKSELE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46826-2023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45198</v>
      </c>
      <c r="E658" s="1" t="n">
        <v>46284</v>
      </c>
      <c r="F658" t="inlineStr">
        <is>
          <t>VÄSTERBOTTENS LÄN</t>
        </is>
      </c>
      <c r="G658" t="inlineStr">
        <is>
          <t>LYCKSELE</t>
        </is>
      </c>
      <c r="H658" t="inlineStr">
        <is>
          <t>SCA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38178-2022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44812</v>
      </c>
      <c r="E659" s="1" t="n">
        <v>46284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Holmen skog AB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26396-2022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44735</v>
      </c>
      <c r="E660" s="1" t="n">
        <v>46284</v>
      </c>
      <c r="F660" t="inlineStr">
        <is>
          <t>VÄSTERBOTTENS LÄN</t>
        </is>
      </c>
      <c r="G660" t="inlineStr">
        <is>
          <t>LYCKSELE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46181-2025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45924</v>
      </c>
      <c r="E661" s="1" t="n">
        <v>46284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11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46284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5.5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45444-2024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45576</v>
      </c>
      <c r="E663" s="1" t="n">
        <v>46284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45687</v>
      </c>
      <c r="E664" s="1" t="n">
        <v>46284</v>
      </c>
      <c r="F664" t="inlineStr">
        <is>
          <t>VÄSTERBOTTENS LÄN</t>
        </is>
      </c>
      <c r="G664" t="inlineStr">
        <is>
          <t>LYCKSELE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14070-2024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45392</v>
      </c>
      <c r="E665" s="1" t="n">
        <v>46284</v>
      </c>
      <c r="F665" t="inlineStr">
        <is>
          <t>VÄSTERBOTTENS LÄN</t>
        </is>
      </c>
      <c r="G665" t="inlineStr">
        <is>
          <t>LYCKSELE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19246-2025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45769</v>
      </c>
      <c r="E666" s="1" t="n">
        <v>46284</v>
      </c>
      <c r="F666" t="inlineStr">
        <is>
          <t>VÄSTERBOTTENS LÄN</t>
        </is>
      </c>
      <c r="G666" t="inlineStr">
        <is>
          <t>LYCKSELE</t>
        </is>
      </c>
      <c r="I666" t="n">
        <v>9.4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24548-2026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46170</v>
      </c>
      <c r="E667" s="1" t="n">
        <v>46284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24552-2026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46170</v>
      </c>
      <c r="E668" s="1" t="n">
        <v>46284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46284</v>
      </c>
      <c r="F669" t="inlineStr">
        <is>
          <t>VÄSTERBOTTENS LÄN</t>
        </is>
      </c>
      <c r="G669" t="inlineStr">
        <is>
          <t>LYCKSELE</t>
        </is>
      </c>
      <c r="I669" t="n">
        <v>16.3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1085-2026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46030</v>
      </c>
      <c r="E670" s="1" t="n">
        <v>46284</v>
      </c>
      <c r="F670" t="inlineStr">
        <is>
          <t>VÄSTERBOTTENS LÄN</t>
        </is>
      </c>
      <c r="G670" t="inlineStr">
        <is>
          <t>LYCKSELE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24574-2026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46170</v>
      </c>
      <c r="E671" s="1" t="n">
        <v>46284</v>
      </c>
      <c r="F671" t="inlineStr">
        <is>
          <t>VÄSTERBOTTENS LÄN</t>
        </is>
      </c>
      <c r="G671" t="inlineStr">
        <is>
          <t>LYCKSELE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1561-2026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46034</v>
      </c>
      <c r="E672" s="1" t="n">
        <v>46284</v>
      </c>
      <c r="F672" t="inlineStr">
        <is>
          <t>VÄSTERBOTTENS LÄN</t>
        </is>
      </c>
      <c r="G672" t="inlineStr">
        <is>
          <t>LYCKSELE</t>
        </is>
      </c>
      <c r="I672" t="n">
        <v>10.7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1613-2026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46034</v>
      </c>
      <c r="E673" s="1" t="n">
        <v>46284</v>
      </c>
      <c r="F673" t="inlineStr">
        <is>
          <t>VÄSTERBOTTENS LÄN</t>
        </is>
      </c>
      <c r="G673" t="inlineStr">
        <is>
          <t>LYCKSELE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40262-2022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44820</v>
      </c>
      <c r="E674" s="1" t="n">
        <v>46284</v>
      </c>
      <c r="F674" t="inlineStr">
        <is>
          <t>VÄSTERBOTTENS LÄN</t>
        </is>
      </c>
      <c r="G674" t="inlineStr">
        <is>
          <t>LYCKSELE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46284</v>
      </c>
      <c r="F675" t="inlineStr">
        <is>
          <t>VÄSTERBOTTENS LÄN</t>
        </is>
      </c>
      <c r="G675" t="inlineStr">
        <is>
          <t>LYCKSELE</t>
        </is>
      </c>
      <c r="I675" t="n">
        <v>8.4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51048-2023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45218</v>
      </c>
      <c r="E676" s="1" t="n">
        <v>46284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24041-2023</t>
        </is>
      </c>
      <c r="B677" t="inlineStr">
        <is>
          <t>avverkningsanmälan</t>
        </is>
      </c>
      <c r="C677" t="inlineStr">
        <is>
          <t>Avverkning för att bevara och utveckla /försöksver</t>
        </is>
      </c>
      <c r="D677" s="1" t="n">
        <v>45078</v>
      </c>
      <c r="E677" s="1" t="n">
        <v>46284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11743-2023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44994</v>
      </c>
      <c r="E678" s="1" t="n">
        <v>46284</v>
      </c>
      <c r="F678" t="inlineStr">
        <is>
          <t>VÄSTERBOTTENS LÄN</t>
        </is>
      </c>
      <c r="G678" t="inlineStr">
        <is>
          <t>LYCKSELE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19270-2024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45428</v>
      </c>
      <c r="E679" s="1" t="n">
        <v>46284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34810-2024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45526</v>
      </c>
      <c r="E680" s="1" t="n">
        <v>46284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55170-2022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44886</v>
      </c>
      <c r="E681" s="1" t="n">
        <v>46284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25080-2026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46174</v>
      </c>
      <c r="E682" s="1" t="n">
        <v>46284</v>
      </c>
      <c r="F682" t="inlineStr">
        <is>
          <t>VÄSTERBOTTENS LÄN</t>
        </is>
      </c>
      <c r="G682" t="inlineStr">
        <is>
          <t>LYCKSELE</t>
        </is>
      </c>
      <c r="I682" t="n">
        <v>13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24763-2026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46171</v>
      </c>
      <c r="E683" s="1" t="n">
        <v>46284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61367-2024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45646</v>
      </c>
      <c r="E684" s="1" t="n">
        <v>46284</v>
      </c>
      <c r="F684" t="inlineStr">
        <is>
          <t>VÄSTERBOTTENS LÄN</t>
        </is>
      </c>
      <c r="G684" t="inlineStr">
        <is>
          <t>LYCKSELE</t>
        </is>
      </c>
      <c r="I684" t="n">
        <v>10.4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46045</v>
      </c>
      <c r="E685" s="1" t="n">
        <v>46284</v>
      </c>
      <c r="F685" t="inlineStr">
        <is>
          <t>VÄSTERBOTTENS LÄN</t>
        </is>
      </c>
      <c r="G685" t="inlineStr">
        <is>
          <t>LYCKSELE</t>
        </is>
      </c>
      <c r="I685" t="n">
        <v>4.2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59653-2022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44907</v>
      </c>
      <c r="E686" s="1" t="n">
        <v>46284</v>
      </c>
      <c r="F686" t="inlineStr">
        <is>
          <t>VÄSTERBOTTENS LÄN</t>
        </is>
      </c>
      <c r="G686" t="inlineStr">
        <is>
          <t>LYCKSELE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46044</v>
      </c>
      <c r="E687" s="1" t="n">
        <v>46284</v>
      </c>
      <c r="F687" t="inlineStr">
        <is>
          <t>VÄSTERBOTTENS LÄN</t>
        </is>
      </c>
      <c r="G687" t="inlineStr">
        <is>
          <t>LYCKSELE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4388-2026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46284</v>
      </c>
      <c r="F688" t="inlineStr">
        <is>
          <t>VÄSTERBOTTENS LÄN</t>
        </is>
      </c>
      <c r="G688" t="inlineStr">
        <is>
          <t>LYCKSELE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51669-2024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45606</v>
      </c>
      <c r="E689" s="1" t="n">
        <v>46284</v>
      </c>
      <c r="F689" t="inlineStr">
        <is>
          <t>VÄSTERBOTTENS LÄN</t>
        </is>
      </c>
      <c r="G689" t="inlineStr">
        <is>
          <t>LYCKSELE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4102-2026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46044</v>
      </c>
      <c r="E690" s="1" t="n">
        <v>46284</v>
      </c>
      <c r="F690" t="inlineStr">
        <is>
          <t>VÄSTERBOTTENS LÄN</t>
        </is>
      </c>
      <c r="G690" t="inlineStr">
        <is>
          <t>LYCKSELE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25039-2026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46174</v>
      </c>
      <c r="E691" s="1" t="n">
        <v>46284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71407-2021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44540</v>
      </c>
      <c r="E692" s="1" t="n">
        <v>46284</v>
      </c>
      <c r="F692" t="inlineStr">
        <is>
          <t>VÄSTERBOTTENS LÄN</t>
        </is>
      </c>
      <c r="G692" t="inlineStr">
        <is>
          <t>LYCKSELE</t>
        </is>
      </c>
      <c r="I692" t="n">
        <v>9.4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24954-2026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46284</v>
      </c>
      <c r="F693" t="inlineStr">
        <is>
          <t>VÄSTERBOTTENS LÄN</t>
        </is>
      </c>
      <c r="G693" t="inlineStr">
        <is>
          <t>LYCKSELE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5026-2026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46284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24.6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1962-2024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45308</v>
      </c>
      <c r="E695" s="1" t="n">
        <v>46284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Holmen skog AB</t>
        </is>
      </c>
      <c r="I695" t="n">
        <v>9.300000000000001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25328-2026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46284</v>
      </c>
      <c r="F696" t="inlineStr">
        <is>
          <t>VÄSTERBOTTENS LÄN</t>
        </is>
      </c>
      <c r="G696" t="inlineStr">
        <is>
          <t>LYCKSELE</t>
        </is>
      </c>
      <c r="I696" t="n">
        <v>7.4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41361-2023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45174</v>
      </c>
      <c r="E697" s="1" t="n">
        <v>46284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6.6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33713-2024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45520</v>
      </c>
      <c r="E698" s="1" t="n">
        <v>46284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7.5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5508-2026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46050</v>
      </c>
      <c r="E699" s="1" t="n">
        <v>46284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53614-2021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44469</v>
      </c>
      <c r="E700" s="1" t="n">
        <v>46284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60685-2022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44911</v>
      </c>
      <c r="E701" s="1" t="n">
        <v>46284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21666-2024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45441</v>
      </c>
      <c r="E702" s="1" t="n">
        <v>46284</v>
      </c>
      <c r="F702" t="inlineStr">
        <is>
          <t>VÄSTERBOTTENS LÄN</t>
        </is>
      </c>
      <c r="G702" t="inlineStr">
        <is>
          <t>LYCKSELE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18674-2025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45763</v>
      </c>
      <c r="E703" s="1" t="n">
        <v>46284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47807-2024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45588</v>
      </c>
      <c r="E704" s="1" t="n">
        <v>46284</v>
      </c>
      <c r="F704" t="inlineStr">
        <is>
          <t>VÄSTERBOTTENS LÄN</t>
        </is>
      </c>
      <c r="G704" t="inlineStr">
        <is>
          <t>LYCKSELE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46284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3021-2026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46038</v>
      </c>
      <c r="E706" s="1" t="n">
        <v>46284</v>
      </c>
      <c r="F706" t="inlineStr">
        <is>
          <t>VÄSTERBOTTENS LÄN</t>
        </is>
      </c>
      <c r="G706" t="inlineStr">
        <is>
          <t>LYCKSELE</t>
        </is>
      </c>
      <c r="I706" t="n">
        <v>6.7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42887-2024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45566</v>
      </c>
      <c r="E707" s="1" t="n">
        <v>46284</v>
      </c>
      <c r="F707" t="inlineStr">
        <is>
          <t>VÄSTERBOTTENS LÄN</t>
        </is>
      </c>
      <c r="G707" t="inlineStr">
        <is>
          <t>LYCKSELE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10208-2024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45364</v>
      </c>
      <c r="E708" s="1" t="n">
        <v>46284</v>
      </c>
      <c r="F708" t="inlineStr">
        <is>
          <t>VÄSTERBOTTENS LÄN</t>
        </is>
      </c>
      <c r="G708" t="inlineStr">
        <is>
          <t>LYCKSELE</t>
        </is>
      </c>
      <c r="I708" t="n">
        <v>9.4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59174-2024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45637</v>
      </c>
      <c r="E709" s="1" t="n">
        <v>46284</v>
      </c>
      <c r="F709" t="inlineStr">
        <is>
          <t>VÄSTERBOTTENS LÄN</t>
        </is>
      </c>
      <c r="G709" t="inlineStr">
        <is>
          <t>LYCKSELE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58775-2025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45986</v>
      </c>
      <c r="E710" s="1" t="n">
        <v>46284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25746-2026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46178</v>
      </c>
      <c r="E711" s="1" t="n">
        <v>46284</v>
      </c>
      <c r="F711" t="inlineStr">
        <is>
          <t>VÄSTERBOTTENS LÄN</t>
        </is>
      </c>
      <c r="G711" t="inlineStr">
        <is>
          <t>LYCKSELE</t>
        </is>
      </c>
      <c r="I711" t="n">
        <v>22.3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37271-2023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45155</v>
      </c>
      <c r="E712" s="1" t="n">
        <v>46284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25492-2026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46177</v>
      </c>
      <c r="E713" s="1" t="n">
        <v>46284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5.3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7829-2026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46062</v>
      </c>
      <c r="E714" s="1" t="n">
        <v>46284</v>
      </c>
      <c r="F714" t="inlineStr">
        <is>
          <t>VÄSTERBOTTENS LÄN</t>
        </is>
      </c>
      <c r="G714" t="inlineStr">
        <is>
          <t>LYCKSELE</t>
        </is>
      </c>
      <c r="I714" t="n">
        <v>5.3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7954-2026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46063</v>
      </c>
      <c r="E715" s="1" t="n">
        <v>46284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Naturvårdsverket</t>
        </is>
      </c>
      <c r="I715" t="n">
        <v>6.3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8018-2026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46063</v>
      </c>
      <c r="E716" s="1" t="n">
        <v>46284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Naturvårdsverket</t>
        </is>
      </c>
      <c r="I716" t="n">
        <v>11.4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25718-2026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46178</v>
      </c>
      <c r="E717" s="1" t="n">
        <v>46284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61506-2021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44501</v>
      </c>
      <c r="E718" s="1" t="n">
        <v>46284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60267-2022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44910</v>
      </c>
      <c r="E719" s="1" t="n">
        <v>46284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38347-2025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45883</v>
      </c>
      <c r="E720" s="1" t="n">
        <v>46284</v>
      </c>
      <c r="F720" t="inlineStr">
        <is>
          <t>VÄSTERBOTTENS LÄN</t>
        </is>
      </c>
      <c r="G720" t="inlineStr">
        <is>
          <t>LYCKSELE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7842-2026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46062</v>
      </c>
      <c r="E721" s="1" t="n">
        <v>46284</v>
      </c>
      <c r="F721" t="inlineStr">
        <is>
          <t>VÄSTERBOTTENS LÄN</t>
        </is>
      </c>
      <c r="G721" t="inlineStr">
        <is>
          <t>LYCKSELE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40115-2024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45554</v>
      </c>
      <c r="E722" s="1" t="n">
        <v>46284</v>
      </c>
      <c r="F722" t="inlineStr">
        <is>
          <t>VÄSTERBOTTENS LÄN</t>
        </is>
      </c>
      <c r="G722" t="inlineStr">
        <is>
          <t>LYCKSELE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8485-2026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46065</v>
      </c>
      <c r="E723" s="1" t="n">
        <v>46284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12.1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25490-2026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46177</v>
      </c>
      <c r="E724" s="1" t="n">
        <v>46284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14.5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25491-2026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46284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8273-2026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46284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Naturvårdsverket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27495-2024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45474</v>
      </c>
      <c r="E727" s="1" t="n">
        <v>46284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25709-2026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46284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6.1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25716-2026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46284</v>
      </c>
      <c r="F729" t="inlineStr">
        <is>
          <t>VÄSTERBOTTENS LÄN</t>
        </is>
      </c>
      <c r="G729" t="inlineStr">
        <is>
          <t>LYCKSELE</t>
        </is>
      </c>
      <c r="I729" t="n">
        <v>7.7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25727-2026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46178</v>
      </c>
      <c r="E730" s="1" t="n">
        <v>46284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8272-2026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46064</v>
      </c>
      <c r="E731" s="1" t="n">
        <v>46284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Naturvårdsverket</t>
        </is>
      </c>
      <c r="I731" t="n">
        <v>4.8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25461-2026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46177</v>
      </c>
      <c r="E732" s="1" t="n">
        <v>46284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Holmen skog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8467-2026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46065</v>
      </c>
      <c r="E733" s="1" t="n">
        <v>46284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6.8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31689-2023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45117</v>
      </c>
      <c r="E734" s="1" t="n">
        <v>46284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46181</v>
      </c>
      <c r="E735" s="1" t="n">
        <v>46284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6.6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32690-2024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45515</v>
      </c>
      <c r="E736" s="1" t="n">
        <v>46284</v>
      </c>
      <c r="F736" t="inlineStr">
        <is>
          <t>VÄSTERBOTTENS LÄN</t>
        </is>
      </c>
      <c r="G736" t="inlineStr">
        <is>
          <t>LYCKSELE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26175-2026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46182</v>
      </c>
      <c r="E737" s="1" t="n">
        <v>46284</v>
      </c>
      <c r="F737" t="inlineStr">
        <is>
          <t>VÄSTERBOTTENS LÄN</t>
        </is>
      </c>
      <c r="G737" t="inlineStr">
        <is>
          <t>LYCKSELE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36875-2023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45154</v>
      </c>
      <c r="E738" s="1" t="n">
        <v>46284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9310-2026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46070</v>
      </c>
      <c r="E739" s="1" t="n">
        <v>46284</v>
      </c>
      <c r="F739" t="inlineStr">
        <is>
          <t>VÄSTERBOTTENS LÄN</t>
        </is>
      </c>
      <c r="G739" t="inlineStr">
        <is>
          <t>LYCKSELE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26246-2026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46182</v>
      </c>
      <c r="E740" s="1" t="n">
        <v>46284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26276-2026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46284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10331-2023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44980</v>
      </c>
      <c r="E742" s="1" t="n">
        <v>46284</v>
      </c>
      <c r="F742" t="inlineStr">
        <is>
          <t>VÄSTERBOTTENS LÄN</t>
        </is>
      </c>
      <c r="G742" t="inlineStr">
        <is>
          <t>LYCKSELE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9716-2026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46072</v>
      </c>
      <c r="E743" s="1" t="n">
        <v>46284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51943-2023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45223</v>
      </c>
      <c r="E744" s="1" t="n">
        <v>46284</v>
      </c>
      <c r="F744" t="inlineStr">
        <is>
          <t>VÄSTERBOTTENS LÄN</t>
        </is>
      </c>
      <c r="G744" t="inlineStr">
        <is>
          <t>LYCKSELE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10180-2026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46076</v>
      </c>
      <c r="E745" s="1" t="n">
        <v>46284</v>
      </c>
      <c r="F745" t="inlineStr">
        <is>
          <t>VÄSTERBOTTENS LÄN</t>
        </is>
      </c>
      <c r="G745" t="inlineStr">
        <is>
          <t>LYCKSELE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11199-2024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45371</v>
      </c>
      <c r="E746" s="1" t="n">
        <v>46284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Holmen skog AB</t>
        </is>
      </c>
      <c r="I746" t="n">
        <v>55.8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46284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10478-2026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46077</v>
      </c>
      <c r="E748" s="1" t="n">
        <v>46284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27219-2026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46284</v>
      </c>
      <c r="F749" t="inlineStr">
        <is>
          <t>VÄSTERBOTTENS LÄN</t>
        </is>
      </c>
      <c r="G749" t="inlineStr">
        <is>
          <t>LYCKSELE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26435-2026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46183</v>
      </c>
      <c r="E750" s="1" t="n">
        <v>46284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10174-2026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46076</v>
      </c>
      <c r="E751" s="1" t="n">
        <v>46284</v>
      </c>
      <c r="F751" t="inlineStr">
        <is>
          <t>VÄSTERBOTTENS LÄN</t>
        </is>
      </c>
      <c r="G751" t="inlineStr">
        <is>
          <t>LYCKSELE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46284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5.4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10321-2026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46076</v>
      </c>
      <c r="E753" s="1" t="n">
        <v>46284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26387-2026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46183</v>
      </c>
      <c r="E754" s="1" t="n">
        <v>46284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9.9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49130-2024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45594</v>
      </c>
      <c r="E755" s="1" t="n">
        <v>46284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61094-2023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45261</v>
      </c>
      <c r="E756" s="1" t="n">
        <v>46284</v>
      </c>
      <c r="F756" t="inlineStr">
        <is>
          <t>VÄSTERBOTTENS LÄN</t>
        </is>
      </c>
      <c r="G756" t="inlineStr">
        <is>
          <t>LYCKSELE</t>
        </is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1812-2024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45307</v>
      </c>
      <c r="E757" s="1" t="n">
        <v>46284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14.9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21668-2024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45441</v>
      </c>
      <c r="E758" s="1" t="n">
        <v>46284</v>
      </c>
      <c r="F758" t="inlineStr">
        <is>
          <t>VÄSTERBOTTENS LÄN</t>
        </is>
      </c>
      <c r="G758" t="inlineStr">
        <is>
          <t>LYCKSELE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12336-2024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45378</v>
      </c>
      <c r="E759" s="1" t="n">
        <v>46284</v>
      </c>
      <c r="F759" t="inlineStr">
        <is>
          <t>VÄSTERBOTTENS LÄN</t>
        </is>
      </c>
      <c r="G759" t="inlineStr">
        <is>
          <t>LYCKSELE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26511-2026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46183</v>
      </c>
      <c r="E760" s="1" t="n">
        <v>46284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Sveaskog</t>
        </is>
      </c>
      <c r="I760" t="n">
        <v>33.8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26717-2024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45470</v>
      </c>
      <c r="E761" s="1" t="n">
        <v>46284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2.8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31251-2024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45503</v>
      </c>
      <c r="E762" s="1" t="n">
        <v>46284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26980-2026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46185</v>
      </c>
      <c r="E763" s="1" t="n">
        <v>46284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26988-2026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46185</v>
      </c>
      <c r="E764" s="1" t="n">
        <v>46284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5.6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33400-2023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45128</v>
      </c>
      <c r="E765" s="1" t="n">
        <v>46284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Holmen skog AB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12083-2026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46086</v>
      </c>
      <c r="E766" s="1" t="n">
        <v>46284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55456-2022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44887</v>
      </c>
      <c r="E767" s="1" t="n">
        <v>46284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3.2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11870-2026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46085</v>
      </c>
      <c r="E768" s="1" t="n">
        <v>46284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26916-2026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46185</v>
      </c>
      <c r="E769" s="1" t="n">
        <v>46284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12302-2026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46087</v>
      </c>
      <c r="E770" s="1" t="n">
        <v>46284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12436-2026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46090</v>
      </c>
      <c r="E771" s="1" t="n">
        <v>46284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SCA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29675-2023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45107</v>
      </c>
      <c r="E772" s="1" t="n">
        <v>46284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12327-2026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46087</v>
      </c>
      <c r="E773" s="1" t="n">
        <v>46284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41358-2022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44826</v>
      </c>
      <c r="E774" s="1" t="n">
        <v>46284</v>
      </c>
      <c r="F774" t="inlineStr">
        <is>
          <t>VÄSTERBOTTENS LÄN</t>
        </is>
      </c>
      <c r="G774" t="inlineStr">
        <is>
          <t>LYCKSELE</t>
        </is>
      </c>
      <c r="I774" t="n">
        <v>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58594-2022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44902</v>
      </c>
      <c r="E775" s="1" t="n">
        <v>46284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38212-2024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45545</v>
      </c>
      <c r="E776" s="1" t="n">
        <v>46284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53839-2023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45231</v>
      </c>
      <c r="E777" s="1" t="n">
        <v>46284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6943-2025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45701</v>
      </c>
      <c r="E778" s="1" t="n">
        <v>46284</v>
      </c>
      <c r="F778" t="inlineStr">
        <is>
          <t>VÄSTERBOTTENS LÄN</t>
        </is>
      </c>
      <c r="G778" t="inlineStr">
        <is>
          <t>LYCKSELE</t>
        </is>
      </c>
      <c r="I778" t="n">
        <v>3.4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27430-2026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46189</v>
      </c>
      <c r="E779" s="1" t="n">
        <v>46284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59559-2022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44900</v>
      </c>
      <c r="E780" s="1" t="n">
        <v>46284</v>
      </c>
      <c r="F780" t="inlineStr">
        <is>
          <t>VÄSTERBOTTENS LÄN</t>
        </is>
      </c>
      <c r="G780" t="inlineStr">
        <is>
          <t>LYCKSELE</t>
        </is>
      </c>
      <c r="I780" t="n">
        <v>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12889-2026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46092</v>
      </c>
      <c r="E781" s="1" t="n">
        <v>46284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4.8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27427-2026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46189</v>
      </c>
      <c r="E782" s="1" t="n">
        <v>46284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27436-2026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46189</v>
      </c>
      <c r="E783" s="1" t="n">
        <v>46284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12662-2026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46091</v>
      </c>
      <c r="E784" s="1" t="n">
        <v>46284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12998-2026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46092</v>
      </c>
      <c r="E785" s="1" t="n">
        <v>46284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12735-2026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46091</v>
      </c>
      <c r="E786" s="1" t="n">
        <v>46284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13436-2026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46094</v>
      </c>
      <c r="E787" s="1" t="n">
        <v>46284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4.5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13384-2026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46094</v>
      </c>
      <c r="E788" s="1" t="n">
        <v>46284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10.9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13477-2026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46284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4.2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13413-2026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46094</v>
      </c>
      <c r="E790" s="1" t="n">
        <v>46284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58192-2023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45245</v>
      </c>
      <c r="E791" s="1" t="n">
        <v>46284</v>
      </c>
      <c r="F791" t="inlineStr">
        <is>
          <t>VÄSTERBOTTENS LÄN</t>
        </is>
      </c>
      <c r="G791" t="inlineStr">
        <is>
          <t>LYCKSELE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13480-2026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46284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53037-2023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45226</v>
      </c>
      <c r="E793" s="1" t="n">
        <v>46284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7.4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13517-2026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46284</v>
      </c>
      <c r="F794" t="inlineStr">
        <is>
          <t>VÄSTERBOTTENS LÄN</t>
        </is>
      </c>
      <c r="G794" t="inlineStr">
        <is>
          <t>LYCKSELE</t>
        </is>
      </c>
      <c r="I794" t="n">
        <v>4.8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13518-2026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46094</v>
      </c>
      <c r="E795" s="1" t="n">
        <v>46284</v>
      </c>
      <c r="F795" t="inlineStr">
        <is>
          <t>VÄSTERBOTTENS LÄN</t>
        </is>
      </c>
      <c r="G795" t="inlineStr">
        <is>
          <t>LYCKSELE</t>
        </is>
      </c>
      <c r="I795" t="n">
        <v>12.7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53335-2024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45614</v>
      </c>
      <c r="E796" s="1" t="n">
        <v>46284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5.5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13954-2026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46098</v>
      </c>
      <c r="E797" s="1" t="n">
        <v>46284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13921-2026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46284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13627-2026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46097</v>
      </c>
      <c r="E799" s="1" t="n">
        <v>46284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14235-2026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46099</v>
      </c>
      <c r="E800" s="1" t="n">
        <v>46284</v>
      </c>
      <c r="F800" t="inlineStr">
        <is>
          <t>VÄSTERBOTTENS LÄN</t>
        </is>
      </c>
      <c r="G800" t="inlineStr">
        <is>
          <t>LYCKSELE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27854-2026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46284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27883-2026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46191</v>
      </c>
      <c r="E802" s="1" t="n">
        <v>46284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46284</v>
      </c>
      <c r="F803" t="inlineStr">
        <is>
          <t>VÄSTERBOTTENS LÄN</t>
        </is>
      </c>
      <c r="G803" t="inlineStr">
        <is>
          <t>LYCKSELE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27842-2026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46284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SCA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27843-2026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46191</v>
      </c>
      <c r="E805" s="1" t="n">
        <v>46284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SCA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14243-2026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46099</v>
      </c>
      <c r="E806" s="1" t="n">
        <v>46284</v>
      </c>
      <c r="F806" t="inlineStr">
        <is>
          <t>VÄSTERBOTTENS LÄN</t>
        </is>
      </c>
      <c r="G806" t="inlineStr">
        <is>
          <t>LYCKSELE</t>
        </is>
      </c>
      <c r="I806" t="n">
        <v>11.8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29314-2026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46197</v>
      </c>
      <c r="E807" s="1" t="n">
        <v>46284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Kommuner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14405-2026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46100</v>
      </c>
      <c r="E808" s="1" t="n">
        <v>46284</v>
      </c>
      <c r="F808" t="inlineStr">
        <is>
          <t>VÄSTERBOTTENS LÄN</t>
        </is>
      </c>
      <c r="G808" t="inlineStr">
        <is>
          <t>LYCKSELE</t>
        </is>
      </c>
      <c r="I808" t="n">
        <v>3.1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24810-2024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45460</v>
      </c>
      <c r="E809" s="1" t="n">
        <v>46284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SCA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60859-2022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46284</v>
      </c>
      <c r="F810" t="inlineStr">
        <is>
          <t>VÄSTERBOTTENS LÄN</t>
        </is>
      </c>
      <c r="G810" t="inlineStr">
        <is>
          <t>LYCKSELE</t>
        </is>
      </c>
      <c r="I810" t="n">
        <v>3.4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14675-2026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46101</v>
      </c>
      <c r="E811" s="1" t="n">
        <v>46284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5.4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14856-2026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46104</v>
      </c>
      <c r="E812" s="1" t="n">
        <v>46284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11.1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28217-2026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46196</v>
      </c>
      <c r="E813" s="1" t="n">
        <v>46284</v>
      </c>
      <c r="F813" t="inlineStr">
        <is>
          <t>VÄSTERBOTTENS LÄN</t>
        </is>
      </c>
      <c r="G813" t="inlineStr">
        <is>
          <t>LYCKSELE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14725-2026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46101</v>
      </c>
      <c r="E814" s="1" t="n">
        <v>46284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26351-2022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44735</v>
      </c>
      <c r="E815" s="1" t="n">
        <v>46284</v>
      </c>
      <c r="F815" t="inlineStr">
        <is>
          <t>VÄSTERBOTTENS LÄN</t>
        </is>
      </c>
      <c r="G815" t="inlineStr">
        <is>
          <t>LYCKSELE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54446-2023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45233</v>
      </c>
      <c r="E816" s="1" t="n">
        <v>46284</v>
      </c>
      <c r="F816" t="inlineStr">
        <is>
          <t>VÄSTERBOTTENS LÄN</t>
        </is>
      </c>
      <c r="G816" t="inlineStr">
        <is>
          <t>LYCKSELE</t>
        </is>
      </c>
      <c r="I816" t="n">
        <v>21.4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14845-2026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46104</v>
      </c>
      <c r="E817" s="1" t="n">
        <v>46284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SCA</t>
        </is>
      </c>
      <c r="I817" t="n">
        <v>12.5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52956-2022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44875</v>
      </c>
      <c r="E818" s="1" t="n">
        <v>46284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6.4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15389-2026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46106</v>
      </c>
      <c r="E819" s="1" t="n">
        <v>46284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12.9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15655-2026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46106</v>
      </c>
      <c r="E820" s="1" t="n">
        <v>46284</v>
      </c>
      <c r="F820" t="inlineStr">
        <is>
          <t>VÄSTERBOTTENS LÄN</t>
        </is>
      </c>
      <c r="G820" t="inlineStr">
        <is>
          <t>LYCKSELE</t>
        </is>
      </c>
      <c r="I820" t="n">
        <v>5.8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38112-2024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45545</v>
      </c>
      <c r="E821" s="1" t="n">
        <v>46284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59516-2021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44491</v>
      </c>
      <c r="E822" s="1" t="n">
        <v>46284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2.7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56343-2022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44890</v>
      </c>
      <c r="E823" s="1" t="n">
        <v>46284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28421-2026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46197</v>
      </c>
      <c r="E824" s="1" t="n">
        <v>46284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7.6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28829-2026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46198</v>
      </c>
      <c r="E825" s="1" t="n">
        <v>46284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15696-2026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46107</v>
      </c>
      <c r="E826" s="1" t="n">
        <v>46284</v>
      </c>
      <c r="F826" t="inlineStr">
        <is>
          <t>VÄSTERBOTTENS LÄN</t>
        </is>
      </c>
      <c r="G826" t="inlineStr">
        <is>
          <t>LYCKSELE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16138-2026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46108</v>
      </c>
      <c r="E827" s="1" t="n">
        <v>46284</v>
      </c>
      <c r="F827" t="inlineStr">
        <is>
          <t>VÄSTERBOTTENS LÄN</t>
        </is>
      </c>
      <c r="G827" t="inlineStr">
        <is>
          <t>LYCKSELE</t>
        </is>
      </c>
      <c r="I827" t="n">
        <v>13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28586-2026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46197</v>
      </c>
      <c r="E828" s="1" t="n">
        <v>46284</v>
      </c>
      <c r="F828" t="inlineStr">
        <is>
          <t>VÄSTERBOTTENS LÄN</t>
        </is>
      </c>
      <c r="G828" t="inlineStr">
        <is>
          <t>LYCKSELE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16642-2026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46112</v>
      </c>
      <c r="E829" s="1" t="n">
        <v>46284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4056-2023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44952</v>
      </c>
      <c r="E830" s="1" t="n">
        <v>46284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16540-2026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46284</v>
      </c>
      <c r="F831" t="inlineStr">
        <is>
          <t>VÄSTERBOTTENS LÄN</t>
        </is>
      </c>
      <c r="G831" t="inlineStr">
        <is>
          <t>LYCKSELE</t>
        </is>
      </c>
      <c r="I831" t="n">
        <v>17.1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16397-2026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46111</v>
      </c>
      <c r="E832" s="1" t="n">
        <v>46284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49175-2023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45210</v>
      </c>
      <c r="E833" s="1" t="n">
        <v>46284</v>
      </c>
      <c r="F833" t="inlineStr">
        <is>
          <t>VÄSTERBOTTENS LÄN</t>
        </is>
      </c>
      <c r="G833" t="inlineStr">
        <is>
          <t>LYCKSELE</t>
        </is>
      </c>
      <c r="I833" t="n">
        <v>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16643-2026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46112</v>
      </c>
      <c r="E834" s="1" t="n">
        <v>46284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16.8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16646-2026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46112</v>
      </c>
      <c r="E835" s="1" t="n">
        <v>46284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SCA</t>
        </is>
      </c>
      <c r="I835" t="n">
        <v>13.9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16986-2026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46114</v>
      </c>
      <c r="E836" s="1" t="n">
        <v>46284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67092-2021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44522</v>
      </c>
      <c r="E837" s="1" t="n">
        <v>46284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28939-2026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46199</v>
      </c>
      <c r="E838" s="1" t="n">
        <v>46284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30425-2024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45491</v>
      </c>
      <c r="E839" s="1" t="n">
        <v>46284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16733-2026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46113</v>
      </c>
      <c r="E840" s="1" t="n">
        <v>46284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16731-2026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46113</v>
      </c>
      <c r="E841" s="1" t="n">
        <v>46284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13.5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16729-2026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46284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19.5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35284-2023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45145</v>
      </c>
      <c r="E843" s="1" t="n">
        <v>46284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17329-2026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46119</v>
      </c>
      <c r="E844" s="1" t="n">
        <v>46284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12.1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17650-2026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46121</v>
      </c>
      <c r="E845" s="1" t="n">
        <v>46284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3.7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34929-2023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45142</v>
      </c>
      <c r="E846" s="1" t="n">
        <v>46284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46202</v>
      </c>
      <c r="E847" s="1" t="n">
        <v>46284</v>
      </c>
      <c r="F847" t="inlineStr">
        <is>
          <t>VÄSTERBOTTENS LÄN</t>
        </is>
      </c>
      <c r="G847" t="inlineStr">
        <is>
          <t>LYCKSELE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29151-2026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46202</v>
      </c>
      <c r="E848" s="1" t="n">
        <v>46284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29149-2026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46284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38.4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35569-2024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45531</v>
      </c>
      <c r="E850" s="1" t="n">
        <v>46284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29279-2026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46202</v>
      </c>
      <c r="E851" s="1" t="n">
        <v>46284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33147-2026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46244</v>
      </c>
      <c r="E852" s="1" t="n">
        <v>46284</v>
      </c>
      <c r="F852" t="inlineStr">
        <is>
          <t>VÄSTERBOTTENS LÄN</t>
        </is>
      </c>
      <c r="G852" t="inlineStr">
        <is>
          <t>LYCKSELE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18737-2026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46284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5.5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60122-2022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44909</v>
      </c>
      <c r="E854" s="1" t="n">
        <v>46284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18789-2026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46128</v>
      </c>
      <c r="E855" s="1" t="n">
        <v>46284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18581-2026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46127</v>
      </c>
      <c r="E856" s="1" t="n">
        <v>46284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6.4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28907-2026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46199</v>
      </c>
      <c r="E857" s="1" t="n">
        <v>46284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7.5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28910-2026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46199</v>
      </c>
      <c r="E858" s="1" t="n">
        <v>46284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3.6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57818-2021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44484</v>
      </c>
      <c r="E859" s="1" t="n">
        <v>46284</v>
      </c>
      <c r="F859" t="inlineStr">
        <is>
          <t>VÄSTERBOTTENS LÄN</t>
        </is>
      </c>
      <c r="G859" t="inlineStr">
        <is>
          <t>LYCKSELE</t>
        </is>
      </c>
      <c r="I859" t="n">
        <v>5.4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34857-2024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45527</v>
      </c>
      <c r="E860" s="1" t="n">
        <v>46284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2.3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29425-2026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46203</v>
      </c>
      <c r="E861" s="1" t="n">
        <v>46284</v>
      </c>
      <c r="F861" t="inlineStr">
        <is>
          <t>VÄSTERBOTTENS LÄN</t>
        </is>
      </c>
      <c r="G861" t="inlineStr">
        <is>
          <t>LYCKSELE</t>
        </is>
      </c>
      <c r="I861" t="n">
        <v>2.2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29706-2026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46204</v>
      </c>
      <c r="E862" s="1" t="n">
        <v>46284</v>
      </c>
      <c r="F862" t="inlineStr">
        <is>
          <t>VÄSTERBOTTENS LÄN</t>
        </is>
      </c>
      <c r="G862" t="inlineStr">
        <is>
          <t>LYCKSELE</t>
        </is>
      </c>
      <c r="I862" t="n">
        <v>2.2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19062-2026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46132</v>
      </c>
      <c r="E863" s="1" t="n">
        <v>46284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SCA</t>
        </is>
      </c>
      <c r="I863" t="n">
        <v>9.699999999999999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19058-2026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46132</v>
      </c>
      <c r="E864" s="1" t="n">
        <v>46284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20344-2025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45775</v>
      </c>
      <c r="E865" s="1" t="n">
        <v>46284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19325-2026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46133</v>
      </c>
      <c r="E866" s="1" t="n">
        <v>46284</v>
      </c>
      <c r="F866" t="inlineStr">
        <is>
          <t>VÄSTERBOTTENS LÄN</t>
        </is>
      </c>
      <c r="G866" t="inlineStr">
        <is>
          <t>LYCKSELE</t>
        </is>
      </c>
      <c r="I866" t="n">
        <v>6.5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15037-2025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45743</v>
      </c>
      <c r="E867" s="1" t="n">
        <v>46284</v>
      </c>
      <c r="F867" t="inlineStr">
        <is>
          <t>VÄSTERBOTTENS LÄN</t>
        </is>
      </c>
      <c r="G867" t="inlineStr">
        <is>
          <t>LYCKSELE</t>
        </is>
      </c>
      <c r="I867" t="n">
        <v>12.1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36150-2024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45534</v>
      </c>
      <c r="E868" s="1" t="n">
        <v>46284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Holmen skog AB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64656-2023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45281</v>
      </c>
      <c r="E869" s="1" t="n">
        <v>46284</v>
      </c>
      <c r="F869" t="inlineStr">
        <is>
          <t>VÄSTERBOTTENS LÄN</t>
        </is>
      </c>
      <c r="G869" t="inlineStr">
        <is>
          <t>LYCKSELE</t>
        </is>
      </c>
      <c r="I869" t="n">
        <v>12.3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19701-2026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46134</v>
      </c>
      <c r="E870" s="1" t="n">
        <v>46284</v>
      </c>
      <c r="F870" t="inlineStr">
        <is>
          <t>VÄSTERBOTTENS LÄN</t>
        </is>
      </c>
      <c r="G870" t="inlineStr">
        <is>
          <t>LYCKSELE</t>
        </is>
      </c>
      <c r="I870" t="n">
        <v>7.1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70195-2021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44534</v>
      </c>
      <c r="E871" s="1" t="n">
        <v>46284</v>
      </c>
      <c r="F871" t="inlineStr">
        <is>
          <t>VÄSTERBOTTENS LÄN</t>
        </is>
      </c>
      <c r="G871" t="inlineStr">
        <is>
          <t>LYCKSELE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40527-2024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45555</v>
      </c>
      <c r="E872" s="1" t="n">
        <v>46284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8.9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24289-2023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45079</v>
      </c>
      <c r="E873" s="1" t="n">
        <v>46284</v>
      </c>
      <c r="F873" t="inlineStr">
        <is>
          <t>VÄSTERBOTTENS LÄN</t>
        </is>
      </c>
      <c r="G873" t="inlineStr">
        <is>
          <t>LYCKSELE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45139-2025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45919</v>
      </c>
      <c r="E874" s="1" t="n">
        <v>46284</v>
      </c>
      <c r="F874" t="inlineStr">
        <is>
          <t>VÄSTERBOTTENS LÄN</t>
        </is>
      </c>
      <c r="G874" t="inlineStr">
        <is>
          <t>LYCKSELE</t>
        </is>
      </c>
      <c r="I874" t="n">
        <v>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28893-2024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45479</v>
      </c>
      <c r="E875" s="1" t="n">
        <v>46284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SCA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29719-2026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46204</v>
      </c>
      <c r="E876" s="1" t="n">
        <v>46284</v>
      </c>
      <c r="F876" t="inlineStr">
        <is>
          <t>VÄSTERBOTTENS LÄN</t>
        </is>
      </c>
      <c r="G876" t="inlineStr">
        <is>
          <t>LYCKSELE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29436-2026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46203</v>
      </c>
      <c r="E877" s="1" t="n">
        <v>46284</v>
      </c>
      <c r="F877" t="inlineStr">
        <is>
          <t>VÄSTERBOTTENS LÄN</t>
        </is>
      </c>
      <c r="G877" t="inlineStr">
        <is>
          <t>LYCKSELE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60482-2024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45643</v>
      </c>
      <c r="E878" s="1" t="n">
        <v>46284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7.8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53096-2024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45611</v>
      </c>
      <c r="E879" s="1" t="n">
        <v>46284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8.4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55203-2024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45621</v>
      </c>
      <c r="E880" s="1" t="n">
        <v>46284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3.2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33467-2026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46247</v>
      </c>
      <c r="E881" s="1" t="n">
        <v>46284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5.6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29730-2026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46204</v>
      </c>
      <c r="E882" s="1" t="n">
        <v>46284</v>
      </c>
      <c r="F882" t="inlineStr">
        <is>
          <t>VÄSTERBOTTENS LÄN</t>
        </is>
      </c>
      <c r="G882" t="inlineStr">
        <is>
          <t>LYCKSELE</t>
        </is>
      </c>
      <c r="I882" t="n">
        <v>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29395-2026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46203</v>
      </c>
      <c r="E883" s="1" t="n">
        <v>46284</v>
      </c>
      <c r="F883" t="inlineStr">
        <is>
          <t>VÄSTERBOTTENS LÄN</t>
        </is>
      </c>
      <c r="G883" t="inlineStr">
        <is>
          <t>LYCKSELE</t>
        </is>
      </c>
      <c r="I883" t="n">
        <v>4.3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37491-2023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45156</v>
      </c>
      <c r="E884" s="1" t="n">
        <v>46284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11640-2024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45373</v>
      </c>
      <c r="E885" s="1" t="n">
        <v>46284</v>
      </c>
      <c r="F885" t="inlineStr">
        <is>
          <t>VÄSTERBOTTENS LÄN</t>
        </is>
      </c>
      <c r="G885" t="inlineStr">
        <is>
          <t>LYCKSELE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33693-2024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45520</v>
      </c>
      <c r="E886" s="1" t="n">
        <v>46284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957-2023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44934</v>
      </c>
      <c r="E887" s="1" t="n">
        <v>46284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16289-2025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45751</v>
      </c>
      <c r="E888" s="1" t="n">
        <v>46284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29424-2026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46203</v>
      </c>
      <c r="E889" s="1" t="n">
        <v>46284</v>
      </c>
      <c r="F889" t="inlineStr">
        <is>
          <t>VÄSTERBOTTENS LÄN</t>
        </is>
      </c>
      <c r="G889" t="inlineStr">
        <is>
          <t>LYCKSELE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5856-2025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45695</v>
      </c>
      <c r="E890" s="1" t="n">
        <v>46284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33709-2026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46251</v>
      </c>
      <c r="E891" s="1" t="n">
        <v>46284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Holmen skog AB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8915-2025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45713</v>
      </c>
      <c r="E892" s="1" t="n">
        <v>46284</v>
      </c>
      <c r="F892" t="inlineStr">
        <is>
          <t>VÄSTERBOTTENS LÄN</t>
        </is>
      </c>
      <c r="G892" t="inlineStr">
        <is>
          <t>LYCKSELE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33708-2024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45520</v>
      </c>
      <c r="E893" s="1" t="n">
        <v>46284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33714-2024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45520</v>
      </c>
      <c r="E894" s="1" t="n">
        <v>46284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10.4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34273-2024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45524</v>
      </c>
      <c r="E895" s="1" t="n">
        <v>46284</v>
      </c>
      <c r="F895" t="inlineStr">
        <is>
          <t>VÄSTERBOTTENS LÄN</t>
        </is>
      </c>
      <c r="G895" t="inlineStr">
        <is>
          <t>LYCKSELE</t>
        </is>
      </c>
      <c r="I895" t="n">
        <v>6.7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14249-2025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45740</v>
      </c>
      <c r="E896" s="1" t="n">
        <v>46284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SCA</t>
        </is>
      </c>
      <c r="I896" t="n">
        <v>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9976-2024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45363</v>
      </c>
      <c r="E897" s="1" t="n">
        <v>46284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2.9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33604-2026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46248</v>
      </c>
      <c r="E898" s="1" t="n">
        <v>46284</v>
      </c>
      <c r="F898" t="inlineStr">
        <is>
          <t>VÄSTERBOTTENS LÄN</t>
        </is>
      </c>
      <c r="G898" t="inlineStr">
        <is>
          <t>LYCKSELE</t>
        </is>
      </c>
      <c r="I898" t="n">
        <v>4.8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29852-2026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46205</v>
      </c>
      <c r="E899" s="1" t="n">
        <v>46284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13.4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11604-2023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44994</v>
      </c>
      <c r="E900" s="1" t="n">
        <v>46284</v>
      </c>
      <c r="F900" t="inlineStr">
        <is>
          <t>VÄSTERBOTTENS LÄN</t>
        </is>
      </c>
      <c r="G900" t="inlineStr">
        <is>
          <t>LYCKSELE</t>
        </is>
      </c>
      <c r="I900" t="n">
        <v>4.3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33846-2026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46251</v>
      </c>
      <c r="E901" s="1" t="n">
        <v>46284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10.1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30290-2026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46206</v>
      </c>
      <c r="E902" s="1" t="n">
        <v>46284</v>
      </c>
      <c r="F902" t="inlineStr">
        <is>
          <t>VÄSTERBOTTENS LÄN</t>
        </is>
      </c>
      <c r="G902" t="inlineStr">
        <is>
          <t>LYCKSELE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12585-2025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45732</v>
      </c>
      <c r="E903" s="1" t="n">
        <v>46284</v>
      </c>
      <c r="F903" t="inlineStr">
        <is>
          <t>VÄSTERBOTTENS LÄN</t>
        </is>
      </c>
      <c r="G903" t="inlineStr">
        <is>
          <t>LYCKSELE</t>
        </is>
      </c>
      <c r="I903" t="n">
        <v>15.5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28409-2023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45101</v>
      </c>
      <c r="E904" s="1" t="n">
        <v>46284</v>
      </c>
      <c r="F904" t="inlineStr">
        <is>
          <t>VÄSTERBOTTENS LÄN</t>
        </is>
      </c>
      <c r="G904" t="inlineStr">
        <is>
          <t>LYCKSELE</t>
        </is>
      </c>
      <c r="I904" t="n">
        <v>12.9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20034-2025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45772</v>
      </c>
      <c r="E905" s="1" t="n">
        <v>46284</v>
      </c>
      <c r="F905" t="inlineStr">
        <is>
          <t>VÄSTERBOTTENS LÄN</t>
        </is>
      </c>
      <c r="G905" t="inlineStr">
        <is>
          <t>LYCKSELE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30288-2026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46206</v>
      </c>
      <c r="E906" s="1" t="n">
        <v>46284</v>
      </c>
      <c r="F906" t="inlineStr">
        <is>
          <t>VÄSTERBOTTENS LÄN</t>
        </is>
      </c>
      <c r="G906" t="inlineStr">
        <is>
          <t>LYCKSELE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4858-2025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45688</v>
      </c>
      <c r="E907" s="1" t="n">
        <v>46284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4.9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29904-2026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46205</v>
      </c>
      <c r="E908" s="1" t="n">
        <v>46284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33881-2026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46251</v>
      </c>
      <c r="E909" s="1" t="n">
        <v>46284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33667-2026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46248</v>
      </c>
      <c r="E910" s="1" t="n">
        <v>46284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10.3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9892-2022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44620</v>
      </c>
      <c r="E911" s="1" t="n">
        <v>46284</v>
      </c>
      <c r="F911" t="inlineStr">
        <is>
          <t>VÄSTERBOTTENS LÄN</t>
        </is>
      </c>
      <c r="G911" t="inlineStr">
        <is>
          <t>LYCKSELE</t>
        </is>
      </c>
      <c r="I911" t="n">
        <v>14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29839-2026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46205</v>
      </c>
      <c r="E912" s="1" t="n">
        <v>46284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33879-2026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46251</v>
      </c>
      <c r="E913" s="1" t="n">
        <v>46284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29841-2026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46205</v>
      </c>
      <c r="E914" s="1" t="n">
        <v>46284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29848-2026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46205</v>
      </c>
      <c r="E915" s="1" t="n">
        <v>46284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29836-2026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46205</v>
      </c>
      <c r="E916" s="1" t="n">
        <v>46284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8.6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29844-2026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46205</v>
      </c>
      <c r="E917" s="1" t="n">
        <v>46284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29823-2026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46205</v>
      </c>
      <c r="E918" s="1" t="n">
        <v>46284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5.8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33547-2026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46248</v>
      </c>
      <c r="E919" s="1" t="n">
        <v>46284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33878-2026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46251</v>
      </c>
      <c r="E920" s="1" t="n">
        <v>46284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33670-2026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46248</v>
      </c>
      <c r="E921" s="1" t="n">
        <v>46284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25.8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24234-2023</t>
        </is>
      </c>
      <c r="B922" t="inlineStr">
        <is>
          <t>avverkningsanmälan</t>
        </is>
      </c>
      <c r="C922" t="inlineStr">
        <is>
          <t>Avverkning för annat ändamål</t>
        </is>
      </c>
      <c r="D922" s="1" t="n">
        <v>45079</v>
      </c>
      <c r="E922" s="1" t="n">
        <v>46284</v>
      </c>
      <c r="F922" t="inlineStr">
        <is>
          <t>VÄSTERBOTTENS LÄN</t>
        </is>
      </c>
      <c r="G922" t="inlineStr">
        <is>
          <t>LYCKSELE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58975-2022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44903</v>
      </c>
      <c r="E923" s="1" t="n">
        <v>46284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2576-2022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44580</v>
      </c>
      <c r="E924" s="1" t="n">
        <v>46284</v>
      </c>
      <c r="F924" t="inlineStr">
        <is>
          <t>VÄSTERBOTTENS LÄN</t>
        </is>
      </c>
      <c r="G924" t="inlineStr">
        <is>
          <t>LYCKSELE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33932-2026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46248</v>
      </c>
      <c r="E925" s="1" t="n">
        <v>46284</v>
      </c>
      <c r="F925" t="inlineStr">
        <is>
          <t>VÄSTERBOTTENS LÄN</t>
        </is>
      </c>
      <c r="G925" t="inlineStr">
        <is>
          <t>LYCKSELE</t>
        </is>
      </c>
      <c r="I925" t="n">
        <v>11.5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34007-2026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46252</v>
      </c>
      <c r="E926" s="1" t="n">
        <v>46284</v>
      </c>
      <c r="F926" t="inlineStr">
        <is>
          <t>VÄSTERBOTTENS LÄN</t>
        </is>
      </c>
      <c r="G926" t="inlineStr">
        <is>
          <t>LYCKSELE</t>
        </is>
      </c>
      <c r="I926" t="n">
        <v>17.7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30589-2026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46210</v>
      </c>
      <c r="E927" s="1" t="n">
        <v>46284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6.9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34197-2026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46253</v>
      </c>
      <c r="E928" s="1" t="n">
        <v>46284</v>
      </c>
      <c r="F928" t="inlineStr">
        <is>
          <t>VÄSTERBOTTENS LÄN</t>
        </is>
      </c>
      <c r="G928" t="inlineStr">
        <is>
          <t>LYCKSELE</t>
        </is>
      </c>
      <c r="I928" t="n">
        <v>4.4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34016-2026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46252</v>
      </c>
      <c r="E929" s="1" t="n">
        <v>46284</v>
      </c>
      <c r="F929" t="inlineStr">
        <is>
          <t>VÄSTERBOTTENS LÄN</t>
        </is>
      </c>
      <c r="G929" t="inlineStr">
        <is>
          <t>LYCKSELE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33975-2026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46252</v>
      </c>
      <c r="E930" s="1" t="n">
        <v>46284</v>
      </c>
      <c r="F930" t="inlineStr">
        <is>
          <t>VÄSTERBOTTENS LÄN</t>
        </is>
      </c>
      <c r="G930" t="inlineStr">
        <is>
          <t>LYCKSELE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30447-2026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46209</v>
      </c>
      <c r="E931" s="1" t="n">
        <v>46284</v>
      </c>
      <c r="F931" t="inlineStr">
        <is>
          <t>VÄSTERBOTTENS LÄN</t>
        </is>
      </c>
      <c r="G931" t="inlineStr">
        <is>
          <t>LYCKSELE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60272-2022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44910</v>
      </c>
      <c r="E932" s="1" t="n">
        <v>46284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7.4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30360-2026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46209</v>
      </c>
      <c r="E933" s="1" t="n">
        <v>46284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6.3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15221-2025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45744</v>
      </c>
      <c r="E934" s="1" t="n">
        <v>46284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12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34331-2026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46254</v>
      </c>
      <c r="E935" s="1" t="n">
        <v>46284</v>
      </c>
      <c r="F935" t="inlineStr">
        <is>
          <t>VÄSTERBOTTENS LÄN</t>
        </is>
      </c>
      <c r="G935" t="inlineStr">
        <is>
          <t>LYCKSELE</t>
        </is>
      </c>
      <c r="I935" t="n">
        <v>5.5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39321-2024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45551</v>
      </c>
      <c r="E936" s="1" t="n">
        <v>46284</v>
      </c>
      <c r="F936" t="inlineStr">
        <is>
          <t>VÄSTERBOTTENS LÄN</t>
        </is>
      </c>
      <c r="G936" t="inlineStr">
        <is>
          <t>LYCKSELE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34326-2026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46254</v>
      </c>
      <c r="E937" s="1" t="n">
        <v>46284</v>
      </c>
      <c r="F937" t="inlineStr">
        <is>
          <t>VÄSTERBOTTENS LÄN</t>
        </is>
      </c>
      <c r="G937" t="inlineStr">
        <is>
          <t>LYCKSELE</t>
        </is>
      </c>
      <c r="I937" t="n">
        <v>3.8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34323-2026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46254</v>
      </c>
      <c r="E938" s="1" t="n">
        <v>46284</v>
      </c>
      <c r="F938" t="inlineStr">
        <is>
          <t>VÄSTERBOTTENS LÄN</t>
        </is>
      </c>
      <c r="G938" t="inlineStr">
        <is>
          <t>LYCKSELE</t>
        </is>
      </c>
      <c r="I938" t="n">
        <v>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59569-2024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45638</v>
      </c>
      <c r="E939" s="1" t="n">
        <v>46284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48330-2024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45590</v>
      </c>
      <c r="E940" s="1" t="n">
        <v>46284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30631-2026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46211</v>
      </c>
      <c r="E941" s="1" t="n">
        <v>46284</v>
      </c>
      <c r="F941" t="inlineStr">
        <is>
          <t>VÄSTERBOTTENS LÄN</t>
        </is>
      </c>
      <c r="G941" t="inlineStr">
        <is>
          <t>LYCKSELE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46541-2022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44847</v>
      </c>
      <c r="E942" s="1" t="n">
        <v>46284</v>
      </c>
      <c r="F942" t="inlineStr">
        <is>
          <t>VÄSTERBOTTENS LÄN</t>
        </is>
      </c>
      <c r="G942" t="inlineStr">
        <is>
          <t>LYCKSELE</t>
        </is>
      </c>
      <c r="I942" t="n">
        <v>2.8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52124-2024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45608</v>
      </c>
      <c r="E943" s="1" t="n">
        <v>46284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34508-2026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46255</v>
      </c>
      <c r="E944" s="1" t="n">
        <v>46284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SCA</t>
        </is>
      </c>
      <c r="I944" t="n">
        <v>6.5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34111-2025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45845</v>
      </c>
      <c r="E945" s="1" t="n">
        <v>46284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Holmen skog AB</t>
        </is>
      </c>
      <c r="I945" t="n">
        <v>8.4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43770-2025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45912</v>
      </c>
      <c r="E946" s="1" t="n">
        <v>46284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Holmen skog AB</t>
        </is>
      </c>
      <c r="I946" t="n">
        <v>9.5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29709-2025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45825</v>
      </c>
      <c r="E947" s="1" t="n">
        <v>46284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52.4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36357-2024</t>
        </is>
      </c>
      <c r="B948" t="inlineStr">
        <is>
          <t>avverkningsanmälan</t>
        </is>
      </c>
      <c r="C948" t="inlineStr">
        <is>
          <t>Avverkning för att bevara och utveckla /försöksver</t>
        </is>
      </c>
      <c r="D948" s="1" t="n">
        <v>45534</v>
      </c>
      <c r="E948" s="1" t="n">
        <v>46284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4.8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6800-2025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45700</v>
      </c>
      <c r="E949" s="1" t="n">
        <v>46284</v>
      </c>
      <c r="F949" t="inlineStr">
        <is>
          <t>VÄSTERBOTTENS LÄN</t>
        </is>
      </c>
      <c r="G949" t="inlineStr">
        <is>
          <t>LYCKSELE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60143-2022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44909</v>
      </c>
      <c r="E950" s="1" t="n">
        <v>46284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7063-2022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44603</v>
      </c>
      <c r="E951" s="1" t="n">
        <v>46284</v>
      </c>
      <c r="F951" t="inlineStr">
        <is>
          <t>VÄSTERBOTTENS LÄN</t>
        </is>
      </c>
      <c r="G951" t="inlineStr">
        <is>
          <t>LYCKSELE</t>
        </is>
      </c>
      <c r="I951" t="n">
        <v>14.2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41703-2023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45176</v>
      </c>
      <c r="E952" s="1" t="n">
        <v>46284</v>
      </c>
      <c r="F952" t="inlineStr">
        <is>
          <t>VÄSTERBOTTENS LÄN</t>
        </is>
      </c>
      <c r="G952" t="inlineStr">
        <is>
          <t>LYCKSELE</t>
        </is>
      </c>
      <c r="I952" t="n">
        <v>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34961-2026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46259</v>
      </c>
      <c r="E953" s="1" t="n">
        <v>46284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34778-2026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46258</v>
      </c>
      <c r="E954" s="1" t="n">
        <v>46284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7.6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34635-2024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45526</v>
      </c>
      <c r="E955" s="1" t="n">
        <v>46284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34640-2026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46255</v>
      </c>
      <c r="E956" s="1" t="n">
        <v>46284</v>
      </c>
      <c r="F956" t="inlineStr">
        <is>
          <t>VÄSTERBOTTENS LÄN</t>
        </is>
      </c>
      <c r="G956" t="inlineStr">
        <is>
          <t>LYCKSELE</t>
        </is>
      </c>
      <c r="I956" t="n">
        <v>3.9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46692-2025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45926</v>
      </c>
      <c r="E957" s="1" t="n">
        <v>46284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3.9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34667-2026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46258</v>
      </c>
      <c r="E958" s="1" t="n">
        <v>46284</v>
      </c>
      <c r="F958" t="inlineStr">
        <is>
          <t>VÄSTERBOTTENS LÄN</t>
        </is>
      </c>
      <c r="G958" t="inlineStr">
        <is>
          <t>LYCKSELE</t>
        </is>
      </c>
      <c r="I958" t="n">
        <v>2.7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46654-2025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45926</v>
      </c>
      <c r="E959" s="1" t="n">
        <v>46284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1.2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30939-2026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46213</v>
      </c>
      <c r="E960" s="1" t="n">
        <v>46284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24.3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34825-2026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46258</v>
      </c>
      <c r="E961" s="1" t="n">
        <v>46284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30945-2026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46213</v>
      </c>
      <c r="E962" s="1" t="n">
        <v>46284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4.9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30962-2026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46213</v>
      </c>
      <c r="E963" s="1" t="n">
        <v>46284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34960-2026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46259</v>
      </c>
      <c r="E964" s="1" t="n">
        <v>46284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34669-2026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46258</v>
      </c>
      <c r="E965" s="1" t="n">
        <v>46284</v>
      </c>
      <c r="F965" t="inlineStr">
        <is>
          <t>VÄSTERBOTTENS LÄN</t>
        </is>
      </c>
      <c r="G965" t="inlineStr">
        <is>
          <t>LYCKSELE</t>
        </is>
      </c>
      <c r="I965" t="n">
        <v>9.5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54680-2024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45618</v>
      </c>
      <c r="E966" s="1" t="n">
        <v>46284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30890-2026</t>
        </is>
      </c>
      <c r="B967" t="inlineStr">
        <is>
          <t>avverkningsanmälan</t>
        </is>
      </c>
      <c r="C967" t="inlineStr">
        <is>
          <t>Avverkning för annat ändamål</t>
        </is>
      </c>
      <c r="D967" s="1" t="n">
        <v>46213</v>
      </c>
      <c r="E967" s="1" t="n">
        <v>46284</v>
      </c>
      <c r="F967" t="inlineStr">
        <is>
          <t>VÄSTERBOTTENS LÄN</t>
        </is>
      </c>
      <c r="G967" t="inlineStr">
        <is>
          <t>LYCKSELE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8917-2023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44979</v>
      </c>
      <c r="E968" s="1" t="n">
        <v>46284</v>
      </c>
      <c r="F968" t="inlineStr">
        <is>
          <t>VÄSTERBOTTENS LÄN</t>
        </is>
      </c>
      <c r="G968" t="inlineStr">
        <is>
          <t>LYCKSELE</t>
        </is>
      </c>
      <c r="I968" t="n">
        <v>12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46562-2025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45926</v>
      </c>
      <c r="E969" s="1" t="n">
        <v>46284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4.6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27595-2023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45097</v>
      </c>
      <c r="E970" s="1" t="n">
        <v>46284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31289-2026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46218</v>
      </c>
      <c r="E971" s="1" t="n">
        <v>46284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13.4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37658-2024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45541</v>
      </c>
      <c r="E972" s="1" t="n">
        <v>46284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35379-2026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46261</v>
      </c>
      <c r="E973" s="1" t="n">
        <v>46284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2.1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23295-2023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45075</v>
      </c>
      <c r="E974" s="1" t="n">
        <v>46284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7.4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31354-2026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46219</v>
      </c>
      <c r="E975" s="1" t="n">
        <v>46284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6.7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31288-2026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46218</v>
      </c>
      <c r="E976" s="1" t="n">
        <v>46284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52370-2022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44874</v>
      </c>
      <c r="E977" s="1" t="n">
        <v>46284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31275-2026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46218</v>
      </c>
      <c r="E978" s="1" t="n">
        <v>46284</v>
      </c>
      <c r="F978" t="inlineStr">
        <is>
          <t>VÄSTERBOTTENS LÄN</t>
        </is>
      </c>
      <c r="G978" t="inlineStr">
        <is>
          <t>LYCKSELE</t>
        </is>
      </c>
      <c r="I978" t="n">
        <v>3.2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53788-2024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45615</v>
      </c>
      <c r="E979" s="1" t="n">
        <v>46284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SCA</t>
        </is>
      </c>
      <c r="I979" t="n">
        <v>1.5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35847-2026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46265</v>
      </c>
      <c r="E980" s="1" t="n">
        <v>46284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5.8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31358-2026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46219</v>
      </c>
      <c r="E981" s="1" t="n">
        <v>46284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16.3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35800-2026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46265</v>
      </c>
      <c r="E982" s="1" t="n">
        <v>46284</v>
      </c>
      <c r="F982" t="inlineStr">
        <is>
          <t>VÄSTERBOTTENS LÄN</t>
        </is>
      </c>
      <c r="G982" t="inlineStr">
        <is>
          <t>LYCKSELE</t>
        </is>
      </c>
      <c r="I982" t="n">
        <v>4.5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35801-2026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46265</v>
      </c>
      <c r="E983" s="1" t="n">
        <v>46284</v>
      </c>
      <c r="F983" t="inlineStr">
        <is>
          <t>VÄSTERBOTTENS LÄN</t>
        </is>
      </c>
      <c r="G983" t="inlineStr">
        <is>
          <t>LYCKSELE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48992-2023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45209</v>
      </c>
      <c r="E984" s="1" t="n">
        <v>46284</v>
      </c>
      <c r="F984" t="inlineStr">
        <is>
          <t>VÄSTERBOTTENS LÄN</t>
        </is>
      </c>
      <c r="G984" t="inlineStr">
        <is>
          <t>LYCKSELE</t>
        </is>
      </c>
      <c r="I984" t="n">
        <v>4.6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31400-2026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46220</v>
      </c>
      <c r="E985" s="1" t="n">
        <v>46284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31408-2026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46220</v>
      </c>
      <c r="E986" s="1" t="n">
        <v>46284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35754-2026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46265</v>
      </c>
      <c r="E987" s="1" t="n">
        <v>46284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7.7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28528-2023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45103</v>
      </c>
      <c r="E988" s="1" t="n">
        <v>46284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35605-2026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46263</v>
      </c>
      <c r="E989" s="1" t="n">
        <v>46284</v>
      </c>
      <c r="F989" t="inlineStr">
        <is>
          <t>VÄSTERBOTTENS LÄN</t>
        </is>
      </c>
      <c r="G989" t="inlineStr">
        <is>
          <t>LYCKSELE</t>
        </is>
      </c>
      <c r="I989" t="n">
        <v>1.9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35625-2026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46265</v>
      </c>
      <c r="E990" s="1" t="n">
        <v>46284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8.199999999999999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23164-2022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44719</v>
      </c>
      <c r="E991" s="1" t="n">
        <v>46284</v>
      </c>
      <c r="F991" t="inlineStr">
        <is>
          <t>VÄSTERBOTTENS LÄN</t>
        </is>
      </c>
      <c r="G991" t="inlineStr">
        <is>
          <t>LYCKSELE</t>
        </is>
      </c>
      <c r="I991" t="n">
        <v>4.1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41728-2023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45176</v>
      </c>
      <c r="E992" s="1" t="n">
        <v>46284</v>
      </c>
      <c r="F992" t="inlineStr">
        <is>
          <t>VÄSTERBOTTENS LÄN</t>
        </is>
      </c>
      <c r="G992" t="inlineStr">
        <is>
          <t>LYCKSELE</t>
        </is>
      </c>
      <c r="I992" t="n">
        <v>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31371-2026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46219</v>
      </c>
      <c r="E993" s="1" t="n">
        <v>46284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31384-2026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46220</v>
      </c>
      <c r="E994" s="1" t="n">
        <v>46284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SCA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31398-2026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46284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7001-2022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44603</v>
      </c>
      <c r="E996" s="1" t="n">
        <v>46284</v>
      </c>
      <c r="F996" t="inlineStr">
        <is>
          <t>VÄSTERBOTTENS LÄN</t>
        </is>
      </c>
      <c r="G996" t="inlineStr">
        <is>
          <t>LYCKSELE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31369-2026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46219</v>
      </c>
      <c r="E997" s="1" t="n">
        <v>46284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20287-2022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44698</v>
      </c>
      <c r="E998" s="1" t="n">
        <v>46284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35617-2026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46265</v>
      </c>
      <c r="E999" s="1" t="n">
        <v>46284</v>
      </c>
      <c r="F999" t="inlineStr">
        <is>
          <t>VÄSTERBOTTENS LÄN</t>
        </is>
      </c>
      <c r="G999" t="inlineStr">
        <is>
          <t>LYCKSELE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36048-2026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46267</v>
      </c>
      <c r="E1000" s="1" t="n">
        <v>46284</v>
      </c>
      <c r="F1000" t="inlineStr">
        <is>
          <t>VÄSTERBOTTENS LÄN</t>
        </is>
      </c>
      <c r="G1000" t="inlineStr">
        <is>
          <t>LYCKSELE</t>
        </is>
      </c>
      <c r="I1000" t="n">
        <v>7.8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36165-2026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46267</v>
      </c>
      <c r="E1001" s="1" t="n">
        <v>46284</v>
      </c>
      <c r="F1001" t="inlineStr">
        <is>
          <t>VÄSTERBOTTENS LÄN</t>
        </is>
      </c>
      <c r="G1001" t="inlineStr">
        <is>
          <t>LYCKSELE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43566-2024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45569</v>
      </c>
      <c r="E1002" s="1" t="n">
        <v>46284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Sveaskog</t>
        </is>
      </c>
      <c r="I1002" t="n">
        <v>3.7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26358-2023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45091</v>
      </c>
      <c r="E1003" s="1" t="n">
        <v>46284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26071-2024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45468</v>
      </c>
      <c r="E1004" s="1" t="n">
        <v>46284</v>
      </c>
      <c r="F1004" t="inlineStr">
        <is>
          <t>VÄSTERBOTTENS LÄN</t>
        </is>
      </c>
      <c r="G1004" t="inlineStr">
        <is>
          <t>LYCKSELE</t>
        </is>
      </c>
      <c r="I1004" t="n">
        <v>8.1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61799-2023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45265</v>
      </c>
      <c r="E1005" s="1" t="n">
        <v>46284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33796-2026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46251</v>
      </c>
      <c r="E1006" s="1" t="n">
        <v>46284</v>
      </c>
      <c r="F1006" t="inlineStr">
        <is>
          <t>VÄSTERBOTTENS LÄN</t>
        </is>
      </c>
      <c r="G1006" t="inlineStr">
        <is>
          <t>LYCKSELE</t>
        </is>
      </c>
      <c r="I1006" t="n">
        <v>1.3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2109-2025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45672</v>
      </c>
      <c r="E1007" s="1" t="n">
        <v>46284</v>
      </c>
      <c r="F1007" t="inlineStr">
        <is>
          <t>VÄSTERBOTTENS LÄN</t>
        </is>
      </c>
      <c r="G1007" t="inlineStr">
        <is>
          <t>LYCKSELE</t>
        </is>
      </c>
      <c r="I1007" t="n">
        <v>5.6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36274-2024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45534</v>
      </c>
      <c r="E1008" s="1" t="n">
        <v>46284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Holmen skog AB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31653-2026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46225</v>
      </c>
      <c r="E1009" s="1" t="n">
        <v>46284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12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36526-2026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46269</v>
      </c>
      <c r="E1010" s="1" t="n">
        <v>46284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36569-2026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46269</v>
      </c>
      <c r="E1011" s="1" t="n">
        <v>46284</v>
      </c>
      <c r="F1011" t="inlineStr">
        <is>
          <t>VÄSTERBOTTENS LÄN</t>
        </is>
      </c>
      <c r="G1011" t="inlineStr">
        <is>
          <t>LYCKSELE</t>
        </is>
      </c>
      <c r="I1011" t="n">
        <v>6.4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21092-2026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46146</v>
      </c>
      <c r="E1012" s="1" t="n">
        <v>46284</v>
      </c>
      <c r="F1012" t="inlineStr">
        <is>
          <t>VÄSTERBOTTENS LÄN</t>
        </is>
      </c>
      <c r="G1012" t="inlineStr">
        <is>
          <t>LYCKSELE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57108-2024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45629</v>
      </c>
      <c r="E1013" s="1" t="n">
        <v>46284</v>
      </c>
      <c r="F1013" t="inlineStr">
        <is>
          <t>VÄSTERBOTTENS LÄN</t>
        </is>
      </c>
      <c r="G1013" t="inlineStr">
        <is>
          <t>LYCKSELE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57109-2024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45629</v>
      </c>
      <c r="E1014" s="1" t="n">
        <v>46284</v>
      </c>
      <c r="F1014" t="inlineStr">
        <is>
          <t>VÄSTERBOTTENS LÄN</t>
        </is>
      </c>
      <c r="G1014" t="inlineStr">
        <is>
          <t>LYCKSELE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17393-2023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45035</v>
      </c>
      <c r="E1015" s="1" t="n">
        <v>46284</v>
      </c>
      <c r="F1015" t="inlineStr">
        <is>
          <t>VÄSTERBOTTENS LÄN</t>
        </is>
      </c>
      <c r="G1015" t="inlineStr">
        <is>
          <t>LYCKSELE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36254-2026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46268</v>
      </c>
      <c r="E1016" s="1" t="n">
        <v>46284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Holmen skog AB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16563-2024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45408</v>
      </c>
      <c r="E1017" s="1" t="n">
        <v>46284</v>
      </c>
      <c r="F1017" t="inlineStr">
        <is>
          <t>VÄSTERBOTTENS LÄN</t>
        </is>
      </c>
      <c r="G1017" t="inlineStr">
        <is>
          <t>LYCKSELE</t>
        </is>
      </c>
      <c r="I1017" t="n">
        <v>2.3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36243-2026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46268</v>
      </c>
      <c r="E1018" s="1" t="n">
        <v>46284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0.7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36799-2026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46272</v>
      </c>
      <c r="E1019" s="1" t="n">
        <v>46284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20685-2025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45776</v>
      </c>
      <c r="E1020" s="1" t="n">
        <v>46284</v>
      </c>
      <c r="F1020" t="inlineStr">
        <is>
          <t>VÄSTERBOTTENS LÄN</t>
        </is>
      </c>
      <c r="G1020" t="inlineStr">
        <is>
          <t>LYCKSELE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36800-2026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46272</v>
      </c>
      <c r="E1021" s="1" t="n">
        <v>46284</v>
      </c>
      <c r="F1021" t="inlineStr">
        <is>
          <t>VÄSTERBOTTENS LÄN</t>
        </is>
      </c>
      <c r="G1021" t="inlineStr">
        <is>
          <t>LYCKSELE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36708-2026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46272</v>
      </c>
      <c r="E1022" s="1" t="n">
        <v>46284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SCA</t>
        </is>
      </c>
      <c r="I1022" t="n">
        <v>10.5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20979-2025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45777</v>
      </c>
      <c r="E1023" s="1" t="n">
        <v>46284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21266-2025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45779</v>
      </c>
      <c r="E1024" s="1" t="n">
        <v>46284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3.3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36568-2026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46269</v>
      </c>
      <c r="E1025" s="1" t="n">
        <v>46284</v>
      </c>
      <c r="F1025" t="inlineStr">
        <is>
          <t>VÄSTERBOTTENS LÄN</t>
        </is>
      </c>
      <c r="G1025" t="inlineStr">
        <is>
          <t>LYCKSELE</t>
        </is>
      </c>
      <c r="I1025" t="n">
        <v>6.2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36977-2026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46273</v>
      </c>
      <c r="E1026" s="1" t="n">
        <v>46284</v>
      </c>
      <c r="F1026" t="inlineStr">
        <is>
          <t>VÄSTERBOTTENS LÄN</t>
        </is>
      </c>
      <c r="G1026" t="inlineStr">
        <is>
          <t>LYCKSELE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21888-2025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45784</v>
      </c>
      <c r="E1027" s="1" t="n">
        <v>46284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Holmen skog AB</t>
        </is>
      </c>
      <c r="I1027" t="n">
        <v>4.4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31788-2026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46230</v>
      </c>
      <c r="E1028" s="1" t="n">
        <v>46284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Holmen skog AB</t>
        </is>
      </c>
      <c r="I1028" t="n">
        <v>2.4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36813-2026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46272</v>
      </c>
      <c r="E1029" s="1" t="n">
        <v>46284</v>
      </c>
      <c r="F1029" t="inlineStr">
        <is>
          <t>VÄSTERBOTTENS LÄN</t>
        </is>
      </c>
      <c r="G1029" t="inlineStr">
        <is>
          <t>LYCKSELE</t>
        </is>
      </c>
      <c r="I1029" t="n">
        <v>2.1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36814-2026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46272</v>
      </c>
      <c r="E1030" s="1" t="n">
        <v>46284</v>
      </c>
      <c r="F1030" t="inlineStr">
        <is>
          <t>VÄSTERBOTTENS LÄN</t>
        </is>
      </c>
      <c r="G1030" t="inlineStr">
        <is>
          <t>LYCKSELE</t>
        </is>
      </c>
      <c r="I1030" t="n">
        <v>5.4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31819-2026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46230</v>
      </c>
      <c r="E1031" s="1" t="n">
        <v>46284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4.5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22127-2025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45785</v>
      </c>
      <c r="E1032" s="1" t="n">
        <v>46284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37215-2026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46274</v>
      </c>
      <c r="E1033" s="1" t="n">
        <v>46284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37167-2026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46274</v>
      </c>
      <c r="E1034" s="1" t="n">
        <v>46284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21861-2025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45784</v>
      </c>
      <c r="E1035" s="1" t="n">
        <v>46284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10.5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32112-2026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46234</v>
      </c>
      <c r="E1036" s="1" t="n">
        <v>46284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33.3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37775-2026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46279</v>
      </c>
      <c r="E1037" s="1" t="n">
        <v>46284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37776-2026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46279</v>
      </c>
      <c r="E1038" s="1" t="n">
        <v>46284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22759-2025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45789</v>
      </c>
      <c r="E1039" s="1" t="n">
        <v>46284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25.5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22452-2025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45786</v>
      </c>
      <c r="E1040" s="1" t="n">
        <v>46284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11.4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32474-2024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45513</v>
      </c>
      <c r="E1041" s="1" t="n">
        <v>46284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Holmen skog AB</t>
        </is>
      </c>
      <c r="I1041" t="n">
        <v>3.8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22309-2025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45786</v>
      </c>
      <c r="E1042" s="1" t="n">
        <v>46284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Holmen skog AB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22344-2025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45786</v>
      </c>
      <c r="E1043" s="1" t="n">
        <v>46284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37801-2026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46279</v>
      </c>
      <c r="E1044" s="1" t="n">
        <v>46284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18.3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37774-2026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46279</v>
      </c>
      <c r="E1045" s="1" t="n">
        <v>46284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64391-2023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45280</v>
      </c>
      <c r="E1046" s="1" t="n">
        <v>46284</v>
      </c>
      <c r="F1046" t="inlineStr">
        <is>
          <t>VÄSTERBOTTENS LÄN</t>
        </is>
      </c>
      <c r="G1046" t="inlineStr">
        <is>
          <t>LYCKSELE</t>
        </is>
      </c>
      <c r="I1046" t="n">
        <v>5.8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32245-2026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46237</v>
      </c>
      <c r="E1047" s="1" t="n">
        <v>46284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7.3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32174-2026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46237</v>
      </c>
      <c r="E1048" s="1" t="n">
        <v>46284</v>
      </c>
      <c r="F1048" t="inlineStr">
        <is>
          <t>VÄSTERBOTTENS LÄN</t>
        </is>
      </c>
      <c r="G1048" t="inlineStr">
        <is>
          <t>LYCKSELE</t>
        </is>
      </c>
      <c r="I1048" t="n">
        <v>20.2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38140-2026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46281</v>
      </c>
      <c r="E1049" s="1" t="n">
        <v>46284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37.9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32289-2026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46237</v>
      </c>
      <c r="E1050" s="1" t="n">
        <v>46284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2.6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38105-2026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46281</v>
      </c>
      <c r="E1051" s="1" t="n">
        <v>46284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22343-2025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45786</v>
      </c>
      <c r="E1052" s="1" t="n">
        <v>46284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4.7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22453-2025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45786</v>
      </c>
      <c r="E1053" s="1" t="n">
        <v>46284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5.9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22456-2025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45786</v>
      </c>
      <c r="E1054" s="1" t="n">
        <v>46284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4.2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32167-2026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46237</v>
      </c>
      <c r="E1055" s="1" t="n">
        <v>46284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8.6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32214-2026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46237</v>
      </c>
      <c r="E1056" s="1" t="n">
        <v>46284</v>
      </c>
      <c r="F1056" t="inlineStr">
        <is>
          <t>VÄSTERBOTTENS LÄN</t>
        </is>
      </c>
      <c r="G1056" t="inlineStr">
        <is>
          <t>LYCKSELE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32229-2026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46237</v>
      </c>
      <c r="E1057" s="1" t="n">
        <v>46284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8.6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38107-2026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46281</v>
      </c>
      <c r="E1058" s="1" t="n">
        <v>46284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17.7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38110-2026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46281</v>
      </c>
      <c r="E1059" s="1" t="n">
        <v>46284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38261-2026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46281</v>
      </c>
      <c r="E1060" s="1" t="n">
        <v>46284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32201-2026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46237</v>
      </c>
      <c r="E1061" s="1" t="n">
        <v>46284</v>
      </c>
      <c r="F1061" t="inlineStr">
        <is>
          <t>VÄSTERBOTTENS LÄN</t>
        </is>
      </c>
      <c r="G1061" t="inlineStr">
        <is>
          <t>LYCKSELE</t>
        </is>
      </c>
      <c r="I1061" t="n">
        <v>7.4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23801-2025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45793</v>
      </c>
      <c r="E1062" s="1" t="n">
        <v>46284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38577-2026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46283</v>
      </c>
      <c r="E1063" s="1" t="n">
        <v>46284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6.5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24129-2025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45796</v>
      </c>
      <c r="E1064" s="1" t="n">
        <v>46284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32619-2026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46240</v>
      </c>
      <c r="E1065" s="1" t="n">
        <v>46284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38469-2026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46282</v>
      </c>
      <c r="E1066" s="1" t="n">
        <v>46284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60226-2022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44910</v>
      </c>
      <c r="E1067" s="1" t="n">
        <v>46284</v>
      </c>
      <c r="F1067" t="inlineStr">
        <is>
          <t>VÄSTERBOTTENS LÄN</t>
        </is>
      </c>
      <c r="G1067" t="inlineStr">
        <is>
          <t>LYCKSELE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23315-2024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45453</v>
      </c>
      <c r="E1068" s="1" t="n">
        <v>46284</v>
      </c>
      <c r="F1068" t="inlineStr">
        <is>
          <t>VÄSTERBOTTENS LÄN</t>
        </is>
      </c>
      <c r="G1068" t="inlineStr">
        <is>
          <t>LYCKSELE</t>
        </is>
      </c>
      <c r="I1068" t="n">
        <v>7.3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32608-2026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46240</v>
      </c>
      <c r="E1069" s="1" t="n">
        <v>46284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32716-2026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46241</v>
      </c>
      <c r="E1070" s="1" t="n">
        <v>46284</v>
      </c>
      <c r="F1070" t="inlineStr">
        <is>
          <t>VÄSTERBOTTENS LÄN</t>
        </is>
      </c>
      <c r="G1070" t="inlineStr">
        <is>
          <t>LYCKSELE</t>
        </is>
      </c>
      <c r="I1070" t="n">
        <v>16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31848-2024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45509</v>
      </c>
      <c r="E1071" s="1" t="n">
        <v>46284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Holmen skog AB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32644-2026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46240</v>
      </c>
      <c r="E1072" s="1" t="n">
        <v>46284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SCA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24514-2025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45798</v>
      </c>
      <c r="E1073" s="1" t="n">
        <v>46284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8.300000000000001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24770-2025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45799</v>
      </c>
      <c r="E1074" s="1" t="n">
        <v>46284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8.5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25061-2025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45799</v>
      </c>
      <c r="E1075" s="1" t="n">
        <v>46284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24729-2025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46284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32611-2026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46240</v>
      </c>
      <c r="E1077" s="1" t="n">
        <v>46284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34505-2026</t>
        </is>
      </c>
      <c r="B1078" t="inlineStr">
        <is>
          <t>avverkningsanmälan</t>
        </is>
      </c>
      <c r="C1078" t="inlineStr">
        <is>
          <t>Avverkning för annat ändamål</t>
        </is>
      </c>
      <c r="D1078" s="1" t="n">
        <v>46254</v>
      </c>
      <c r="E1078" s="1" t="n">
        <v>46284</v>
      </c>
      <c r="F1078" t="inlineStr">
        <is>
          <t>VÄSTERBOTTENS LÄN</t>
        </is>
      </c>
      <c r="G1078" t="inlineStr">
        <is>
          <t>LYCKSELE</t>
        </is>
      </c>
      <c r="I1078" t="n">
        <v>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24603-2025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45798</v>
      </c>
      <c r="E1079" s="1" t="n">
        <v>46284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54893-2023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45236</v>
      </c>
      <c r="E1080" s="1" t="n">
        <v>46284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6.5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24906-2025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45799</v>
      </c>
      <c r="E1081" s="1" t="n">
        <v>46284</v>
      </c>
      <c r="F1081" t="inlineStr">
        <is>
          <t>VÄSTERBOTTENS LÄN</t>
        </is>
      </c>
      <c r="G1081" t="inlineStr">
        <is>
          <t>LYCKSELE</t>
        </is>
      </c>
      <c r="I1081" t="n">
        <v>1.4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38429-2026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46282</v>
      </c>
      <c r="E1082" s="1" t="n">
        <v>46284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38467-2026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46282</v>
      </c>
      <c r="E1083" s="1" t="n">
        <v>46284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5.1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38459-2026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46282</v>
      </c>
      <c r="E1084" s="1" t="n">
        <v>46284</v>
      </c>
      <c r="F1084" t="inlineStr">
        <is>
          <t>VÄSTERBOTTENS LÄN</t>
        </is>
      </c>
      <c r="G1084" t="inlineStr">
        <is>
          <t>LYCKSELE</t>
        </is>
      </c>
      <c r="I1084" t="n">
        <v>7.6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25590-2025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45803</v>
      </c>
      <c r="E1085" s="1" t="n">
        <v>46284</v>
      </c>
      <c r="F1085" t="inlineStr">
        <is>
          <t>VÄSTERBOTTENS LÄN</t>
        </is>
      </c>
      <c r="G1085" t="inlineStr">
        <is>
          <t>LYCKSELE</t>
        </is>
      </c>
      <c r="I1085" t="n">
        <v>2.7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32614-2026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46240</v>
      </c>
      <c r="E1086" s="1" t="n">
        <v>46284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SCA</t>
        </is>
      </c>
      <c r="I1086" t="n">
        <v>2.9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25537-2025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45803</v>
      </c>
      <c r="E1087" s="1" t="n">
        <v>46284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Holmen skog AB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25581-2025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45803</v>
      </c>
      <c r="E1088" s="1" t="n">
        <v>46284</v>
      </c>
      <c r="F1088" t="inlineStr">
        <is>
          <t>VÄSTERBOTTENS LÄN</t>
        </is>
      </c>
      <c r="G1088" t="inlineStr">
        <is>
          <t>LYCKSELE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38657-2026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46283</v>
      </c>
      <c r="E1089" s="1" t="n">
        <v>46284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13.4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45803</v>
      </c>
      <c r="E1090" s="1" t="n">
        <v>46284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60714-2022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44912</v>
      </c>
      <c r="E1091" s="1" t="n">
        <v>46284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26318-2024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45468</v>
      </c>
      <c r="E1092" s="1" t="n">
        <v>46284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26228-2025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45805</v>
      </c>
      <c r="E1093" s="1" t="n">
        <v>46284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26410-2025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45807</v>
      </c>
      <c r="E1094" s="1" t="n">
        <v>46284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26398-2025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45807</v>
      </c>
      <c r="E1095" s="1" t="n">
        <v>46284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27072-2025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45811</v>
      </c>
      <c r="E1096" s="1" t="n">
        <v>46284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4.2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55250-2024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45621</v>
      </c>
      <c r="E1097" s="1" t="n">
        <v>46284</v>
      </c>
      <c r="F1097" t="inlineStr">
        <is>
          <t>VÄSTERBOTTENS LÄN</t>
        </is>
      </c>
      <c r="G1097" t="inlineStr">
        <is>
          <t>LYCKSELE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26622-2025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45810</v>
      </c>
      <c r="E1098" s="1" t="n">
        <v>46284</v>
      </c>
      <c r="F1098" t="inlineStr">
        <is>
          <t>VÄSTERBOTTENS LÄN</t>
        </is>
      </c>
      <c r="G1098" t="inlineStr">
        <is>
          <t>LYCKSELE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26951-2025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45811</v>
      </c>
      <c r="E1099" s="1" t="n">
        <v>46284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52039-2023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45223</v>
      </c>
      <c r="E1100" s="1" t="n">
        <v>46284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3303-2024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45316</v>
      </c>
      <c r="E1101" s="1" t="n">
        <v>46284</v>
      </c>
      <c r="F1101" t="inlineStr">
        <is>
          <t>VÄSTERBOTTENS LÄN</t>
        </is>
      </c>
      <c r="G1101" t="inlineStr">
        <is>
          <t>LYCKSELE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64334-2023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45279</v>
      </c>
      <c r="E1102" s="1" t="n">
        <v>46284</v>
      </c>
      <c r="F1102" t="inlineStr">
        <is>
          <t>VÄSTERBOTTENS LÄN</t>
        </is>
      </c>
      <c r="G1102" t="inlineStr">
        <is>
          <t>LYCKSELE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27471-2025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45813</v>
      </c>
      <c r="E1103" s="1" t="n">
        <v>46284</v>
      </c>
      <c r="F1103" t="inlineStr">
        <is>
          <t>VÄSTERBOTTENS LÄN</t>
        </is>
      </c>
      <c r="G1103" t="inlineStr">
        <is>
          <t>LYCKSELE</t>
        </is>
      </c>
      <c r="I1103" t="n">
        <v>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27643-2025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45813</v>
      </c>
      <c r="E1104" s="1" t="n">
        <v>46284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6.3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27610-2025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45813</v>
      </c>
      <c r="E1105" s="1" t="n">
        <v>46284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13563-2023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45006</v>
      </c>
      <c r="E1106" s="1" t="n">
        <v>46284</v>
      </c>
      <c r="F1106" t="inlineStr">
        <is>
          <t>VÄSTERBOTTENS LÄN</t>
        </is>
      </c>
      <c r="G1106" t="inlineStr">
        <is>
          <t>LYCKSELE</t>
        </is>
      </c>
      <c r="I1106" t="n">
        <v>2.6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5039-2025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45691</v>
      </c>
      <c r="E1107" s="1" t="n">
        <v>46284</v>
      </c>
      <c r="F1107" t="inlineStr">
        <is>
          <t>VÄSTERBOTTENS LÄN</t>
        </is>
      </c>
      <c r="G1107" t="inlineStr">
        <is>
          <t>LYCKSELE</t>
        </is>
      </c>
      <c r="I1107" t="n">
        <v>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8313-2025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45708</v>
      </c>
      <c r="E1108" s="1" t="n">
        <v>46284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4.6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28306-2025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45818</v>
      </c>
      <c r="E1109" s="1" t="n">
        <v>46284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29277-2023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45105</v>
      </c>
      <c r="E1110" s="1" t="n">
        <v>46284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Naturvårdsverket</t>
        </is>
      </c>
      <c r="I1110" t="n">
        <v>6.4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28486-2025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45819</v>
      </c>
      <c r="E1111" s="1" t="n">
        <v>46284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3.5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30161-2024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45488</v>
      </c>
      <c r="E1112" s="1" t="n">
        <v>46284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29088-2025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45821</v>
      </c>
      <c r="E1113" s="1" t="n">
        <v>46284</v>
      </c>
      <c r="F1113" t="inlineStr">
        <is>
          <t>VÄSTERBOTTENS LÄN</t>
        </is>
      </c>
      <c r="G1113" t="inlineStr">
        <is>
          <t>LYCKSELE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28833-2025</t>
        </is>
      </c>
      <c r="B1114" t="inlineStr">
        <is>
          <t>avverkningsanmälan</t>
        </is>
      </c>
      <c r="C1114" t="inlineStr">
        <is>
          <t>Avverkning för att bevara och utveckla /försöksver</t>
        </is>
      </c>
      <c r="D1114" s="1" t="n">
        <v>45820</v>
      </c>
      <c r="E1114" s="1" t="n">
        <v>46284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29123-2025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45821</v>
      </c>
      <c r="E1115" s="1" t="n">
        <v>46284</v>
      </c>
      <c r="F1115" t="inlineStr">
        <is>
          <t>VÄSTERBOTTENS LÄN</t>
        </is>
      </c>
      <c r="G1115" t="inlineStr">
        <is>
          <t>LYCKSELE</t>
        </is>
      </c>
      <c r="I1115" t="n">
        <v>5.2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29784-2025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45825</v>
      </c>
      <c r="E1116" s="1" t="n">
        <v>46284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29236-2025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45824</v>
      </c>
      <c r="E1117" s="1" t="n">
        <v>46284</v>
      </c>
      <c r="F1117" t="inlineStr">
        <is>
          <t>VÄSTERBOTTENS LÄN</t>
        </is>
      </c>
      <c r="G1117" t="inlineStr">
        <is>
          <t>LYCKSELE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29235-2025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45824</v>
      </c>
      <c r="E1118" s="1" t="n">
        <v>46284</v>
      </c>
      <c r="F1118" t="inlineStr">
        <is>
          <t>VÄSTERBOTTENS LÄN</t>
        </is>
      </c>
      <c r="G1118" t="inlineStr">
        <is>
          <t>LYCKSELE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30258-2025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45827</v>
      </c>
      <c r="E1119" s="1" t="n">
        <v>46284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19.5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30154-2025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45827</v>
      </c>
      <c r="E1120" s="1" t="n">
        <v>46284</v>
      </c>
      <c r="F1120" t="inlineStr">
        <is>
          <t>VÄSTERBOTTENS LÄN</t>
        </is>
      </c>
      <c r="G1120" t="inlineStr">
        <is>
          <t>LYCKSELE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29866-2025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45826</v>
      </c>
      <c r="E1121" s="1" t="n">
        <v>46284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6.7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30623-2025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45831</v>
      </c>
      <c r="E1122" s="1" t="n">
        <v>46284</v>
      </c>
      <c r="F1122" t="inlineStr">
        <is>
          <t>VÄSTERBOTTENS LÄN</t>
        </is>
      </c>
      <c r="G1122" t="inlineStr">
        <is>
          <t>LYCKSELE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30632-2025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45831</v>
      </c>
      <c r="E1123" s="1" t="n">
        <v>46284</v>
      </c>
      <c r="F1123" t="inlineStr">
        <is>
          <t>VÄSTERBOTTENS LÄN</t>
        </is>
      </c>
      <c r="G1123" t="inlineStr">
        <is>
          <t>LYCKSELE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31022-2025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45832</v>
      </c>
      <c r="E1124" s="1" t="n">
        <v>46284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31693-2025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45834</v>
      </c>
      <c r="E1125" s="1" t="n">
        <v>46284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18.9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31897-2025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45834</v>
      </c>
      <c r="E1126" s="1" t="n">
        <v>46284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32619-2025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45838</v>
      </c>
      <c r="E1127" s="1" t="n">
        <v>46284</v>
      </c>
      <c r="F1127" t="inlineStr">
        <is>
          <t>VÄSTERBOTTENS LÄN</t>
        </is>
      </c>
      <c r="G1127" t="inlineStr">
        <is>
          <t>LYCKSELE</t>
        </is>
      </c>
      <c r="I1127" t="n">
        <v>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32722-2025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45839</v>
      </c>
      <c r="E1128" s="1" t="n">
        <v>46284</v>
      </c>
      <c r="F1128" t="inlineStr">
        <is>
          <t>VÄSTERBOTTENS LÄN</t>
        </is>
      </c>
      <c r="G1128" t="inlineStr">
        <is>
          <t>LYCKSELE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32783-2025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45839</v>
      </c>
      <c r="E1129" s="1" t="n">
        <v>46284</v>
      </c>
      <c r="F1129" t="inlineStr">
        <is>
          <t>VÄSTERBOTTENS LÄN</t>
        </is>
      </c>
      <c r="G1129" t="inlineStr">
        <is>
          <t>LYCKSELE</t>
        </is>
      </c>
      <c r="I1129" t="n">
        <v>4.5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33527-2025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45841</v>
      </c>
      <c r="E1130" s="1" t="n">
        <v>46284</v>
      </c>
      <c r="F1130" t="inlineStr">
        <is>
          <t>VÄSTERBOTTENS LÄN</t>
        </is>
      </c>
      <c r="G1130" t="inlineStr">
        <is>
          <t>LYCKSELE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33415-2025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45841</v>
      </c>
      <c r="E1131" s="1" t="n">
        <v>46284</v>
      </c>
      <c r="F1131" t="inlineStr">
        <is>
          <t>VÄSTERBOTTENS LÄN</t>
        </is>
      </c>
      <c r="G1131" t="inlineStr">
        <is>
          <t>LYCKSELE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33067-2025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45840</v>
      </c>
      <c r="E1132" s="1" t="n">
        <v>46284</v>
      </c>
      <c r="F1132" t="inlineStr">
        <is>
          <t>VÄSTERBOTTENS LÄN</t>
        </is>
      </c>
      <c r="G1132" t="inlineStr">
        <is>
          <t>LYCKSELE</t>
        </is>
      </c>
      <c r="I1132" t="n">
        <v>4.6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33431-2025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45841</v>
      </c>
      <c r="E1133" s="1" t="n">
        <v>46284</v>
      </c>
      <c r="F1133" t="inlineStr">
        <is>
          <t>VÄSTERBOTTENS LÄN</t>
        </is>
      </c>
      <c r="G1133" t="inlineStr">
        <is>
          <t>LYCKSELE</t>
        </is>
      </c>
      <c r="I1133" t="n">
        <v>0.1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33423-2025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45841</v>
      </c>
      <c r="E1134" s="1" t="n">
        <v>46284</v>
      </c>
      <c r="F1134" t="inlineStr">
        <is>
          <t>VÄSTERBOTTENS LÄN</t>
        </is>
      </c>
      <c r="G1134" t="inlineStr">
        <is>
          <t>LYCKSELE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33991-2025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45843</v>
      </c>
      <c r="E1135" s="1" t="n">
        <v>46284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33966-2025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45842</v>
      </c>
      <c r="E1136" s="1" t="n">
        <v>46284</v>
      </c>
      <c r="F1136" t="inlineStr">
        <is>
          <t>VÄSTERBOTTENS LÄN</t>
        </is>
      </c>
      <c r="G1136" t="inlineStr">
        <is>
          <t>LYCKSELE</t>
        </is>
      </c>
      <c r="I1136" t="n">
        <v>12.5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33992-2025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45843</v>
      </c>
      <c r="E1137" s="1" t="n">
        <v>46284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34110-2025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45845</v>
      </c>
      <c r="E1138" s="1" t="n">
        <v>46284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34465-2025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45847</v>
      </c>
      <c r="E1139" s="1" t="n">
        <v>46284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26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34918-2025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45849</v>
      </c>
      <c r="E1140" s="1" t="n">
        <v>46284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9.300000000000001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34940-2025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45849</v>
      </c>
      <c r="E1141" s="1" t="n">
        <v>46284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7.2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34954-2025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45849</v>
      </c>
      <c r="E1142" s="1" t="n">
        <v>46284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34915-2025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45849</v>
      </c>
      <c r="E1143" s="1" t="n">
        <v>46284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6.5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34955-2025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45849</v>
      </c>
      <c r="E1144" s="1" t="n">
        <v>46284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9.4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35192-2025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45853</v>
      </c>
      <c r="E1145" s="1" t="n">
        <v>46284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35237-2025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45853</v>
      </c>
      <c r="E1146" s="1" t="n">
        <v>46284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35130-2025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45852</v>
      </c>
      <c r="E1147" s="1" t="n">
        <v>46284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6.2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35225-2025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45853</v>
      </c>
      <c r="E1148" s="1" t="n">
        <v>46284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4.1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35234-2025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45853</v>
      </c>
      <c r="E1149" s="1" t="n">
        <v>46284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35232-2025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45853</v>
      </c>
      <c r="E1150" s="1" t="n">
        <v>46284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35332-2025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45854</v>
      </c>
      <c r="E1151" s="1" t="n">
        <v>46284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SCA</t>
        </is>
      </c>
      <c r="I1151" t="n">
        <v>5.2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35333-2025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45854</v>
      </c>
      <c r="E1152" s="1" t="n">
        <v>46284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35303-2025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45854</v>
      </c>
      <c r="E1153" s="1" t="n">
        <v>46284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35604-2025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45859</v>
      </c>
      <c r="E1154" s="1" t="n">
        <v>46284</v>
      </c>
      <c r="F1154" t="inlineStr">
        <is>
          <t>VÄSTERBOTTENS LÄN</t>
        </is>
      </c>
      <c r="G1154" t="inlineStr">
        <is>
          <t>LYCKSELE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35662-2025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45859</v>
      </c>
      <c r="E1155" s="1" t="n">
        <v>46284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20.8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35671-2025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45859</v>
      </c>
      <c r="E1156" s="1" t="n">
        <v>46284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35833-2025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45861</v>
      </c>
      <c r="E1157" s="1" t="n">
        <v>46284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7.9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35606-2025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45859</v>
      </c>
      <c r="E1158" s="1" t="n">
        <v>46284</v>
      </c>
      <c r="F1158" t="inlineStr">
        <is>
          <t>VÄSTERBOTTENS LÄN</t>
        </is>
      </c>
      <c r="G1158" t="inlineStr">
        <is>
          <t>LYCKSELE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35920-2025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45862</v>
      </c>
      <c r="E1159" s="1" t="n">
        <v>46284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36542-2025</t>
        </is>
      </c>
      <c r="B1160" t="inlineStr">
        <is>
          <t>avverkningsanmälan</t>
        </is>
      </c>
      <c r="C1160" t="inlineStr">
        <is>
          <t>Avverkning för att bevara och utveckla /försöksver</t>
        </is>
      </c>
      <c r="D1160" s="1" t="n">
        <v>45869</v>
      </c>
      <c r="E1160" s="1" t="n">
        <v>46284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36439-2025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45869</v>
      </c>
      <c r="E1161" s="1" t="n">
        <v>46284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14.3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35832-2025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45861</v>
      </c>
      <c r="E1162" s="1" t="n">
        <v>46284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6.5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36689-2025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45873</v>
      </c>
      <c r="E1163" s="1" t="n">
        <v>46284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36736-2025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45873</v>
      </c>
      <c r="E1164" s="1" t="n">
        <v>46284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4.7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36702-2025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45873</v>
      </c>
      <c r="E1165" s="1" t="n">
        <v>46284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36787-2025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45873</v>
      </c>
      <c r="E1166" s="1" t="n">
        <v>46284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20.1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36709-2025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45873</v>
      </c>
      <c r="E1167" s="1" t="n">
        <v>46284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Holmen skog AB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37078-2025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45875</v>
      </c>
      <c r="E1168" s="1" t="n">
        <v>46284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37105-2025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45875</v>
      </c>
      <c r="E1169" s="1" t="n">
        <v>46284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16.4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37970-2025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45881</v>
      </c>
      <c r="E1170" s="1" t="n">
        <v>46284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Holmen skog AB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919-2021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44314</v>
      </c>
      <c r="E1171" s="1" t="n">
        <v>46284</v>
      </c>
      <c r="F1171" t="inlineStr">
        <is>
          <t>VÄSTERBOTTENS LÄN</t>
        </is>
      </c>
      <c r="G1171" t="inlineStr">
        <is>
          <t>LYCKSELE</t>
        </is>
      </c>
      <c r="I1171" t="n">
        <v>26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1133-2024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45393</v>
      </c>
      <c r="E1172" s="1" t="n">
        <v>46284</v>
      </c>
      <c r="F1172" t="inlineStr">
        <is>
          <t>VÄSTERBOTTENS LÄN</t>
        </is>
      </c>
      <c r="G1172" t="inlineStr">
        <is>
          <t>LYCKSELE</t>
        </is>
      </c>
      <c r="I1172" t="n">
        <v>33.1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4195-2023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45250</v>
      </c>
      <c r="E1173" s="1" t="n">
        <v>46284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Holmen skog AB</t>
        </is>
      </c>
      <c r="I1173" t="n">
        <v>63.8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1398-2023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45040</v>
      </c>
      <c r="E1174" s="1" t="n">
        <v>46284</v>
      </c>
      <c r="F1174" t="inlineStr">
        <is>
          <t>VÄSTERBOTTENS LÄN</t>
        </is>
      </c>
      <c r="G1174" t="inlineStr">
        <is>
          <t>LYCKSELE</t>
        </is>
      </c>
      <c r="I1174" t="n">
        <v>21.5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827-2022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44603</v>
      </c>
      <c r="E1175" s="1" t="n">
        <v>46284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42.7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1378-2023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45040</v>
      </c>
      <c r="E1176" s="1" t="n">
        <v>46284</v>
      </c>
      <c r="F1176" t="inlineStr">
        <is>
          <t>VÄSTERBOTTENS LÄN</t>
        </is>
      </c>
      <c r="G1176" t="inlineStr">
        <is>
          <t>LYCKSELE</t>
        </is>
      </c>
      <c r="I1176" t="n">
        <v>33.1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1656-2024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45426</v>
      </c>
      <c r="E1177" s="1" t="n">
        <v>46284</v>
      </c>
      <c r="F1177" t="inlineStr">
        <is>
          <t>VÄSTERBOTTENS LÄN</t>
        </is>
      </c>
      <c r="G1177" t="inlineStr">
        <is>
          <t>LYCKSELE</t>
        </is>
      </c>
      <c r="I1177" t="n">
        <v>56.6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523-2024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45348</v>
      </c>
      <c r="E1178" s="1" t="n">
        <v>46284</v>
      </c>
      <c r="F1178" t="inlineStr">
        <is>
          <t>VÄSTERBOTTENS LÄN</t>
        </is>
      </c>
      <c r="G1178" t="inlineStr">
        <is>
          <t>LYCKSELE</t>
        </is>
      </c>
      <c r="I1178" t="n">
        <v>19.9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3789-2024</t>
        </is>
      </c>
      <c r="B1179" t="inlineStr">
        <is>
          <t>samrådsanmälan</t>
        </is>
      </c>
      <c r="C1179" t="inlineStr">
        <is>
          <t>Annan skogsbruksåtgärd</t>
        </is>
      </c>
      <c r="D1179" s="1" t="n">
        <v>45558</v>
      </c>
      <c r="E1179" s="1" t="n">
        <v>46284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9.800000000000001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271-2024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45323</v>
      </c>
      <c r="E1180" s="1" t="n">
        <v>46284</v>
      </c>
      <c r="F1180" t="inlineStr">
        <is>
          <t>VÄSTERBOTTENS LÄN</t>
        </is>
      </c>
      <c r="G1180" t="inlineStr">
        <is>
          <t>LYCKSELE</t>
        </is>
      </c>
      <c r="I1180" t="n">
        <v>48.7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165-2022</t>
        </is>
      </c>
      <c r="B1181" t="inlineStr">
        <is>
          <t>samrådsanmälan</t>
        </is>
      </c>
      <c r="C1181" t="inlineStr">
        <is>
          <t>Skogsbilväg</t>
        </is>
      </c>
      <c r="D1181" s="1" t="n">
        <v>44572</v>
      </c>
      <c r="E1181" s="1" t="n">
        <v>46284</v>
      </c>
      <c r="F1181" t="inlineStr">
        <is>
          <t>VÄSTERBOTTENS LÄN</t>
        </is>
      </c>
      <c r="G1181" t="inlineStr">
        <is>
          <t>LYCKSELE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1132-2024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45393</v>
      </c>
      <c r="E1182" s="1" t="n">
        <v>46284</v>
      </c>
      <c r="F1182" t="inlineStr">
        <is>
          <t>VÄSTERBOTTENS LÄN</t>
        </is>
      </c>
      <c r="G1182" t="inlineStr">
        <is>
          <t>LYCKSELE</t>
        </is>
      </c>
      <c r="I1182" t="n">
        <v>19.2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1031-2025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45747</v>
      </c>
      <c r="E1183" s="1" t="n">
        <v>46284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36.8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1037-2025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45747</v>
      </c>
      <c r="E1184" s="1" t="n">
        <v>46284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138.5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1233-2025</t>
        </is>
      </c>
      <c r="B1185" t="inlineStr">
        <is>
          <t>samrådsanmälan</t>
        </is>
      </c>
      <c r="C1185" t="inlineStr">
        <is>
          <t>Annan skogsbruksåtgärd</t>
        </is>
      </c>
      <c r="D1185" s="1" t="n">
        <v>45757</v>
      </c>
      <c r="E1185" s="1" t="n">
        <v>46284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5.9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1326-2025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45771</v>
      </c>
      <c r="E1186" s="1" t="n">
        <v>46284</v>
      </c>
      <c r="F1186" t="inlineStr">
        <is>
          <t>VÄSTERBOTTENS LÄN</t>
        </is>
      </c>
      <c r="G1186" t="inlineStr">
        <is>
          <t>LYCKSELE</t>
        </is>
      </c>
      <c r="I1186" t="n">
        <v>6.2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1841-2025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45820</v>
      </c>
      <c r="E1187" s="1" t="n">
        <v>46284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447-2026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46071</v>
      </c>
      <c r="E1188" s="1" t="n">
        <v>46284</v>
      </c>
      <c r="F1188" t="inlineStr">
        <is>
          <t>VÄSTERBOTTENS LÄN</t>
        </is>
      </c>
      <c r="G1188" t="inlineStr">
        <is>
          <t>LYCKSELE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727-2026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46093</v>
      </c>
      <c r="E1189" s="1" t="n">
        <v>46284</v>
      </c>
      <c r="F1189" t="inlineStr">
        <is>
          <t>VÄSTERBOTTENS LÄN</t>
        </is>
      </c>
      <c r="G1189" t="inlineStr">
        <is>
          <t>LYCKSELE</t>
        </is>
      </c>
      <c r="I1189" t="n">
        <v>23.5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1148-2026</t>
        </is>
      </c>
      <c r="B1190" t="inlineStr">
        <is>
          <t>samrådsanmälan</t>
        </is>
      </c>
      <c r="C1190" t="inlineStr">
        <is>
          <t>Askåterföring</t>
        </is>
      </c>
      <c r="D1190" s="1" t="n">
        <v>46135</v>
      </c>
      <c r="E1190" s="1" t="n">
        <v>46284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Holmen skog AB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1358-2026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46152</v>
      </c>
      <c r="E1191" s="1" t="n">
        <v>46284</v>
      </c>
      <c r="F1191" t="inlineStr">
        <is>
          <t>VÄSTERBOTTENS LÄN</t>
        </is>
      </c>
      <c r="G1191" t="inlineStr">
        <is>
          <t>LYCKSELE</t>
        </is>
      </c>
      <c r="I1191" t="n">
        <v>20.5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>
      <c r="A1192" t="inlineStr">
        <is>
          <t>S 1524-2026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46164</v>
      </c>
      <c r="E1192" s="1" t="n">
        <v>46284</v>
      </c>
      <c r="F1192" t="inlineStr">
        <is>
          <t>VÄSTERBOTTENS LÄN</t>
        </is>
      </c>
      <c r="G1192" t="inlineStr">
        <is>
          <t>LYCKSELE</t>
        </is>
      </c>
      <c r="I1192" t="n">
        <v>99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2026-09-19T02:04:47Z</dcterms:created>
  <dcterms:modified xmlns:dcterms="http://purl.org/dc/terms/" xmlns:xsi="http://www.w3.org/2001/XMLSchema-instance" xsi:type="dcterms:W3CDTF">2026-09-19T02:04:48Z</dcterms:modified>
</cp:coreProperties>
</file>