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46233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46233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46233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46233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46233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46233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46233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46233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46233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46233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46233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46233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46233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46233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46233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46233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46233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46233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46233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46233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46233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46233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46233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46233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46233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46233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Dropptaggsvamp
Rosenticka
Norrlandslav
Tjäder</t>
        </is>
      </c>
      <c r="W35">
        <f>HYPERLINK("https://klasma.github.io/Logging_2481/artfynd/A 56000-2024 artfynd.xlsx", "A 56000-2024")</f>
        <v/>
      </c>
      <c r="X35">
        <f>HYPERLINK("https://klasma.github.io/Logging_2481/kartor/A 56000-2024 karta.png", "A 56000-2024")</f>
        <v/>
      </c>
      <c r="Y35">
        <f>HYPERLINK("https://klasma.github.io/Logging_2481/kartor_geotiff/A 56000-2024 georefererad karta.tif", "A 56000-2024")</f>
        <v/>
      </c>
      <c r="AA35">
        <f>HYPERLINK("https://klasma.github.io/Logging_2481/klagomål/A 56000-2024 FSC-klagomål.docx", "A 56000-2024")</f>
        <v/>
      </c>
      <c r="AB35">
        <f>HYPERLINK("https://klasma.github.io/Logging_2481/klagomålsmail/A 56000-2024 FSC-klagomål mail.docx", "A 56000-2024")</f>
        <v/>
      </c>
      <c r="AC35">
        <f>HYPERLINK("https://klasma.github.io/Logging_2481/tillsyn/A 56000-2024 tillsynsbegäran.docx", "A 56000-2024")</f>
        <v/>
      </c>
      <c r="AD35">
        <f>HYPERLINK("https://klasma.github.io/Logging_2481/tillsynsmail/A 56000-2024 tillsynsbegäran mail.docx", "A 56000-2024")</f>
        <v/>
      </c>
      <c r="AE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46233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Lavskrika
Rödvingetrast
Talltita
Bergfink
Orre</t>
        </is>
      </c>
      <c r="W36">
        <f>HYPERLINK("https://klasma.github.io/Logging_2481/artfynd/A 31698-2023 artfynd.xlsx", "A 31698-2023")</f>
        <v/>
      </c>
      <c r="X36">
        <f>HYPERLINK("https://klasma.github.io/Logging_2481/kartor/A 31698-2023 karta.png", "A 31698-2023")</f>
        <v/>
      </c>
      <c r="Y36">
        <f>HYPERLINK("https://klasma.github.io/Logging_2481/kartor_geotiff/A 31698-2023 georefererad karta.tif", "A 31698-2023")</f>
        <v/>
      </c>
      <c r="AA36">
        <f>HYPERLINK("https://klasma.github.io/Logging_2481/klagomål/A 31698-2023 FSC-klagomål.docx", "A 31698-2023")</f>
        <v/>
      </c>
      <c r="AB36">
        <f>HYPERLINK("https://klasma.github.io/Logging_2481/klagomålsmail/A 31698-2023 FSC-klagomål mail.docx", "A 31698-2023")</f>
        <v/>
      </c>
      <c r="AC36">
        <f>HYPERLINK("https://klasma.github.io/Logging_2481/tillsyn/A 31698-2023 tillsynsbegäran.docx", "A 31698-2023")</f>
        <v/>
      </c>
      <c r="AD36">
        <f>HYPERLINK("https://klasma.github.io/Logging_2481/tillsynsmail/A 31698-2023 tillsynsbegäran mail.docx", "A 31698-2023")</f>
        <v/>
      </c>
      <c r="AE36">
        <f>HYPERLINK("https://klasma.github.io/Logging_2481/fåglar/A 31698-2023 prioriterade fågelarter.docx", "A 31698-2023")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46233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46233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A 33589-2024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45520</v>
      </c>
      <c r="E39" s="1" t="n">
        <v>46233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3.5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14</v>
      </c>
      <c r="U39" t="n">
        <v>12</v>
      </c>
      <c r="V39" s="2" t="inlineStr">
        <is>
          <t>Garnlav
Lavskrika
Ullticka
Spillkråka
Revlummer</t>
        </is>
      </c>
      <c r="W39">
        <f>HYPERLINK("https://klasma.github.io/Logging_2481/artfynd/A 33589-2024 artfynd.xlsx", "A 33589-2024")</f>
        <v/>
      </c>
      <c r="X39">
        <f>HYPERLINK("https://klasma.github.io/Logging_2481/kartor/A 33589-2024 karta.png", "A 33589-2024")</f>
        <v/>
      </c>
      <c r="Y39">
        <f>HYPERLINK("https://klasma.github.io/Logging_2481/kartor_geotiff/A 33589-2024 georefererad karta.tif", "A 33589-2024")</f>
        <v/>
      </c>
      <c r="AA39">
        <f>HYPERLINK("https://klasma.github.io/Logging_2481/klagomål/A 33589-2024 FSC-klagomål.docx", "A 33589-2024")</f>
        <v/>
      </c>
      <c r="AB39">
        <f>HYPERLINK("https://klasma.github.io/Logging_2481/klagomålsmail/A 33589-2024 FSC-klagomål mail.docx", "A 33589-2024")</f>
        <v/>
      </c>
      <c r="AC39">
        <f>HYPERLINK("https://klasma.github.io/Logging_2481/tillsyn/A 33589-2024 tillsynsbegäran.docx", "A 33589-2024")</f>
        <v/>
      </c>
      <c r="AD39">
        <f>HYPERLINK("https://klasma.github.io/Logging_2481/tillsynsmail/A 33589-2024 tillsynsbegäran mail.docx", "A 33589-2024")</f>
        <v/>
      </c>
      <c r="AE39">
        <f>HYPERLINK("https://klasma.github.io/Logging_2481/fåglar/A 33589-2024 prioriterade fågelarter.docx", "A 33589-2024")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46233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46233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46233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27068-2025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46233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Dropptaggsvamp
Kolflarnlav
Motaggsvamp</t>
        </is>
      </c>
      <c r="W43">
        <f>HYPERLINK("https://klasma.github.io/Logging_2481/artfynd/A 27068-2025 artfynd.xlsx", "A 27068-2025")</f>
        <v/>
      </c>
      <c r="X43">
        <f>HYPERLINK("https://klasma.github.io/Logging_2481/kartor/A 27068-2025 karta.png", "A 27068-2025")</f>
        <v/>
      </c>
      <c r="Y43">
        <f>HYPERLINK("https://klasma.github.io/Logging_2481/kartor_geotiff/A 27068-2025 georefererad karta.tif", "A 27068-2025")</f>
        <v/>
      </c>
      <c r="AA43">
        <f>HYPERLINK("https://klasma.github.io/Logging_2481/klagomål/A 27068-2025 FSC-klagomål.docx", "A 27068-2025")</f>
        <v/>
      </c>
      <c r="AB43">
        <f>HYPERLINK("https://klasma.github.io/Logging_2481/klagomålsmail/A 27068-2025 FSC-klagomål mail.docx", "A 27068-2025")</f>
        <v/>
      </c>
      <c r="AC43">
        <f>HYPERLINK("https://klasma.github.io/Logging_2481/tillsyn/A 27068-2025 tillsynsbegäran.docx", "A 27068-2025")</f>
        <v/>
      </c>
      <c r="AD43">
        <f>HYPERLINK("https://klasma.github.io/Logging_2481/tillsynsmail/A 27068-2025 tillsynsbegäran mail.docx", "A 27068-2025")</f>
        <v/>
      </c>
    </row>
    <row r="44" ht="15" customHeight="1">
      <c r="A44" t="inlineStr">
        <is>
          <t>A 43680-2025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46233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5.3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Garnlav
Dropptaggsvamp
Kolflarnlav
Plattlummer</t>
        </is>
      </c>
      <c r="W44">
        <f>HYPERLINK("https://klasma.github.io/Logging_2481/artfynd/A 43680-2025 artfynd.xlsx", "A 43680-2025")</f>
        <v/>
      </c>
      <c r="X44">
        <f>HYPERLINK("https://klasma.github.io/Logging_2481/kartor/A 43680-2025 karta.png", "A 43680-2025")</f>
        <v/>
      </c>
      <c r="Y44">
        <f>HYPERLINK("https://klasma.github.io/Logging_2481/kartor_geotiff/A 43680-2025 georefererad karta.tif", "A 43680-2025")</f>
        <v/>
      </c>
      <c r="AA44">
        <f>HYPERLINK("https://klasma.github.io/Logging_2481/klagomål/A 43680-2025 FSC-klagomål.docx", "A 43680-2025")</f>
        <v/>
      </c>
      <c r="AB44">
        <f>HYPERLINK("https://klasma.github.io/Logging_2481/klagomålsmail/A 43680-2025 FSC-klagomål mail.docx", "A 43680-2025")</f>
        <v/>
      </c>
      <c r="AC44">
        <f>HYPERLINK("https://klasma.github.io/Logging_2481/tillsyn/A 43680-2025 tillsynsbegäran.docx", "A 43680-2025")</f>
        <v/>
      </c>
      <c r="AD44">
        <f>HYPERLINK("https://klasma.github.io/Logging_2481/tillsynsmail/A 43680-2025 tillsynsbegäran mail.docx", "A 43680-2025")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46233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46233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55509-2025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46233</v>
      </c>
      <c r="F47" t="inlineStr">
        <is>
          <t>VÄSTERBOTTENS LÄN</t>
        </is>
      </c>
      <c r="G47" t="inlineStr">
        <is>
          <t>LYCKSELE</t>
        </is>
      </c>
      <c r="I47" t="n">
        <v>12.2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10</v>
      </c>
      <c r="U47" t="n">
        <v>0</v>
      </c>
      <c r="V47" s="2" t="inlineStr">
        <is>
          <t>Doftticka
Doftskinn
Lunglav
Stiftgelélav</t>
        </is>
      </c>
      <c r="W47">
        <f>HYPERLINK("https://klasma.github.io/Logging_2481/artfynd/A 55509-2025 artfynd.xlsx", "A 55509-2025")</f>
        <v/>
      </c>
      <c r="X47">
        <f>HYPERLINK("https://klasma.github.io/Logging_2481/kartor/A 55509-2025 karta.png", "A 55509-2025")</f>
        <v/>
      </c>
      <c r="Y47">
        <f>HYPERLINK("https://klasma.github.io/Logging_2481/kartor_geotiff/A 55509-2025 georefererad karta.tif", "A 55509-2025")</f>
        <v/>
      </c>
      <c r="AA47">
        <f>HYPERLINK("https://klasma.github.io/Logging_2481/klagomål/A 55509-2025 FSC-klagomål.docx", "A 55509-2025")</f>
        <v/>
      </c>
      <c r="AB47">
        <f>HYPERLINK("https://klasma.github.io/Logging_2481/klagomålsmail/A 55509-2025 FSC-klagomål mail.docx", "A 55509-2025")</f>
        <v/>
      </c>
      <c r="AC47">
        <f>HYPERLINK("https://klasma.github.io/Logging_2481/tillsyn/A 55509-2025 tillsynsbegäran.docx", "A 55509-2025")</f>
        <v/>
      </c>
      <c r="AD47">
        <f>HYPERLINK("https://klasma.github.io/Logging_2481/tillsynsmail/A 55509-2025 tillsynsbegäran mail.docx", "A 55509-2025")</f>
        <v/>
      </c>
    </row>
    <row r="48" ht="15" customHeight="1">
      <c r="A48" t="inlineStr">
        <is>
          <t>A 73357-2021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44551</v>
      </c>
      <c r="E48" s="1" t="n">
        <v>46233</v>
      </c>
      <c r="F48" t="inlineStr">
        <is>
          <t>VÄSTERBOTTENS LÄN</t>
        </is>
      </c>
      <c r="G48" t="inlineStr">
        <is>
          <t>LYCKSELE</t>
        </is>
      </c>
      <c r="I48" t="n">
        <v>11.3</v>
      </c>
      <c r="J48" t="n">
        <v>2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Gammelgransskål
Tretåig hackspett
Spindelblomster</t>
        </is>
      </c>
      <c r="W48">
        <f>HYPERLINK("https://klasma.github.io/Logging_2481/artfynd/A 73357-2021 artfynd.xlsx", "A 73357-2021")</f>
        <v/>
      </c>
      <c r="X48">
        <f>HYPERLINK("https://klasma.github.io/Logging_2481/kartor/A 73357-2021 karta.png", "A 73357-2021")</f>
        <v/>
      </c>
      <c r="Y48">
        <f>HYPERLINK("https://klasma.github.io/Logging_2481/kartor_geotiff/A 73357-2021 georefererad karta.tif", "A 73357-2021")</f>
        <v/>
      </c>
      <c r="AA48">
        <f>HYPERLINK("https://klasma.github.io/Logging_2481/klagomål/A 73357-2021 FSC-klagomål.docx", "A 73357-2021")</f>
        <v/>
      </c>
      <c r="AB48">
        <f>HYPERLINK("https://klasma.github.io/Logging_2481/klagomålsmail/A 73357-2021 FSC-klagomål mail.docx", "A 73357-2021")</f>
        <v/>
      </c>
      <c r="AC48">
        <f>HYPERLINK("https://klasma.github.io/Logging_2481/tillsyn/A 73357-2021 tillsynsbegäran.docx", "A 73357-2021")</f>
        <v/>
      </c>
      <c r="AD48">
        <f>HYPERLINK("https://klasma.github.io/Logging_2481/tillsynsmail/A 73357-2021 tillsynsbegäran mail.docx", "A 73357-2021")</f>
        <v/>
      </c>
      <c r="AE48">
        <f>HYPERLINK("https://klasma.github.io/Logging_2481/fåglar/A 73357-2021 prioriterade fågelarter.docx", "A 73357-2021")</f>
        <v/>
      </c>
    </row>
    <row r="49" ht="15" customHeight="1">
      <c r="A49" t="inlineStr">
        <is>
          <t>A 30083-2026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46206</v>
      </c>
      <c r="E49" s="1" t="n">
        <v>46233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Kolflarnlav
Lunglav
Skrovellav
Vedflamlav</t>
        </is>
      </c>
      <c r="W49">
        <f>HYPERLINK("https://klasma.github.io/Logging_2481/artfynd/A 30083-2026 artfynd.xlsx", "A 30083-2026")</f>
        <v/>
      </c>
      <c r="X49">
        <f>HYPERLINK("https://klasma.github.io/Logging_2481/kartor/A 30083-2026 karta.png", "A 30083-2026")</f>
        <v/>
      </c>
      <c r="Y49">
        <f>HYPERLINK("https://klasma.github.io/Logging_2481/kartor_geotiff/A 30083-2026 georefererad karta.tif", "A 30083-2026")</f>
        <v/>
      </c>
      <c r="AA49">
        <f>HYPERLINK("https://klasma.github.io/Logging_2481/klagomål/A 30083-2026 FSC-klagomål.docx", "A 30083-2026")</f>
        <v/>
      </c>
      <c r="AB49">
        <f>HYPERLINK("https://klasma.github.io/Logging_2481/klagomålsmail/A 30083-2026 FSC-klagomål mail.docx", "A 30083-2026")</f>
        <v/>
      </c>
      <c r="AC49">
        <f>HYPERLINK("https://klasma.github.io/Logging_2481/tillsyn/A 30083-2026 tillsynsbegäran.docx", "A 30083-2026")</f>
        <v/>
      </c>
      <c r="AD49">
        <f>HYPERLINK("https://klasma.github.io/Logging_2481/tillsynsmail/A 30083-2026 tillsynsbegäran mail.docx", "A 30083-2026")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46233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46233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46233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46233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46233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38916-2025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46233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3.1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Lunglav
Stuplav</t>
        </is>
      </c>
      <c r="W55">
        <f>HYPERLINK("https://klasma.github.io/Logging_2481/artfynd/A 38916-2025 artfynd.xlsx", "A 38916-2025")</f>
        <v/>
      </c>
      <c r="X55">
        <f>HYPERLINK("https://klasma.github.io/Logging_2481/kartor/A 38916-2025 karta.png", "A 38916-2025")</f>
        <v/>
      </c>
      <c r="Y55">
        <f>HYPERLINK("https://klasma.github.io/Logging_2481/kartor_geotiff/A 38916-2025 georefererad karta.tif", "A 38916-2025")</f>
        <v/>
      </c>
      <c r="AA55">
        <f>HYPERLINK("https://klasma.github.io/Logging_2481/klagomål/A 38916-2025 FSC-klagomål.docx", "A 38916-2025")</f>
        <v/>
      </c>
      <c r="AB55">
        <f>HYPERLINK("https://klasma.github.io/Logging_2481/klagomålsmail/A 38916-2025 FSC-klagomål mail.docx", "A 38916-2025")</f>
        <v/>
      </c>
      <c r="AC55">
        <f>HYPERLINK("https://klasma.github.io/Logging_2481/tillsyn/A 38916-2025 tillsynsbegäran.docx", "A 38916-2025")</f>
        <v/>
      </c>
      <c r="AD55">
        <f>HYPERLINK("https://klasma.github.io/Logging_2481/tillsynsmail/A 38916-2025 tillsynsbegäran mail.docx", "A 38916-2025")</f>
        <v/>
      </c>
    </row>
    <row r="56" ht="15" customHeight="1">
      <c r="A56" t="inlineStr">
        <is>
          <t>A 58624-2022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44902</v>
      </c>
      <c r="E56" s="1" t="n">
        <v>46233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Garnlav
Blanksvart spiklav
Vedflamlav</t>
        </is>
      </c>
      <c r="W56">
        <f>HYPERLINK("https://klasma.github.io/Logging_2481/artfynd/A 58624-2022 artfynd.xlsx", "A 58624-2022")</f>
        <v/>
      </c>
      <c r="X56">
        <f>HYPERLINK("https://klasma.github.io/Logging_2481/kartor/A 58624-2022 karta.png", "A 58624-2022")</f>
        <v/>
      </c>
      <c r="Y56">
        <f>HYPERLINK("https://klasma.github.io/Logging_2481/kartor_geotiff/A 58624-2022 georefererad karta.tif", "A 58624-2022")</f>
        <v/>
      </c>
      <c r="AA56">
        <f>HYPERLINK("https://klasma.github.io/Logging_2481/klagomål/A 58624-2022 FSC-klagomål.docx", "A 58624-2022")</f>
        <v/>
      </c>
      <c r="AB56">
        <f>HYPERLINK("https://klasma.github.io/Logging_2481/klagomålsmail/A 58624-2022 FSC-klagomål mail.docx", "A 58624-2022")</f>
        <v/>
      </c>
      <c r="AC56">
        <f>HYPERLINK("https://klasma.github.io/Logging_2481/tillsyn/A 58624-2022 tillsynsbegäran.docx", "A 58624-2022")</f>
        <v/>
      </c>
      <c r="AD56">
        <f>HYPERLINK("https://klasma.github.io/Logging_2481/tillsynsmail/A 58624-2022 tillsynsbegäran mail.docx", "A 58624-2022")</f>
        <v/>
      </c>
    </row>
    <row r="57" ht="15" customHeight="1">
      <c r="A57" t="inlineStr">
        <is>
          <t>A 60422-2024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46233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60422-2024 artfynd.xlsx", "A 60422-2024")</f>
        <v/>
      </c>
      <c r="X57">
        <f>HYPERLINK("https://klasma.github.io/Logging_2481/kartor/A 60422-2024 karta.png", "A 60422-2024")</f>
        <v/>
      </c>
      <c r="Y57">
        <f>HYPERLINK("https://klasma.github.io/Logging_2481/kartor_geotiff/A 60422-2024 georefererad karta.tif", "A 60422-2024")</f>
        <v/>
      </c>
      <c r="AA57">
        <f>HYPERLINK("https://klasma.github.io/Logging_2481/klagomål/A 60422-2024 FSC-klagomål.docx", "A 60422-2024")</f>
        <v/>
      </c>
      <c r="AB57">
        <f>HYPERLINK("https://klasma.github.io/Logging_2481/klagomålsmail/A 60422-2024 FSC-klagomål mail.docx", "A 60422-2024")</f>
        <v/>
      </c>
      <c r="AC57">
        <f>HYPERLINK("https://klasma.github.io/Logging_2481/tillsyn/A 60422-2024 tillsynsbegäran.docx", "A 60422-2024")</f>
        <v/>
      </c>
      <c r="AD57">
        <f>HYPERLINK("https://klasma.github.io/Logging_2481/tillsynsmail/A 60422-2024 tillsynsbegäran mail.docx", "A 60422-2024")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46233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46233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46233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46233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46233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46233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46233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t="n">
        <v>1</v>
      </c>
      <c r="V64" s="2" t="inlineStr">
        <is>
          <t>Knärot
Källmossa
Lopplummer (aggregat)</t>
        </is>
      </c>
      <c r="W64">
        <f>HYPERLINK("https://klasma.github.io/Logging_2481/artfynd/A 56566-2025 artfynd.xlsx", "A 56566-2025")</f>
        <v/>
      </c>
      <c r="X64">
        <f>HYPERLINK("https://klasma.github.io/Logging_2481/kartor/A 56566-2025 karta.png", "A 56566-2025")</f>
        <v/>
      </c>
      <c r="Y64">
        <f>HYPERLINK("https://klasma.github.io/Logging_2481/kartor_geotiff/A 56566-2025 georefererad karta.tif", "A 56566-2025")</f>
        <v/>
      </c>
      <c r="Z64">
        <f>HYPERLINK("https://klasma.github.io/Logging_2481/knärot/A 56566-2025 karta knärot.png", "A 56566-2025")</f>
        <v/>
      </c>
      <c r="AA64">
        <f>HYPERLINK("https://klasma.github.io/Logging_2481/klagomål/A 56566-2025 FSC-klagomål.docx", "A 56566-2025")</f>
        <v/>
      </c>
      <c r="AB64">
        <f>HYPERLINK("https://klasma.github.io/Logging_2481/klagomålsmail/A 56566-2025 FSC-klagomål mail.docx", "A 56566-2025")</f>
        <v/>
      </c>
      <c r="AC64">
        <f>HYPERLINK("https://klasma.github.io/Logging_2481/tillsyn/A 56566-2025 tillsynsbegäran.docx", "A 56566-2025")</f>
        <v/>
      </c>
      <c r="AD64">
        <f>HYPERLINK("https://klasma.github.io/Logging_2481/tillsynsmail/A 56566-2025 tillsynsbegäran mail.docx", "A 56566-2025")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46233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52891-2024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46233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5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Lunglav
Bårdlav</t>
        </is>
      </c>
      <c r="W66">
        <f>HYPERLINK("https://klasma.github.io/Logging_2481/artfynd/A 52891-2024 artfynd.xlsx", "A 52891-2024")</f>
        <v/>
      </c>
      <c r="X66">
        <f>HYPERLINK("https://klasma.github.io/Logging_2481/kartor/A 52891-2024 karta.png", "A 52891-2024")</f>
        <v/>
      </c>
      <c r="Y66">
        <f>HYPERLINK("https://klasma.github.io/Logging_2481/kartor_geotiff/A 52891-2024 georefererad karta.tif", "A 52891-2024")</f>
        <v/>
      </c>
      <c r="AA66">
        <f>HYPERLINK("https://klasma.github.io/Logging_2481/klagomål/A 52891-2024 FSC-klagomål.docx", "A 52891-2024")</f>
        <v/>
      </c>
      <c r="AB66">
        <f>HYPERLINK("https://klasma.github.io/Logging_2481/klagomålsmail/A 52891-2024 FSC-klagomål mail.docx", "A 52891-2024")</f>
        <v/>
      </c>
      <c r="AC66">
        <f>HYPERLINK("https://klasma.github.io/Logging_2481/tillsyn/A 52891-2024 tillsynsbegäran.docx", "A 52891-2024")</f>
        <v/>
      </c>
      <c r="AD66">
        <f>HYPERLINK("https://klasma.github.io/Logging_2481/tillsynsmail/A 52891-2024 tillsynsbegäran mail.docx", "A 52891-2024")</f>
        <v/>
      </c>
    </row>
    <row r="67" ht="15" customHeight="1">
      <c r="A67" t="inlineStr">
        <is>
          <t>A 21905-2026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46233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Blå taggsvamp
Kolflarnlav
Lunglav</t>
        </is>
      </c>
      <c r="W67">
        <f>HYPERLINK("https://klasma.github.io/Logging_2481/artfynd/A 21905-2026 artfynd.xlsx", "A 21905-2026")</f>
        <v/>
      </c>
      <c r="X67">
        <f>HYPERLINK("https://klasma.github.io/Logging_2481/kartor/A 21905-2026 karta.png", "A 21905-2026")</f>
        <v/>
      </c>
      <c r="Y67">
        <f>HYPERLINK("https://klasma.github.io/Logging_2481/kartor_geotiff/A 21905-2026 georefererad karta.tif", "A 21905-2026")</f>
        <v/>
      </c>
      <c r="AA67">
        <f>HYPERLINK("https://klasma.github.io/Logging_2481/klagomål/A 21905-2026 FSC-klagomål.docx", "A 21905-2026")</f>
        <v/>
      </c>
      <c r="AB67">
        <f>HYPERLINK("https://klasma.github.io/Logging_2481/klagomålsmail/A 21905-2026 FSC-klagomål mail.docx", "A 21905-2026")</f>
        <v/>
      </c>
      <c r="AC67">
        <f>HYPERLINK("https://klasma.github.io/Logging_2481/tillsyn/A 21905-2026 tillsynsbegäran.docx", "A 21905-2026")</f>
        <v/>
      </c>
      <c r="AD67">
        <f>HYPERLINK("https://klasma.github.io/Logging_2481/tillsynsmail/A 21905-2026 tillsynsbegäran mail.docx", "A 21905-2026")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46233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46233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46233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46233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46233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46233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46233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20111-2025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46233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 taggsvamp
Orange taggsvamp</t>
        </is>
      </c>
      <c r="W75">
        <f>HYPERLINK("https://klasma.github.io/Logging_2481/artfynd/A 20111-2025 artfynd.xlsx", "A 20111-2025")</f>
        <v/>
      </c>
      <c r="X75">
        <f>HYPERLINK("https://klasma.github.io/Logging_2481/kartor/A 20111-2025 karta.png", "A 20111-2025")</f>
        <v/>
      </c>
      <c r="Y75">
        <f>HYPERLINK("https://klasma.github.io/Logging_2481/kartor_geotiff/A 20111-2025 georefererad karta.tif", "A 20111-2025")</f>
        <v/>
      </c>
      <c r="AA75">
        <f>HYPERLINK("https://klasma.github.io/Logging_2481/klagomål/A 20111-2025 FSC-klagomål.docx", "A 20111-2025")</f>
        <v/>
      </c>
      <c r="AB75">
        <f>HYPERLINK("https://klasma.github.io/Logging_2481/klagomålsmail/A 20111-2025 FSC-klagomål mail.docx", "A 20111-2025")</f>
        <v/>
      </c>
      <c r="AC75">
        <f>HYPERLINK("https://klasma.github.io/Logging_2481/tillsyn/A 20111-2025 tillsynsbegäran.docx", "A 20111-2025")</f>
        <v/>
      </c>
      <c r="AD75">
        <f>HYPERLINK("https://klasma.github.io/Logging_2481/tillsynsmail/A 20111-2025 tillsynsbegäran mail.docx", "A 20111-2025")</f>
        <v/>
      </c>
    </row>
    <row r="76" ht="15" customHeight="1">
      <c r="A76" t="inlineStr">
        <is>
          <t>A 28515-2023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46233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4</v>
      </c>
      <c r="U76" t="n">
        <v>4</v>
      </c>
      <c r="V76" s="2" t="inlineStr">
        <is>
          <t>Lunglav
Tallticka</t>
        </is>
      </c>
      <c r="W76">
        <f>HYPERLINK("https://klasma.github.io/Logging_2481/artfynd/A 28515-2023 artfynd.xlsx", "A 28515-2023")</f>
        <v/>
      </c>
      <c r="X76">
        <f>HYPERLINK("https://klasma.github.io/Logging_2481/kartor/A 28515-2023 karta.png", "A 28515-2023")</f>
        <v/>
      </c>
      <c r="Y76">
        <f>HYPERLINK("https://klasma.github.io/Logging_2481/kartor_geotiff/A 28515-2023 georefererad karta.tif", "A 28515-2023")</f>
        <v/>
      </c>
      <c r="AA76">
        <f>HYPERLINK("https://klasma.github.io/Logging_2481/klagomål/A 28515-2023 FSC-klagomål.docx", "A 28515-2023")</f>
        <v/>
      </c>
      <c r="AB76">
        <f>HYPERLINK("https://klasma.github.io/Logging_2481/klagomålsmail/A 28515-2023 FSC-klagomål mail.docx", "A 28515-2023")</f>
        <v/>
      </c>
      <c r="AC76">
        <f>HYPERLINK("https://klasma.github.io/Logging_2481/tillsyn/A 28515-2023 tillsynsbegäran.docx", "A 28515-2023")</f>
        <v/>
      </c>
      <c r="AD76">
        <f>HYPERLINK("https://klasma.github.io/Logging_2481/tillsynsmail/A 28515-2023 tillsynsbegäran mail.docx", "A 28515-2023")</f>
        <v/>
      </c>
    </row>
    <row r="77" ht="15" customHeight="1">
      <c r="A77" t="inlineStr">
        <is>
          <t>A 26271-2025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46233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Gammelgransskål
Lunglav</t>
        </is>
      </c>
      <c r="W77">
        <f>HYPERLINK("https://klasma.github.io/Logging_2481/artfynd/A 26271-2025 artfynd.xlsx", "A 26271-2025")</f>
        <v/>
      </c>
      <c r="X77">
        <f>HYPERLINK("https://klasma.github.io/Logging_2481/kartor/A 26271-2025 karta.png", "A 26271-2025")</f>
        <v/>
      </c>
      <c r="Y77">
        <f>HYPERLINK("https://klasma.github.io/Logging_2481/kartor_geotiff/A 26271-2025 georefererad karta.tif", "A 26271-2025")</f>
        <v/>
      </c>
      <c r="AA77">
        <f>HYPERLINK("https://klasma.github.io/Logging_2481/klagomål/A 26271-2025 FSC-klagomål.docx", "A 26271-2025")</f>
        <v/>
      </c>
      <c r="AB77">
        <f>HYPERLINK("https://klasma.github.io/Logging_2481/klagomålsmail/A 26271-2025 FSC-klagomål mail.docx", "A 26271-2025")</f>
        <v/>
      </c>
      <c r="AC77">
        <f>HYPERLINK("https://klasma.github.io/Logging_2481/tillsyn/A 26271-2025 tillsynsbegäran.docx", "A 26271-2025")</f>
        <v/>
      </c>
      <c r="AD77">
        <f>HYPERLINK("https://klasma.github.io/Logging_2481/tillsynsmail/A 26271-2025 tillsynsbegäran mail.docx", "A 26271-2025")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46233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30691-2025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45831</v>
      </c>
      <c r="E79" s="1" t="n">
        <v>46233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2</v>
      </c>
      <c r="V79" s="2" t="inlineStr">
        <is>
          <t>Mörk kolflarnlav
Tretåig hackspett</t>
        </is>
      </c>
      <c r="W79">
        <f>HYPERLINK("https://klasma.github.io/Logging_2481/artfynd/A 30691-2025 artfynd.xlsx", "A 30691-2025")</f>
        <v/>
      </c>
      <c r="X79">
        <f>HYPERLINK("https://klasma.github.io/Logging_2481/kartor/A 30691-2025 karta.png", "A 30691-2025")</f>
        <v/>
      </c>
      <c r="Y79">
        <f>HYPERLINK("https://klasma.github.io/Logging_2481/kartor_geotiff/A 30691-2025 georefererad karta.tif", "A 30691-2025")</f>
        <v/>
      </c>
      <c r="AA79">
        <f>HYPERLINK("https://klasma.github.io/Logging_2481/klagomål/A 30691-2025 FSC-klagomål.docx", "A 30691-2025")</f>
        <v/>
      </c>
      <c r="AB79">
        <f>HYPERLINK("https://klasma.github.io/Logging_2481/klagomålsmail/A 30691-2025 FSC-klagomål mail.docx", "A 30691-2025")</f>
        <v/>
      </c>
      <c r="AC79">
        <f>HYPERLINK("https://klasma.github.io/Logging_2481/tillsyn/A 30691-2025 tillsynsbegäran.docx", "A 30691-2025")</f>
        <v/>
      </c>
      <c r="AD79">
        <f>HYPERLINK("https://klasma.github.io/Logging_2481/tillsynsmail/A 30691-2025 tillsynsbegäran mail.docx", "A 30691-2025")</f>
        <v/>
      </c>
      <c r="AE79">
        <f>HYPERLINK("https://klasma.github.io/Logging_2481/fåglar/A 30691-2025 prioriterade fågelarter.docx", "A 30691-2025")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46233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Kolflarnlav
Mörk kolflarnlav</t>
        </is>
      </c>
      <c r="W80">
        <f>HYPERLINK("https://klasma.github.io/Logging_2481/artfynd/A 42159-2025 artfynd.xlsx", "A 42159-2025")</f>
        <v/>
      </c>
      <c r="X80">
        <f>HYPERLINK("https://klasma.github.io/Logging_2481/kartor/A 42159-2025 karta.png", "A 42159-2025")</f>
        <v/>
      </c>
      <c r="Y80">
        <f>HYPERLINK("https://klasma.github.io/Logging_2481/kartor_geotiff/A 42159-2025 georefererad karta.tif", "A 42159-2025")</f>
        <v/>
      </c>
      <c r="AA80">
        <f>HYPERLINK("https://klasma.github.io/Logging_2481/klagomål/A 42159-2025 FSC-klagomål.docx", "A 42159-2025")</f>
        <v/>
      </c>
      <c r="AB80">
        <f>HYPERLINK("https://klasma.github.io/Logging_2481/klagomålsmail/A 42159-2025 FSC-klagomål mail.docx", "A 42159-2025")</f>
        <v/>
      </c>
      <c r="AC80">
        <f>HYPERLINK("https://klasma.github.io/Logging_2481/tillsyn/A 42159-2025 tillsynsbegäran.docx", "A 42159-2025")</f>
        <v/>
      </c>
      <c r="AD80">
        <f>HYPERLINK("https://klasma.github.io/Logging_2481/tillsynsmail/A 42159-2025 tillsynsbegäran mail.docx", "A 42159-2025")</f>
        <v/>
      </c>
    </row>
    <row r="81" ht="15" customHeight="1">
      <c r="A81" t="inlineStr">
        <is>
          <t>A 2893-2023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44945</v>
      </c>
      <c r="E81" s="1" t="n">
        <v>46233</v>
      </c>
      <c r="F81" t="inlineStr">
        <is>
          <t>VÄSTERBOTTENS LÄN</t>
        </is>
      </c>
      <c r="G81" t="inlineStr">
        <is>
          <t>LYCKSELE</t>
        </is>
      </c>
      <c r="H81" t="inlineStr">
        <is>
          <t>Kyrkan</t>
        </is>
      </c>
      <c r="I81" t="n">
        <v>3.5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7</v>
      </c>
      <c r="U81" t="n">
        <v>7</v>
      </c>
      <c r="V81" s="2" t="inlineStr">
        <is>
          <t>Garnlav
Dropptaggsvamp</t>
        </is>
      </c>
      <c r="W81">
        <f>HYPERLINK("https://klasma.github.io/Logging_2481/artfynd/A 2893-2023 artfynd.xlsx", "A 2893-2023")</f>
        <v/>
      </c>
      <c r="X81">
        <f>HYPERLINK("https://klasma.github.io/Logging_2481/kartor/A 2893-2023 karta.png", "A 2893-2023")</f>
        <v/>
      </c>
      <c r="Y81">
        <f>HYPERLINK("https://klasma.github.io/Logging_2481/kartor_geotiff/A 2893-2023 georefererad karta.tif", "A 2893-2023")</f>
        <v/>
      </c>
      <c r="AA81">
        <f>HYPERLINK("https://klasma.github.io/Logging_2481/klagomål/A 2893-2023 FSC-klagomål.docx", "A 2893-2023")</f>
        <v/>
      </c>
      <c r="AB81">
        <f>HYPERLINK("https://klasma.github.io/Logging_2481/klagomålsmail/A 2893-2023 FSC-klagomål mail.docx", "A 2893-2023")</f>
        <v/>
      </c>
      <c r="AC81">
        <f>HYPERLINK("https://klasma.github.io/Logging_2481/tillsyn/A 2893-2023 tillsynsbegäran.docx", "A 2893-2023")</f>
        <v/>
      </c>
      <c r="AD81">
        <f>HYPERLINK("https://klasma.github.io/Logging_2481/tillsynsmail/A 2893-2023 tillsynsbegäran mail.docx", "A 2893-2023")</f>
        <v/>
      </c>
    </row>
    <row r="82" ht="15" customHeight="1">
      <c r="A82" t="inlineStr">
        <is>
          <t>A 44351-2025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46233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Tretåig hackspett</t>
        </is>
      </c>
      <c r="W82">
        <f>HYPERLINK("https://klasma.github.io/Logging_2481/artfynd/A 44351-2025 artfynd.xlsx", "A 44351-2025")</f>
        <v/>
      </c>
      <c r="X82">
        <f>HYPERLINK("https://klasma.github.io/Logging_2481/kartor/A 44351-2025 karta.png", "A 44351-2025")</f>
        <v/>
      </c>
      <c r="Y82">
        <f>HYPERLINK("https://klasma.github.io/Logging_2481/kartor_geotiff/A 44351-2025 georefererad karta.tif", "A 44351-2025")</f>
        <v/>
      </c>
      <c r="AA82">
        <f>HYPERLINK("https://klasma.github.io/Logging_2481/klagomål/A 44351-2025 FSC-klagomål.docx", "A 44351-2025")</f>
        <v/>
      </c>
      <c r="AB82">
        <f>HYPERLINK("https://klasma.github.io/Logging_2481/klagomålsmail/A 44351-2025 FSC-klagomål mail.docx", "A 44351-2025")</f>
        <v/>
      </c>
      <c r="AC82">
        <f>HYPERLINK("https://klasma.github.io/Logging_2481/tillsyn/A 44351-2025 tillsynsbegäran.docx", "A 44351-2025")</f>
        <v/>
      </c>
      <c r="AD82">
        <f>HYPERLINK("https://klasma.github.io/Logging_2481/tillsynsmail/A 44351-2025 tillsynsbegäran mail.docx", "A 44351-2025")</f>
        <v/>
      </c>
      <c r="AE82">
        <f>HYPERLINK("https://klasma.github.io/Logging_2481/fåglar/A 44351-2025 prioriterade fågelarter.docx", "A 44351-2025")</f>
        <v/>
      </c>
    </row>
    <row r="83" ht="15" customHeight="1">
      <c r="A83" t="inlineStr">
        <is>
          <t>A 38475-2023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46233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 taggsvamp
Mörk kolflarnlav</t>
        </is>
      </c>
      <c r="W83">
        <f>HYPERLINK("https://klasma.github.io/Logging_2481/artfynd/A 38475-2023 artfynd.xlsx", "A 38475-2023")</f>
        <v/>
      </c>
      <c r="X83">
        <f>HYPERLINK("https://klasma.github.io/Logging_2481/kartor/A 38475-2023 karta.png", "A 38475-2023")</f>
        <v/>
      </c>
      <c r="Y83">
        <f>HYPERLINK("https://klasma.github.io/Logging_2481/kartor_geotiff/A 38475-2023 georefererad karta.tif", "A 38475-2023")</f>
        <v/>
      </c>
      <c r="AA83">
        <f>HYPERLINK("https://klasma.github.io/Logging_2481/klagomål/A 38475-2023 FSC-klagomål.docx", "A 38475-2023")</f>
        <v/>
      </c>
      <c r="AB83">
        <f>HYPERLINK("https://klasma.github.io/Logging_2481/klagomålsmail/A 38475-2023 FSC-klagomål mail.docx", "A 38475-2023")</f>
        <v/>
      </c>
      <c r="AC83">
        <f>HYPERLINK("https://klasma.github.io/Logging_2481/tillsyn/A 38475-2023 tillsynsbegäran.docx", "A 38475-2023")</f>
        <v/>
      </c>
      <c r="AD83">
        <f>HYPERLINK("https://klasma.github.io/Logging_2481/tillsynsmail/A 38475-2023 tillsynsbegäran mail.docx", "A 38475-2023")</f>
        <v/>
      </c>
    </row>
    <row r="84" ht="15" customHeight="1">
      <c r="A84" t="inlineStr">
        <is>
          <t>A 45359-2025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46233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4.6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Stuplav</t>
        </is>
      </c>
      <c r="W84">
        <f>HYPERLINK("https://klasma.github.io/Logging_2481/artfynd/A 45359-2025 artfynd.xlsx", "A 45359-2025")</f>
        <v/>
      </c>
      <c r="X84">
        <f>HYPERLINK("https://klasma.github.io/Logging_2481/kartor/A 45359-2025 karta.png", "A 45359-2025")</f>
        <v/>
      </c>
      <c r="Y84">
        <f>HYPERLINK("https://klasma.github.io/Logging_2481/kartor_geotiff/A 45359-2025 georefererad karta.tif", "A 45359-2025")</f>
        <v/>
      </c>
      <c r="AA84">
        <f>HYPERLINK("https://klasma.github.io/Logging_2481/klagomål/A 45359-2025 FSC-klagomål.docx", "A 45359-2025")</f>
        <v/>
      </c>
      <c r="AB84">
        <f>HYPERLINK("https://klasma.github.io/Logging_2481/klagomålsmail/A 45359-2025 FSC-klagomål mail.docx", "A 45359-2025")</f>
        <v/>
      </c>
      <c r="AC84">
        <f>HYPERLINK("https://klasma.github.io/Logging_2481/tillsyn/A 45359-2025 tillsynsbegäran.docx", "A 45359-2025")</f>
        <v/>
      </c>
      <c r="AD84">
        <f>HYPERLINK("https://klasma.github.io/Logging_2481/tillsynsmail/A 45359-2025 tillsynsbegäran mail.docx", "A 45359-2025")</f>
        <v/>
      </c>
    </row>
    <row r="85" ht="15" customHeight="1">
      <c r="A85" t="inlineStr">
        <is>
          <t>A 47744-2025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45931</v>
      </c>
      <c r="E85" s="1" t="n">
        <v>46233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47744-2025 artfynd.xlsx", "A 47744-2025")</f>
        <v/>
      </c>
      <c r="X85">
        <f>HYPERLINK("https://klasma.github.io/Logging_2481/kartor/A 47744-2025 karta.png", "A 47744-2025")</f>
        <v/>
      </c>
      <c r="Y85">
        <f>HYPERLINK("https://klasma.github.io/Logging_2481/kartor_geotiff/A 47744-2025 georefererad karta.tif", "A 47744-2025")</f>
        <v/>
      </c>
      <c r="AA85">
        <f>HYPERLINK("https://klasma.github.io/Logging_2481/klagomål/A 47744-2025 FSC-klagomål.docx", "A 47744-2025")</f>
        <v/>
      </c>
      <c r="AB85">
        <f>HYPERLINK("https://klasma.github.io/Logging_2481/klagomålsmail/A 47744-2025 FSC-klagomål mail.docx", "A 47744-2025")</f>
        <v/>
      </c>
      <c r="AC85">
        <f>HYPERLINK("https://klasma.github.io/Logging_2481/tillsyn/A 47744-2025 tillsynsbegäran.docx", "A 47744-2025")</f>
        <v/>
      </c>
      <c r="AD85">
        <f>HYPERLINK("https://klasma.github.io/Logging_2481/tillsynsmail/A 47744-2025 tillsynsbegäran mail.docx", "A 47744-2025")</f>
        <v/>
      </c>
    </row>
    <row r="86" ht="15" customHeight="1">
      <c r="A86" t="inlineStr">
        <is>
          <t>A 37458-2025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46233</v>
      </c>
      <c r="F86" t="inlineStr">
        <is>
          <t>VÄSTERBOTTENS LÄN</t>
        </is>
      </c>
      <c r="G86" t="inlineStr">
        <is>
          <t>LYCKSELE</t>
        </is>
      </c>
      <c r="H86" t="inlineStr">
        <is>
          <t>Holmen skog AB</t>
        </is>
      </c>
      <c r="I86" t="n">
        <v>5.1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Garnlav
Lavskrika</t>
        </is>
      </c>
      <c r="W86">
        <f>HYPERLINK("https://klasma.github.io/Logging_2481/artfynd/A 37458-2025 artfynd.xlsx", "A 37458-2025")</f>
        <v/>
      </c>
      <c r="X86">
        <f>HYPERLINK("https://klasma.github.io/Logging_2481/kartor/A 37458-2025 karta.png", "A 37458-2025")</f>
        <v/>
      </c>
      <c r="Y86">
        <f>HYPERLINK("https://klasma.github.io/Logging_2481/kartor_geotiff/A 37458-2025 georefererad karta.tif", "A 37458-2025")</f>
        <v/>
      </c>
      <c r="AA86">
        <f>HYPERLINK("https://klasma.github.io/Logging_2481/klagomål/A 37458-2025 FSC-klagomål.docx", "A 37458-2025")</f>
        <v/>
      </c>
      <c r="AB86">
        <f>HYPERLINK("https://klasma.github.io/Logging_2481/klagomålsmail/A 37458-2025 FSC-klagomål mail.docx", "A 37458-2025")</f>
        <v/>
      </c>
      <c r="AC86">
        <f>HYPERLINK("https://klasma.github.io/Logging_2481/tillsyn/A 37458-2025 tillsynsbegäran.docx", "A 37458-2025")</f>
        <v/>
      </c>
      <c r="AD86">
        <f>HYPERLINK("https://klasma.github.io/Logging_2481/tillsynsmail/A 37458-2025 tillsynsbegäran mail.docx", "A 37458-2025")</f>
        <v/>
      </c>
      <c r="AE86">
        <f>HYPERLINK("https://klasma.github.io/Logging_2481/fåglar/A 37458-2025 prioriterade fågelarter.docx", "A 37458-2025")</f>
        <v/>
      </c>
    </row>
    <row r="87" ht="15" customHeight="1">
      <c r="A87" t="inlineStr">
        <is>
          <t>A 49364-2025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46233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7.9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49364-2025 artfynd.xlsx", "A 49364-2025")</f>
        <v/>
      </c>
      <c r="X87">
        <f>HYPERLINK("https://klasma.github.io/Logging_2481/kartor/A 49364-2025 karta.png", "A 49364-2025")</f>
        <v/>
      </c>
      <c r="Y87">
        <f>HYPERLINK("https://klasma.github.io/Logging_2481/kartor_geotiff/A 49364-2025 georefererad karta.tif", "A 49364-2025")</f>
        <v/>
      </c>
      <c r="AA87">
        <f>HYPERLINK("https://klasma.github.io/Logging_2481/klagomål/A 49364-2025 FSC-klagomål.docx", "A 49364-2025")</f>
        <v/>
      </c>
      <c r="AB87">
        <f>HYPERLINK("https://klasma.github.io/Logging_2481/klagomålsmail/A 49364-2025 FSC-klagomål mail.docx", "A 49364-2025")</f>
        <v/>
      </c>
      <c r="AC87">
        <f>HYPERLINK("https://klasma.github.io/Logging_2481/tillsyn/A 49364-2025 tillsynsbegäran.docx", "A 49364-2025")</f>
        <v/>
      </c>
      <c r="AD87">
        <f>HYPERLINK("https://klasma.github.io/Logging_2481/tillsynsmail/A 49364-2025 tillsynsbegäran mail.docx", "A 49364-2025")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46233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46233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49550-2025 artfynd.xlsx", "A 49550-2025")</f>
        <v/>
      </c>
      <c r="X89">
        <f>HYPERLINK("https://klasma.github.io/Logging_2481/kartor/A 49550-2025 karta.png", "A 49550-2025")</f>
        <v/>
      </c>
      <c r="Y89">
        <f>HYPERLINK("https://klasma.github.io/Logging_2481/kartor_geotiff/A 49550-2025 georefererad karta.tif", "A 49550-2025")</f>
        <v/>
      </c>
      <c r="AA89">
        <f>HYPERLINK("https://klasma.github.io/Logging_2481/klagomål/A 49550-2025 FSC-klagomål.docx", "A 49550-2025")</f>
        <v/>
      </c>
      <c r="AB89">
        <f>HYPERLINK("https://klasma.github.io/Logging_2481/klagomålsmail/A 49550-2025 FSC-klagomål mail.docx", "A 49550-2025")</f>
        <v/>
      </c>
      <c r="AC89">
        <f>HYPERLINK("https://klasma.github.io/Logging_2481/tillsyn/A 49550-2025 tillsynsbegäran.docx", "A 49550-2025")</f>
        <v/>
      </c>
      <c r="AD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46233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Kolflarnlav
Mörk kolflarnlav</t>
        </is>
      </c>
      <c r="W90">
        <f>HYPERLINK("https://klasma.github.io/Logging_2481/artfynd/A 49740-2025 artfynd.xlsx", "A 49740-2025")</f>
        <v/>
      </c>
      <c r="X90">
        <f>HYPERLINK("https://klasma.github.io/Logging_2481/kartor/A 49740-2025 karta.png", "A 49740-2025")</f>
        <v/>
      </c>
      <c r="Y90">
        <f>HYPERLINK("https://klasma.github.io/Logging_2481/kartor_geotiff/A 49740-2025 georefererad karta.tif", "A 49740-2025")</f>
        <v/>
      </c>
      <c r="AA90">
        <f>HYPERLINK("https://klasma.github.io/Logging_2481/klagomål/A 49740-2025 FSC-klagomål.docx", "A 49740-2025")</f>
        <v/>
      </c>
      <c r="AB90">
        <f>HYPERLINK("https://klasma.github.io/Logging_2481/klagomålsmail/A 49740-2025 FSC-klagomål mail.docx", "A 49740-2025")</f>
        <v/>
      </c>
      <c r="AC90">
        <f>HYPERLINK("https://klasma.github.io/Logging_2481/tillsyn/A 49740-2025 tillsynsbegäran.docx", "A 49740-2025")</f>
        <v/>
      </c>
      <c r="AD90">
        <f>HYPERLINK("https://klasma.github.io/Logging_2481/tillsynsmail/A 49740-2025 tillsynsbegäran mail.docx", "A 49740-2025")</f>
        <v/>
      </c>
    </row>
    <row r="91" ht="15" customHeight="1">
      <c r="A91" t="inlineStr">
        <is>
          <t>A 52234-2024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46233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2.7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Dropptaggsvamp
Lavskrika</t>
        </is>
      </c>
      <c r="W91">
        <f>HYPERLINK("https://klasma.github.io/Logging_2481/artfynd/A 52234-2024 artfynd.xlsx", "A 52234-2024")</f>
        <v/>
      </c>
      <c r="X91">
        <f>HYPERLINK("https://klasma.github.io/Logging_2481/kartor/A 52234-2024 karta.png", "A 52234-2024")</f>
        <v/>
      </c>
      <c r="Y91">
        <f>HYPERLINK("https://klasma.github.io/Logging_2481/kartor_geotiff/A 52234-2024 georefererad karta.tif", "A 52234-2024")</f>
        <v/>
      </c>
      <c r="AA91">
        <f>HYPERLINK("https://klasma.github.io/Logging_2481/klagomål/A 52234-2024 FSC-klagomål.docx", "A 52234-2024")</f>
        <v/>
      </c>
      <c r="AB91">
        <f>HYPERLINK("https://klasma.github.io/Logging_2481/klagomålsmail/A 52234-2024 FSC-klagomål mail.docx", "A 52234-2024")</f>
        <v/>
      </c>
      <c r="AC91">
        <f>HYPERLINK("https://klasma.github.io/Logging_2481/tillsyn/A 52234-2024 tillsynsbegäran.docx", "A 52234-2024")</f>
        <v/>
      </c>
      <c r="AD91">
        <f>HYPERLINK("https://klasma.github.io/Logging_2481/tillsynsmail/A 52234-2024 tillsynsbegäran mail.docx", "A 52234-2024")</f>
        <v/>
      </c>
      <c r="AE91">
        <f>HYPERLINK("https://klasma.github.io/Logging_2481/fåglar/A 52234-2024 prioriterade fågelarter.docx", "A 52234-2024")</f>
        <v/>
      </c>
    </row>
    <row r="92" ht="15" customHeight="1">
      <c r="A92" t="inlineStr">
        <is>
          <t>A 53650-2025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46233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19.1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Luddlav</t>
        </is>
      </c>
      <c r="W92">
        <f>HYPERLINK("https://klasma.github.io/Logging_2481/artfynd/A 53650-2025 artfynd.xlsx", "A 53650-2025")</f>
        <v/>
      </c>
      <c r="X92">
        <f>HYPERLINK("https://klasma.github.io/Logging_2481/kartor/A 53650-2025 karta.png", "A 53650-2025")</f>
        <v/>
      </c>
      <c r="Y92">
        <f>HYPERLINK("https://klasma.github.io/Logging_2481/kartor_geotiff/A 53650-2025 georefererad karta.tif", "A 53650-2025")</f>
        <v/>
      </c>
      <c r="AA92">
        <f>HYPERLINK("https://klasma.github.io/Logging_2481/klagomål/A 53650-2025 FSC-klagomål.docx", "A 53650-2025")</f>
        <v/>
      </c>
      <c r="AB92">
        <f>HYPERLINK("https://klasma.github.io/Logging_2481/klagomålsmail/A 53650-2025 FSC-klagomål mail.docx", "A 53650-2025")</f>
        <v/>
      </c>
      <c r="AC92">
        <f>HYPERLINK("https://klasma.github.io/Logging_2481/tillsyn/A 53650-2025 tillsynsbegäran.docx", "A 53650-2025")</f>
        <v/>
      </c>
      <c r="AD92">
        <f>HYPERLINK("https://klasma.github.io/Logging_2481/tillsynsmail/A 53650-2025 tillsynsbegäran mail.docx", "A 53650-2025")</f>
        <v/>
      </c>
      <c r="AE92">
        <f>HYPERLINK("https://klasma.github.io/Logging_2481/fåglar/A 53650-2025 prioriterade fågelarter.docx", "A 53650-2025")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46233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12619-2026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46091</v>
      </c>
      <c r="E94" s="1" t="n">
        <v>46233</v>
      </c>
      <c r="F94" t="inlineStr">
        <is>
          <t>VÄSTERBOTTENS LÄN</t>
        </is>
      </c>
      <c r="G94" t="inlineStr">
        <is>
          <t>LYCKSELE</t>
        </is>
      </c>
      <c r="H94" t="inlineStr">
        <is>
          <t>SCA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Kungsörn
Orre</t>
        </is>
      </c>
      <c r="W94">
        <f>HYPERLINK("https://klasma.github.io/Logging_2481/artfynd/A 12619-2026 artfynd.xlsx", "A 12619-2026")</f>
        <v/>
      </c>
      <c r="X94">
        <f>HYPERLINK("https://klasma.github.io/Logging_2481/kartor/A 12619-2026 karta.png", "A 12619-2026")</f>
        <v/>
      </c>
      <c r="Y94">
        <f>HYPERLINK("https://klasma.github.io/Logging_2481/kartor_geotiff/A 12619-2026 georefererad karta.tif", "A 12619-2026")</f>
        <v/>
      </c>
      <c r="AA94">
        <f>HYPERLINK("https://klasma.github.io/Logging_2481/klagomål/A 12619-2026 FSC-klagomål.docx", "A 12619-2026")</f>
        <v/>
      </c>
      <c r="AB94">
        <f>HYPERLINK("https://klasma.github.io/Logging_2481/klagomålsmail/A 12619-2026 FSC-klagomål mail.docx", "A 12619-2026")</f>
        <v/>
      </c>
      <c r="AC94">
        <f>HYPERLINK("https://klasma.github.io/Logging_2481/tillsyn/A 12619-2026 tillsynsbegäran.docx", "A 12619-2026")</f>
        <v/>
      </c>
      <c r="AD94">
        <f>HYPERLINK("https://klasma.github.io/Logging_2481/tillsynsmail/A 12619-2026 tillsynsbegäran mail.docx", "A 12619-2026")</f>
        <v/>
      </c>
      <c r="AE94">
        <f>HYPERLINK("https://klasma.github.io/Logging_2481/fåglar/A 12619-2026 prioriterade fågelarter.docx", "A 12619-2026")</f>
        <v/>
      </c>
    </row>
    <row r="95" ht="15" customHeight="1">
      <c r="A95" t="inlineStr">
        <is>
          <t>A 45935-2024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46233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Orange taggsvamp</t>
        </is>
      </c>
      <c r="W95">
        <f>HYPERLINK("https://klasma.github.io/Logging_2481/artfynd/A 45935-2024 artfynd.xlsx", "A 45935-2024")</f>
        <v/>
      </c>
      <c r="X95">
        <f>HYPERLINK("https://klasma.github.io/Logging_2481/kartor/A 45935-2024 karta.png", "A 45935-2024")</f>
        <v/>
      </c>
      <c r="Y95">
        <f>HYPERLINK("https://klasma.github.io/Logging_2481/kartor_geotiff/A 45935-2024 georefererad karta.tif", "A 45935-2024")</f>
        <v/>
      </c>
      <c r="AA95">
        <f>HYPERLINK("https://klasma.github.io/Logging_2481/klagomål/A 45935-2024 FSC-klagomål.docx", "A 45935-2024")</f>
        <v/>
      </c>
      <c r="AB95">
        <f>HYPERLINK("https://klasma.github.io/Logging_2481/klagomålsmail/A 45935-2024 FSC-klagomål mail.docx", "A 45935-2024")</f>
        <v/>
      </c>
      <c r="AC95">
        <f>HYPERLINK("https://klasma.github.io/Logging_2481/tillsyn/A 45935-2024 tillsynsbegäran.docx", "A 45935-2024")</f>
        <v/>
      </c>
      <c r="AD95">
        <f>HYPERLINK("https://klasma.github.io/Logging_2481/tillsynsmail/A 45935-2024 tillsynsbegäran mail.docx", "A 45935-2024")</f>
        <v/>
      </c>
    </row>
    <row r="96" ht="15" customHeight="1">
      <c r="A96" t="inlineStr">
        <is>
          <t>A 16914-2024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46233</v>
      </c>
      <c r="F96" t="inlineStr">
        <is>
          <t>VÄSTERBOTTENS LÄN</t>
        </is>
      </c>
      <c r="G96" t="inlineStr">
        <is>
          <t>LYCKSELE</t>
        </is>
      </c>
      <c r="I96" t="n">
        <v>24.6</v>
      </c>
      <c r="J96" t="n">
        <v>2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Lavskrika
Tretåig hackspett</t>
        </is>
      </c>
      <c r="W96">
        <f>HYPERLINK("https://klasma.github.io/Logging_2481/artfynd/A 16914-2024 artfynd.xlsx", "A 16914-2024")</f>
        <v/>
      </c>
      <c r="X96">
        <f>HYPERLINK("https://klasma.github.io/Logging_2481/kartor/A 16914-2024 karta.png", "A 16914-2024")</f>
        <v/>
      </c>
      <c r="Y96">
        <f>HYPERLINK("https://klasma.github.io/Logging_2481/kartor_geotiff/A 16914-2024 georefererad karta.tif", "A 16914-2024")</f>
        <v/>
      </c>
      <c r="AA96">
        <f>HYPERLINK("https://klasma.github.io/Logging_2481/klagomål/A 16914-2024 FSC-klagomål.docx", "A 16914-2024")</f>
        <v/>
      </c>
      <c r="AB96">
        <f>HYPERLINK("https://klasma.github.io/Logging_2481/klagomålsmail/A 16914-2024 FSC-klagomål mail.docx", "A 16914-2024")</f>
        <v/>
      </c>
      <c r="AC96">
        <f>HYPERLINK("https://klasma.github.io/Logging_2481/tillsyn/A 16914-2024 tillsynsbegäran.docx", "A 16914-2024")</f>
        <v/>
      </c>
      <c r="AD96">
        <f>HYPERLINK("https://klasma.github.io/Logging_2481/tillsynsmail/A 16914-2024 tillsynsbegäran mail.docx", "A 16914-2024")</f>
        <v/>
      </c>
      <c r="AE96">
        <f>HYPERLINK("https://klasma.github.io/Logging_2481/fåglar/A 16914-2024 prioriterade fågelarter.docx", "A 16914-2024")</f>
        <v/>
      </c>
    </row>
    <row r="97" ht="15" customHeight="1">
      <c r="A97" t="inlineStr">
        <is>
          <t>A 55566-2024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46233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1.8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Harticka
Ullticka</t>
        </is>
      </c>
      <c r="W97">
        <f>HYPERLINK("https://klasma.github.io/Logging_2481/artfynd/A 55566-2024 artfynd.xlsx", "A 55566-2024")</f>
        <v/>
      </c>
      <c r="X97">
        <f>HYPERLINK("https://klasma.github.io/Logging_2481/kartor/A 55566-2024 karta.png", "A 55566-2024")</f>
        <v/>
      </c>
      <c r="Y97">
        <f>HYPERLINK("https://klasma.github.io/Logging_2481/kartor_geotiff/A 55566-2024 georefererad karta.tif", "A 55566-2024")</f>
        <v/>
      </c>
      <c r="AA97">
        <f>HYPERLINK("https://klasma.github.io/Logging_2481/klagomål/A 55566-2024 FSC-klagomål.docx", "A 55566-2024")</f>
        <v/>
      </c>
      <c r="AB97">
        <f>HYPERLINK("https://klasma.github.io/Logging_2481/klagomålsmail/A 55566-2024 FSC-klagomål mail.docx", "A 55566-2024")</f>
        <v/>
      </c>
      <c r="AC97">
        <f>HYPERLINK("https://klasma.github.io/Logging_2481/tillsyn/A 55566-2024 tillsynsbegäran.docx", "A 55566-2024")</f>
        <v/>
      </c>
      <c r="AD97">
        <f>HYPERLINK("https://klasma.github.io/Logging_2481/tillsynsmail/A 55566-2024 tillsynsbegäran mail.docx", "A 55566-2024")</f>
        <v/>
      </c>
    </row>
    <row r="98" ht="15" customHeight="1">
      <c r="A98" t="inlineStr">
        <is>
          <t>A 22688-2026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46156</v>
      </c>
      <c r="E98" s="1" t="n">
        <v>46233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18.3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Kolflarnlav</t>
        </is>
      </c>
      <c r="W98">
        <f>HYPERLINK("https://klasma.github.io/Logging_2481/artfynd/A 22688-2026 artfynd.xlsx", "A 22688-2026")</f>
        <v/>
      </c>
      <c r="X98">
        <f>HYPERLINK("https://klasma.github.io/Logging_2481/kartor/A 22688-2026 karta.png", "A 22688-2026")</f>
        <v/>
      </c>
      <c r="Y98">
        <f>HYPERLINK("https://klasma.github.io/Logging_2481/kartor_geotiff/A 22688-2026 georefererad karta.tif", "A 22688-2026")</f>
        <v/>
      </c>
      <c r="AA98">
        <f>HYPERLINK("https://klasma.github.io/Logging_2481/klagomål/A 22688-2026 FSC-klagomål.docx", "A 22688-2026")</f>
        <v/>
      </c>
      <c r="AB98">
        <f>HYPERLINK("https://klasma.github.io/Logging_2481/klagomålsmail/A 22688-2026 FSC-klagomål mail.docx", "A 22688-2026")</f>
        <v/>
      </c>
      <c r="AC98">
        <f>HYPERLINK("https://klasma.github.io/Logging_2481/tillsyn/A 22688-2026 tillsynsbegäran.docx", "A 22688-2026")</f>
        <v/>
      </c>
      <c r="AD98">
        <f>HYPERLINK("https://klasma.github.io/Logging_2481/tillsynsmail/A 22688-2026 tillsynsbegäran mail.docx", "A 22688-2026")</f>
        <v/>
      </c>
    </row>
    <row r="99" ht="15" customHeight="1">
      <c r="A99" t="inlineStr">
        <is>
          <t>A 23096-2026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46233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12.7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23096-2026 artfynd.xlsx", "A 23096-2026")</f>
        <v/>
      </c>
      <c r="X99">
        <f>HYPERLINK("https://klasma.github.io/Logging_2481/kartor/A 23096-2026 karta.png", "A 23096-2026")</f>
        <v/>
      </c>
      <c r="Y99">
        <f>HYPERLINK("https://klasma.github.io/Logging_2481/kartor_geotiff/A 23096-2026 georefererad karta.tif", "A 23096-2026")</f>
        <v/>
      </c>
      <c r="AA99">
        <f>HYPERLINK("https://klasma.github.io/Logging_2481/klagomål/A 23096-2026 FSC-klagomål.docx", "A 23096-2026")</f>
        <v/>
      </c>
      <c r="AB99">
        <f>HYPERLINK("https://klasma.github.io/Logging_2481/klagomålsmail/A 23096-2026 FSC-klagomål mail.docx", "A 23096-2026")</f>
        <v/>
      </c>
      <c r="AC99">
        <f>HYPERLINK("https://klasma.github.io/Logging_2481/tillsyn/A 23096-2026 tillsynsbegäran.docx", "A 23096-2026")</f>
        <v/>
      </c>
      <c r="AD99">
        <f>HYPERLINK("https://klasma.github.io/Logging_2481/tillsynsmail/A 23096-2026 tillsynsbegäran mail.docx", "A 23096-2026")</f>
        <v/>
      </c>
    </row>
    <row r="100" ht="15" customHeight="1">
      <c r="A100" t="inlineStr">
        <is>
          <t>A 23098-2026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46233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23098-2026 artfynd.xlsx", "A 23098-2026")</f>
        <v/>
      </c>
      <c r="X100">
        <f>HYPERLINK("https://klasma.github.io/Logging_2481/kartor/A 23098-2026 karta.png", "A 23098-2026")</f>
        <v/>
      </c>
      <c r="Y100">
        <f>HYPERLINK("https://klasma.github.io/Logging_2481/kartor_geotiff/A 23098-2026 georefererad karta.tif", "A 23098-2026")</f>
        <v/>
      </c>
      <c r="AA100">
        <f>HYPERLINK("https://klasma.github.io/Logging_2481/klagomål/A 23098-2026 FSC-klagomål.docx", "A 23098-2026")</f>
        <v/>
      </c>
      <c r="AB100">
        <f>HYPERLINK("https://klasma.github.io/Logging_2481/klagomålsmail/A 23098-2026 FSC-klagomål mail.docx", "A 23098-2026")</f>
        <v/>
      </c>
      <c r="AC100">
        <f>HYPERLINK("https://klasma.github.io/Logging_2481/tillsyn/A 23098-2026 tillsynsbegäran.docx", "A 23098-2026")</f>
        <v/>
      </c>
      <c r="AD100">
        <f>HYPERLINK("https://klasma.github.io/Logging_2481/tillsynsmail/A 23098-2026 tillsynsbegäran mail.docx", "A 23098-2026")</f>
        <v/>
      </c>
    </row>
    <row r="101" ht="15" customHeight="1">
      <c r="A101" t="inlineStr">
        <is>
          <t>A 58657-2023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45251</v>
      </c>
      <c r="E101" s="1" t="n">
        <v>46233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14.4</v>
      </c>
      <c r="J101" t="n">
        <v>1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Talltita
Bollvitmossa</t>
        </is>
      </c>
      <c r="W101">
        <f>HYPERLINK("https://klasma.github.io/Logging_2481/artfynd/A 58657-2023 artfynd.xlsx", "A 58657-2023")</f>
        <v/>
      </c>
      <c r="X101">
        <f>HYPERLINK("https://klasma.github.io/Logging_2481/kartor/A 58657-2023 karta.png", "A 58657-2023")</f>
        <v/>
      </c>
      <c r="Y101">
        <f>HYPERLINK("https://klasma.github.io/Logging_2481/kartor_geotiff/A 58657-2023 georefererad karta.tif", "A 58657-2023")</f>
        <v/>
      </c>
      <c r="AA101">
        <f>HYPERLINK("https://klasma.github.io/Logging_2481/klagomål/A 58657-2023 FSC-klagomål.docx", "A 58657-2023")</f>
        <v/>
      </c>
      <c r="AB101">
        <f>HYPERLINK("https://klasma.github.io/Logging_2481/klagomålsmail/A 58657-2023 FSC-klagomål mail.docx", "A 58657-2023")</f>
        <v/>
      </c>
      <c r="AC101">
        <f>HYPERLINK("https://klasma.github.io/Logging_2481/tillsyn/A 58657-2023 tillsynsbegäran.docx", "A 58657-2023")</f>
        <v/>
      </c>
      <c r="AD101">
        <f>HYPERLINK("https://klasma.github.io/Logging_2481/tillsynsmail/A 58657-2023 tillsynsbegäran mail.docx", "A 58657-2023")</f>
        <v/>
      </c>
      <c r="AE101">
        <f>HYPERLINK("https://klasma.github.io/Logging_2481/fåglar/A 58657-2023 prioriterade fågelarter.docx", "A 58657-2023")</f>
        <v/>
      </c>
    </row>
    <row r="102" ht="15" customHeight="1">
      <c r="A102" t="inlineStr">
        <is>
          <t>A 41776-2024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46233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Kolflarnlav
Koralltaggsvamp</t>
        </is>
      </c>
      <c r="W102">
        <f>HYPERLINK("https://klasma.github.io/Logging_2481/artfynd/A 41776-2024 artfynd.xlsx", "A 41776-2024")</f>
        <v/>
      </c>
      <c r="X102">
        <f>HYPERLINK("https://klasma.github.io/Logging_2481/kartor/A 41776-2024 karta.png", "A 41776-2024")</f>
        <v/>
      </c>
      <c r="Y102">
        <f>HYPERLINK("https://klasma.github.io/Logging_2481/kartor_geotiff/A 41776-2024 georefererad karta.tif", "A 41776-2024")</f>
        <v/>
      </c>
      <c r="AA102">
        <f>HYPERLINK("https://klasma.github.io/Logging_2481/klagomål/A 41776-2024 FSC-klagomål.docx", "A 41776-2024")</f>
        <v/>
      </c>
      <c r="AB102">
        <f>HYPERLINK("https://klasma.github.io/Logging_2481/klagomålsmail/A 41776-2024 FSC-klagomål mail.docx", "A 41776-2024")</f>
        <v/>
      </c>
      <c r="AC102">
        <f>HYPERLINK("https://klasma.github.io/Logging_2481/tillsyn/A 41776-2024 tillsynsbegäran.docx", "A 41776-2024")</f>
        <v/>
      </c>
      <c r="AD102">
        <f>HYPERLINK("https://klasma.github.io/Logging_2481/tillsynsmail/A 41776-2024 tillsynsbegäran mail.docx", "A 41776-2024")</f>
        <v/>
      </c>
    </row>
    <row r="103" ht="15" customHeight="1">
      <c r="A103" t="inlineStr">
        <is>
          <t>A 15197-2023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45016</v>
      </c>
      <c r="E103" s="1" t="n">
        <v>46233</v>
      </c>
      <c r="F103" t="inlineStr">
        <is>
          <t>VÄSTERBOTTENS LÄN</t>
        </is>
      </c>
      <c r="G103" t="inlineStr">
        <is>
          <t>LYCKSELE</t>
        </is>
      </c>
      <c r="I103" t="n">
        <v>11.2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Dropptaggsvamp
Vaddporing</t>
        </is>
      </c>
      <c r="W103">
        <f>HYPERLINK("https://klasma.github.io/Logging_2481/artfynd/A 15197-2023 artfynd.xlsx", "A 15197-2023")</f>
        <v/>
      </c>
      <c r="X103">
        <f>HYPERLINK("https://klasma.github.io/Logging_2481/kartor/A 15197-2023 karta.png", "A 15197-2023")</f>
        <v/>
      </c>
      <c r="Y103">
        <f>HYPERLINK("https://klasma.github.io/Logging_2481/kartor_geotiff/A 15197-2023 georefererad karta.tif", "A 15197-2023")</f>
        <v/>
      </c>
      <c r="AA103">
        <f>HYPERLINK("https://klasma.github.io/Logging_2481/klagomål/A 15197-2023 FSC-klagomål.docx", "A 15197-2023")</f>
        <v/>
      </c>
      <c r="AB103">
        <f>HYPERLINK("https://klasma.github.io/Logging_2481/klagomålsmail/A 15197-2023 FSC-klagomål mail.docx", "A 15197-2023")</f>
        <v/>
      </c>
      <c r="AC103">
        <f>HYPERLINK("https://klasma.github.io/Logging_2481/tillsyn/A 15197-2023 tillsynsbegäran.docx", "A 15197-2023")</f>
        <v/>
      </c>
      <c r="AD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46233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46233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46233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46233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742-2025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46233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Holmen skog AB</t>
        </is>
      </c>
      <c r="I108" t="n">
        <v>5.6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Fläcknycklar</t>
        </is>
      </c>
      <c r="W108">
        <f>HYPERLINK("https://klasma.github.io/Logging_2481/artfynd/A 742-2025 artfynd.xlsx", "A 742-2025")</f>
        <v/>
      </c>
      <c r="X108">
        <f>HYPERLINK("https://klasma.github.io/Logging_2481/kartor/A 742-2025 karta.png", "A 742-2025")</f>
        <v/>
      </c>
      <c r="Y108">
        <f>HYPERLINK("https://klasma.github.io/Logging_2481/kartor_geotiff/A 742-2025 georefererad karta.tif", "A 742-2025")</f>
        <v/>
      </c>
      <c r="AA108">
        <f>HYPERLINK("https://klasma.github.io/Logging_2481/klagomål/A 742-2025 FSC-klagomål.docx", "A 742-2025")</f>
        <v/>
      </c>
      <c r="AB108">
        <f>HYPERLINK("https://klasma.github.io/Logging_2481/klagomålsmail/A 742-2025 FSC-klagomål mail.docx", "A 742-2025")</f>
        <v/>
      </c>
      <c r="AC108">
        <f>HYPERLINK("https://klasma.github.io/Logging_2481/tillsyn/A 742-2025 tillsynsbegäran.docx", "A 742-2025")</f>
        <v/>
      </c>
      <c r="AD108">
        <f>HYPERLINK("https://klasma.github.io/Logging_2481/tillsynsmail/A 742-2025 tillsynsbegäran mail.docx", "A 742-2025")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46233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46233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46233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46233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46233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27553-2024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46233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27553-2024 artfynd.xlsx", "A 27553-2024")</f>
        <v/>
      </c>
      <c r="X117">
        <f>HYPERLINK("https://klasma.github.io/Logging_2481/kartor/A 27553-2024 karta.png", "A 27553-2024")</f>
        <v/>
      </c>
      <c r="Y117">
        <f>HYPERLINK("https://klasma.github.io/Logging_2481/kartor_geotiff/A 27553-2024 georefererad karta.tif", "A 27553-2024")</f>
        <v/>
      </c>
      <c r="AA117">
        <f>HYPERLINK("https://klasma.github.io/Logging_2481/klagomål/A 27553-2024 FSC-klagomål.docx", "A 27553-2024")</f>
        <v/>
      </c>
      <c r="AB117">
        <f>HYPERLINK("https://klasma.github.io/Logging_2481/klagomålsmail/A 27553-2024 FSC-klagomål mail.docx", "A 27553-2024")</f>
        <v/>
      </c>
      <c r="AC117">
        <f>HYPERLINK("https://klasma.github.io/Logging_2481/tillsyn/A 27553-2024 tillsynsbegäran.docx", "A 27553-2024")</f>
        <v/>
      </c>
      <c r="AD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2499-2026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46233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19.3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HYPERLINK("https://klasma.github.io/Logging_2481/artfynd/A 2499-2026 artfynd.xlsx", "A 2499-2026")</f>
        <v/>
      </c>
      <c r="X118">
        <f>HYPERLINK("https://klasma.github.io/Logging_2481/kartor/A 2499-2026 karta.png", "A 2499-2026")</f>
        <v/>
      </c>
      <c r="Y118">
        <f>HYPERLINK("https://klasma.github.io/Logging_2481/kartor_geotiff/A 2499-2026 georefererad karta.tif", "A 2499-2026")</f>
        <v/>
      </c>
      <c r="AA118">
        <f>HYPERLINK("https://klasma.github.io/Logging_2481/klagomål/A 2499-2026 FSC-klagomål.docx", "A 2499-2026")</f>
        <v/>
      </c>
      <c r="AB118">
        <f>HYPERLINK("https://klasma.github.io/Logging_2481/klagomålsmail/A 2499-2026 FSC-klagomål mail.docx", "A 2499-2026")</f>
        <v/>
      </c>
      <c r="AC118">
        <f>HYPERLINK("https://klasma.github.io/Logging_2481/tillsyn/A 2499-2026 tillsynsbegäran.docx", "A 2499-2026")</f>
        <v/>
      </c>
      <c r="AD118">
        <f>HYPERLINK("https://klasma.github.io/Logging_2481/tillsynsmail/A 2499-2026 tillsynsbegäran mail.docx", "A 2499-2026")</f>
        <v/>
      </c>
    </row>
    <row r="119" ht="15" customHeight="1">
      <c r="A119" t="inlineStr">
        <is>
          <t>A 7768-2023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44973</v>
      </c>
      <c r="E119" s="1" t="n">
        <v>46233</v>
      </c>
      <c r="F119" t="inlineStr">
        <is>
          <t>VÄSTERBOTTENS LÄN</t>
        </is>
      </c>
      <c r="G119" t="inlineStr">
        <is>
          <t>LYCKSELE</t>
        </is>
      </c>
      <c r="I119" t="n">
        <v>2.3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HYPERLINK("https://klasma.github.io/Logging_2481/artfynd/A 7768-2023 artfynd.xlsx", "A 7768-2023")</f>
        <v/>
      </c>
      <c r="X119">
        <f>HYPERLINK("https://klasma.github.io/Logging_2481/kartor/A 7768-2023 karta.png", "A 7768-2023")</f>
        <v/>
      </c>
      <c r="Y119">
        <f>HYPERLINK("https://klasma.github.io/Logging_2481/kartor_geotiff/A 7768-2023 georefererad karta.tif", "A 7768-2023")</f>
        <v/>
      </c>
      <c r="Z119">
        <f>HYPERLINK("https://klasma.github.io/Logging_2481/knärot/A 7768-2023 karta knärot.png", "A 7768-2023")</f>
        <v/>
      </c>
      <c r="AA119">
        <f>HYPERLINK("https://klasma.github.io/Logging_2481/klagomål/A 7768-2023 FSC-klagomål.docx", "A 7768-2023")</f>
        <v/>
      </c>
      <c r="AB119">
        <f>HYPERLINK("https://klasma.github.io/Logging_2481/klagomålsmail/A 7768-2023 FSC-klagomål mail.docx", "A 7768-2023")</f>
        <v/>
      </c>
      <c r="AC119">
        <f>HYPERLINK("https://klasma.github.io/Logging_2481/tillsyn/A 7768-2023 tillsynsbegäran.docx", "A 7768-2023")</f>
        <v/>
      </c>
      <c r="AD119">
        <f>HYPERLINK("https://klasma.github.io/Logging_2481/tillsynsmail/A 7768-2023 tillsynsbegäran mail.docx", "A 7768-2023")</f>
        <v/>
      </c>
    </row>
    <row r="120" ht="15" customHeight="1">
      <c r="A120" t="inlineStr">
        <is>
          <t>A 37823-2025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46233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Plattlummer</t>
        </is>
      </c>
      <c r="W120">
        <f>HYPERLINK("https://klasma.github.io/Logging_2481/artfynd/A 37823-2025 artfynd.xlsx", "A 37823-2025")</f>
        <v/>
      </c>
      <c r="X120">
        <f>HYPERLINK("https://klasma.github.io/Logging_2481/kartor/A 37823-2025 karta.png", "A 37823-2025")</f>
        <v/>
      </c>
      <c r="Y120">
        <f>HYPERLINK("https://klasma.github.io/Logging_2481/kartor_geotiff/A 37823-2025 georefererad karta.tif", "A 37823-2025")</f>
        <v/>
      </c>
      <c r="AA120">
        <f>HYPERLINK("https://klasma.github.io/Logging_2481/klagomål/A 37823-2025 FSC-klagomål.docx", "A 37823-2025")</f>
        <v/>
      </c>
      <c r="AB120">
        <f>HYPERLINK("https://klasma.github.io/Logging_2481/klagomålsmail/A 37823-2025 FSC-klagomål mail.docx", "A 37823-2025")</f>
        <v/>
      </c>
      <c r="AC120">
        <f>HYPERLINK("https://klasma.github.io/Logging_2481/tillsyn/A 37823-2025 tillsynsbegäran.docx", "A 37823-2025")</f>
        <v/>
      </c>
      <c r="AD120">
        <f>HYPERLINK("https://klasma.github.io/Logging_2481/tillsynsmail/A 37823-2025 tillsynsbegäran mail.docx", "A 37823-2025")</f>
        <v/>
      </c>
    </row>
    <row r="121" ht="15" customHeight="1">
      <c r="A121" t="inlineStr">
        <is>
          <t>A 39231-2025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46233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Mörk kolflarnlav</t>
        </is>
      </c>
      <c r="W121">
        <f>HYPERLINK("https://klasma.github.io/Logging_2481/artfynd/A 39231-2025 artfynd.xlsx", "A 39231-2025")</f>
        <v/>
      </c>
      <c r="X121">
        <f>HYPERLINK("https://klasma.github.io/Logging_2481/kartor/A 39231-2025 karta.png", "A 39231-2025")</f>
        <v/>
      </c>
      <c r="Y121">
        <f>HYPERLINK("https://klasma.github.io/Logging_2481/kartor_geotiff/A 39231-2025 georefererad karta.tif", "A 39231-2025")</f>
        <v/>
      </c>
      <c r="AA121">
        <f>HYPERLINK("https://klasma.github.io/Logging_2481/klagomål/A 39231-2025 FSC-klagomål.docx", "A 39231-2025")</f>
        <v/>
      </c>
      <c r="AB121">
        <f>HYPERLINK("https://klasma.github.io/Logging_2481/klagomålsmail/A 39231-2025 FSC-klagomål mail.docx", "A 39231-2025")</f>
        <v/>
      </c>
      <c r="AC121">
        <f>HYPERLINK("https://klasma.github.io/Logging_2481/tillsyn/A 39231-2025 tillsynsbegäran.docx", "A 39231-2025")</f>
        <v/>
      </c>
      <c r="AD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46233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9.199999999999999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HYPERLINK("https://klasma.github.io/Logging_2481/artfynd/A 39280-2025 artfynd.xlsx", "A 39280-2025")</f>
        <v/>
      </c>
      <c r="X122">
        <f>HYPERLINK("https://klasma.github.io/Logging_2481/kartor/A 39280-2025 karta.png", "A 39280-2025")</f>
        <v/>
      </c>
      <c r="Y122">
        <f>HYPERLINK("https://klasma.github.io/Logging_2481/kartor_geotiff/A 39280-2025 georefererad karta.tif", "A 39280-2025")</f>
        <v/>
      </c>
      <c r="AA122">
        <f>HYPERLINK("https://klasma.github.io/Logging_2481/klagomål/A 39280-2025 FSC-klagomål.docx", "A 39280-2025")</f>
        <v/>
      </c>
      <c r="AB122">
        <f>HYPERLINK("https://klasma.github.io/Logging_2481/klagomålsmail/A 39280-2025 FSC-klagomål mail.docx", "A 39280-2025")</f>
        <v/>
      </c>
      <c r="AC122">
        <f>HYPERLINK("https://klasma.github.io/Logging_2481/tillsyn/A 39280-2025 tillsynsbegäran.docx", "A 39280-2025")</f>
        <v/>
      </c>
      <c r="AD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30515-2025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46233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8.1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Ullticka</t>
        </is>
      </c>
      <c r="W123">
        <f>HYPERLINK("https://klasma.github.io/Logging_2481/artfynd/A 30515-2025 artfynd.xlsx", "A 30515-2025")</f>
        <v/>
      </c>
      <c r="X123">
        <f>HYPERLINK("https://klasma.github.io/Logging_2481/kartor/A 30515-2025 karta.png", "A 30515-2025")</f>
        <v/>
      </c>
      <c r="Y123">
        <f>HYPERLINK("https://klasma.github.io/Logging_2481/kartor_geotiff/A 30515-2025 georefererad karta.tif", "A 30515-2025")</f>
        <v/>
      </c>
      <c r="AA123">
        <f>HYPERLINK("https://klasma.github.io/Logging_2481/klagomål/A 30515-2025 FSC-klagomål.docx", "A 30515-2025")</f>
        <v/>
      </c>
      <c r="AB123">
        <f>HYPERLINK("https://klasma.github.io/Logging_2481/klagomålsmail/A 30515-2025 FSC-klagomål mail.docx", "A 30515-2025")</f>
        <v/>
      </c>
      <c r="AC123">
        <f>HYPERLINK("https://klasma.github.io/Logging_2481/tillsyn/A 30515-2025 tillsynsbegäran.docx", "A 30515-2025")</f>
        <v/>
      </c>
      <c r="AD123">
        <f>HYPERLINK("https://klasma.github.io/Logging_2481/tillsynsmail/A 30515-2025 tillsynsbegäran mail.docx", "A 30515-2025")</f>
        <v/>
      </c>
    </row>
    <row r="124" ht="15" customHeight="1">
      <c r="A124" t="inlineStr">
        <is>
          <t>A 61910-2024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45653</v>
      </c>
      <c r="E124" s="1" t="n">
        <v>46233</v>
      </c>
      <c r="F124" t="inlineStr">
        <is>
          <t>VÄSTERBOTTENS LÄN</t>
        </is>
      </c>
      <c r="G124" t="inlineStr">
        <is>
          <t>LYCKSELE</t>
        </is>
      </c>
      <c r="I124" t="n">
        <v>5.8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7</v>
      </c>
      <c r="U124" t="n">
        <v>3</v>
      </c>
      <c r="V124" s="2" t="inlineStr">
        <is>
          <t>Norna</t>
        </is>
      </c>
      <c r="W124">
        <f>HYPERLINK("https://klasma.github.io/Logging_2481/artfynd/A 61910-2024 artfynd.xlsx", "A 61910-2024")</f>
        <v/>
      </c>
      <c r="X124">
        <f>HYPERLINK("https://klasma.github.io/Logging_2481/kartor/A 61910-2024 karta.png", "A 61910-2024")</f>
        <v/>
      </c>
      <c r="Y124">
        <f>HYPERLINK("https://klasma.github.io/Logging_2481/kartor_geotiff/A 61910-2024 georefererad karta.tif", "A 61910-2024")</f>
        <v/>
      </c>
      <c r="AA124">
        <f>HYPERLINK("https://klasma.github.io/Logging_2481/klagomål/A 61910-2024 FSC-klagomål.docx", "A 61910-2024")</f>
        <v/>
      </c>
      <c r="AB124">
        <f>HYPERLINK("https://klasma.github.io/Logging_2481/klagomålsmail/A 61910-2024 FSC-klagomål mail.docx", "A 61910-2024")</f>
        <v/>
      </c>
      <c r="AC124">
        <f>HYPERLINK("https://klasma.github.io/Logging_2481/tillsyn/A 61910-2024 tillsynsbegäran.docx", "A 61910-2024")</f>
        <v/>
      </c>
      <c r="AD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49394-2024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45595</v>
      </c>
      <c r="E125" s="1" t="n">
        <v>46233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Lunglav</t>
        </is>
      </c>
      <c r="W125">
        <f>HYPERLINK("https://klasma.github.io/Logging_2481/artfynd/A 49394-2024 artfynd.xlsx", "A 49394-2024")</f>
        <v/>
      </c>
      <c r="X125">
        <f>HYPERLINK("https://klasma.github.io/Logging_2481/kartor/A 49394-2024 karta.png", "A 49394-2024")</f>
        <v/>
      </c>
      <c r="Y125">
        <f>HYPERLINK("https://klasma.github.io/Logging_2481/kartor_geotiff/A 49394-2024 georefererad karta.tif", "A 49394-2024")</f>
        <v/>
      </c>
      <c r="AA125">
        <f>HYPERLINK("https://klasma.github.io/Logging_2481/klagomål/A 49394-2024 FSC-klagomål.docx", "A 49394-2024")</f>
        <v/>
      </c>
      <c r="AB125">
        <f>HYPERLINK("https://klasma.github.io/Logging_2481/klagomålsmail/A 49394-2024 FSC-klagomål mail.docx", "A 49394-2024")</f>
        <v/>
      </c>
      <c r="AC125">
        <f>HYPERLINK("https://klasma.github.io/Logging_2481/tillsyn/A 49394-2024 tillsynsbegäran.docx", "A 49394-2024")</f>
        <v/>
      </c>
      <c r="AD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33346-2025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46233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7.8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Doftskinn</t>
        </is>
      </c>
      <c r="W126">
        <f>HYPERLINK("https://klasma.github.io/Logging_2481/artfynd/A 33346-2025 artfynd.xlsx", "A 33346-2025")</f>
        <v/>
      </c>
      <c r="X126">
        <f>HYPERLINK("https://klasma.github.io/Logging_2481/kartor/A 33346-2025 karta.png", "A 33346-2025")</f>
        <v/>
      </c>
      <c r="Y126">
        <f>HYPERLINK("https://klasma.github.io/Logging_2481/kartor_geotiff/A 33346-2025 georefererad karta.tif", "A 33346-2025")</f>
        <v/>
      </c>
      <c r="AA126">
        <f>HYPERLINK("https://klasma.github.io/Logging_2481/klagomål/A 33346-2025 FSC-klagomål.docx", "A 33346-2025")</f>
        <v/>
      </c>
      <c r="AB126">
        <f>HYPERLINK("https://klasma.github.io/Logging_2481/klagomålsmail/A 33346-2025 FSC-klagomål mail.docx", "A 33346-2025")</f>
        <v/>
      </c>
      <c r="AC126">
        <f>HYPERLINK("https://klasma.github.io/Logging_2481/tillsyn/A 33346-2025 tillsynsbegäran.docx", "A 33346-2025")</f>
        <v/>
      </c>
      <c r="AD126">
        <f>HYPERLINK("https://klasma.github.io/Logging_2481/tillsynsmail/A 33346-2025 tillsynsbegäran mail.docx", "A 33346-2025")</f>
        <v/>
      </c>
    </row>
    <row r="127" ht="15" customHeight="1">
      <c r="A127" t="inlineStr">
        <is>
          <t>A 37669-2024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45541</v>
      </c>
      <c r="E127" s="1" t="n">
        <v>46233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5.5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Dropptaggsvamp</t>
        </is>
      </c>
      <c r="W127">
        <f>HYPERLINK("https://klasma.github.io/Logging_2481/artfynd/A 37669-2024 artfynd.xlsx", "A 37669-2024")</f>
        <v/>
      </c>
      <c r="X127">
        <f>HYPERLINK("https://klasma.github.io/Logging_2481/kartor/A 37669-2024 karta.png", "A 37669-2024")</f>
        <v/>
      </c>
      <c r="Y127">
        <f>HYPERLINK("https://klasma.github.io/Logging_2481/kartor_geotiff/A 37669-2024 georefererad karta.tif", "A 37669-2024")</f>
        <v/>
      </c>
      <c r="AA127">
        <f>HYPERLINK("https://klasma.github.io/Logging_2481/klagomål/A 37669-2024 FSC-klagomål.docx", "A 37669-2024")</f>
        <v/>
      </c>
      <c r="AB127">
        <f>HYPERLINK("https://klasma.github.io/Logging_2481/klagomålsmail/A 37669-2024 FSC-klagomål mail.docx", "A 37669-2024")</f>
        <v/>
      </c>
      <c r="AC127">
        <f>HYPERLINK("https://klasma.github.io/Logging_2481/tillsyn/A 37669-2024 tillsynsbegäran.docx", "A 37669-2024")</f>
        <v/>
      </c>
      <c r="AD127">
        <f>HYPERLINK("https://klasma.github.io/Logging_2481/tillsynsmail/A 37669-2024 tillsynsbegäran mail.docx", "A 37669-2024")</f>
        <v/>
      </c>
    </row>
    <row r="128" ht="15" customHeight="1">
      <c r="A128" t="inlineStr">
        <is>
          <t>A 44360-2025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46233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HYPERLINK("https://klasma.github.io/Logging_2481/artfynd/A 44360-2025 artfynd.xlsx", "A 44360-2025")</f>
        <v/>
      </c>
      <c r="X128">
        <f>HYPERLINK("https://klasma.github.io/Logging_2481/kartor/A 44360-2025 karta.png", "A 44360-2025")</f>
        <v/>
      </c>
      <c r="Y128">
        <f>HYPERLINK("https://klasma.github.io/Logging_2481/kartor_geotiff/A 44360-2025 georefererad karta.tif", "A 44360-2025")</f>
        <v/>
      </c>
      <c r="AA128">
        <f>HYPERLINK("https://klasma.github.io/Logging_2481/klagomål/A 44360-2025 FSC-klagomål.docx", "A 44360-2025")</f>
        <v/>
      </c>
      <c r="AB128">
        <f>HYPERLINK("https://klasma.github.io/Logging_2481/klagomålsmail/A 44360-2025 FSC-klagomål mail.docx", "A 44360-2025")</f>
        <v/>
      </c>
      <c r="AC128">
        <f>HYPERLINK("https://klasma.github.io/Logging_2481/tillsyn/A 44360-2025 tillsynsbegäran.docx", "A 44360-2025")</f>
        <v/>
      </c>
      <c r="AD128">
        <f>HYPERLINK("https://klasma.github.io/Logging_2481/tillsynsmail/A 44360-2025 tillsynsbegäran mail.docx", "A 44360-2025")</f>
        <v/>
      </c>
    </row>
    <row r="129" ht="15" customHeight="1">
      <c r="A129" t="inlineStr">
        <is>
          <t>A 44331-2025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46233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4.8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HYPERLINK("https://klasma.github.io/Logging_2481/artfynd/A 44331-2025 artfynd.xlsx", "A 44331-2025")</f>
        <v/>
      </c>
      <c r="X129">
        <f>HYPERLINK("https://klasma.github.io/Logging_2481/kartor/A 44331-2025 karta.png", "A 44331-2025")</f>
        <v/>
      </c>
      <c r="Y129">
        <f>HYPERLINK("https://klasma.github.io/Logging_2481/kartor_geotiff/A 44331-2025 georefererad karta.tif", "A 44331-2025")</f>
        <v/>
      </c>
      <c r="AA129">
        <f>HYPERLINK("https://klasma.github.io/Logging_2481/klagomål/A 44331-2025 FSC-klagomål.docx", "A 44331-2025")</f>
        <v/>
      </c>
      <c r="AB129">
        <f>HYPERLINK("https://klasma.github.io/Logging_2481/klagomålsmail/A 44331-2025 FSC-klagomål mail.docx", "A 44331-2025")</f>
        <v/>
      </c>
      <c r="AC129">
        <f>HYPERLINK("https://klasma.github.io/Logging_2481/tillsyn/A 44331-2025 tillsynsbegäran.docx", "A 44331-2025")</f>
        <v/>
      </c>
      <c r="AD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34032-2025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46233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HYPERLINK("https://klasma.github.io/Logging_2481/artfynd/A 34032-2025 artfynd.xlsx", "A 34032-2025")</f>
        <v/>
      </c>
      <c r="X130">
        <f>HYPERLINK("https://klasma.github.io/Logging_2481/kartor/A 34032-2025 karta.png", "A 34032-2025")</f>
        <v/>
      </c>
      <c r="Y130">
        <f>HYPERLINK("https://klasma.github.io/Logging_2481/kartor_geotiff/A 34032-2025 georefererad karta.tif", "A 34032-2025")</f>
        <v/>
      </c>
      <c r="AA130">
        <f>HYPERLINK("https://klasma.github.io/Logging_2481/klagomål/A 34032-2025 FSC-klagomål.docx", "A 34032-2025")</f>
        <v/>
      </c>
      <c r="AB130">
        <f>HYPERLINK("https://klasma.github.io/Logging_2481/klagomålsmail/A 34032-2025 FSC-klagomål mail.docx", "A 34032-2025")</f>
        <v/>
      </c>
      <c r="AC130">
        <f>HYPERLINK("https://klasma.github.io/Logging_2481/tillsyn/A 34032-2025 tillsynsbegäran.docx", "A 34032-2025")</f>
        <v/>
      </c>
      <c r="AD130">
        <f>HYPERLINK("https://klasma.github.io/Logging_2481/tillsynsmail/A 34032-2025 tillsynsbegäran mail.docx", "A 34032-2025")</f>
        <v/>
      </c>
    </row>
    <row r="131" ht="15" customHeight="1">
      <c r="A131" t="inlineStr">
        <is>
          <t>A 34958-2025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46233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Spillkråka</t>
        </is>
      </c>
      <c r="W131">
        <f>HYPERLINK("https://klasma.github.io/Logging_2481/artfynd/A 34958-2025 artfynd.xlsx", "A 34958-2025")</f>
        <v/>
      </c>
      <c r="X131">
        <f>HYPERLINK("https://klasma.github.io/Logging_2481/kartor/A 34958-2025 karta.png", "A 34958-2025")</f>
        <v/>
      </c>
      <c r="Y131">
        <f>HYPERLINK("https://klasma.github.io/Logging_2481/kartor_geotiff/A 34958-2025 georefererad karta.tif", "A 34958-2025")</f>
        <v/>
      </c>
      <c r="AA131">
        <f>HYPERLINK("https://klasma.github.io/Logging_2481/klagomål/A 34958-2025 FSC-klagomål.docx", "A 34958-2025")</f>
        <v/>
      </c>
      <c r="AB131">
        <f>HYPERLINK("https://klasma.github.io/Logging_2481/klagomålsmail/A 34958-2025 FSC-klagomål mail.docx", "A 34958-2025")</f>
        <v/>
      </c>
      <c r="AC131">
        <f>HYPERLINK("https://klasma.github.io/Logging_2481/tillsyn/A 34958-2025 tillsynsbegäran.docx", "A 34958-2025")</f>
        <v/>
      </c>
      <c r="AD131">
        <f>HYPERLINK("https://klasma.github.io/Logging_2481/tillsynsmail/A 34958-2025 tillsynsbegäran mail.docx", "A 34958-2025")</f>
        <v/>
      </c>
      <c r="AE131">
        <f>HYPERLINK("https://klasma.github.io/Logging_2481/fåglar/A 34958-2025 prioriterade fågelarter.docx", "A 34958-2025")</f>
        <v/>
      </c>
    </row>
    <row r="132" ht="15" customHeight="1">
      <c r="A132" t="inlineStr">
        <is>
          <t>A 45127-2025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46233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21.6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HYPERLINK("https://klasma.github.io/Logging_2481/artfynd/A 45127-2025 artfynd.xlsx", "A 45127-2025")</f>
        <v/>
      </c>
      <c r="X132">
        <f>HYPERLINK("https://klasma.github.io/Logging_2481/kartor/A 45127-2025 karta.png", "A 45127-2025")</f>
        <v/>
      </c>
      <c r="Y132">
        <f>HYPERLINK("https://klasma.github.io/Logging_2481/kartor_geotiff/A 45127-2025 georefererad karta.tif", "A 45127-2025")</f>
        <v/>
      </c>
      <c r="AA132">
        <f>HYPERLINK("https://klasma.github.io/Logging_2481/klagomål/A 45127-2025 FSC-klagomål.docx", "A 45127-2025")</f>
        <v/>
      </c>
      <c r="AB132">
        <f>HYPERLINK("https://klasma.github.io/Logging_2481/klagomålsmail/A 45127-2025 FSC-klagomål mail.docx", "A 45127-2025")</f>
        <v/>
      </c>
      <c r="AC132">
        <f>HYPERLINK("https://klasma.github.io/Logging_2481/tillsyn/A 45127-2025 tillsynsbegäran.docx", "A 45127-2025")</f>
        <v/>
      </c>
      <c r="AD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35226-2025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45853</v>
      </c>
      <c r="E133" s="1" t="n">
        <v>46233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14.7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Tretåig hackspett</t>
        </is>
      </c>
      <c r="W133">
        <f>HYPERLINK("https://klasma.github.io/Logging_2481/artfynd/A 35226-2025 artfynd.xlsx", "A 35226-2025")</f>
        <v/>
      </c>
      <c r="X133">
        <f>HYPERLINK("https://klasma.github.io/Logging_2481/kartor/A 35226-2025 karta.png", "A 35226-2025")</f>
        <v/>
      </c>
      <c r="Y133">
        <f>HYPERLINK("https://klasma.github.io/Logging_2481/kartor_geotiff/A 35226-2025 georefererad karta.tif", "A 35226-2025")</f>
        <v/>
      </c>
      <c r="AA133">
        <f>HYPERLINK("https://klasma.github.io/Logging_2481/klagomål/A 35226-2025 FSC-klagomål.docx", "A 35226-2025")</f>
        <v/>
      </c>
      <c r="AB133">
        <f>HYPERLINK("https://klasma.github.io/Logging_2481/klagomålsmail/A 35226-2025 FSC-klagomål mail.docx", "A 35226-2025")</f>
        <v/>
      </c>
      <c r="AC133">
        <f>HYPERLINK("https://klasma.github.io/Logging_2481/tillsyn/A 35226-2025 tillsynsbegäran.docx", "A 35226-2025")</f>
        <v/>
      </c>
      <c r="AD133">
        <f>HYPERLINK("https://klasma.github.io/Logging_2481/tillsynsmail/A 35226-2025 tillsynsbegäran mail.docx", "A 35226-2025")</f>
        <v/>
      </c>
      <c r="AE133">
        <f>HYPERLINK("https://klasma.github.io/Logging_2481/fåglar/A 35226-2025 prioriterade fågelarter.docx", "A 35226-2025")</f>
        <v/>
      </c>
    </row>
    <row r="134" ht="15" customHeight="1">
      <c r="A134" t="inlineStr">
        <is>
          <t>A 7398-2025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45705</v>
      </c>
      <c r="E134" s="1" t="n">
        <v>46233</v>
      </c>
      <c r="F134" t="inlineStr">
        <is>
          <t>VÄSTERBOTTENS LÄN</t>
        </is>
      </c>
      <c r="G134" t="inlineStr">
        <is>
          <t>LYCKSELE</t>
        </is>
      </c>
      <c r="I134" t="n">
        <v>2.4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Gråspett</t>
        </is>
      </c>
      <c r="W134">
        <f>HYPERLINK("https://klasma.github.io/Logging_2481/artfynd/A 7398-2025 artfynd.xlsx", "A 7398-2025")</f>
        <v/>
      </c>
      <c r="X134">
        <f>HYPERLINK("https://klasma.github.io/Logging_2481/kartor/A 7398-2025 karta.png", "A 7398-2025")</f>
        <v/>
      </c>
      <c r="Y134">
        <f>HYPERLINK("https://klasma.github.io/Logging_2481/kartor_geotiff/A 7398-2025 georefererad karta.tif", "A 7398-2025")</f>
        <v/>
      </c>
      <c r="AA134">
        <f>HYPERLINK("https://klasma.github.io/Logging_2481/klagomål/A 7398-2025 FSC-klagomål.docx", "A 7398-2025")</f>
        <v/>
      </c>
      <c r="AB134">
        <f>HYPERLINK("https://klasma.github.io/Logging_2481/klagomålsmail/A 7398-2025 FSC-klagomål mail.docx", "A 7398-2025")</f>
        <v/>
      </c>
      <c r="AC134">
        <f>HYPERLINK("https://klasma.github.io/Logging_2481/tillsyn/A 7398-2025 tillsynsbegäran.docx", "A 7398-2025")</f>
        <v/>
      </c>
      <c r="AD134">
        <f>HYPERLINK("https://klasma.github.io/Logging_2481/tillsynsmail/A 7398-2025 tillsynsbegäran mail.docx", "A 7398-2025")</f>
        <v/>
      </c>
      <c r="AE134">
        <f>HYPERLINK("https://klasma.github.io/Logging_2481/fåglar/A 7398-2025 prioriterade fågelarter.docx", "A 7398-2025")</f>
        <v/>
      </c>
    </row>
    <row r="135" ht="15" customHeight="1">
      <c r="A135" t="inlineStr">
        <is>
          <t>A 35239-2025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45853</v>
      </c>
      <c r="E135" s="1" t="n">
        <v>46233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8.699999999999999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Gammelgransskål</t>
        </is>
      </c>
      <c r="W135">
        <f>HYPERLINK("https://klasma.github.io/Logging_2481/artfynd/A 35239-2025 artfynd.xlsx", "A 35239-2025")</f>
        <v/>
      </c>
      <c r="X135">
        <f>HYPERLINK("https://klasma.github.io/Logging_2481/kartor/A 35239-2025 karta.png", "A 35239-2025")</f>
        <v/>
      </c>
      <c r="Y135">
        <f>HYPERLINK("https://klasma.github.io/Logging_2481/kartor_geotiff/A 35239-2025 georefererad karta.tif", "A 35239-2025")</f>
        <v/>
      </c>
      <c r="AA135">
        <f>HYPERLINK("https://klasma.github.io/Logging_2481/klagomål/A 35239-2025 FSC-klagomål.docx", "A 35239-2025")</f>
        <v/>
      </c>
      <c r="AB135">
        <f>HYPERLINK("https://klasma.github.io/Logging_2481/klagomålsmail/A 35239-2025 FSC-klagomål mail.docx", "A 35239-2025")</f>
        <v/>
      </c>
      <c r="AC135">
        <f>HYPERLINK("https://klasma.github.io/Logging_2481/tillsyn/A 35239-2025 tillsynsbegäran.docx", "A 35239-2025")</f>
        <v/>
      </c>
      <c r="AD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35981-2025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45863</v>
      </c>
      <c r="E136" s="1" t="n">
        <v>46233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6.1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35981-2025 artfynd.xlsx", "A 35981-2025")</f>
        <v/>
      </c>
      <c r="X136">
        <f>HYPERLINK("https://klasma.github.io/Logging_2481/kartor/A 35981-2025 karta.png", "A 35981-2025")</f>
        <v/>
      </c>
      <c r="Y136">
        <f>HYPERLINK("https://klasma.github.io/Logging_2481/kartor_geotiff/A 35981-2025 georefererad karta.tif", "A 35981-2025")</f>
        <v/>
      </c>
      <c r="AA136">
        <f>HYPERLINK("https://klasma.github.io/Logging_2481/klagomål/A 35981-2025 FSC-klagomål.docx", "A 35981-2025")</f>
        <v/>
      </c>
      <c r="AB136">
        <f>HYPERLINK("https://klasma.github.io/Logging_2481/klagomålsmail/A 35981-2025 FSC-klagomål mail.docx", "A 35981-2025")</f>
        <v/>
      </c>
      <c r="AC136">
        <f>HYPERLINK("https://klasma.github.io/Logging_2481/tillsyn/A 35981-2025 tillsynsbegäran.docx", "A 35981-2025")</f>
        <v/>
      </c>
      <c r="AD136">
        <f>HYPERLINK("https://klasma.github.io/Logging_2481/tillsynsmail/A 35981-2025 tillsynsbegäran mail.docx", "A 35981-2025")</f>
        <v/>
      </c>
    </row>
    <row r="137" ht="15" customHeight="1">
      <c r="A137" t="inlineStr">
        <is>
          <t>A 47454-2025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46233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HYPERLINK("https://klasma.github.io/Logging_2481/artfynd/A 47454-2025 artfynd.xlsx", "A 47454-2025")</f>
        <v/>
      </c>
      <c r="X137">
        <f>HYPERLINK("https://klasma.github.io/Logging_2481/kartor/A 47454-2025 karta.png", "A 47454-2025")</f>
        <v/>
      </c>
      <c r="Y137">
        <f>HYPERLINK("https://klasma.github.io/Logging_2481/kartor_geotiff/A 47454-2025 georefererad karta.tif", "A 47454-2025")</f>
        <v/>
      </c>
      <c r="AA137">
        <f>HYPERLINK("https://klasma.github.io/Logging_2481/klagomål/A 47454-2025 FSC-klagomål.docx", "A 47454-2025")</f>
        <v/>
      </c>
      <c r="AB137">
        <f>HYPERLINK("https://klasma.github.io/Logging_2481/klagomålsmail/A 47454-2025 FSC-klagomål mail.docx", "A 47454-2025")</f>
        <v/>
      </c>
      <c r="AC137">
        <f>HYPERLINK("https://klasma.github.io/Logging_2481/tillsyn/A 47454-2025 tillsynsbegäran.docx", "A 47454-2025")</f>
        <v/>
      </c>
      <c r="AD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9924-2024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45363</v>
      </c>
      <c r="E138" s="1" t="n">
        <v>46233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HYPERLINK("https://klasma.github.io/Logging_2481/artfynd/A 9924-2024 artfynd.xlsx", "A 9924-2024")</f>
        <v/>
      </c>
      <c r="X138">
        <f>HYPERLINK("https://klasma.github.io/Logging_2481/kartor/A 9924-2024 karta.png", "A 9924-2024")</f>
        <v/>
      </c>
      <c r="Y138">
        <f>HYPERLINK("https://klasma.github.io/Logging_2481/kartor_geotiff/A 9924-2024 georefererad karta.tif", "A 9924-2024")</f>
        <v/>
      </c>
      <c r="AA138">
        <f>HYPERLINK("https://klasma.github.io/Logging_2481/klagomål/A 9924-2024 FSC-klagomål.docx", "A 9924-2024")</f>
        <v/>
      </c>
      <c r="AB138">
        <f>HYPERLINK("https://klasma.github.io/Logging_2481/klagomålsmail/A 9924-2024 FSC-klagomål mail.docx", "A 9924-2024")</f>
        <v/>
      </c>
      <c r="AC138">
        <f>HYPERLINK("https://klasma.github.io/Logging_2481/tillsyn/A 9924-2024 tillsynsbegäran.docx", "A 9924-2024")</f>
        <v/>
      </c>
      <c r="AD138">
        <f>HYPERLINK("https://klasma.github.io/Logging_2481/tillsynsmail/A 9924-2024 tillsynsbegäran mail.docx", "A 9924-2024")</f>
        <v/>
      </c>
    </row>
    <row r="139" ht="15" customHeight="1">
      <c r="A139" t="inlineStr">
        <is>
          <t>A 36687-2025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45873</v>
      </c>
      <c r="E139" s="1" t="n">
        <v>46233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Kolflarnlav</t>
        </is>
      </c>
      <c r="W139">
        <f>HYPERLINK("https://klasma.github.io/Logging_2481/artfynd/A 36687-2025 artfynd.xlsx", "A 36687-2025")</f>
        <v/>
      </c>
      <c r="X139">
        <f>HYPERLINK("https://klasma.github.io/Logging_2481/kartor/A 36687-2025 karta.png", "A 36687-2025")</f>
        <v/>
      </c>
      <c r="Y139">
        <f>HYPERLINK("https://klasma.github.io/Logging_2481/kartor_geotiff/A 36687-2025 georefererad karta.tif", "A 36687-2025")</f>
        <v/>
      </c>
      <c r="AA139">
        <f>HYPERLINK("https://klasma.github.io/Logging_2481/klagomål/A 36687-2025 FSC-klagomål.docx", "A 36687-2025")</f>
        <v/>
      </c>
      <c r="AB139">
        <f>HYPERLINK("https://klasma.github.io/Logging_2481/klagomålsmail/A 36687-2025 FSC-klagomål mail.docx", "A 36687-2025")</f>
        <v/>
      </c>
      <c r="AC139">
        <f>HYPERLINK("https://klasma.github.io/Logging_2481/tillsyn/A 36687-2025 tillsynsbegäran.docx", "A 36687-2025")</f>
        <v/>
      </c>
      <c r="AD139">
        <f>HYPERLINK("https://klasma.github.io/Logging_2481/tillsynsmail/A 36687-2025 tillsynsbegäran mail.docx", "A 36687-2025")</f>
        <v/>
      </c>
    </row>
    <row r="140" ht="15" customHeight="1">
      <c r="A140" t="inlineStr">
        <is>
          <t>A 50463-2025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46233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HYPERLINK("https://klasma.github.io/Logging_2481/artfynd/A 50463-2025 artfynd.xlsx", "A 50463-2025")</f>
        <v/>
      </c>
      <c r="X140">
        <f>HYPERLINK("https://klasma.github.io/Logging_2481/kartor/A 50463-2025 karta.png", "A 50463-2025")</f>
        <v/>
      </c>
      <c r="Y140">
        <f>HYPERLINK("https://klasma.github.io/Logging_2481/kartor_geotiff/A 50463-2025 georefererad karta.tif", "A 50463-2025")</f>
        <v/>
      </c>
      <c r="AA140">
        <f>HYPERLINK("https://klasma.github.io/Logging_2481/klagomål/A 50463-2025 FSC-klagomål.docx", "A 50463-2025")</f>
        <v/>
      </c>
      <c r="AB140">
        <f>HYPERLINK("https://klasma.github.io/Logging_2481/klagomålsmail/A 50463-2025 FSC-klagomål mail.docx", "A 50463-2025")</f>
        <v/>
      </c>
      <c r="AC140">
        <f>HYPERLINK("https://klasma.github.io/Logging_2481/tillsyn/A 50463-2025 tillsynsbegäran.docx", "A 50463-2025")</f>
        <v/>
      </c>
      <c r="AD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8491-2026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46065</v>
      </c>
      <c r="E141" s="1" t="n">
        <v>46233</v>
      </c>
      <c r="F141" t="inlineStr">
        <is>
          <t>VÄSTERBOTTENS LÄN</t>
        </is>
      </c>
      <c r="G141" t="inlineStr">
        <is>
          <t>LYCKSELE</t>
        </is>
      </c>
      <c r="I141" t="n">
        <v>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8491-2026 artfynd.xlsx", "A 8491-2026")</f>
        <v/>
      </c>
      <c r="X141">
        <f>HYPERLINK("https://klasma.github.io/Logging_2481/kartor/A 8491-2026 karta.png", "A 8491-2026")</f>
        <v/>
      </c>
      <c r="Y141">
        <f>HYPERLINK("https://klasma.github.io/Logging_2481/kartor_geotiff/A 8491-2026 georefererad karta.tif", "A 8491-2026")</f>
        <v/>
      </c>
      <c r="AA141">
        <f>HYPERLINK("https://klasma.github.io/Logging_2481/klagomål/A 8491-2026 FSC-klagomål.docx", "A 8491-2026")</f>
        <v/>
      </c>
      <c r="AB141">
        <f>HYPERLINK("https://klasma.github.io/Logging_2481/klagomålsmail/A 8491-2026 FSC-klagomål mail.docx", "A 8491-2026")</f>
        <v/>
      </c>
      <c r="AC141">
        <f>HYPERLINK("https://klasma.github.io/Logging_2481/tillsyn/A 8491-2026 tillsynsbegäran.docx", "A 8491-2026")</f>
        <v/>
      </c>
      <c r="AD141">
        <f>HYPERLINK("https://klasma.github.io/Logging_2481/tillsynsmail/A 8491-2026 tillsynsbegäran mail.docx", "A 8491-2026")</f>
        <v/>
      </c>
    </row>
    <row r="142" ht="15" customHeight="1">
      <c r="A142" t="inlineStr">
        <is>
          <t>A 53108-2025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46233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Bårdlav</t>
        </is>
      </c>
      <c r="W142">
        <f>HYPERLINK("https://klasma.github.io/Logging_2481/artfynd/A 53108-2025 artfynd.xlsx", "A 53108-2025")</f>
        <v/>
      </c>
      <c r="X142">
        <f>HYPERLINK("https://klasma.github.io/Logging_2481/kartor/A 53108-2025 karta.png", "A 53108-2025")</f>
        <v/>
      </c>
      <c r="Y142">
        <f>HYPERLINK("https://klasma.github.io/Logging_2481/kartor_geotiff/A 53108-2025 georefererad karta.tif", "A 53108-2025")</f>
        <v/>
      </c>
      <c r="AA142">
        <f>HYPERLINK("https://klasma.github.io/Logging_2481/klagomål/A 53108-2025 FSC-klagomål.docx", "A 53108-2025")</f>
        <v/>
      </c>
      <c r="AB142">
        <f>HYPERLINK("https://klasma.github.io/Logging_2481/klagomålsmail/A 53108-2025 FSC-klagomål mail.docx", "A 53108-2025")</f>
        <v/>
      </c>
      <c r="AC142">
        <f>HYPERLINK("https://klasma.github.io/Logging_2481/tillsyn/A 53108-2025 tillsynsbegäran.docx", "A 53108-2025")</f>
        <v/>
      </c>
      <c r="AD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46233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16.2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HYPERLINK("https://klasma.github.io/Logging_2481/artfynd/A 53110-2025 artfynd.xlsx", "A 53110-2025")</f>
        <v/>
      </c>
      <c r="X143">
        <f>HYPERLINK("https://klasma.github.io/Logging_2481/kartor/A 53110-2025 karta.png", "A 53110-2025")</f>
        <v/>
      </c>
      <c r="Y143">
        <f>HYPERLINK("https://klasma.github.io/Logging_2481/kartor_geotiff/A 53110-2025 georefererad karta.tif", "A 53110-2025")</f>
        <v/>
      </c>
      <c r="AA143">
        <f>HYPERLINK("https://klasma.github.io/Logging_2481/klagomål/A 53110-2025 FSC-klagomål.docx", "A 53110-2025")</f>
        <v/>
      </c>
      <c r="AB143">
        <f>HYPERLINK("https://klasma.github.io/Logging_2481/klagomålsmail/A 53110-2025 FSC-klagomål mail.docx", "A 53110-2025")</f>
        <v/>
      </c>
      <c r="AC143">
        <f>HYPERLINK("https://klasma.github.io/Logging_2481/tillsyn/A 53110-2025 tillsynsbegäran.docx", "A 53110-2025")</f>
        <v/>
      </c>
      <c r="AD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54277-2025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46233</v>
      </c>
      <c r="F144" t="inlineStr">
        <is>
          <t>VÄSTERBOTTENS LÄN</t>
        </is>
      </c>
      <c r="G144" t="inlineStr">
        <is>
          <t>LYCKSELE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0</v>
      </c>
      <c r="V144" s="2" t="inlineStr">
        <is>
          <t>Garnlav</t>
        </is>
      </c>
      <c r="W144">
        <f>HYPERLINK("https://klasma.github.io/Logging_2481/artfynd/A 54277-2025 artfynd.xlsx", "A 54277-2025")</f>
        <v/>
      </c>
      <c r="X144">
        <f>HYPERLINK("https://klasma.github.io/Logging_2481/kartor/A 54277-2025 karta.png", "A 54277-2025")</f>
        <v/>
      </c>
      <c r="Y144">
        <f>HYPERLINK("https://klasma.github.io/Logging_2481/kartor_geotiff/A 54277-2025 georefererad karta.tif", "A 54277-2025")</f>
        <v/>
      </c>
      <c r="AA144">
        <f>HYPERLINK("https://klasma.github.io/Logging_2481/klagomål/A 54277-2025 FSC-klagomål.docx", "A 54277-2025")</f>
        <v/>
      </c>
      <c r="AB144">
        <f>HYPERLINK("https://klasma.github.io/Logging_2481/klagomålsmail/A 54277-2025 FSC-klagomål mail.docx", "A 54277-2025")</f>
        <v/>
      </c>
      <c r="AC144">
        <f>HYPERLINK("https://klasma.github.io/Logging_2481/tillsyn/A 54277-2025 tillsynsbegäran.docx", "A 54277-2025")</f>
        <v/>
      </c>
      <c r="AD144">
        <f>HYPERLINK("https://klasma.github.io/Logging_2481/tillsynsmail/A 54277-2025 tillsynsbegäran mail.docx", "A 54277-2025")</f>
        <v/>
      </c>
    </row>
    <row r="145" ht="15" customHeight="1">
      <c r="A145" t="inlineStr">
        <is>
          <t>A 9722-2026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46072</v>
      </c>
      <c r="E145" s="1" t="n">
        <v>46233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Holmen skog AB</t>
        </is>
      </c>
      <c r="I145" t="n">
        <v>4.5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HYPERLINK("https://klasma.github.io/Logging_2481/artfynd/A 9722-2026 artfynd.xlsx", "A 9722-2026")</f>
        <v/>
      </c>
      <c r="X145">
        <f>HYPERLINK("https://klasma.github.io/Logging_2481/kartor/A 9722-2026 karta.png", "A 9722-2026")</f>
        <v/>
      </c>
      <c r="Y145">
        <f>HYPERLINK("https://klasma.github.io/Logging_2481/kartor_geotiff/A 9722-2026 georefererad karta.tif", "A 9722-2026")</f>
        <v/>
      </c>
      <c r="AA145">
        <f>HYPERLINK("https://klasma.github.io/Logging_2481/klagomål/A 9722-2026 FSC-klagomål.docx", "A 9722-2026")</f>
        <v/>
      </c>
      <c r="AB145">
        <f>HYPERLINK("https://klasma.github.io/Logging_2481/klagomålsmail/A 9722-2026 FSC-klagomål mail.docx", "A 9722-2026")</f>
        <v/>
      </c>
      <c r="AC145">
        <f>HYPERLINK("https://klasma.github.io/Logging_2481/tillsyn/A 9722-2026 tillsynsbegäran.docx", "A 9722-2026")</f>
        <v/>
      </c>
      <c r="AD145">
        <f>HYPERLINK("https://klasma.github.io/Logging_2481/tillsynsmail/A 9722-2026 tillsynsbegäran mail.docx", "A 9722-2026")</f>
        <v/>
      </c>
    </row>
    <row r="146" ht="15" customHeight="1">
      <c r="A146" t="inlineStr">
        <is>
          <t>A 58071-2025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46233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Stuplav</t>
        </is>
      </c>
      <c r="W146">
        <f>HYPERLINK("https://klasma.github.io/Logging_2481/artfynd/A 58071-2025 artfynd.xlsx", "A 58071-2025")</f>
        <v/>
      </c>
      <c r="X146">
        <f>HYPERLINK("https://klasma.github.io/Logging_2481/kartor/A 58071-2025 karta.png", "A 58071-2025")</f>
        <v/>
      </c>
      <c r="Y146">
        <f>HYPERLINK("https://klasma.github.io/Logging_2481/kartor_geotiff/A 58071-2025 georefererad karta.tif", "A 58071-2025")</f>
        <v/>
      </c>
      <c r="AA146">
        <f>HYPERLINK("https://klasma.github.io/Logging_2481/klagomål/A 58071-2025 FSC-klagomål.docx", "A 58071-2025")</f>
        <v/>
      </c>
      <c r="AB146">
        <f>HYPERLINK("https://klasma.github.io/Logging_2481/klagomålsmail/A 58071-2025 FSC-klagomål mail.docx", "A 58071-2025")</f>
        <v/>
      </c>
      <c r="AC146">
        <f>HYPERLINK("https://klasma.github.io/Logging_2481/tillsyn/A 58071-2025 tillsynsbegäran.docx", "A 58071-2025")</f>
        <v/>
      </c>
      <c r="AD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58390-2025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46233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9.1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HYPERLINK("https://klasma.github.io/Logging_2481/artfynd/A 58390-2025 artfynd.xlsx", "A 58390-2025")</f>
        <v/>
      </c>
      <c r="X147">
        <f>HYPERLINK("https://klasma.github.io/Logging_2481/kartor/A 58390-2025 karta.png", "A 58390-2025")</f>
        <v/>
      </c>
      <c r="Y147">
        <f>HYPERLINK("https://klasma.github.io/Logging_2481/kartor_geotiff/A 58390-2025 georefererad karta.tif", "A 58390-2025")</f>
        <v/>
      </c>
      <c r="AA147">
        <f>HYPERLINK("https://klasma.github.io/Logging_2481/klagomål/A 58390-2025 FSC-klagomål.docx", "A 58390-2025")</f>
        <v/>
      </c>
      <c r="AB147">
        <f>HYPERLINK("https://klasma.github.io/Logging_2481/klagomålsmail/A 58390-2025 FSC-klagomål mail.docx", "A 58390-2025")</f>
        <v/>
      </c>
      <c r="AC147">
        <f>HYPERLINK("https://klasma.github.io/Logging_2481/tillsyn/A 58390-2025 tillsynsbegäran.docx", "A 58390-2025")</f>
        <v/>
      </c>
      <c r="AD147">
        <f>HYPERLINK("https://klasma.github.io/Logging_2481/tillsynsmail/A 58390-2025 tillsynsbegäran mail.docx", "A 58390-2025")</f>
        <v/>
      </c>
    </row>
    <row r="148" ht="15" customHeight="1">
      <c r="A148" t="inlineStr">
        <is>
          <t>A 59883-2025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46233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59883-2025 artfynd.xlsx", "A 59883-2025")</f>
        <v/>
      </c>
      <c r="X148">
        <f>HYPERLINK("https://klasma.github.io/Logging_2481/kartor/A 59883-2025 karta.png", "A 59883-2025")</f>
        <v/>
      </c>
      <c r="Y148">
        <f>HYPERLINK("https://klasma.github.io/Logging_2481/kartor_geotiff/A 59883-2025 georefererad karta.tif", "A 59883-2025")</f>
        <v/>
      </c>
      <c r="AA148">
        <f>HYPERLINK("https://klasma.github.io/Logging_2481/klagomål/A 59883-2025 FSC-klagomål.docx", "A 59883-2025")</f>
        <v/>
      </c>
      <c r="AB148">
        <f>HYPERLINK("https://klasma.github.io/Logging_2481/klagomålsmail/A 59883-2025 FSC-klagomål mail.docx", "A 59883-2025")</f>
        <v/>
      </c>
      <c r="AC148">
        <f>HYPERLINK("https://klasma.github.io/Logging_2481/tillsyn/A 59883-2025 tillsynsbegäran.docx", "A 59883-2025")</f>
        <v/>
      </c>
      <c r="AD148">
        <f>HYPERLINK("https://klasma.github.io/Logging_2481/tillsynsmail/A 59883-2025 tillsynsbegäran mail.docx", "A 59883-2025")</f>
        <v/>
      </c>
    </row>
    <row r="149" ht="15" customHeight="1">
      <c r="A149" t="inlineStr">
        <is>
          <t>A 62317-2025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46233</v>
      </c>
      <c r="F149" t="inlineStr">
        <is>
          <t>VÄSTERBOTTENS LÄN</t>
        </is>
      </c>
      <c r="G149" t="inlineStr">
        <is>
          <t>LYCKSELE</t>
        </is>
      </c>
      <c r="I149" t="n">
        <v>0.9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HYPERLINK("https://klasma.github.io/Logging_2481/artfynd/A 62317-2025 artfynd.xlsx", "A 62317-2025")</f>
        <v/>
      </c>
      <c r="X149">
        <f>HYPERLINK("https://klasma.github.io/Logging_2481/kartor/A 62317-2025 karta.png", "A 62317-2025")</f>
        <v/>
      </c>
      <c r="Y149">
        <f>HYPERLINK("https://klasma.github.io/Logging_2481/kartor_geotiff/A 62317-2025 georefererad karta.tif", "A 62317-2025")</f>
        <v/>
      </c>
      <c r="AA149">
        <f>HYPERLINK("https://klasma.github.io/Logging_2481/klagomål/A 62317-2025 FSC-klagomål.docx", "A 62317-2025")</f>
        <v/>
      </c>
      <c r="AB149">
        <f>HYPERLINK("https://klasma.github.io/Logging_2481/klagomålsmail/A 62317-2025 FSC-klagomål mail.docx", "A 62317-2025")</f>
        <v/>
      </c>
      <c r="AC149">
        <f>HYPERLINK("https://klasma.github.io/Logging_2481/tillsyn/A 62317-2025 tillsynsbegäran.docx", "A 62317-2025")</f>
        <v/>
      </c>
      <c r="AD149">
        <f>HYPERLINK("https://klasma.github.io/Logging_2481/tillsynsmail/A 62317-2025 tillsynsbegäran mail.docx", "A 62317-2025")</f>
        <v/>
      </c>
    </row>
    <row r="150" ht="15" customHeight="1">
      <c r="A150" t="inlineStr">
        <is>
          <t>A 28408-2023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45101</v>
      </c>
      <c r="E150" s="1" t="n">
        <v>46233</v>
      </c>
      <c r="F150" t="inlineStr">
        <is>
          <t>VÄSTERBOTTENS LÄN</t>
        </is>
      </c>
      <c r="G150" t="inlineStr">
        <is>
          <t>LYCKSELE</t>
        </is>
      </c>
      <c r="I150" t="n">
        <v>5.7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HYPERLINK("https://klasma.github.io/Logging_2481/artfynd/A 28408-2023 artfynd.xlsx", "A 28408-2023")</f>
        <v/>
      </c>
      <c r="X150">
        <f>HYPERLINK("https://klasma.github.io/Logging_2481/kartor/A 28408-2023 karta.png", "A 28408-2023")</f>
        <v/>
      </c>
      <c r="Y150">
        <f>HYPERLINK("https://klasma.github.io/Logging_2481/kartor_geotiff/A 28408-2023 georefererad karta.tif", "A 28408-2023")</f>
        <v/>
      </c>
      <c r="AA150">
        <f>HYPERLINK("https://klasma.github.io/Logging_2481/klagomål/A 28408-2023 FSC-klagomål.docx", "A 28408-2023")</f>
        <v/>
      </c>
      <c r="AB150">
        <f>HYPERLINK("https://klasma.github.io/Logging_2481/klagomålsmail/A 28408-2023 FSC-klagomål mail.docx", "A 28408-2023")</f>
        <v/>
      </c>
      <c r="AC150">
        <f>HYPERLINK("https://klasma.github.io/Logging_2481/tillsyn/A 28408-2023 tillsynsbegäran.docx", "A 28408-2023")</f>
        <v/>
      </c>
      <c r="AD150">
        <f>HYPERLINK("https://klasma.github.io/Logging_2481/tillsynsmail/A 28408-2023 tillsynsbegäran mail.docx", "A 28408-2023")</f>
        <v/>
      </c>
    </row>
    <row r="151" ht="15" customHeight="1">
      <c r="A151" t="inlineStr">
        <is>
          <t>A 1339-2026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46233</v>
      </c>
      <c r="F151" t="inlineStr">
        <is>
          <t>VÄSTERBOTTENS LÄN</t>
        </is>
      </c>
      <c r="G151" t="inlineStr">
        <is>
          <t>LYCKSELE</t>
        </is>
      </c>
      <c r="I151" t="n">
        <v>4.9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7</v>
      </c>
      <c r="U151" t="n">
        <v>3</v>
      </c>
      <c r="V151" s="2" t="inlineStr">
        <is>
          <t>Norna</t>
        </is>
      </c>
      <c r="W151">
        <f>HYPERLINK("https://klasma.github.io/Logging_2481/artfynd/A 1339-2026 artfynd.xlsx", "A 1339-2026")</f>
        <v/>
      </c>
      <c r="X151">
        <f>HYPERLINK("https://klasma.github.io/Logging_2481/kartor/A 1339-2026 karta.png", "A 1339-2026")</f>
        <v/>
      </c>
      <c r="Y151">
        <f>HYPERLINK("https://klasma.github.io/Logging_2481/kartor_geotiff/A 1339-2026 georefererad karta.tif", "A 1339-2026")</f>
        <v/>
      </c>
      <c r="AA151">
        <f>HYPERLINK("https://klasma.github.io/Logging_2481/klagomål/A 1339-2026 FSC-klagomål.docx", "A 1339-2026")</f>
        <v/>
      </c>
      <c r="AB151">
        <f>HYPERLINK("https://klasma.github.io/Logging_2481/klagomålsmail/A 1339-2026 FSC-klagomål mail.docx", "A 1339-2026")</f>
        <v/>
      </c>
      <c r="AC151">
        <f>HYPERLINK("https://klasma.github.io/Logging_2481/tillsyn/A 1339-2026 tillsynsbegäran.docx", "A 1339-2026")</f>
        <v/>
      </c>
      <c r="AD151">
        <f>HYPERLINK("https://klasma.github.io/Logging_2481/tillsynsmail/A 1339-2026 tillsynsbegäran mail.docx", "A 1339-2026")</f>
        <v/>
      </c>
    </row>
    <row r="152" ht="15" customHeight="1">
      <c r="A152" t="inlineStr">
        <is>
          <t>A 72131-2021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44543</v>
      </c>
      <c r="E152" s="1" t="n">
        <v>46233</v>
      </c>
      <c r="F152" t="inlineStr">
        <is>
          <t>VÄSTERBOTTENS LÄN</t>
        </is>
      </c>
      <c r="G152" t="inlineStr">
        <is>
          <t>LYCKSELE</t>
        </is>
      </c>
      <c r="I152" t="n">
        <v>19.1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Tretåig hackspett</t>
        </is>
      </c>
      <c r="W152">
        <f>HYPERLINK("https://klasma.github.io/Logging_2481/artfynd/A 72131-2021 artfynd.xlsx", "A 72131-2021")</f>
        <v/>
      </c>
      <c r="X152">
        <f>HYPERLINK("https://klasma.github.io/Logging_2481/kartor/A 72131-2021 karta.png", "A 72131-2021")</f>
        <v/>
      </c>
      <c r="Y152">
        <f>HYPERLINK("https://klasma.github.io/Logging_2481/kartor_geotiff/A 72131-2021 georefererad karta.tif", "A 72131-2021")</f>
        <v/>
      </c>
      <c r="AA152">
        <f>HYPERLINK("https://klasma.github.io/Logging_2481/klagomål/A 72131-2021 FSC-klagomål.docx", "A 72131-2021")</f>
        <v/>
      </c>
      <c r="AB152">
        <f>HYPERLINK("https://klasma.github.io/Logging_2481/klagomålsmail/A 72131-2021 FSC-klagomål mail.docx", "A 72131-2021")</f>
        <v/>
      </c>
      <c r="AC152">
        <f>HYPERLINK("https://klasma.github.io/Logging_2481/tillsyn/A 72131-2021 tillsynsbegäran.docx", "A 72131-2021")</f>
        <v/>
      </c>
      <c r="AD152">
        <f>HYPERLINK("https://klasma.github.io/Logging_2481/tillsynsmail/A 72131-2021 tillsynsbegäran mail.docx", "A 72131-2021")</f>
        <v/>
      </c>
      <c r="AE152">
        <f>HYPERLINK("https://klasma.github.io/Logging_2481/fåglar/A 72131-2021 prioriterade fågelarter.docx", "A 72131-2021")</f>
        <v/>
      </c>
    </row>
    <row r="153" ht="15" customHeight="1">
      <c r="A153" t="inlineStr">
        <is>
          <t>A 28838-2024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46233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28838-2024 artfynd.xlsx", "A 28838-2024")</f>
        <v/>
      </c>
      <c r="X153">
        <f>HYPERLINK("https://klasma.github.io/Logging_2481/kartor/A 28838-2024 karta.png", "A 28838-2024")</f>
        <v/>
      </c>
      <c r="Y153">
        <f>HYPERLINK("https://klasma.github.io/Logging_2481/kartor_geotiff/A 28838-2024 georefererad karta.tif", "A 28838-2024")</f>
        <v/>
      </c>
      <c r="AA153">
        <f>HYPERLINK("https://klasma.github.io/Logging_2481/klagomål/A 28838-2024 FSC-klagomål.docx", "A 28838-2024")</f>
        <v/>
      </c>
      <c r="AB153">
        <f>HYPERLINK("https://klasma.github.io/Logging_2481/klagomålsmail/A 28838-2024 FSC-klagomål mail.docx", "A 28838-2024")</f>
        <v/>
      </c>
      <c r="AC153">
        <f>HYPERLINK("https://klasma.github.io/Logging_2481/tillsyn/A 28838-2024 tillsynsbegäran.docx", "A 28838-2024")</f>
        <v/>
      </c>
      <c r="AD153">
        <f>HYPERLINK("https://klasma.github.io/Logging_2481/tillsynsmail/A 28838-2024 tillsynsbegäran mail.docx", "A 28838-2024")</f>
        <v/>
      </c>
    </row>
    <row r="154" ht="15" customHeight="1">
      <c r="A154" t="inlineStr">
        <is>
          <t>A 20404-2026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46233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Utter</t>
        </is>
      </c>
      <c r="W154">
        <f>HYPERLINK("https://klasma.github.io/Logging_2481/artfynd/A 20404-2026 artfynd.xlsx", "A 20404-2026")</f>
        <v/>
      </c>
      <c r="X154">
        <f>HYPERLINK("https://klasma.github.io/Logging_2481/kartor/A 20404-2026 karta.png", "A 20404-2026")</f>
        <v/>
      </c>
      <c r="Y154">
        <f>HYPERLINK("https://klasma.github.io/Logging_2481/kartor_geotiff/A 20404-2026 georefererad karta.tif", "A 20404-2026")</f>
        <v/>
      </c>
      <c r="AA154">
        <f>HYPERLINK("https://klasma.github.io/Logging_2481/klagomål/A 20404-2026 FSC-klagomål.docx", "A 20404-2026")</f>
        <v/>
      </c>
      <c r="AB154">
        <f>HYPERLINK("https://klasma.github.io/Logging_2481/klagomålsmail/A 20404-2026 FSC-klagomål mail.docx", "A 20404-2026")</f>
        <v/>
      </c>
      <c r="AC154">
        <f>HYPERLINK("https://klasma.github.io/Logging_2481/tillsyn/A 20404-2026 tillsynsbegäran.docx", "A 20404-2026")</f>
        <v/>
      </c>
      <c r="AD154">
        <f>HYPERLINK("https://klasma.github.io/Logging_2481/tillsynsmail/A 20404-2026 tillsynsbegäran mail.docx", "A 20404-2026")</f>
        <v/>
      </c>
    </row>
    <row r="155" ht="15" customHeight="1">
      <c r="A155" t="inlineStr">
        <is>
          <t>A 35559-2023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46233</v>
      </c>
      <c r="F155" t="inlineStr">
        <is>
          <t>VÄSTERBOTTENS LÄN</t>
        </is>
      </c>
      <c r="G155" t="inlineStr">
        <is>
          <t>LYCKSELE</t>
        </is>
      </c>
      <c r="I155" t="n">
        <v>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Stjärntagging</t>
        </is>
      </c>
      <c r="W155">
        <f>HYPERLINK("https://klasma.github.io/Logging_2481/artfynd/A 35559-2023 artfynd.xlsx", "A 35559-2023")</f>
        <v/>
      </c>
      <c r="X155">
        <f>HYPERLINK("https://klasma.github.io/Logging_2481/kartor/A 35559-2023 karta.png", "A 35559-2023")</f>
        <v/>
      </c>
      <c r="Y155">
        <f>HYPERLINK("https://klasma.github.io/Logging_2481/kartor_geotiff/A 35559-2023 georefererad karta.tif", "A 35559-2023")</f>
        <v/>
      </c>
      <c r="AA155">
        <f>HYPERLINK("https://klasma.github.io/Logging_2481/klagomål/A 35559-2023 FSC-klagomål.docx", "A 35559-2023")</f>
        <v/>
      </c>
      <c r="AB155">
        <f>HYPERLINK("https://klasma.github.io/Logging_2481/klagomålsmail/A 35559-2023 FSC-klagomål mail.docx", "A 35559-2023")</f>
        <v/>
      </c>
      <c r="AC155">
        <f>HYPERLINK("https://klasma.github.io/Logging_2481/tillsyn/A 35559-2023 tillsynsbegäran.docx", "A 35559-2023")</f>
        <v/>
      </c>
      <c r="AD155">
        <f>HYPERLINK("https://klasma.github.io/Logging_2481/tillsynsmail/A 35559-2023 tillsynsbegäran mail.docx", "A 35559-2023")</f>
        <v/>
      </c>
    </row>
    <row r="156" ht="15" customHeight="1">
      <c r="A156" t="inlineStr">
        <is>
          <t>A 55938-2023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46233</v>
      </c>
      <c r="F156" t="inlineStr">
        <is>
          <t>VÄSTERBOTTENS LÄN</t>
        </is>
      </c>
      <c r="G156" t="inlineStr">
        <is>
          <t>LYCKSELE</t>
        </is>
      </c>
      <c r="I156" t="n">
        <v>1.9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Järpe</t>
        </is>
      </c>
      <c r="W156">
        <f>HYPERLINK("https://klasma.github.io/Logging_2481/artfynd/A 55938-2023 artfynd.xlsx", "A 55938-2023")</f>
        <v/>
      </c>
      <c r="X156">
        <f>HYPERLINK("https://klasma.github.io/Logging_2481/kartor/A 55938-2023 karta.png", "A 55938-2023")</f>
        <v/>
      </c>
      <c r="Y156">
        <f>HYPERLINK("https://klasma.github.io/Logging_2481/kartor_geotiff/A 55938-2023 georefererad karta.tif", "A 55938-2023")</f>
        <v/>
      </c>
      <c r="AA156">
        <f>HYPERLINK("https://klasma.github.io/Logging_2481/klagomål/A 55938-2023 FSC-klagomål.docx", "A 55938-2023")</f>
        <v/>
      </c>
      <c r="AB156">
        <f>HYPERLINK("https://klasma.github.io/Logging_2481/klagomålsmail/A 55938-2023 FSC-klagomål mail.docx", "A 55938-2023")</f>
        <v/>
      </c>
      <c r="AC156">
        <f>HYPERLINK("https://klasma.github.io/Logging_2481/tillsyn/A 55938-2023 tillsynsbegäran.docx", "A 55938-2023")</f>
        <v/>
      </c>
      <c r="AD156">
        <f>HYPERLINK("https://klasma.github.io/Logging_2481/tillsynsmail/A 55938-2023 tillsynsbegäran mail.docx", "A 55938-2023")</f>
        <v/>
      </c>
      <c r="AE156">
        <f>HYPERLINK("https://klasma.github.io/Logging_2481/fåglar/A 55938-2023 prioriterade fågelarter.docx", "A 55938-2023")</f>
        <v/>
      </c>
    </row>
    <row r="157" ht="15" customHeight="1">
      <c r="A157" t="inlineStr">
        <is>
          <t>A 33726-2022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44789</v>
      </c>
      <c r="E157" s="1" t="n">
        <v>46233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SCA</t>
        </is>
      </c>
      <c r="I157" t="n">
        <v>12.7</v>
      </c>
      <c r="J157" t="n">
        <v>1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Pärluggla</t>
        </is>
      </c>
      <c r="W157">
        <f>HYPERLINK("https://klasma.github.io/Logging_2481/artfynd/A 33726-2022 artfynd.xlsx", "A 33726-2022")</f>
        <v/>
      </c>
      <c r="X157">
        <f>HYPERLINK("https://klasma.github.io/Logging_2481/kartor/A 33726-2022 karta.png", "A 33726-2022")</f>
        <v/>
      </c>
      <c r="Y157">
        <f>HYPERLINK("https://klasma.github.io/Logging_2481/kartor_geotiff/A 33726-2022 georefererad karta.tif", "A 33726-2022")</f>
        <v/>
      </c>
      <c r="AA157">
        <f>HYPERLINK("https://klasma.github.io/Logging_2481/klagomål/A 33726-2022 FSC-klagomål.docx", "A 33726-2022")</f>
        <v/>
      </c>
      <c r="AB157">
        <f>HYPERLINK("https://klasma.github.io/Logging_2481/klagomålsmail/A 33726-2022 FSC-klagomål mail.docx", "A 33726-2022")</f>
        <v/>
      </c>
      <c r="AC157">
        <f>HYPERLINK("https://klasma.github.io/Logging_2481/tillsyn/A 33726-2022 tillsynsbegäran.docx", "A 33726-2022")</f>
        <v/>
      </c>
      <c r="AD157">
        <f>HYPERLINK("https://klasma.github.io/Logging_2481/tillsynsmail/A 33726-2022 tillsynsbegäran mail.docx", "A 33726-2022")</f>
        <v/>
      </c>
      <c r="AE157">
        <f>HYPERLINK("https://klasma.github.io/Logging_2481/fåglar/A 33726-2022 prioriterade fågelarter.docx", "A 33726-2022")</f>
        <v/>
      </c>
    </row>
    <row r="158" ht="15" customHeight="1">
      <c r="A158" t="inlineStr">
        <is>
          <t>A 27830-2026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46191</v>
      </c>
      <c r="E158" s="1" t="n">
        <v>46233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Holmen skog AB</t>
        </is>
      </c>
      <c r="I158" t="n">
        <v>1.6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HYPERLINK("https://klasma.github.io/Logging_2481/artfynd/A 27830-2026 artfynd.xlsx", "A 27830-2026")</f>
        <v/>
      </c>
      <c r="X158">
        <f>HYPERLINK("https://klasma.github.io/Logging_2481/kartor/A 27830-2026 karta.png", "A 27830-2026")</f>
        <v/>
      </c>
      <c r="Y158">
        <f>HYPERLINK("https://klasma.github.io/Logging_2481/kartor_geotiff/A 27830-2026 georefererad karta.tif", "A 27830-2026")</f>
        <v/>
      </c>
      <c r="AA158">
        <f>HYPERLINK("https://klasma.github.io/Logging_2481/klagomål/A 27830-2026 FSC-klagomål.docx", "A 27830-2026")</f>
        <v/>
      </c>
      <c r="AB158">
        <f>HYPERLINK("https://klasma.github.io/Logging_2481/klagomålsmail/A 27830-2026 FSC-klagomål mail.docx", "A 27830-2026")</f>
        <v/>
      </c>
      <c r="AC158">
        <f>HYPERLINK("https://klasma.github.io/Logging_2481/tillsyn/A 27830-2026 tillsynsbegäran.docx", "A 27830-2026")</f>
        <v/>
      </c>
      <c r="AD158">
        <f>HYPERLINK("https://klasma.github.io/Logging_2481/tillsynsmail/A 27830-2026 tillsynsbegäran mail.docx", "A 27830-2026")</f>
        <v/>
      </c>
    </row>
    <row r="159" ht="15" customHeight="1">
      <c r="A159" t="inlineStr">
        <is>
          <t>A 53869-2023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46233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Dropptaggsvamp</t>
        </is>
      </c>
      <c r="W159">
        <f>HYPERLINK("https://klasma.github.io/Logging_2481/artfynd/A 53869-2023 artfynd.xlsx", "A 53869-2023")</f>
        <v/>
      </c>
      <c r="X159">
        <f>HYPERLINK("https://klasma.github.io/Logging_2481/kartor/A 53869-2023 karta.png", "A 53869-2023")</f>
        <v/>
      </c>
      <c r="Y159">
        <f>HYPERLINK("https://klasma.github.io/Logging_2481/kartor_geotiff/A 53869-2023 georefererad karta.tif", "A 53869-2023")</f>
        <v/>
      </c>
      <c r="AA159">
        <f>HYPERLINK("https://klasma.github.io/Logging_2481/klagomål/A 53869-2023 FSC-klagomål.docx", "A 53869-2023")</f>
        <v/>
      </c>
      <c r="AB159">
        <f>HYPERLINK("https://klasma.github.io/Logging_2481/klagomålsmail/A 53869-2023 FSC-klagomål mail.docx", "A 53869-2023")</f>
        <v/>
      </c>
      <c r="AC159">
        <f>HYPERLINK("https://klasma.github.io/Logging_2481/tillsyn/A 53869-2023 tillsynsbegäran.docx", "A 53869-2023")</f>
        <v/>
      </c>
      <c r="AD159">
        <f>HYPERLINK("https://klasma.github.io/Logging_2481/tillsynsmail/A 53869-2023 tillsynsbegäran mail.docx", "A 53869-2023")</f>
        <v/>
      </c>
    </row>
    <row r="160" ht="15" customHeight="1">
      <c r="A160" t="inlineStr">
        <is>
          <t>A 22120-2026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46233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HYPERLINK("https://klasma.github.io/Logging_2481/artfynd/A 22120-2026 artfynd.xlsx", "A 22120-2026")</f>
        <v/>
      </c>
      <c r="X160">
        <f>HYPERLINK("https://klasma.github.io/Logging_2481/kartor/A 22120-2026 karta.png", "A 22120-2026")</f>
        <v/>
      </c>
      <c r="Y160">
        <f>HYPERLINK("https://klasma.github.io/Logging_2481/kartor_geotiff/A 22120-2026 georefererad karta.tif", "A 22120-2026")</f>
        <v/>
      </c>
      <c r="AA160">
        <f>HYPERLINK("https://klasma.github.io/Logging_2481/klagomål/A 22120-2026 FSC-klagomål.docx", "A 22120-2026")</f>
        <v/>
      </c>
      <c r="AB160">
        <f>HYPERLINK("https://klasma.github.io/Logging_2481/klagomålsmail/A 22120-2026 FSC-klagomål mail.docx", "A 22120-2026")</f>
        <v/>
      </c>
      <c r="AC160">
        <f>HYPERLINK("https://klasma.github.io/Logging_2481/tillsyn/A 22120-2026 tillsynsbegäran.docx", "A 22120-2026")</f>
        <v/>
      </c>
      <c r="AD160">
        <f>HYPERLINK("https://klasma.github.io/Logging_2481/tillsynsmail/A 22120-2026 tillsynsbegäran mail.docx", "A 22120-2026")</f>
        <v/>
      </c>
    </row>
    <row r="161" ht="15" customHeight="1">
      <c r="A161" t="inlineStr">
        <is>
          <t>A 20929-2025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46233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Dropptaggsvamp</t>
        </is>
      </c>
      <c r="W161">
        <f>HYPERLINK("https://klasma.github.io/Logging_2481/artfynd/A 20929-2025 artfynd.xlsx", "A 20929-2025")</f>
        <v/>
      </c>
      <c r="X161">
        <f>HYPERLINK("https://klasma.github.io/Logging_2481/kartor/A 20929-2025 karta.png", "A 20929-2025")</f>
        <v/>
      </c>
      <c r="Y161">
        <f>HYPERLINK("https://klasma.github.io/Logging_2481/kartor_geotiff/A 20929-2025 georefererad karta.tif", "A 20929-2025")</f>
        <v/>
      </c>
      <c r="AA161">
        <f>HYPERLINK("https://klasma.github.io/Logging_2481/klagomål/A 20929-2025 FSC-klagomål.docx", "A 20929-2025")</f>
        <v/>
      </c>
      <c r="AB161">
        <f>HYPERLINK("https://klasma.github.io/Logging_2481/klagomålsmail/A 20929-2025 FSC-klagomål mail.docx", "A 20929-2025")</f>
        <v/>
      </c>
      <c r="AC161">
        <f>HYPERLINK("https://klasma.github.io/Logging_2481/tillsyn/A 20929-2025 tillsynsbegäran.docx", "A 20929-2025")</f>
        <v/>
      </c>
      <c r="AD161">
        <f>HYPERLINK("https://klasma.github.io/Logging_2481/tillsynsmail/A 20929-2025 tillsynsbegäran mail.docx", "A 20929-2025")</f>
        <v/>
      </c>
    </row>
    <row r="162" ht="15" customHeight="1">
      <c r="A162" t="inlineStr">
        <is>
          <t>A 59283-2024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46233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59283-2024 artfynd.xlsx", "A 59283-2024")</f>
        <v/>
      </c>
      <c r="X162">
        <f>HYPERLINK("https://klasma.github.io/Logging_2481/kartor/A 59283-2024 karta.png", "A 59283-2024")</f>
        <v/>
      </c>
      <c r="Y162">
        <f>HYPERLINK("https://klasma.github.io/Logging_2481/kartor_geotiff/A 59283-2024 georefererad karta.tif", "A 59283-2024")</f>
        <v/>
      </c>
      <c r="AA162">
        <f>HYPERLINK("https://klasma.github.io/Logging_2481/klagomål/A 59283-2024 FSC-klagomål.docx", "A 59283-2024")</f>
        <v/>
      </c>
      <c r="AB162">
        <f>HYPERLINK("https://klasma.github.io/Logging_2481/klagomålsmail/A 59283-2024 FSC-klagomål mail.docx", "A 59283-2024")</f>
        <v/>
      </c>
      <c r="AC162">
        <f>HYPERLINK("https://klasma.github.io/Logging_2481/tillsyn/A 59283-2024 tillsynsbegäran.docx", "A 59283-2024")</f>
        <v/>
      </c>
      <c r="AD162">
        <f>HYPERLINK("https://klasma.github.io/Logging_2481/tillsynsmail/A 59283-2024 tillsynsbegäran mail.docx", "A 59283-2024")</f>
        <v/>
      </c>
    </row>
    <row r="163" ht="15" customHeight="1">
      <c r="A163" t="inlineStr">
        <is>
          <t>A 28806-2026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46233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3.3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Skinnlav</t>
        </is>
      </c>
      <c r="W163">
        <f>HYPERLINK("https://klasma.github.io/Logging_2481/artfynd/A 28806-2026 artfynd.xlsx", "A 28806-2026")</f>
        <v/>
      </c>
      <c r="X163">
        <f>HYPERLINK("https://klasma.github.io/Logging_2481/kartor/A 28806-2026 karta.png", "A 28806-2026")</f>
        <v/>
      </c>
      <c r="Y163">
        <f>HYPERLINK("https://klasma.github.io/Logging_2481/kartor_geotiff/A 28806-2026 georefererad karta.tif", "A 28806-2026")</f>
        <v/>
      </c>
      <c r="AA163">
        <f>HYPERLINK("https://klasma.github.io/Logging_2481/klagomål/A 28806-2026 FSC-klagomål.docx", "A 28806-2026")</f>
        <v/>
      </c>
      <c r="AB163">
        <f>HYPERLINK("https://klasma.github.io/Logging_2481/klagomålsmail/A 28806-2026 FSC-klagomål mail.docx", "A 28806-2026")</f>
        <v/>
      </c>
      <c r="AC163">
        <f>HYPERLINK("https://klasma.github.io/Logging_2481/tillsyn/A 28806-2026 tillsynsbegäran.docx", "A 28806-2026")</f>
        <v/>
      </c>
      <c r="AD163">
        <f>HYPERLINK("https://klasma.github.io/Logging_2481/tillsynsmail/A 28806-2026 tillsynsbegäran mail.docx", "A 28806-2026")</f>
        <v/>
      </c>
    </row>
    <row r="164" ht="15" customHeight="1">
      <c r="A164" t="inlineStr">
        <is>
          <t>A 28459-2026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46197</v>
      </c>
      <c r="E164" s="1" t="n">
        <v>46233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SCA</t>
        </is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Fläcknycklar</t>
        </is>
      </c>
      <c r="W164">
        <f>HYPERLINK("https://klasma.github.io/Logging_2481/artfynd/A 28459-2026 artfynd.xlsx", "A 28459-2026")</f>
        <v/>
      </c>
      <c r="X164">
        <f>HYPERLINK("https://klasma.github.io/Logging_2481/kartor/A 28459-2026 karta.png", "A 28459-2026")</f>
        <v/>
      </c>
      <c r="Y164">
        <f>HYPERLINK("https://klasma.github.io/Logging_2481/kartor_geotiff/A 28459-2026 georefererad karta.tif", "A 28459-2026")</f>
        <v/>
      </c>
      <c r="AA164">
        <f>HYPERLINK("https://klasma.github.io/Logging_2481/klagomål/A 28459-2026 FSC-klagomål.docx", "A 28459-2026")</f>
        <v/>
      </c>
      <c r="AB164">
        <f>HYPERLINK("https://klasma.github.io/Logging_2481/klagomålsmail/A 28459-2026 FSC-klagomål mail.docx", "A 28459-2026")</f>
        <v/>
      </c>
      <c r="AC164">
        <f>HYPERLINK("https://klasma.github.io/Logging_2481/tillsyn/A 28459-2026 tillsynsbegäran.docx", "A 28459-2026")</f>
        <v/>
      </c>
      <c r="AD164">
        <f>HYPERLINK("https://klasma.github.io/Logging_2481/tillsynsmail/A 28459-2026 tillsynsbegäran mail.docx", "A 28459-2026")</f>
        <v/>
      </c>
    </row>
    <row r="165" ht="15" customHeight="1">
      <c r="A165" t="inlineStr">
        <is>
          <t>A 22680-2026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46156</v>
      </c>
      <c r="E165" s="1" t="n">
        <v>46233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22.2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22680-2026 artfynd.xlsx", "A 22680-2026")</f>
        <v/>
      </c>
      <c r="X165">
        <f>HYPERLINK("https://klasma.github.io/Logging_2481/kartor/A 22680-2026 karta.png", "A 22680-2026")</f>
        <v/>
      </c>
      <c r="Y165">
        <f>HYPERLINK("https://klasma.github.io/Logging_2481/kartor_geotiff/A 22680-2026 georefererad karta.tif", "A 22680-2026")</f>
        <v/>
      </c>
      <c r="AA165">
        <f>HYPERLINK("https://klasma.github.io/Logging_2481/klagomål/A 22680-2026 FSC-klagomål.docx", "A 22680-2026")</f>
        <v/>
      </c>
      <c r="AB165">
        <f>HYPERLINK("https://klasma.github.io/Logging_2481/klagomålsmail/A 22680-2026 FSC-klagomål mail.docx", "A 22680-2026")</f>
        <v/>
      </c>
      <c r="AC165">
        <f>HYPERLINK("https://klasma.github.io/Logging_2481/tillsyn/A 22680-2026 tillsynsbegäran.docx", "A 22680-2026")</f>
        <v/>
      </c>
      <c r="AD165">
        <f>HYPERLINK("https://klasma.github.io/Logging_2481/tillsynsmail/A 22680-2026 tillsynsbegäran mail.docx", "A 22680-2026")</f>
        <v/>
      </c>
    </row>
    <row r="166" ht="15" customHeight="1">
      <c r="A166" t="inlineStr">
        <is>
          <t>A 28716-2026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46233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HYPERLINK("https://klasma.github.io/Logging_2481/artfynd/A 28716-2026 artfynd.xlsx", "A 28716-2026")</f>
        <v/>
      </c>
      <c r="X166">
        <f>HYPERLINK("https://klasma.github.io/Logging_2481/kartor/A 28716-2026 karta.png", "A 28716-2026")</f>
        <v/>
      </c>
      <c r="Y166">
        <f>HYPERLINK("https://klasma.github.io/Logging_2481/kartor_geotiff/A 28716-2026 georefererad karta.tif", "A 28716-2026")</f>
        <v/>
      </c>
      <c r="AA166">
        <f>HYPERLINK("https://klasma.github.io/Logging_2481/klagomål/A 28716-2026 FSC-klagomål.docx", "A 28716-2026")</f>
        <v/>
      </c>
      <c r="AB166">
        <f>HYPERLINK("https://klasma.github.io/Logging_2481/klagomålsmail/A 28716-2026 FSC-klagomål mail.docx", "A 28716-2026")</f>
        <v/>
      </c>
      <c r="AC166">
        <f>HYPERLINK("https://klasma.github.io/Logging_2481/tillsyn/A 28716-2026 tillsynsbegäran.docx", "A 28716-2026")</f>
        <v/>
      </c>
      <c r="AD166">
        <f>HYPERLINK("https://klasma.github.io/Logging_2481/tillsynsmail/A 28716-2026 tillsynsbegäran mail.docx", "A 28716-2026")</f>
        <v/>
      </c>
    </row>
    <row r="167" ht="15" customHeight="1">
      <c r="A167" t="inlineStr">
        <is>
          <t>A 38507-2023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46233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Blå taggsvamp</t>
        </is>
      </c>
      <c r="W167">
        <f>HYPERLINK("https://klasma.github.io/Logging_2481/artfynd/A 38507-2023 artfynd.xlsx", "A 38507-2023")</f>
        <v/>
      </c>
      <c r="X167">
        <f>HYPERLINK("https://klasma.github.io/Logging_2481/kartor/A 38507-2023 karta.png", "A 38507-2023")</f>
        <v/>
      </c>
      <c r="Y167">
        <f>HYPERLINK("https://klasma.github.io/Logging_2481/kartor_geotiff/A 38507-2023 georefererad karta.tif", "A 38507-2023")</f>
        <v/>
      </c>
      <c r="AA167">
        <f>HYPERLINK("https://klasma.github.io/Logging_2481/klagomål/A 38507-2023 FSC-klagomål.docx", "A 38507-2023")</f>
        <v/>
      </c>
      <c r="AB167">
        <f>HYPERLINK("https://klasma.github.io/Logging_2481/klagomålsmail/A 38507-2023 FSC-klagomål mail.docx", "A 38507-2023")</f>
        <v/>
      </c>
      <c r="AC167">
        <f>HYPERLINK("https://klasma.github.io/Logging_2481/tillsyn/A 38507-2023 tillsynsbegäran.docx", "A 38507-2023")</f>
        <v/>
      </c>
      <c r="AD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57243-2025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46233</v>
      </c>
      <c r="F168" t="inlineStr">
        <is>
          <t>VÄSTERBOTTENS LÄN</t>
        </is>
      </c>
      <c r="G168" t="inlineStr">
        <is>
          <t>LYCKSELE</t>
        </is>
      </c>
      <c r="I168" t="n">
        <v>2.1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57243-2025 artfynd.xlsx", "A 57243-2025")</f>
        <v/>
      </c>
      <c r="X168">
        <f>HYPERLINK("https://klasma.github.io/Logging_2481/kartor/A 57243-2025 karta.png", "A 57243-2025")</f>
        <v/>
      </c>
      <c r="Y168">
        <f>HYPERLINK("https://klasma.github.io/Logging_2481/kartor_geotiff/A 57243-2025 georefererad karta.tif", "A 57243-2025")</f>
        <v/>
      </c>
      <c r="AA168">
        <f>HYPERLINK("https://klasma.github.io/Logging_2481/klagomål/A 57243-2025 FSC-klagomål.docx", "A 57243-2025")</f>
        <v/>
      </c>
      <c r="AB168">
        <f>HYPERLINK("https://klasma.github.io/Logging_2481/klagomålsmail/A 57243-2025 FSC-klagomål mail.docx", "A 57243-2025")</f>
        <v/>
      </c>
      <c r="AC168">
        <f>HYPERLINK("https://klasma.github.io/Logging_2481/tillsyn/A 57243-2025 tillsynsbegäran.docx", "A 57243-2025")</f>
        <v/>
      </c>
      <c r="AD168">
        <f>HYPERLINK("https://klasma.github.io/Logging_2481/tillsynsmail/A 57243-2025 tillsynsbegäran mail.docx", "A 57243-2025")</f>
        <v/>
      </c>
    </row>
    <row r="169" ht="15" customHeight="1">
      <c r="A169" t="inlineStr">
        <is>
          <t>A 23396-2026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46233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6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Källpraktmossa</t>
        </is>
      </c>
      <c r="W169">
        <f>HYPERLINK("https://klasma.github.io/Logging_2481/artfynd/A 23396-2026 artfynd.xlsx", "A 23396-2026")</f>
        <v/>
      </c>
      <c r="X169">
        <f>HYPERLINK("https://klasma.github.io/Logging_2481/kartor/A 23396-2026 karta.png", "A 23396-2026")</f>
        <v/>
      </c>
      <c r="Y169">
        <f>HYPERLINK("https://klasma.github.io/Logging_2481/kartor_geotiff/A 23396-2026 georefererad karta.tif", "A 23396-2026")</f>
        <v/>
      </c>
      <c r="AA169">
        <f>HYPERLINK("https://klasma.github.io/Logging_2481/klagomål/A 23396-2026 FSC-klagomål.docx", "A 23396-2026")</f>
        <v/>
      </c>
      <c r="AB169">
        <f>HYPERLINK("https://klasma.github.io/Logging_2481/klagomålsmail/A 23396-2026 FSC-klagomål mail.docx", "A 23396-2026")</f>
        <v/>
      </c>
      <c r="AC169">
        <f>HYPERLINK("https://klasma.github.io/Logging_2481/tillsyn/A 23396-2026 tillsynsbegäran.docx", "A 23396-2026")</f>
        <v/>
      </c>
      <c r="AD169">
        <f>HYPERLINK("https://klasma.github.io/Logging_2481/tillsynsmail/A 23396-2026 tillsynsbegäran mail.docx", "A 23396-2026")</f>
        <v/>
      </c>
    </row>
    <row r="170" ht="15" customHeight="1">
      <c r="A170" t="inlineStr">
        <is>
          <t>A 50826-2024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46233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3.1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Dropptaggsvamp</t>
        </is>
      </c>
      <c r="W170">
        <f>HYPERLINK("https://klasma.github.io/Logging_2481/artfynd/A 50826-2024 artfynd.xlsx", "A 50826-2024")</f>
        <v/>
      </c>
      <c r="X170">
        <f>HYPERLINK("https://klasma.github.io/Logging_2481/kartor/A 50826-2024 karta.png", "A 50826-2024")</f>
        <v/>
      </c>
      <c r="Y170">
        <f>HYPERLINK("https://klasma.github.io/Logging_2481/kartor_geotiff/A 50826-2024 georefererad karta.tif", "A 50826-2024")</f>
        <v/>
      </c>
      <c r="AA170">
        <f>HYPERLINK("https://klasma.github.io/Logging_2481/klagomål/A 50826-2024 FSC-klagomål.docx", "A 50826-2024")</f>
        <v/>
      </c>
      <c r="AB170">
        <f>HYPERLINK("https://klasma.github.io/Logging_2481/klagomålsmail/A 50826-2024 FSC-klagomål mail.docx", "A 50826-2024")</f>
        <v/>
      </c>
      <c r="AC170">
        <f>HYPERLINK("https://klasma.github.io/Logging_2481/tillsyn/A 50826-2024 tillsynsbegäran.docx", "A 50826-2024")</f>
        <v/>
      </c>
      <c r="AD170">
        <f>HYPERLINK("https://klasma.github.io/Logging_2481/tillsynsmail/A 50826-2024 tillsynsbegäran mail.docx", "A 50826-2024")</f>
        <v/>
      </c>
    </row>
    <row r="171" ht="15" customHeight="1">
      <c r="A171" t="inlineStr">
        <is>
          <t>A 29828-2026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46205</v>
      </c>
      <c r="E171" s="1" t="n">
        <v>46233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Kolflarnlav</t>
        </is>
      </c>
      <c r="W171">
        <f>HYPERLINK("https://klasma.github.io/Logging_2481/artfynd/A 29828-2026 artfynd.xlsx", "A 29828-2026")</f>
        <v/>
      </c>
      <c r="X171">
        <f>HYPERLINK("https://klasma.github.io/Logging_2481/kartor/A 29828-2026 karta.png", "A 29828-2026")</f>
        <v/>
      </c>
      <c r="Y171">
        <f>HYPERLINK("https://klasma.github.io/Logging_2481/kartor_geotiff/A 29828-2026 georefererad karta.tif", "A 29828-2026")</f>
        <v/>
      </c>
      <c r="AA171">
        <f>HYPERLINK("https://klasma.github.io/Logging_2481/klagomål/A 29828-2026 FSC-klagomål.docx", "A 29828-2026")</f>
        <v/>
      </c>
      <c r="AB171">
        <f>HYPERLINK("https://klasma.github.io/Logging_2481/klagomålsmail/A 29828-2026 FSC-klagomål mail.docx", "A 29828-2026")</f>
        <v/>
      </c>
      <c r="AC171">
        <f>HYPERLINK("https://klasma.github.io/Logging_2481/tillsyn/A 29828-2026 tillsynsbegäran.docx", "A 29828-2026")</f>
        <v/>
      </c>
      <c r="AD171">
        <f>HYPERLINK("https://klasma.github.io/Logging_2481/tillsynsmail/A 29828-2026 tillsynsbegäran mail.docx", "A 29828-2026")</f>
        <v/>
      </c>
    </row>
    <row r="172" ht="15" customHeight="1">
      <c r="A172" t="inlineStr">
        <is>
          <t>A 45774-2024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45579</v>
      </c>
      <c r="E172" s="1" t="n">
        <v>46233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4.3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Barkticka</t>
        </is>
      </c>
      <c r="W172">
        <f>HYPERLINK("https://klasma.github.io/Logging_2481/artfynd/A 45774-2024 artfynd.xlsx", "A 45774-2024")</f>
        <v/>
      </c>
      <c r="X172">
        <f>HYPERLINK("https://klasma.github.io/Logging_2481/kartor/A 45774-2024 karta.png", "A 45774-2024")</f>
        <v/>
      </c>
      <c r="Y172">
        <f>HYPERLINK("https://klasma.github.io/Logging_2481/kartor_geotiff/A 45774-2024 georefererad karta.tif", "A 45774-2024")</f>
        <v/>
      </c>
      <c r="AA172">
        <f>HYPERLINK("https://klasma.github.io/Logging_2481/klagomål/A 45774-2024 FSC-klagomål.docx", "A 45774-2024")</f>
        <v/>
      </c>
      <c r="AB172">
        <f>HYPERLINK("https://klasma.github.io/Logging_2481/klagomålsmail/A 45774-2024 FSC-klagomål mail.docx", "A 45774-2024")</f>
        <v/>
      </c>
      <c r="AC172">
        <f>HYPERLINK("https://klasma.github.io/Logging_2481/tillsyn/A 45774-2024 tillsynsbegäran.docx", "A 45774-2024")</f>
        <v/>
      </c>
      <c r="AD172">
        <f>HYPERLINK("https://klasma.github.io/Logging_2481/tillsynsmail/A 45774-2024 tillsynsbegäran mail.docx", "A 45774-2024")</f>
        <v/>
      </c>
    </row>
    <row r="173" ht="15" customHeight="1">
      <c r="A173" t="inlineStr">
        <is>
          <t>A 30994-2026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46233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Violettgrå tagellav</t>
        </is>
      </c>
      <c r="W173">
        <f>HYPERLINK("https://klasma.github.io/Logging_2481/artfynd/A 30994-2026 artfynd.xlsx", "A 30994-2026")</f>
        <v/>
      </c>
      <c r="X173">
        <f>HYPERLINK("https://klasma.github.io/Logging_2481/kartor/A 30994-2026 karta.png", "A 30994-2026")</f>
        <v/>
      </c>
      <c r="Y173">
        <f>HYPERLINK("https://klasma.github.io/Logging_2481/kartor_geotiff/A 30994-2026 georefererad karta.tif", "A 30994-2026")</f>
        <v/>
      </c>
      <c r="AA173">
        <f>HYPERLINK("https://klasma.github.io/Logging_2481/klagomål/A 30994-2026 FSC-klagomål.docx", "A 30994-2026")</f>
        <v/>
      </c>
      <c r="AB173">
        <f>HYPERLINK("https://klasma.github.io/Logging_2481/klagomålsmail/A 30994-2026 FSC-klagomål mail.docx", "A 30994-2026")</f>
        <v/>
      </c>
      <c r="AC173">
        <f>HYPERLINK("https://klasma.github.io/Logging_2481/tillsyn/A 30994-2026 tillsynsbegäran.docx", "A 30994-2026")</f>
        <v/>
      </c>
      <c r="AD173">
        <f>HYPERLINK("https://klasma.github.io/Logging_2481/tillsynsmail/A 30994-2026 tillsynsbegäran mail.docx", "A 30994-2026")</f>
        <v/>
      </c>
    </row>
    <row r="174" ht="15" customHeight="1">
      <c r="A174" t="inlineStr">
        <is>
          <t>A 31290-2026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46233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HYPERLINK("https://klasma.github.io/Logging_2481/artfynd/A 31290-2026 artfynd.xlsx", "A 31290-2026")</f>
        <v/>
      </c>
      <c r="X174">
        <f>HYPERLINK("https://klasma.github.io/Logging_2481/kartor/A 31290-2026 karta.png", "A 31290-2026")</f>
        <v/>
      </c>
      <c r="Y174">
        <f>HYPERLINK("https://klasma.github.io/Logging_2481/kartor_geotiff/A 31290-2026 georefererad karta.tif", "A 31290-2026")</f>
        <v/>
      </c>
      <c r="AA174">
        <f>HYPERLINK("https://klasma.github.io/Logging_2481/klagomål/A 31290-2026 FSC-klagomål.docx", "A 31290-2026")</f>
        <v/>
      </c>
      <c r="AB174">
        <f>HYPERLINK("https://klasma.github.io/Logging_2481/klagomålsmail/A 31290-2026 FSC-klagomål mail.docx", "A 31290-2026")</f>
        <v/>
      </c>
      <c r="AC174">
        <f>HYPERLINK("https://klasma.github.io/Logging_2481/tillsyn/A 31290-2026 tillsynsbegäran.docx", "A 31290-2026")</f>
        <v/>
      </c>
      <c r="AD174">
        <f>HYPERLINK("https://klasma.github.io/Logging_2481/tillsynsmail/A 31290-2026 tillsynsbegäran mail.docx", "A 31290-2026")</f>
        <v/>
      </c>
    </row>
    <row r="175" ht="15" customHeight="1">
      <c r="A175" t="inlineStr">
        <is>
          <t>A 25591-2026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46233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15.9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Gränsticka</t>
        </is>
      </c>
      <c r="W175">
        <f>HYPERLINK("https://klasma.github.io/Logging_2481/artfynd/A 25591-2026 artfynd.xlsx", "A 25591-2026")</f>
        <v/>
      </c>
      <c r="X175">
        <f>HYPERLINK("https://klasma.github.io/Logging_2481/kartor/A 25591-2026 karta.png", "A 25591-2026")</f>
        <v/>
      </c>
      <c r="Y175">
        <f>HYPERLINK("https://klasma.github.io/Logging_2481/kartor_geotiff/A 25591-2026 georefererad karta.tif", "A 25591-2026")</f>
        <v/>
      </c>
      <c r="AA175">
        <f>HYPERLINK("https://klasma.github.io/Logging_2481/klagomål/A 25591-2026 FSC-klagomål.docx", "A 25591-2026")</f>
        <v/>
      </c>
      <c r="AB175">
        <f>HYPERLINK("https://klasma.github.io/Logging_2481/klagomålsmail/A 25591-2026 FSC-klagomål mail.docx", "A 25591-2026")</f>
        <v/>
      </c>
      <c r="AC175">
        <f>HYPERLINK("https://klasma.github.io/Logging_2481/tillsyn/A 25591-2026 tillsynsbegäran.docx", "A 25591-2026")</f>
        <v/>
      </c>
      <c r="AD175">
        <f>HYPERLINK("https://klasma.github.io/Logging_2481/tillsynsmail/A 25591-2026 tillsynsbegäran mail.docx", "A 25591-2026")</f>
        <v/>
      </c>
    </row>
    <row r="176" ht="15" customHeight="1">
      <c r="A176" t="inlineStr">
        <is>
          <t>A 50018-2024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45599</v>
      </c>
      <c r="E176" s="1" t="n">
        <v>46233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50018-2024 artfynd.xlsx", "A 50018-2024")</f>
        <v/>
      </c>
      <c r="X176">
        <f>HYPERLINK("https://klasma.github.io/Logging_2481/kartor/A 50018-2024 karta.png", "A 50018-2024")</f>
        <v/>
      </c>
      <c r="Y176">
        <f>HYPERLINK("https://klasma.github.io/Logging_2481/kartor_geotiff/A 50018-2024 georefererad karta.tif", "A 50018-2024")</f>
        <v/>
      </c>
      <c r="AA176">
        <f>HYPERLINK("https://klasma.github.io/Logging_2481/klagomål/A 50018-2024 FSC-klagomål.docx", "A 50018-2024")</f>
        <v/>
      </c>
      <c r="AB176">
        <f>HYPERLINK("https://klasma.github.io/Logging_2481/klagomålsmail/A 50018-2024 FSC-klagomål mail.docx", "A 50018-2024")</f>
        <v/>
      </c>
      <c r="AC176">
        <f>HYPERLINK("https://klasma.github.io/Logging_2481/tillsyn/A 50018-2024 tillsynsbegäran.docx", "A 50018-2024")</f>
        <v/>
      </c>
      <c r="AD176">
        <f>HYPERLINK("https://klasma.github.io/Logging_2481/tillsynsmail/A 50018-2024 tillsynsbegäran mail.docx", "A 50018-2024")</f>
        <v/>
      </c>
    </row>
    <row r="177" ht="15" customHeight="1">
      <c r="A177" t="inlineStr">
        <is>
          <t>A 24824-2024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46233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6.1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Kungsörn</t>
        </is>
      </c>
      <c r="W177">
        <f>HYPERLINK("https://klasma.github.io/Logging_2481/artfynd/A 24824-2024 artfynd.xlsx", "A 24824-2024")</f>
        <v/>
      </c>
      <c r="X177">
        <f>HYPERLINK("https://klasma.github.io/Logging_2481/kartor/A 24824-2024 karta.png", "A 24824-2024")</f>
        <v/>
      </c>
      <c r="Y177">
        <f>HYPERLINK("https://klasma.github.io/Logging_2481/kartor_geotiff/A 24824-2024 georefererad karta.tif", "A 24824-2024")</f>
        <v/>
      </c>
      <c r="AA177">
        <f>HYPERLINK("https://klasma.github.io/Logging_2481/klagomål/A 24824-2024 FSC-klagomål.docx", "A 24824-2024")</f>
        <v/>
      </c>
      <c r="AB177">
        <f>HYPERLINK("https://klasma.github.io/Logging_2481/klagomålsmail/A 24824-2024 FSC-klagomål mail.docx", "A 24824-2024")</f>
        <v/>
      </c>
      <c r="AC177">
        <f>HYPERLINK("https://klasma.github.io/Logging_2481/tillsyn/A 24824-2024 tillsynsbegäran.docx", "A 24824-2024")</f>
        <v/>
      </c>
      <c r="AD177">
        <f>HYPERLINK("https://klasma.github.io/Logging_2481/tillsynsmail/A 24824-2024 tillsynsbegäran mail.docx", "A 24824-2024")</f>
        <v/>
      </c>
      <c r="AE177">
        <f>HYPERLINK("https://klasma.github.io/Logging_2481/fåglar/A 24824-2024 prioriterade fågelarter.docx", "A 24824-2024")</f>
        <v/>
      </c>
    </row>
    <row r="178" ht="15" customHeight="1">
      <c r="A178" t="inlineStr">
        <is>
          <t>A 25701-2026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46233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Skrovellav</t>
        </is>
      </c>
      <c r="W178">
        <f>HYPERLINK("https://klasma.github.io/Logging_2481/artfynd/A 25701-2026 artfynd.xlsx", "A 25701-2026")</f>
        <v/>
      </c>
      <c r="X178">
        <f>HYPERLINK("https://klasma.github.io/Logging_2481/kartor/A 25701-2026 karta.png", "A 25701-2026")</f>
        <v/>
      </c>
      <c r="Y178">
        <f>HYPERLINK("https://klasma.github.io/Logging_2481/kartor_geotiff/A 25701-2026 georefererad karta.tif", "A 25701-2026")</f>
        <v/>
      </c>
      <c r="AA178">
        <f>HYPERLINK("https://klasma.github.io/Logging_2481/klagomål/A 25701-2026 FSC-klagomål.docx", "A 25701-2026")</f>
        <v/>
      </c>
      <c r="AB178">
        <f>HYPERLINK("https://klasma.github.io/Logging_2481/klagomålsmail/A 25701-2026 FSC-klagomål mail.docx", "A 25701-2026")</f>
        <v/>
      </c>
      <c r="AC178">
        <f>HYPERLINK("https://klasma.github.io/Logging_2481/tillsyn/A 25701-2026 tillsynsbegäran.docx", "A 25701-2026")</f>
        <v/>
      </c>
      <c r="AD178">
        <f>HYPERLINK("https://klasma.github.io/Logging_2481/tillsynsmail/A 25701-2026 tillsynsbegäran mail.docx", "A 25701-2026")</f>
        <v/>
      </c>
    </row>
    <row r="179" ht="15" customHeight="1">
      <c r="A179" t="inlineStr">
        <is>
          <t>A 25720-2026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46233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10.5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25720-2026 artfynd.xlsx", "A 25720-2026")</f>
        <v/>
      </c>
      <c r="X179">
        <f>HYPERLINK("https://klasma.github.io/Logging_2481/kartor/A 25720-2026 karta.png", "A 25720-2026")</f>
        <v/>
      </c>
      <c r="Y179">
        <f>HYPERLINK("https://klasma.github.io/Logging_2481/kartor_geotiff/A 25720-2026 georefererad karta.tif", "A 25720-2026")</f>
        <v/>
      </c>
      <c r="AA179">
        <f>HYPERLINK("https://klasma.github.io/Logging_2481/klagomål/A 25720-2026 FSC-klagomål.docx", "A 25720-2026")</f>
        <v/>
      </c>
      <c r="AB179">
        <f>HYPERLINK("https://klasma.github.io/Logging_2481/klagomålsmail/A 25720-2026 FSC-klagomål mail.docx", "A 25720-2026")</f>
        <v/>
      </c>
      <c r="AC179">
        <f>HYPERLINK("https://klasma.github.io/Logging_2481/tillsyn/A 25720-2026 tillsynsbegäran.docx", "A 25720-2026")</f>
        <v/>
      </c>
      <c r="AD179">
        <f>HYPERLINK("https://klasma.github.io/Logging_2481/tillsynsmail/A 25720-2026 tillsynsbegäran mail.docx", "A 25720-2026")</f>
        <v/>
      </c>
    </row>
    <row r="180" ht="15" customHeight="1">
      <c r="A180" t="inlineStr">
        <is>
          <t>A 25706-2026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46233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25706-2026 artfynd.xlsx", "A 25706-2026")</f>
        <v/>
      </c>
      <c r="X180">
        <f>HYPERLINK("https://klasma.github.io/Logging_2481/kartor/A 25706-2026 karta.png", "A 25706-2026")</f>
        <v/>
      </c>
      <c r="Y180">
        <f>HYPERLINK("https://klasma.github.io/Logging_2481/kartor_geotiff/A 25706-2026 georefererad karta.tif", "A 25706-2026")</f>
        <v/>
      </c>
      <c r="AA180">
        <f>HYPERLINK("https://klasma.github.io/Logging_2481/klagomål/A 25706-2026 FSC-klagomål.docx", "A 25706-2026")</f>
        <v/>
      </c>
      <c r="AB180">
        <f>HYPERLINK("https://klasma.github.io/Logging_2481/klagomålsmail/A 25706-2026 FSC-klagomål mail.docx", "A 25706-2026")</f>
        <v/>
      </c>
      <c r="AC180">
        <f>HYPERLINK("https://klasma.github.io/Logging_2481/tillsyn/A 25706-2026 tillsynsbegäran.docx", "A 25706-2026")</f>
        <v/>
      </c>
      <c r="AD180">
        <f>HYPERLINK("https://klasma.github.io/Logging_2481/tillsynsmail/A 25706-2026 tillsynsbegäran mail.docx", "A 25706-2026")</f>
        <v/>
      </c>
    </row>
    <row r="181" ht="15" customHeight="1">
      <c r="A181" t="inlineStr">
        <is>
          <t>A 41793-2024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45561</v>
      </c>
      <c r="E181" s="1" t="n">
        <v>46233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41793-2024 artfynd.xlsx", "A 41793-2024")</f>
        <v/>
      </c>
      <c r="X181">
        <f>HYPERLINK("https://klasma.github.io/Logging_2481/kartor/A 41793-2024 karta.png", "A 41793-2024")</f>
        <v/>
      </c>
      <c r="Y181">
        <f>HYPERLINK("https://klasma.github.io/Logging_2481/kartor_geotiff/A 41793-2024 georefererad karta.tif", "A 41793-2024")</f>
        <v/>
      </c>
      <c r="AA181">
        <f>HYPERLINK("https://klasma.github.io/Logging_2481/klagomål/A 41793-2024 FSC-klagomål.docx", "A 41793-2024")</f>
        <v/>
      </c>
      <c r="AB181">
        <f>HYPERLINK("https://klasma.github.io/Logging_2481/klagomålsmail/A 41793-2024 FSC-klagomål mail.docx", "A 41793-2024")</f>
        <v/>
      </c>
      <c r="AC181">
        <f>HYPERLINK("https://klasma.github.io/Logging_2481/tillsyn/A 41793-2024 tillsynsbegäran.docx", "A 41793-2024")</f>
        <v/>
      </c>
      <c r="AD181">
        <f>HYPERLINK("https://klasma.github.io/Logging_2481/tillsynsmail/A 41793-2024 tillsynsbegäran mail.docx", "A 41793-2024")</f>
        <v/>
      </c>
    </row>
    <row r="182" ht="15" customHeight="1">
      <c r="A182" t="inlineStr">
        <is>
          <t>A 27161-2026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46233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Lunglav</t>
        </is>
      </c>
      <c r="W182">
        <f>HYPERLINK("https://klasma.github.io/Logging_2481/artfynd/A 27161-2026 artfynd.xlsx", "A 27161-2026")</f>
        <v/>
      </c>
      <c r="X182">
        <f>HYPERLINK("https://klasma.github.io/Logging_2481/kartor/A 27161-2026 karta.png", "A 27161-2026")</f>
        <v/>
      </c>
      <c r="Y182">
        <f>HYPERLINK("https://klasma.github.io/Logging_2481/kartor_geotiff/A 27161-2026 georefererad karta.tif", "A 27161-2026")</f>
        <v/>
      </c>
      <c r="AA182">
        <f>HYPERLINK("https://klasma.github.io/Logging_2481/klagomål/A 27161-2026 FSC-klagomål.docx", "A 27161-2026")</f>
        <v/>
      </c>
      <c r="AB182">
        <f>HYPERLINK("https://klasma.github.io/Logging_2481/klagomålsmail/A 27161-2026 FSC-klagomål mail.docx", "A 27161-2026")</f>
        <v/>
      </c>
      <c r="AC182">
        <f>HYPERLINK("https://klasma.github.io/Logging_2481/tillsyn/A 27161-2026 tillsynsbegäran.docx", "A 27161-2026")</f>
        <v/>
      </c>
      <c r="AD182">
        <f>HYPERLINK("https://klasma.github.io/Logging_2481/tillsynsmail/A 27161-2026 tillsynsbegäran mail.docx", "A 27161-2026")</f>
        <v/>
      </c>
    </row>
    <row r="183" ht="15" customHeight="1">
      <c r="A183" t="inlineStr">
        <is>
          <t>A 219-2025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46233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HYPERLINK("https://klasma.github.io/Logging_2481/artfynd/A 219-2025 artfynd.xlsx", "A 219-2025")</f>
        <v/>
      </c>
      <c r="X183">
        <f>HYPERLINK("https://klasma.github.io/Logging_2481/kartor/A 219-2025 karta.png", "A 219-2025")</f>
        <v/>
      </c>
      <c r="Y183">
        <f>HYPERLINK("https://klasma.github.io/Logging_2481/kartor_geotiff/A 219-2025 georefererad karta.tif", "A 219-2025")</f>
        <v/>
      </c>
      <c r="AA183">
        <f>HYPERLINK("https://klasma.github.io/Logging_2481/klagomål/A 219-2025 FSC-klagomål.docx", "A 219-2025")</f>
        <v/>
      </c>
      <c r="AB183">
        <f>HYPERLINK("https://klasma.github.io/Logging_2481/klagomålsmail/A 219-2025 FSC-klagomål mail.docx", "A 219-2025")</f>
        <v/>
      </c>
      <c r="AC183">
        <f>HYPERLINK("https://klasma.github.io/Logging_2481/tillsyn/A 219-2025 tillsynsbegäran.docx", "A 219-2025")</f>
        <v/>
      </c>
      <c r="AD183">
        <f>HYPERLINK("https://klasma.github.io/Logging_2481/tillsynsmail/A 219-2025 tillsynsbegäran mail.docx", "A 219-2025")</f>
        <v/>
      </c>
    </row>
    <row r="184" ht="15" customHeight="1">
      <c r="A184" t="inlineStr">
        <is>
          <t>A 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46233</v>
      </c>
      <c r="F184" t="inlineStr">
        <is>
          <t>VÄSTERBOTTENS LÄN</t>
        </is>
      </c>
      <c r="G184" t="inlineStr">
        <is>
          <t>LYCKSELE</t>
        </is>
      </c>
      <c r="I184" t="n">
        <v>5.2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7</v>
      </c>
      <c r="U184" t="n">
        <v>7</v>
      </c>
      <c r="V184" s="2" t="inlineStr">
        <is>
          <t>Tretåig hackspett</t>
        </is>
      </c>
      <c r="W184">
        <f>HYPERLINK("https://klasma.github.io/Logging_2481/artfynd/A 496-2024 artfynd.xlsx", "A 496-2024")</f>
        <v/>
      </c>
      <c r="X184">
        <f>HYPERLINK("https://klasma.github.io/Logging_2481/kartor/A 496-2024 karta.png", "A 496-2024")</f>
        <v/>
      </c>
      <c r="Y184">
        <f>HYPERLINK("https://klasma.github.io/Logging_2481/kartor_geotiff/A 496-2024 georefererad karta.tif", "A 496-2024")</f>
        <v/>
      </c>
      <c r="AA184">
        <f>HYPERLINK("https://klasma.github.io/Logging_2481/klagomål/A 496-2024 FSC-klagomål.docx", "A 496-2024")</f>
        <v/>
      </c>
      <c r="AB184">
        <f>HYPERLINK("https://klasma.github.io/Logging_2481/klagomålsmail/A 496-2024 FSC-klagomål mail.docx", "A 496-2024")</f>
        <v/>
      </c>
      <c r="AC184">
        <f>HYPERLINK("https://klasma.github.io/Logging_2481/tillsyn/A 496-2024 tillsynsbegäran.docx", "A 496-2024")</f>
        <v/>
      </c>
      <c r="AD184">
        <f>HYPERLINK("https://klasma.github.io/Logging_2481/tillsynsmail/A 496-2024 tillsynsbegäran mail.docx", "A 496-2024")</f>
        <v/>
      </c>
      <c r="AE184">
        <f>HYPERLINK("https://klasma.github.io/Logging_2481/fåglar/A 496-2024 prioriterade fågelarter.docx", "A 496-2024")</f>
        <v/>
      </c>
    </row>
    <row r="185" ht="15" customHeight="1">
      <c r="A185" t="inlineStr">
        <is>
          <t>A 22373-2025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46233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22373-2025 artfynd.xlsx", "A 22373-2025")</f>
        <v/>
      </c>
      <c r="X185">
        <f>HYPERLINK("https://klasma.github.io/Logging_2481/kartor/A 22373-2025 karta.png", "A 22373-2025")</f>
        <v/>
      </c>
      <c r="Y185">
        <f>HYPERLINK("https://klasma.github.io/Logging_2481/kartor_geotiff/A 22373-2025 georefererad karta.tif", "A 22373-2025")</f>
        <v/>
      </c>
      <c r="AA185">
        <f>HYPERLINK("https://klasma.github.io/Logging_2481/klagomål/A 22373-2025 FSC-klagomål.docx", "A 22373-2025")</f>
        <v/>
      </c>
      <c r="AB185">
        <f>HYPERLINK("https://klasma.github.io/Logging_2481/klagomålsmail/A 22373-2025 FSC-klagomål mail.docx", "A 22373-2025")</f>
        <v/>
      </c>
      <c r="AC185">
        <f>HYPERLINK("https://klasma.github.io/Logging_2481/tillsyn/A 22373-2025 tillsynsbegäran.docx", "A 22373-2025")</f>
        <v/>
      </c>
      <c r="AD185">
        <f>HYPERLINK("https://klasma.github.io/Logging_2481/tillsynsmail/A 22373-2025 tillsynsbegäran mail.docx", "A 22373-2025")</f>
        <v/>
      </c>
    </row>
    <row r="186" ht="15" customHeight="1">
      <c r="A186" t="inlineStr">
        <is>
          <t>A 53226-2022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46233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10.5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Ängsmetallvinge</t>
        </is>
      </c>
      <c r="W186">
        <f>HYPERLINK("https://klasma.github.io/Logging_2481/artfynd/A 53226-2022 artfynd.xlsx", "A 53226-2022")</f>
        <v/>
      </c>
      <c r="X186">
        <f>HYPERLINK("https://klasma.github.io/Logging_2481/kartor/A 53226-2022 karta.png", "A 53226-2022")</f>
        <v/>
      </c>
      <c r="Y186">
        <f>HYPERLINK("https://klasma.github.io/Logging_2481/kartor_geotiff/A 53226-2022 georefererad karta.tif", "A 53226-2022")</f>
        <v/>
      </c>
      <c r="AA186">
        <f>HYPERLINK("https://klasma.github.io/Logging_2481/klagomål/A 53226-2022 FSC-klagomål.docx", "A 53226-2022")</f>
        <v/>
      </c>
      <c r="AB186">
        <f>HYPERLINK("https://klasma.github.io/Logging_2481/klagomålsmail/A 53226-2022 FSC-klagomål mail.docx", "A 53226-2022")</f>
        <v/>
      </c>
      <c r="AC186">
        <f>HYPERLINK("https://klasma.github.io/Logging_2481/tillsyn/A 53226-2022 tillsynsbegäran.docx", "A 53226-2022")</f>
        <v/>
      </c>
      <c r="AD186">
        <f>HYPERLINK("https://klasma.github.io/Logging_2481/tillsynsmail/A 53226-2022 tillsynsbegäran mail.docx", "A 53226-2022")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46233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46233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46233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46233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47018-2021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44446</v>
      </c>
      <c r="E195" s="1" t="n">
        <v>46233</v>
      </c>
      <c r="F195" t="inlineStr">
        <is>
          <t>VÄSTERBOTTENS LÄN</t>
        </is>
      </c>
      <c r="G195" t="inlineStr">
        <is>
          <t>LYCKSELE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46233</v>
      </c>
      <c r="F196" t="inlineStr">
        <is>
          <t>VÄSTERBOTTENS LÄN</t>
        </is>
      </c>
      <c r="G196" t="inlineStr">
        <is>
          <t>LYCKSELE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46233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46233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46233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46233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46233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46233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46233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46233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46233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46233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61511-2021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44501</v>
      </c>
      <c r="E207" s="1" t="n">
        <v>46233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59445-2021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44490</v>
      </c>
      <c r="E208" s="1" t="n">
        <v>46233</v>
      </c>
      <c r="F208" t="inlineStr">
        <is>
          <t>VÄSTERBOTTENS LÄN</t>
        </is>
      </c>
      <c r="G208" t="inlineStr">
        <is>
          <t>LYCKSELE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44839</v>
      </c>
      <c r="E209" s="1" t="n">
        <v>46233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46233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46233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45270-2021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44439</v>
      </c>
      <c r="E212" s="1" t="n">
        <v>46233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46233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22075-2022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44711</v>
      </c>
      <c r="E214" s="1" t="n">
        <v>46233</v>
      </c>
      <c r="F214" t="inlineStr">
        <is>
          <t>VÄSTERBOTTENS LÄN</t>
        </is>
      </c>
      <c r="G214" t="inlineStr">
        <is>
          <t>LYCKSELE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46233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61900-2021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46233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46233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61573-2021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46233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65487-2021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44515</v>
      </c>
      <c r="E219" s="1" t="n">
        <v>46233</v>
      </c>
      <c r="F219" t="inlineStr">
        <is>
          <t>VÄSTERBOTTENS LÄN</t>
        </is>
      </c>
      <c r="G219" t="inlineStr">
        <is>
          <t>LYCKSELE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46233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54794-2021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46233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SCA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44783</v>
      </c>
      <c r="E222" s="1" t="n">
        <v>46233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56898-2021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44481</v>
      </c>
      <c r="E223" s="1" t="n">
        <v>46233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Naturvårdsverket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46233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44731</v>
      </c>
      <c r="E225" s="1" t="n">
        <v>46233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37423-2022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44809</v>
      </c>
      <c r="E226" s="1" t="n">
        <v>46233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42818-2021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44429</v>
      </c>
      <c r="E227" s="1" t="n">
        <v>46233</v>
      </c>
      <c r="F227" t="inlineStr">
        <is>
          <t>VÄSTERBOTTENS LÄN</t>
        </is>
      </c>
      <c r="G227" t="inlineStr">
        <is>
          <t>LYCKSELE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53974-2021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46233</v>
      </c>
      <c r="F228" t="inlineStr">
        <is>
          <t>VÄSTERBOTTENS LÄN</t>
        </is>
      </c>
      <c r="G228" t="inlineStr">
        <is>
          <t>LYCKSELE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43579-2021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44433</v>
      </c>
      <c r="E229" s="1" t="n">
        <v>46233</v>
      </c>
      <c r="F229" t="inlineStr">
        <is>
          <t>VÄSTERBOTTENS LÄN</t>
        </is>
      </c>
      <c r="G229" t="inlineStr">
        <is>
          <t>LYCKSELE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63827-2021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44509</v>
      </c>
      <c r="E230" s="1" t="n">
        <v>46233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44673</v>
      </c>
      <c r="E231" s="1" t="n">
        <v>46233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44564</v>
      </c>
      <c r="E232" s="1" t="n">
        <v>46233</v>
      </c>
      <c r="F232" t="inlineStr">
        <is>
          <t>VÄSTERBOTTENS LÄN</t>
        </is>
      </c>
      <c r="G232" t="inlineStr">
        <is>
          <t>LYCKSELE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72332-2021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44545</v>
      </c>
      <c r="E233" s="1" t="n">
        <v>46233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46233</v>
      </c>
      <c r="F234" t="inlineStr">
        <is>
          <t>VÄSTERBOTTENS LÄN</t>
        </is>
      </c>
      <c r="G234" t="inlineStr">
        <is>
          <t>LYCKSELE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69627-2021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44532</v>
      </c>
      <c r="E235" s="1" t="n">
        <v>46233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46233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72377-2021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44544</v>
      </c>
      <c r="E237" s="1" t="n">
        <v>46233</v>
      </c>
      <c r="F237" t="inlineStr">
        <is>
          <t>VÄSTERBOTTENS LÄN</t>
        </is>
      </c>
      <c r="G237" t="inlineStr">
        <is>
          <t>LYCKSELE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28994-2022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44749</v>
      </c>
      <c r="E238" s="1" t="n">
        <v>46233</v>
      </c>
      <c r="F238" t="inlineStr">
        <is>
          <t>VÄSTERBOTTENS LÄN</t>
        </is>
      </c>
      <c r="G238" t="inlineStr">
        <is>
          <t>LYCKSELE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57848-2021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44484</v>
      </c>
      <c r="E239" s="1" t="n">
        <v>46233</v>
      </c>
      <c r="F239" t="inlineStr">
        <is>
          <t>VÄSTERBOTTENS LÄN</t>
        </is>
      </c>
      <c r="G239" t="inlineStr">
        <is>
          <t>LYCKSELE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44837</v>
      </c>
      <c r="E240" s="1" t="n">
        <v>46233</v>
      </c>
      <c r="F240" t="inlineStr">
        <is>
          <t>VÄSTERBOTTENS LÄN</t>
        </is>
      </c>
      <c r="G240" t="inlineStr">
        <is>
          <t>LYCKSELE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44875</v>
      </c>
      <c r="E241" s="1" t="n">
        <v>46233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69226-2021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44531</v>
      </c>
      <c r="E242" s="1" t="n">
        <v>46233</v>
      </c>
      <c r="F242" t="inlineStr">
        <is>
          <t>VÄSTERBOTTENS LÄN</t>
        </is>
      </c>
      <c r="G242" t="inlineStr">
        <is>
          <t>LYCKSELE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65231-2021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44513</v>
      </c>
      <c r="E243" s="1" t="n">
        <v>46233</v>
      </c>
      <c r="F243" t="inlineStr">
        <is>
          <t>VÄSTERBOTTENS LÄN</t>
        </is>
      </c>
      <c r="G243" t="inlineStr">
        <is>
          <t>LYCKSELE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45266-2021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44439</v>
      </c>
      <c r="E244" s="1" t="n">
        <v>46233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70817-2021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44537</v>
      </c>
      <c r="E245" s="1" t="n">
        <v>46233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Naturvårdsverket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46233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44632-2021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44437</v>
      </c>
      <c r="E247" s="1" t="n">
        <v>46233</v>
      </c>
      <c r="F247" t="inlineStr">
        <is>
          <t>VÄSTERBOTTENS LÄN</t>
        </is>
      </c>
      <c r="G247" t="inlineStr">
        <is>
          <t>LYCKSELE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21058-2022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44704</v>
      </c>
      <c r="E248" s="1" t="n">
        <v>46233</v>
      </c>
      <c r="F248" t="inlineStr">
        <is>
          <t>VÄSTERBOTTENS LÄN</t>
        </is>
      </c>
      <c r="G248" t="inlineStr">
        <is>
          <t>LYCKSELE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44726</v>
      </c>
      <c r="E249" s="1" t="n">
        <v>46233</v>
      </c>
      <c r="F249" t="inlineStr">
        <is>
          <t>VÄSTERBOTTENS LÄN</t>
        </is>
      </c>
      <c r="G249" t="inlineStr">
        <is>
          <t>LYCKSELE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49816-2021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44454</v>
      </c>
      <c r="E250" s="1" t="n">
        <v>46233</v>
      </c>
      <c r="F250" t="inlineStr">
        <is>
          <t>VÄSTERBOTTENS LÄN</t>
        </is>
      </c>
      <c r="G250" t="inlineStr">
        <is>
          <t>LYCKSELE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44496</v>
      </c>
      <c r="E251" s="1" t="n">
        <v>46233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47067-2021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44446</v>
      </c>
      <c r="E252" s="1" t="n">
        <v>46233</v>
      </c>
      <c r="F252" t="inlineStr">
        <is>
          <t>VÄSTERBOTTENS LÄN</t>
        </is>
      </c>
      <c r="G252" t="inlineStr">
        <is>
          <t>LYCKSELE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44798</v>
      </c>
      <c r="E253" s="1" t="n">
        <v>46233</v>
      </c>
      <c r="F253" t="inlineStr">
        <is>
          <t>VÄSTERBOTTENS LÄN</t>
        </is>
      </c>
      <c r="G253" t="inlineStr">
        <is>
          <t>LYCKSELE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44826</v>
      </c>
      <c r="E254" s="1" t="n">
        <v>46233</v>
      </c>
      <c r="F254" t="inlineStr">
        <is>
          <t>VÄSTERBOTTENS LÄN</t>
        </is>
      </c>
      <c r="G254" t="inlineStr">
        <is>
          <t>LYCKSELE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46233</v>
      </c>
      <c r="F255" t="inlineStr">
        <is>
          <t>VÄSTERBOTTENS LÄN</t>
        </is>
      </c>
      <c r="G255" t="inlineStr">
        <is>
          <t>LYCKSELE</t>
        </is>
      </c>
      <c r="I255" t="n">
        <v>13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45232</v>
      </c>
      <c r="E256" s="1" t="n">
        <v>46233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Holmen skog AB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46233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46233</v>
      </c>
      <c r="F258" t="inlineStr">
        <is>
          <t>VÄSTERBOTTENS LÄN</t>
        </is>
      </c>
      <c r="G258" t="inlineStr">
        <is>
          <t>LYCKSELE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45135</v>
      </c>
      <c r="E259" s="1" t="n">
        <v>46233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Holmen skog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45498</v>
      </c>
      <c r="E260" s="1" t="n">
        <v>46233</v>
      </c>
      <c r="F260" t="inlineStr">
        <is>
          <t>VÄSTERBOTTENS LÄN</t>
        </is>
      </c>
      <c r="G260" t="inlineStr">
        <is>
          <t>LYCKSELE</t>
        </is>
      </c>
      <c r="I260" t="n">
        <v>14.4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51048-2023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46233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46233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46233</v>
      </c>
      <c r="F263" t="inlineStr">
        <is>
          <t>VÄSTERBOTTENS LÄN</t>
        </is>
      </c>
      <c r="G263" t="inlineStr">
        <is>
          <t>LYCKSELE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11626-2024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45373</v>
      </c>
      <c r="E264" s="1" t="n">
        <v>46233</v>
      </c>
      <c r="F264" t="inlineStr">
        <is>
          <t>VÄSTERBOTTENS LÄN</t>
        </is>
      </c>
      <c r="G264" t="inlineStr">
        <is>
          <t>LYCKSELE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61281-2022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44909</v>
      </c>
      <c r="E265" s="1" t="n">
        <v>46233</v>
      </c>
      <c r="F265" t="inlineStr">
        <is>
          <t>VÄSTERBOTTENS LÄN</t>
        </is>
      </c>
      <c r="G265" t="inlineStr">
        <is>
          <t>LYCKSELE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46233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46233</v>
      </c>
      <c r="F267" t="inlineStr">
        <is>
          <t>VÄSTERBOTTENS LÄN</t>
        </is>
      </c>
      <c r="G267" t="inlineStr">
        <is>
          <t>LYCKSELE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46233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46233</v>
      </c>
      <c r="F269" t="inlineStr">
        <is>
          <t>VÄSTERBOTTENS LÄN</t>
        </is>
      </c>
      <c r="G269" t="inlineStr">
        <is>
          <t>LYCKSELE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53320-2021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44468</v>
      </c>
      <c r="E270" s="1" t="n">
        <v>46233</v>
      </c>
      <c r="F270" t="inlineStr">
        <is>
          <t>VÄSTERBOTTENS LÄN</t>
        </is>
      </c>
      <c r="G270" t="inlineStr">
        <is>
          <t>LYCKSELE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45457</v>
      </c>
      <c r="E271" s="1" t="n">
        <v>46233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58975-2022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44903</v>
      </c>
      <c r="E272" s="1" t="n">
        <v>46233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45516</v>
      </c>
      <c r="E273" s="1" t="n">
        <v>46233</v>
      </c>
      <c r="F273" t="inlineStr">
        <is>
          <t>VÄSTERBOTTENS LÄN</t>
        </is>
      </c>
      <c r="G273" t="inlineStr">
        <is>
          <t>LYCKSELE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46233</v>
      </c>
      <c r="F274" t="inlineStr">
        <is>
          <t>VÄSTERBOTTENS LÄN</t>
        </is>
      </c>
      <c r="G274" t="inlineStr">
        <is>
          <t>LYCKSELE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46233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45408</v>
      </c>
      <c r="E276" s="1" t="n">
        <v>46233</v>
      </c>
      <c r="F276" t="inlineStr">
        <is>
          <t>VÄSTERBOTTENS LÄN</t>
        </is>
      </c>
      <c r="G276" t="inlineStr">
        <is>
          <t>LYCKSELE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45515</v>
      </c>
      <c r="E277" s="1" t="n">
        <v>46233</v>
      </c>
      <c r="F277" t="inlineStr">
        <is>
          <t>VÄSTERBOTTENS LÄN</t>
        </is>
      </c>
      <c r="G277" t="inlineStr">
        <is>
          <t>LYCKSELE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45503</v>
      </c>
      <c r="E278" s="1" t="n">
        <v>46233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46233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26071-2024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45468</v>
      </c>
      <c r="E280" s="1" t="n">
        <v>46233</v>
      </c>
      <c r="F280" t="inlineStr">
        <is>
          <t>VÄSTERBOTTENS LÄN</t>
        </is>
      </c>
      <c r="G280" t="inlineStr">
        <is>
          <t>LYCKSELE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46233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44909</v>
      </c>
      <c r="E282" s="1" t="n">
        <v>46233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46233</v>
      </c>
      <c r="F283" t="inlineStr">
        <is>
          <t>VÄSTERBOTTENS LÄN</t>
        </is>
      </c>
      <c r="G283" t="inlineStr">
        <is>
          <t>LYCKSELE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46233</v>
      </c>
      <c r="F284" t="inlineStr">
        <is>
          <t>VÄSTERBOTTENS LÄN</t>
        </is>
      </c>
      <c r="G284" t="inlineStr">
        <is>
          <t>LYCKSELE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46233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11.1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46233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46233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14343-2024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46233</v>
      </c>
      <c r="F288" t="inlineStr">
        <is>
          <t>VÄSTERBOTTENS LÄN</t>
        </is>
      </c>
      <c r="G288" t="inlineStr">
        <is>
          <t>LYCKSELE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70195-2021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44534</v>
      </c>
      <c r="E289" s="1" t="n">
        <v>46233</v>
      </c>
      <c r="F289" t="inlineStr">
        <is>
          <t>VÄSTERBOTTENS LÄN</t>
        </is>
      </c>
      <c r="G289" t="inlineStr">
        <is>
          <t>LYCKSELE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46233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66460-2021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44518</v>
      </c>
      <c r="E291" s="1" t="n">
        <v>46233</v>
      </c>
      <c r="F291" t="inlineStr">
        <is>
          <t>VÄSTERBOTTENS LÄN</t>
        </is>
      </c>
      <c r="G291" t="inlineStr">
        <is>
          <t>LYCKSELE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34567-2023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46233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46233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45479</v>
      </c>
      <c r="E294" s="1" t="n">
        <v>46233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SCA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36900-2023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45154</v>
      </c>
      <c r="E295" s="1" t="n">
        <v>46233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Holmen skog AB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60714-2022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44912</v>
      </c>
      <c r="E296" s="1" t="n">
        <v>46233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47016-2022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46233</v>
      </c>
      <c r="F297" t="inlineStr">
        <is>
          <t>VÄSTERBOTTENS LÄN</t>
        </is>
      </c>
      <c r="G297" t="inlineStr">
        <is>
          <t>LYCKSELE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2758-2023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44943</v>
      </c>
      <c r="E298" s="1" t="n">
        <v>46233</v>
      </c>
      <c r="F298" t="inlineStr">
        <is>
          <t>VÄSTERBOTTENS LÄN</t>
        </is>
      </c>
      <c r="G298" t="inlineStr">
        <is>
          <t>LYCKSELE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46233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45468</v>
      </c>
      <c r="E300" s="1" t="n">
        <v>46233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45805</v>
      </c>
      <c r="E301" s="1" t="n">
        <v>46233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55250-2024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46233</v>
      </c>
      <c r="F302" t="inlineStr">
        <is>
          <t>VÄSTERBOTTENS LÄN</t>
        </is>
      </c>
      <c r="G302" t="inlineStr">
        <is>
          <t>LYCKSELE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45810</v>
      </c>
      <c r="E303" s="1" t="n">
        <v>46233</v>
      </c>
      <c r="F303" t="inlineStr">
        <is>
          <t>VÄSTERBOTTENS LÄN</t>
        </is>
      </c>
      <c r="G303" t="inlineStr">
        <is>
          <t>LYCKSELE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45742</v>
      </c>
      <c r="E304" s="1" t="n">
        <v>46233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50.1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45316</v>
      </c>
      <c r="E305" s="1" t="n">
        <v>46233</v>
      </c>
      <c r="F305" t="inlineStr">
        <is>
          <t>VÄSTERBOTTENS LÄN</t>
        </is>
      </c>
      <c r="G305" t="inlineStr">
        <is>
          <t>LYCKSELE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45807</v>
      </c>
      <c r="E306" s="1" t="n">
        <v>46233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46233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64893-2021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44512</v>
      </c>
      <c r="E308" s="1" t="n">
        <v>46233</v>
      </c>
      <c r="F308" t="inlineStr">
        <is>
          <t>VÄSTERBOTTENS LÄN</t>
        </is>
      </c>
      <c r="G308" t="inlineStr">
        <is>
          <t>LYCKSELE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45307</v>
      </c>
      <c r="E309" s="1" t="n">
        <v>46233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14.9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45618</v>
      </c>
      <c r="E310" s="1" t="n">
        <v>46233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46233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73113-2021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44550</v>
      </c>
      <c r="E312" s="1" t="n">
        <v>46233</v>
      </c>
      <c r="F312" t="inlineStr">
        <is>
          <t>VÄSTERBOTTENS LÄN</t>
        </is>
      </c>
      <c r="G312" t="inlineStr">
        <is>
          <t>LYCKSELE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46233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57108-2024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45629</v>
      </c>
      <c r="E314" s="1" t="n">
        <v>46233</v>
      </c>
      <c r="F314" t="inlineStr">
        <is>
          <t>VÄSTERBOTTENS LÄN</t>
        </is>
      </c>
      <c r="G314" t="inlineStr">
        <is>
          <t>LYCKSELE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64334-2023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45279</v>
      </c>
      <c r="E315" s="1" t="n">
        <v>46233</v>
      </c>
      <c r="F315" t="inlineStr">
        <is>
          <t>VÄSTERBOTTENS LÄN</t>
        </is>
      </c>
      <c r="G315" t="inlineStr">
        <is>
          <t>LYCKSELE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44637</v>
      </c>
      <c r="E316" s="1" t="n">
        <v>46233</v>
      </c>
      <c r="F316" t="inlineStr">
        <is>
          <t>VÄSTERBOTTENS LÄN</t>
        </is>
      </c>
      <c r="G316" t="inlineStr">
        <is>
          <t>LYCKSELE</t>
        </is>
      </c>
      <c r="I316" t="n">
        <v>30.8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46233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45006</v>
      </c>
      <c r="E318" s="1" t="n">
        <v>46233</v>
      </c>
      <c r="F318" t="inlineStr">
        <is>
          <t>VÄSTERBOTTENS LÄN</t>
        </is>
      </c>
      <c r="G318" t="inlineStr">
        <is>
          <t>LYCKSELE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27471-2025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45813</v>
      </c>
      <c r="E319" s="1" t="n">
        <v>46233</v>
      </c>
      <c r="F319" t="inlineStr">
        <is>
          <t>VÄSTERBOTTENS LÄN</t>
        </is>
      </c>
      <c r="G319" t="inlineStr">
        <is>
          <t>LYCKSELE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45813</v>
      </c>
      <c r="E320" s="1" t="n">
        <v>46233</v>
      </c>
      <c r="F320" t="inlineStr">
        <is>
          <t>VÄSTERBOTTENS LÄN</t>
        </is>
      </c>
      <c r="G320" t="inlineStr">
        <is>
          <t>LYCKSELE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46233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15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45813</v>
      </c>
      <c r="E322" s="1" t="n">
        <v>46233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SCA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60685-2022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44911</v>
      </c>
      <c r="E323" s="1" t="n">
        <v>46233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39135-2025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46233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45105</v>
      </c>
      <c r="E325" s="1" t="n">
        <v>46233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Naturvårdsverket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46233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SCA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46233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46233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46233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57818-2021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44484</v>
      </c>
      <c r="E330" s="1" t="n">
        <v>46233</v>
      </c>
      <c r="F330" t="inlineStr">
        <is>
          <t>VÄSTERBOTTENS LÄN</t>
        </is>
      </c>
      <c r="G330" t="inlineStr">
        <is>
          <t>LYCKSELE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38114-2024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45545</v>
      </c>
      <c r="E331" s="1" t="n">
        <v>46233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38925-2025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46233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45887</v>
      </c>
      <c r="E333" s="1" t="n">
        <v>46233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39151-2025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46233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46233</v>
      </c>
      <c r="F335" t="inlineStr">
        <is>
          <t>VÄSTERBOTTENS LÄN</t>
        </is>
      </c>
      <c r="G335" t="inlineStr">
        <is>
          <t>LYCKSELE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46233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46233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45708</v>
      </c>
      <c r="E338" s="1" t="n">
        <v>46233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SCA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45713</v>
      </c>
      <c r="E339" s="1" t="n">
        <v>46233</v>
      </c>
      <c r="F339" t="inlineStr">
        <is>
          <t>VÄSTERBOTTENS LÄN</t>
        </is>
      </c>
      <c r="G339" t="inlineStr">
        <is>
          <t>LYCKSELE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45491</v>
      </c>
      <c r="E340" s="1" t="n">
        <v>46233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46233</v>
      </c>
      <c r="F341" t="inlineStr">
        <is>
          <t>VÄSTERBOTTENS LÄN</t>
        </is>
      </c>
      <c r="G341" t="inlineStr">
        <is>
          <t>LYCKSELE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46233</v>
      </c>
      <c r="F342" t="inlineStr">
        <is>
          <t>VÄSTERBOTTENS LÄN</t>
        </is>
      </c>
      <c r="G342" t="inlineStr">
        <is>
          <t>LYCKSELE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46233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46233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39543-2025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45890</v>
      </c>
      <c r="E345" s="1" t="n">
        <v>46233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42887-2024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45566</v>
      </c>
      <c r="E346" s="1" t="n">
        <v>46233</v>
      </c>
      <c r="F346" t="inlineStr">
        <is>
          <t>VÄSTERBOTTENS LÄN</t>
        </is>
      </c>
      <c r="G346" t="inlineStr">
        <is>
          <t>LYCKSELE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39562-2025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45890</v>
      </c>
      <c r="E347" s="1" t="n">
        <v>46233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39239-2025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45889</v>
      </c>
      <c r="E348" s="1" t="n">
        <v>46233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45889</v>
      </c>
      <c r="E349" s="1" t="n">
        <v>46233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13.5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45889</v>
      </c>
      <c r="E350" s="1" t="n">
        <v>46233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46233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20.2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21668-2024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45441</v>
      </c>
      <c r="E352" s="1" t="n">
        <v>46233</v>
      </c>
      <c r="F352" t="inlineStr">
        <is>
          <t>VÄSTERBOTTENS LÄN</t>
        </is>
      </c>
      <c r="G352" t="inlineStr">
        <is>
          <t>LYCKSELE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45889</v>
      </c>
      <c r="E353" s="1" t="n">
        <v>46233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28486-2025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45819</v>
      </c>
      <c r="E354" s="1" t="n">
        <v>46233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28833-2025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45820</v>
      </c>
      <c r="E355" s="1" t="n">
        <v>46233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45890</v>
      </c>
      <c r="E356" s="1" t="n">
        <v>46233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45890</v>
      </c>
      <c r="E357" s="1" t="n">
        <v>46233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45894</v>
      </c>
      <c r="E358" s="1" t="n">
        <v>46233</v>
      </c>
      <c r="F358" t="inlineStr">
        <is>
          <t>VÄSTERBOTTENS LÄN</t>
        </is>
      </c>
      <c r="G358" t="inlineStr">
        <is>
          <t>LYCKSELE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45544</v>
      </c>
      <c r="E359" s="1" t="n">
        <v>46233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45824</v>
      </c>
      <c r="E360" s="1" t="n">
        <v>46233</v>
      </c>
      <c r="F360" t="inlineStr">
        <is>
          <t>VÄSTERBOTTENS LÄN</t>
        </is>
      </c>
      <c r="G360" t="inlineStr">
        <is>
          <t>LYCKSELE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45894</v>
      </c>
      <c r="E361" s="1" t="n">
        <v>46233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45824</v>
      </c>
      <c r="E362" s="1" t="n">
        <v>46233</v>
      </c>
      <c r="F362" t="inlineStr">
        <is>
          <t>VÄSTERBOTTENS LÄN</t>
        </is>
      </c>
      <c r="G362" t="inlineStr">
        <is>
          <t>LYCKSELE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45821</v>
      </c>
      <c r="E363" s="1" t="n">
        <v>46233</v>
      </c>
      <c r="F363" t="inlineStr">
        <is>
          <t>VÄSTERBOTTENS LÄN</t>
        </is>
      </c>
      <c r="G363" t="inlineStr">
        <is>
          <t>LYCKSELE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46233</v>
      </c>
      <c r="F364" t="inlineStr">
        <is>
          <t>VÄSTERBOTTENS LÄN</t>
        </is>
      </c>
      <c r="G364" t="inlineStr">
        <is>
          <t>LYCKSELE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45821</v>
      </c>
      <c r="E365" s="1" t="n">
        <v>46233</v>
      </c>
      <c r="F365" t="inlineStr">
        <is>
          <t>VÄSTERBOTTENS LÄN</t>
        </is>
      </c>
      <c r="G365" t="inlineStr">
        <is>
          <t>LYCKSELE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45552</v>
      </c>
      <c r="E366" s="1" t="n">
        <v>46233</v>
      </c>
      <c r="F366" t="inlineStr">
        <is>
          <t>VÄSTERBOTTENS LÄN</t>
        </is>
      </c>
      <c r="G366" t="inlineStr">
        <is>
          <t>LYCKSELE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45516</v>
      </c>
      <c r="E367" s="1" t="n">
        <v>46233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46233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46233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46233</v>
      </c>
      <c r="F370" t="inlineStr">
        <is>
          <t>VÄSTERBOTTENS LÄN</t>
        </is>
      </c>
      <c r="G370" t="inlineStr">
        <is>
          <t>LYCKSELE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46233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45751</v>
      </c>
      <c r="E372" s="1" t="n">
        <v>46233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43134-2023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45182</v>
      </c>
      <c r="E373" s="1" t="n">
        <v>46233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46233</v>
      </c>
      <c r="F374" t="inlineStr">
        <is>
          <t>VÄSTERBOTTENS LÄN</t>
        </is>
      </c>
      <c r="G374" t="inlineStr">
        <is>
          <t>LYCKSELE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46233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19.5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46233</v>
      </c>
      <c r="F376" t="inlineStr">
        <is>
          <t>VÄSTERBOTTENS LÄN</t>
        </is>
      </c>
      <c r="G376" t="inlineStr">
        <is>
          <t>LYCKSELE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46233</v>
      </c>
      <c r="F377" t="inlineStr">
        <is>
          <t>VÄSTERBOTTENS LÄN</t>
        </is>
      </c>
      <c r="G377" t="inlineStr">
        <is>
          <t>LYCKSELE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46233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41604-2025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45901</v>
      </c>
      <c r="E379" s="1" t="n">
        <v>46233</v>
      </c>
      <c r="F379" t="inlineStr">
        <is>
          <t>VÄSTERBOTTENS LÄN</t>
        </is>
      </c>
      <c r="G379" t="inlineStr">
        <is>
          <t>LYCKSELE</t>
        </is>
      </c>
      <c r="I379" t="n">
        <v>16.6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45534</v>
      </c>
      <c r="E380" s="1" t="n">
        <v>46233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Holmen skog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46233</v>
      </c>
      <c r="F381" t="inlineStr">
        <is>
          <t>VÄSTERBOTTENS LÄN</t>
        </is>
      </c>
      <c r="G381" t="inlineStr">
        <is>
          <t>LYCKSELE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46233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9.5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46233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46233</v>
      </c>
      <c r="F384" t="inlineStr">
        <is>
          <t>VÄSTERBOTTENS LÄN</t>
        </is>
      </c>
      <c r="G384" t="inlineStr">
        <is>
          <t>LYCKSELE</t>
        </is>
      </c>
      <c r="I384" t="n">
        <v>12.3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46233</v>
      </c>
      <c r="F385" t="inlineStr">
        <is>
          <t>VÄSTERBOTTENS LÄN</t>
        </is>
      </c>
      <c r="G385" t="inlineStr">
        <is>
          <t>LYCKSELE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45834</v>
      </c>
      <c r="E386" s="1" t="n">
        <v>46233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SCA</t>
        </is>
      </c>
      <c r="I386" t="n">
        <v>18.9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45903</v>
      </c>
      <c r="E387" s="1" t="n">
        <v>46233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46233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9.4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45903</v>
      </c>
      <c r="E389" s="1" t="n">
        <v>46233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31689-2023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45117</v>
      </c>
      <c r="E390" s="1" t="n">
        <v>46233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45903</v>
      </c>
      <c r="E391" s="1" t="n">
        <v>46233</v>
      </c>
      <c r="F391" t="inlineStr">
        <is>
          <t>VÄSTERBOTTENS LÄN</t>
        </is>
      </c>
      <c r="G391" t="inlineStr">
        <is>
          <t>LYCKSELE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31897-2025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46233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46233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24.3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46233</v>
      </c>
      <c r="F394" t="inlineStr">
        <is>
          <t>VÄSTERBOTTENS LÄN</t>
        </is>
      </c>
      <c r="G394" t="inlineStr">
        <is>
          <t>LYCKSELE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46233</v>
      </c>
      <c r="F395" t="inlineStr">
        <is>
          <t>VÄSTERBOTTENS LÄN</t>
        </is>
      </c>
      <c r="G395" t="inlineStr">
        <is>
          <t>LYCKSELE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44952</v>
      </c>
      <c r="E396" s="1" t="n">
        <v>46233</v>
      </c>
      <c r="F396" t="inlineStr">
        <is>
          <t>VÄSTERBOTTENS LÄN</t>
        </is>
      </c>
      <c r="G396" t="inlineStr">
        <is>
          <t>LYCKSELE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46233</v>
      </c>
      <c r="F397" t="inlineStr">
        <is>
          <t>VÄSTERBOTTENS LÄN</t>
        </is>
      </c>
      <c r="G397" t="inlineStr">
        <is>
          <t>LYCKSELE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46233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23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46233</v>
      </c>
      <c r="F399" t="inlineStr">
        <is>
          <t>VÄSTERBOTTENS LÄN</t>
        </is>
      </c>
      <c r="G399" t="inlineStr">
        <is>
          <t>LYCKSELE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42984-2025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45909</v>
      </c>
      <c r="E400" s="1" t="n">
        <v>46233</v>
      </c>
      <c r="F400" t="inlineStr">
        <is>
          <t>VÄSTERBOTTENS LÄN</t>
        </is>
      </c>
      <c r="G400" t="inlineStr">
        <is>
          <t>LYCKSELE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32783-2025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45839</v>
      </c>
      <c r="E401" s="1" t="n">
        <v>46233</v>
      </c>
      <c r="F401" t="inlineStr">
        <is>
          <t>VÄSTERBOTTENS LÄN</t>
        </is>
      </c>
      <c r="G401" t="inlineStr">
        <is>
          <t>LYCKSELE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42986-2025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46233</v>
      </c>
      <c r="F402" t="inlineStr">
        <is>
          <t>VÄSTERBOTTENS LÄN</t>
        </is>
      </c>
      <c r="G402" t="inlineStr">
        <is>
          <t>LYCKSELE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36274-2024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45534</v>
      </c>
      <c r="E403" s="1" t="n">
        <v>46233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34635-2024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45526</v>
      </c>
      <c r="E404" s="1" t="n">
        <v>46233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32722-2025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45839</v>
      </c>
      <c r="E405" s="1" t="n">
        <v>46233</v>
      </c>
      <c r="F405" t="inlineStr">
        <is>
          <t>VÄSTERBOTTENS LÄN</t>
        </is>
      </c>
      <c r="G405" t="inlineStr">
        <is>
          <t>LYCKSELE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46049</v>
      </c>
      <c r="E406" s="1" t="n">
        <v>46233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33067-2025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45840</v>
      </c>
      <c r="E407" s="1" t="n">
        <v>46233</v>
      </c>
      <c r="F407" t="inlineStr">
        <is>
          <t>VÄSTERBOTTENS LÄN</t>
        </is>
      </c>
      <c r="G407" t="inlineStr">
        <is>
          <t>LYCKSELE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45842</v>
      </c>
      <c r="E408" s="1" t="n">
        <v>46233</v>
      </c>
      <c r="F408" t="inlineStr">
        <is>
          <t>VÄSTERBOTTENS LÄN</t>
        </is>
      </c>
      <c r="G408" t="inlineStr">
        <is>
          <t>LYCKSELE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46233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33527-2025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46233</v>
      </c>
      <c r="F410" t="inlineStr">
        <is>
          <t>VÄSTERBOTTENS LÄN</t>
        </is>
      </c>
      <c r="G410" t="inlineStr">
        <is>
          <t>LYCKSELE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33431-2025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45841</v>
      </c>
      <c r="E411" s="1" t="n">
        <v>46233</v>
      </c>
      <c r="F411" t="inlineStr">
        <is>
          <t>VÄSTERBOTTENS LÄN</t>
        </is>
      </c>
      <c r="G411" t="inlineStr">
        <is>
          <t>LYCKSELE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33415-2025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45841</v>
      </c>
      <c r="E412" s="1" t="n">
        <v>46233</v>
      </c>
      <c r="F412" t="inlineStr">
        <is>
          <t>VÄSTERBOTTENS LÄN</t>
        </is>
      </c>
      <c r="G412" t="inlineStr">
        <is>
          <t>LYCKSELE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46233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19.6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33423-2025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45841</v>
      </c>
      <c r="E414" s="1" t="n">
        <v>46233</v>
      </c>
      <c r="F414" t="inlineStr">
        <is>
          <t>VÄSTERBOTTENS LÄN</t>
        </is>
      </c>
      <c r="G414" t="inlineStr">
        <is>
          <t>LYCKSELE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43931-2025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45915</v>
      </c>
      <c r="E415" s="1" t="n">
        <v>46233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9.9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44299-2025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45916</v>
      </c>
      <c r="E416" s="1" t="n">
        <v>46233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45916</v>
      </c>
      <c r="E417" s="1" t="n">
        <v>46233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44345-2025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45916</v>
      </c>
      <c r="E418" s="1" t="n">
        <v>46233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71407-2021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44540</v>
      </c>
      <c r="E419" s="1" t="n">
        <v>46233</v>
      </c>
      <c r="F419" t="inlineStr">
        <is>
          <t>VÄSTERBOTTENS LÄN</t>
        </is>
      </c>
      <c r="G419" t="inlineStr">
        <is>
          <t>LYCKSELE</t>
        </is>
      </c>
      <c r="I419" t="n">
        <v>9.4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46233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46233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46233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33992-2025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45843</v>
      </c>
      <c r="E423" s="1" t="n">
        <v>46233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41523-2024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45560</v>
      </c>
      <c r="E424" s="1" t="n">
        <v>46233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45916</v>
      </c>
      <c r="E425" s="1" t="n">
        <v>46233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46233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44098-2025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46233</v>
      </c>
      <c r="F427" t="inlineStr">
        <is>
          <t>VÄSTERBOTTENS LÄN</t>
        </is>
      </c>
      <c r="G427" t="inlineStr">
        <is>
          <t>LYCKSELE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46233</v>
      </c>
      <c r="F428" t="inlineStr">
        <is>
          <t>VÄSTERBOTTENS LÄN</t>
        </is>
      </c>
      <c r="G428" t="inlineStr">
        <is>
          <t>LYCKSELE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45845</v>
      </c>
      <c r="E429" s="1" t="n">
        <v>46233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44572</v>
      </c>
      <c r="E430" s="1" t="n">
        <v>46233</v>
      </c>
      <c r="F430" t="inlineStr">
        <is>
          <t>VÄSTERBOTTENS LÄN</t>
        </is>
      </c>
      <c r="G430" t="inlineStr">
        <is>
          <t>LYCKSELE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62584-2022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44924</v>
      </c>
      <c r="E431" s="1" t="n">
        <v>46233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44107-2025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46233</v>
      </c>
      <c r="F432" t="inlineStr">
        <is>
          <t>VÄSTERBOTTENS LÄN</t>
        </is>
      </c>
      <c r="G432" t="inlineStr">
        <is>
          <t>LYCKSELE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33991-2025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45843</v>
      </c>
      <c r="E433" s="1" t="n">
        <v>46233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45847</v>
      </c>
      <c r="E434" s="1" t="n">
        <v>46233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26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46233</v>
      </c>
      <c r="F435" t="inlineStr">
        <is>
          <t>VÄSTERBOTTENS LÄN</t>
        </is>
      </c>
      <c r="G435" t="inlineStr">
        <is>
          <t>LYCKSELE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44547-2025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45917</v>
      </c>
      <c r="E436" s="1" t="n">
        <v>46233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45849</v>
      </c>
      <c r="E437" s="1" t="n">
        <v>46233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34940-2025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45849</v>
      </c>
      <c r="E438" s="1" t="n">
        <v>46233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45849</v>
      </c>
      <c r="E439" s="1" t="n">
        <v>46233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45378</v>
      </c>
      <c r="E440" s="1" t="n">
        <v>46233</v>
      </c>
      <c r="F440" t="inlineStr">
        <is>
          <t>VÄSTERBOTTENS LÄN</t>
        </is>
      </c>
      <c r="G440" t="inlineStr">
        <is>
          <t>LYCKSELE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34915-2025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45849</v>
      </c>
      <c r="E441" s="1" t="n">
        <v>46233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34903-2023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45142</v>
      </c>
      <c r="E442" s="1" t="n">
        <v>46233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46233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34954-2025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45849</v>
      </c>
      <c r="E444" s="1" t="n">
        <v>46233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35130-2025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45852</v>
      </c>
      <c r="E445" s="1" t="n">
        <v>46233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45837-2025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45923</v>
      </c>
      <c r="E446" s="1" t="n">
        <v>46233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35303-2025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45854</v>
      </c>
      <c r="E447" s="1" t="n">
        <v>46233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35333-2025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45854</v>
      </c>
      <c r="E448" s="1" t="n">
        <v>46233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46233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45853</v>
      </c>
      <c r="E450" s="1" t="n">
        <v>46233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35234-2025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45853</v>
      </c>
      <c r="E451" s="1" t="n">
        <v>46233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45853</v>
      </c>
      <c r="E452" s="1" t="n">
        <v>46233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45853</v>
      </c>
      <c r="E453" s="1" t="n">
        <v>46233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35237-2025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45853</v>
      </c>
      <c r="E454" s="1" t="n">
        <v>46233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45854</v>
      </c>
      <c r="E455" s="1" t="n">
        <v>46233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46233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46233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46233</v>
      </c>
      <c r="F458" t="inlineStr">
        <is>
          <t>VÄSTERBOTTENS LÄN</t>
        </is>
      </c>
      <c r="G458" t="inlineStr">
        <is>
          <t>LYCKSELE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35604-2025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45859</v>
      </c>
      <c r="E459" s="1" t="n">
        <v>46233</v>
      </c>
      <c r="F459" t="inlineStr">
        <is>
          <t>VÄSTERBOTTENS LÄN</t>
        </is>
      </c>
      <c r="G459" t="inlineStr">
        <is>
          <t>LYCKSELE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45576</v>
      </c>
      <c r="E460" s="1" t="n">
        <v>46233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35662-2025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45859</v>
      </c>
      <c r="E461" s="1" t="n">
        <v>46233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20.8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35606-2025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45859</v>
      </c>
      <c r="E462" s="1" t="n">
        <v>46233</v>
      </c>
      <c r="F462" t="inlineStr">
        <is>
          <t>VÄSTERBOTTENS LÄN</t>
        </is>
      </c>
      <c r="G462" t="inlineStr">
        <is>
          <t>LYCKSELE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45006</v>
      </c>
      <c r="E463" s="1" t="n">
        <v>46233</v>
      </c>
      <c r="F463" t="inlineStr">
        <is>
          <t>VÄSTERBOTTENS LÄN</t>
        </is>
      </c>
      <c r="G463" t="inlineStr">
        <is>
          <t>LYCKSELE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45859</v>
      </c>
      <c r="E464" s="1" t="n">
        <v>46233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45861</v>
      </c>
      <c r="E465" s="1" t="n">
        <v>46233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57618-2022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44897</v>
      </c>
      <c r="E466" s="1" t="n">
        <v>46233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45862</v>
      </c>
      <c r="E467" s="1" t="n">
        <v>46233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53037-2023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45226</v>
      </c>
      <c r="E468" s="1" t="n">
        <v>46233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47461-2025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46233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47093-2025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46233</v>
      </c>
      <c r="F470" t="inlineStr">
        <is>
          <t>VÄSTERBOTTENS LÄN</t>
        </is>
      </c>
      <c r="G470" t="inlineStr">
        <is>
          <t>LYCKSELE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46233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45861</v>
      </c>
      <c r="E472" s="1" t="n">
        <v>46233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47459-2025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45930</v>
      </c>
      <c r="E473" s="1" t="n">
        <v>46233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36542-2025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45869</v>
      </c>
      <c r="E474" s="1" t="n">
        <v>46233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45869</v>
      </c>
      <c r="E475" s="1" t="n">
        <v>46233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14.3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46233</v>
      </c>
      <c r="F476" t="inlineStr">
        <is>
          <t>VÄSTERBOTTENS LÄN</t>
        </is>
      </c>
      <c r="G476" t="inlineStr">
        <is>
          <t>LYCKSELE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26397-2022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44735</v>
      </c>
      <c r="E477" s="1" t="n">
        <v>46233</v>
      </c>
      <c r="F477" t="inlineStr">
        <is>
          <t>VÄSTERBOTTENS LÄN</t>
        </is>
      </c>
      <c r="G477" t="inlineStr">
        <is>
          <t>LYCKSELE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47930-2025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45932</v>
      </c>
      <c r="E478" s="1" t="n">
        <v>46233</v>
      </c>
      <c r="F478" t="inlineStr">
        <is>
          <t>VÄSTERBOTTENS LÄN</t>
        </is>
      </c>
      <c r="G478" t="inlineStr">
        <is>
          <t>LYCKSELE</t>
        </is>
      </c>
      <c r="I478" t="n">
        <v>17.8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64663-2023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46233</v>
      </c>
      <c r="F479" t="inlineStr">
        <is>
          <t>VÄSTERBOTTENS LÄN</t>
        </is>
      </c>
      <c r="G479" t="inlineStr">
        <is>
          <t>LYCKSELE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46233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3632-2024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45320</v>
      </c>
      <c r="E481" s="1" t="n">
        <v>46233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36709-2025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45873</v>
      </c>
      <c r="E482" s="1" t="n">
        <v>46233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61799-2023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45265</v>
      </c>
      <c r="E483" s="1" t="n">
        <v>46233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45506</v>
      </c>
      <c r="E484" s="1" t="n">
        <v>46233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36702-2025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46233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45873</v>
      </c>
      <c r="E486" s="1" t="n">
        <v>46233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20.1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36736-2025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45873</v>
      </c>
      <c r="E487" s="1" t="n">
        <v>46233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45694</v>
      </c>
      <c r="E488" s="1" t="n">
        <v>46233</v>
      </c>
      <c r="F488" t="inlineStr">
        <is>
          <t>VÄSTERBOTTENS LÄN</t>
        </is>
      </c>
      <c r="G488" t="inlineStr">
        <is>
          <t>LYCKSELE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48493-2025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45936</v>
      </c>
      <c r="E489" s="1" t="n">
        <v>46233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48208-2025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45933</v>
      </c>
      <c r="E490" s="1" t="n">
        <v>46233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46233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45730</v>
      </c>
      <c r="E492" s="1" t="n">
        <v>46233</v>
      </c>
      <c r="F492" t="inlineStr">
        <is>
          <t>VÄSTERBOTTENS LÄN</t>
        </is>
      </c>
      <c r="G492" t="inlineStr">
        <is>
          <t>LYCKSELE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59516-2021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44491</v>
      </c>
      <c r="E493" s="1" t="n">
        <v>46233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45875</v>
      </c>
      <c r="E494" s="1" t="n">
        <v>46233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48205-2025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45933</v>
      </c>
      <c r="E495" s="1" t="n">
        <v>46233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45075</v>
      </c>
      <c r="E496" s="1" t="n">
        <v>46233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49196-2025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46233</v>
      </c>
      <c r="F497" t="inlineStr">
        <is>
          <t>VÄSTERBOTTENS LÄN</t>
        </is>
      </c>
      <c r="G497" t="inlineStr">
        <is>
          <t>LYCKSELE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49366-2025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45938</v>
      </c>
      <c r="E498" s="1" t="n">
        <v>46233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44933</v>
      </c>
      <c r="E499" s="1" t="n">
        <v>46233</v>
      </c>
      <c r="F499" t="inlineStr">
        <is>
          <t>VÄSTERBOTTENS LÄN</t>
        </is>
      </c>
      <c r="G499" t="inlineStr">
        <is>
          <t>LYCKSELE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37970-2025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45881</v>
      </c>
      <c r="E500" s="1" t="n">
        <v>46233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45926</v>
      </c>
      <c r="E501" s="1" t="n">
        <v>46233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49859-2025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45940</v>
      </c>
      <c r="E502" s="1" t="n">
        <v>46233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46233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52.4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46562-2025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45926</v>
      </c>
      <c r="E504" s="1" t="n">
        <v>46233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Holmen skog AB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46233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53096-2024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46233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53335-2024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45614</v>
      </c>
      <c r="E507" s="1" t="n">
        <v>46233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58775-2025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45986</v>
      </c>
      <c r="E508" s="1" t="n">
        <v>46233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44942</v>
      </c>
      <c r="E509" s="1" t="n">
        <v>46233</v>
      </c>
      <c r="F509" t="inlineStr">
        <is>
          <t>VÄSTERBOTTENS LÄN</t>
        </is>
      </c>
      <c r="G509" t="inlineStr">
        <is>
          <t>LYCKSELE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11604-2023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44994</v>
      </c>
      <c r="E510" s="1" t="n">
        <v>46233</v>
      </c>
      <c r="F510" t="inlineStr">
        <is>
          <t>VÄSTERBOTTENS LÄN</t>
        </is>
      </c>
      <c r="G510" t="inlineStr">
        <is>
          <t>LYCKSELE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46038</v>
      </c>
      <c r="E511" s="1" t="n">
        <v>46233</v>
      </c>
      <c r="F511" t="inlineStr">
        <is>
          <t>VÄSTERBOTTENS LÄN</t>
        </is>
      </c>
      <c r="G511" t="inlineStr">
        <is>
          <t>LYCKSELE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44952</v>
      </c>
      <c r="E512" s="1" t="n">
        <v>46233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45941</v>
      </c>
      <c r="E513" s="1" t="n">
        <v>46233</v>
      </c>
      <c r="F513" t="inlineStr">
        <is>
          <t>VÄSTERBOTTENS LÄN</t>
        </is>
      </c>
      <c r="G513" t="inlineStr">
        <is>
          <t>LYCKSELE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45942</v>
      </c>
      <c r="E514" s="1" t="n">
        <v>46233</v>
      </c>
      <c r="F514" t="inlineStr">
        <is>
          <t>VÄSTERBOTTENS LÄN</t>
        </is>
      </c>
      <c r="G514" t="inlineStr">
        <is>
          <t>LYCKSELE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50021-2025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45943</v>
      </c>
      <c r="E515" s="1" t="n">
        <v>46233</v>
      </c>
      <c r="F515" t="inlineStr">
        <is>
          <t>VÄSTERBOTTENS LÄN</t>
        </is>
      </c>
      <c r="G515" t="inlineStr">
        <is>
          <t>LYCKSELE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46233</v>
      </c>
      <c r="F516" t="inlineStr">
        <is>
          <t>VÄSTERBOTTENS LÄN</t>
        </is>
      </c>
      <c r="G516" t="inlineStr">
        <is>
          <t>LYCKSELE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7829-2026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46233</v>
      </c>
      <c r="F517" t="inlineStr">
        <is>
          <t>VÄSTERBOTTENS LÄN</t>
        </is>
      </c>
      <c r="G517" t="inlineStr">
        <is>
          <t>LYCKSELE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59209-2024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46233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51207-2025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45947</v>
      </c>
      <c r="E519" s="1" t="n">
        <v>46233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46233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Naturvårdsverket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51473-2025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45950</v>
      </c>
      <c r="E521" s="1" t="n">
        <v>46233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46233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Naturvårdsverket</t>
        </is>
      </c>
      <c r="I522" t="n">
        <v>11.4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35765-2023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45147</v>
      </c>
      <c r="E523" s="1" t="n">
        <v>46233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51859-2025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45952</v>
      </c>
      <c r="E524" s="1" t="n">
        <v>46233</v>
      </c>
      <c r="F524" t="inlineStr">
        <is>
          <t>VÄSTERBOTTENS LÄN</t>
        </is>
      </c>
      <c r="G524" t="inlineStr">
        <is>
          <t>LYCKSELE</t>
        </is>
      </c>
      <c r="I524" t="n">
        <v>13.5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46063</v>
      </c>
      <c r="E525" s="1" t="n">
        <v>46233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Naturvårdsverket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24340-2024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45457</v>
      </c>
      <c r="E526" s="1" t="n">
        <v>46233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12.3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51748-2025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45951</v>
      </c>
      <c r="E527" s="1" t="n">
        <v>46233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19.8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46233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Naturvårdsverket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44979</v>
      </c>
      <c r="E529" s="1" t="n">
        <v>46233</v>
      </c>
      <c r="F529" t="inlineStr">
        <is>
          <t>VÄSTERBOTTENS LÄN</t>
        </is>
      </c>
      <c r="G529" t="inlineStr">
        <is>
          <t>LYCKSELE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45474</v>
      </c>
      <c r="E530" s="1" t="n">
        <v>46233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62715-2022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44925</v>
      </c>
      <c r="E531" s="1" t="n">
        <v>46233</v>
      </c>
      <c r="F531" t="inlineStr">
        <is>
          <t>VÄSTERBOTTENS LÄN</t>
        </is>
      </c>
      <c r="G531" t="inlineStr">
        <is>
          <t>LYCKSELE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8467-2026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46065</v>
      </c>
      <c r="E532" s="1" t="n">
        <v>46233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59559-2022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44900</v>
      </c>
      <c r="E533" s="1" t="n">
        <v>46233</v>
      </c>
      <c r="F533" t="inlineStr">
        <is>
          <t>VÄSTERBOTTENS LÄN</t>
        </is>
      </c>
      <c r="G533" t="inlineStr">
        <is>
          <t>LYCKSELE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24377-2024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45457</v>
      </c>
      <c r="E534" s="1" t="n">
        <v>46233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46065</v>
      </c>
      <c r="E535" s="1" t="n">
        <v>46233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12.1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29937-2024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45488</v>
      </c>
      <c r="E536" s="1" t="n">
        <v>46233</v>
      </c>
      <c r="F536" t="inlineStr">
        <is>
          <t>VÄSTERBOTTENS LÄN</t>
        </is>
      </c>
      <c r="G536" t="inlineStr">
        <is>
          <t>LYCKSELE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45590</v>
      </c>
      <c r="E537" s="1" t="n">
        <v>46233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46233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46233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28545-2023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45103</v>
      </c>
      <c r="E540" s="1" t="n">
        <v>46233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52941-2025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45957</v>
      </c>
      <c r="E541" s="1" t="n">
        <v>46233</v>
      </c>
      <c r="F541" t="inlineStr">
        <is>
          <t>VÄSTERBOTTENS LÄN</t>
        </is>
      </c>
      <c r="G541" t="inlineStr">
        <is>
          <t>LYCKSELE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45142</v>
      </c>
      <c r="E542" s="1" t="n">
        <v>46233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52124-2024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45608</v>
      </c>
      <c r="E543" s="1" t="n">
        <v>46233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52144-2024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45608</v>
      </c>
      <c r="E544" s="1" t="n">
        <v>46233</v>
      </c>
      <c r="F544" t="inlineStr">
        <is>
          <t>VÄSTERBOTTENS LÄN</t>
        </is>
      </c>
      <c r="G544" t="inlineStr">
        <is>
          <t>LYCKSELE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52945-2025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45957</v>
      </c>
      <c r="E545" s="1" t="n">
        <v>46233</v>
      </c>
      <c r="F545" t="inlineStr">
        <is>
          <t>VÄSTERBOTTENS LÄN</t>
        </is>
      </c>
      <c r="G545" t="inlineStr">
        <is>
          <t>LYCKSELE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2109-2025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45672</v>
      </c>
      <c r="E546" s="1" t="n">
        <v>46233</v>
      </c>
      <c r="F546" t="inlineStr">
        <is>
          <t>VÄSTERBOTTENS LÄN</t>
        </is>
      </c>
      <c r="G546" t="inlineStr">
        <is>
          <t>LYCKSELE</t>
        </is>
      </c>
      <c r="I546" t="n">
        <v>5.6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9090-2025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45713</v>
      </c>
      <c r="E547" s="1" t="n">
        <v>46233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53451-2025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45959</v>
      </c>
      <c r="E548" s="1" t="n">
        <v>46233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62870-2023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45271</v>
      </c>
      <c r="E549" s="1" t="n">
        <v>46233</v>
      </c>
      <c r="F549" t="inlineStr">
        <is>
          <t>VÄSTERBOTTENS LÄN</t>
        </is>
      </c>
      <c r="G549" t="inlineStr">
        <is>
          <t>LYCKSELE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25902-2022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44733</v>
      </c>
      <c r="E550" s="1" t="n">
        <v>46233</v>
      </c>
      <c r="F550" t="inlineStr">
        <is>
          <t>VÄSTERBOTTENS LÄN</t>
        </is>
      </c>
      <c r="G550" t="inlineStr">
        <is>
          <t>LYCKSELE</t>
        </is>
      </c>
      <c r="I550" t="n">
        <v>8.199999999999999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46070</v>
      </c>
      <c r="E551" s="1" t="n">
        <v>46233</v>
      </c>
      <c r="F551" t="inlineStr">
        <is>
          <t>VÄSTERBOTTENS LÄN</t>
        </is>
      </c>
      <c r="G551" t="inlineStr">
        <is>
          <t>LYCKSELE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45681</v>
      </c>
      <c r="E552" s="1" t="n">
        <v>46233</v>
      </c>
      <c r="F552" t="inlineStr">
        <is>
          <t>VÄSTERBOTTENS LÄN</t>
        </is>
      </c>
      <c r="G552" t="inlineStr">
        <is>
          <t>LYCKSELE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58716-2024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45635</v>
      </c>
      <c r="E553" s="1" t="n">
        <v>46233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Holmen skog AB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45154</v>
      </c>
      <c r="E554" s="1" t="n">
        <v>46233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46233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57263-2024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45629</v>
      </c>
      <c r="E556" s="1" t="n">
        <v>46233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26351-2022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44735</v>
      </c>
      <c r="E557" s="1" t="n">
        <v>46233</v>
      </c>
      <c r="F557" t="inlineStr">
        <is>
          <t>VÄSTERBOTTENS LÄN</t>
        </is>
      </c>
      <c r="G557" t="inlineStr">
        <is>
          <t>LYCKSELE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45701</v>
      </c>
      <c r="E558" s="1" t="n">
        <v>46233</v>
      </c>
      <c r="F558" t="inlineStr">
        <is>
          <t>VÄSTERBOTTENS LÄN</t>
        </is>
      </c>
      <c r="G558" t="inlineStr">
        <is>
          <t>LYCKSELE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45967</v>
      </c>
      <c r="E559" s="1" t="n">
        <v>46233</v>
      </c>
      <c r="F559" t="inlineStr">
        <is>
          <t>VÄSTERBOTTENS LÄN</t>
        </is>
      </c>
      <c r="G559" t="inlineStr">
        <is>
          <t>LYCKSELE</t>
        </is>
      </c>
      <c r="I559" t="n">
        <v>24.9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54943-2025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45967</v>
      </c>
      <c r="E560" s="1" t="n">
        <v>46233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55216-2025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45968</v>
      </c>
      <c r="E561" s="1" t="n">
        <v>46233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Naturvårdsverket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10478-2026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46077</v>
      </c>
      <c r="E562" s="1" t="n">
        <v>46233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46233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54942-2025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45967</v>
      </c>
      <c r="E564" s="1" t="n">
        <v>46233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55187-2025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45968</v>
      </c>
      <c r="E565" s="1" t="n">
        <v>46233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46233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46233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11.5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46233</v>
      </c>
      <c r="F568" t="inlineStr">
        <is>
          <t>VÄSTERBOTTENS LÄN</t>
        </is>
      </c>
      <c r="G568" t="inlineStr">
        <is>
          <t>LYCKSELE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55627-2025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45972</v>
      </c>
      <c r="E569" s="1" t="n">
        <v>46233</v>
      </c>
      <c r="F569" t="inlineStr">
        <is>
          <t>VÄSTERBOTTENS LÄN</t>
        </is>
      </c>
      <c r="G569" t="inlineStr">
        <is>
          <t>LYCKSELE</t>
        </is>
      </c>
      <c r="I569" t="n">
        <v>14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55545-2025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45971</v>
      </c>
      <c r="E570" s="1" t="n">
        <v>46233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55666-2025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45972</v>
      </c>
      <c r="E571" s="1" t="n">
        <v>46233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45198</v>
      </c>
      <c r="E572" s="1" t="n">
        <v>46233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55333-2025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45971</v>
      </c>
      <c r="E573" s="1" t="n">
        <v>46233</v>
      </c>
      <c r="F573" t="inlineStr">
        <is>
          <t>VÄSTERBOTTENS LÄN</t>
        </is>
      </c>
      <c r="G573" t="inlineStr">
        <is>
          <t>LYCKSELE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10180-2026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46076</v>
      </c>
      <c r="E574" s="1" t="n">
        <v>46233</v>
      </c>
      <c r="F574" t="inlineStr">
        <is>
          <t>VÄSTERBOTTENS LÄN</t>
        </is>
      </c>
      <c r="G574" t="inlineStr">
        <is>
          <t>LYCKSELE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56172-2025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45974</v>
      </c>
      <c r="E575" s="1" t="n">
        <v>46233</v>
      </c>
      <c r="F575" t="inlineStr">
        <is>
          <t>VÄSTERBOTTENS LÄN</t>
        </is>
      </c>
      <c r="G575" t="inlineStr">
        <is>
          <t>LYCKSELE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43973-2023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46233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38178-2022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44812</v>
      </c>
      <c r="E577" s="1" t="n">
        <v>46233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51957-2023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45223</v>
      </c>
      <c r="E578" s="1" t="n">
        <v>46233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56744-2025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45978</v>
      </c>
      <c r="E579" s="1" t="n">
        <v>46233</v>
      </c>
      <c r="F579" t="inlineStr">
        <is>
          <t>VÄSTERBOTTENS LÄN</t>
        </is>
      </c>
      <c r="G579" t="inlineStr">
        <is>
          <t>LYCKSELE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57330-2025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46233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9.300000000000001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46233</v>
      </c>
      <c r="F581" t="inlineStr">
        <is>
          <t>VÄSTERBOTTENS LÄN</t>
        </is>
      </c>
      <c r="G581" t="inlineStr">
        <is>
          <t>LYCKSELE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45666</v>
      </c>
      <c r="E582" s="1" t="n">
        <v>46233</v>
      </c>
      <c r="F582" t="inlineStr">
        <is>
          <t>VÄSTERBOTTENS LÄN</t>
        </is>
      </c>
      <c r="G582" t="inlineStr">
        <is>
          <t>LYCKSELE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15037-2025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45743</v>
      </c>
      <c r="E583" s="1" t="n">
        <v>46233</v>
      </c>
      <c r="F583" t="inlineStr">
        <is>
          <t>VÄSTERBOTTENS LÄN</t>
        </is>
      </c>
      <c r="G583" t="inlineStr">
        <is>
          <t>LYCKSELE</t>
        </is>
      </c>
      <c r="I583" t="n">
        <v>12.1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40262-2022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44820</v>
      </c>
      <c r="E584" s="1" t="n">
        <v>46233</v>
      </c>
      <c r="F584" t="inlineStr">
        <is>
          <t>VÄSTERBOTTENS LÄN</t>
        </is>
      </c>
      <c r="G584" t="inlineStr">
        <is>
          <t>LYCKSELE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57197-2025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46233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57241-2025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45979</v>
      </c>
      <c r="E586" s="1" t="n">
        <v>46233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59653-2022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44907</v>
      </c>
      <c r="E587" s="1" t="n">
        <v>46233</v>
      </c>
      <c r="F587" t="inlineStr">
        <is>
          <t>VÄSTERBOTTENS LÄN</t>
        </is>
      </c>
      <c r="G587" t="inlineStr">
        <is>
          <t>LYCKSELE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57669-2025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45981</v>
      </c>
      <c r="E588" s="1" t="n">
        <v>46233</v>
      </c>
      <c r="F588" t="inlineStr">
        <is>
          <t>VÄSTERBOTTENS LÄN</t>
        </is>
      </c>
      <c r="G588" t="inlineStr">
        <is>
          <t>LYCKSELE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58094-2025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45982</v>
      </c>
      <c r="E589" s="1" t="n">
        <v>46233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45981</v>
      </c>
      <c r="E590" s="1" t="n">
        <v>46233</v>
      </c>
      <c r="F590" t="inlineStr">
        <is>
          <t>VÄSTERBOTTENS LÄN</t>
        </is>
      </c>
      <c r="G590" t="inlineStr">
        <is>
          <t>LYCKSELE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58171-2025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45982</v>
      </c>
      <c r="E591" s="1" t="n">
        <v>46233</v>
      </c>
      <c r="F591" t="inlineStr">
        <is>
          <t>VÄSTERBOTTENS LÄN</t>
        </is>
      </c>
      <c r="G591" t="inlineStr">
        <is>
          <t>LYCKSELE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58097-2025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45982</v>
      </c>
      <c r="E592" s="1" t="n">
        <v>46233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41419-2022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44826</v>
      </c>
      <c r="E593" s="1" t="n">
        <v>46233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Naturvårdsverket</t>
        </is>
      </c>
      <c r="I593" t="n">
        <v>32.1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46233</v>
      </c>
      <c r="F594" t="inlineStr">
        <is>
          <t>VÄSTERBOTTENS LÄN</t>
        </is>
      </c>
      <c r="G594" t="inlineStr">
        <is>
          <t>LYCKSELE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41703-2023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45176</v>
      </c>
      <c r="E595" s="1" t="n">
        <v>46233</v>
      </c>
      <c r="F595" t="inlineStr">
        <is>
          <t>VÄSTERBOTTENS LÄN</t>
        </is>
      </c>
      <c r="G595" t="inlineStr">
        <is>
          <t>LYCKSELE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45695</v>
      </c>
      <c r="E596" s="1" t="n">
        <v>46233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64346-2023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46233</v>
      </c>
      <c r="F597" t="inlineStr">
        <is>
          <t>VÄSTERBOTTENS LÄN</t>
        </is>
      </c>
      <c r="G597" t="inlineStr">
        <is>
          <t>LYCKSELE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52370-2022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44874</v>
      </c>
      <c r="E598" s="1" t="n">
        <v>46233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11870-2026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46085</v>
      </c>
      <c r="E599" s="1" t="n">
        <v>46233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58610-2025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45986</v>
      </c>
      <c r="E600" s="1" t="n">
        <v>46233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12302-2026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46087</v>
      </c>
      <c r="E601" s="1" t="n">
        <v>46233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46233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12292-2026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46233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46233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16274-2022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44670</v>
      </c>
      <c r="E605" s="1" t="n">
        <v>46233</v>
      </c>
      <c r="F605" t="inlineStr">
        <is>
          <t>VÄSTERBOTTENS LÄN</t>
        </is>
      </c>
      <c r="G605" t="inlineStr">
        <is>
          <t>LYCKSELE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31453-2024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45505</v>
      </c>
      <c r="E606" s="1" t="n">
        <v>46233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8.300000000000001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45685</v>
      </c>
      <c r="E607" s="1" t="n">
        <v>46233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46233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45992</v>
      </c>
      <c r="E609" s="1" t="n">
        <v>46233</v>
      </c>
      <c r="F609" t="inlineStr">
        <is>
          <t>VÄSTERBOTTENS LÄN</t>
        </is>
      </c>
      <c r="G609" t="inlineStr">
        <is>
          <t>LYCKSELE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29675-2023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45107</v>
      </c>
      <c r="E610" s="1" t="n">
        <v>46233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Holmen skog AB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59818-2025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46233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46233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59825-2025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46233</v>
      </c>
      <c r="F613" t="inlineStr">
        <is>
          <t>VÄSTERBOTTENS LÄN</t>
        </is>
      </c>
      <c r="G613" t="inlineStr">
        <is>
          <t>LYCKSELE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12662-2026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46233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46233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12735-2026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46091</v>
      </c>
      <c r="E616" s="1" t="n">
        <v>46233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46233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12998-2026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46092</v>
      </c>
      <c r="E618" s="1" t="n">
        <v>46233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46233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57571-2025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45980</v>
      </c>
      <c r="E620" s="1" t="n">
        <v>46233</v>
      </c>
      <c r="F620" t="inlineStr">
        <is>
          <t>VÄSTERBOTTENS LÄN</t>
        </is>
      </c>
      <c r="G620" t="inlineStr">
        <is>
          <t>LYCKSELE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53614-2021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44469</v>
      </c>
      <c r="E621" s="1" t="n">
        <v>46233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46233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46233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Holmen skog AB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13502-2026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46233</v>
      </c>
      <c r="F624" t="inlineStr">
        <is>
          <t>VÄSTERBOTTENS LÄN</t>
        </is>
      </c>
      <c r="G624" t="inlineStr">
        <is>
          <t>LYCKSELE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13436-2026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46233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13627-2026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46097</v>
      </c>
      <c r="E626" s="1" t="n">
        <v>46233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47697-2021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44448</v>
      </c>
      <c r="E627" s="1" t="n">
        <v>46233</v>
      </c>
      <c r="F627" t="inlineStr">
        <is>
          <t>VÄSTERBOTTENS LÄN</t>
        </is>
      </c>
      <c r="G627" t="inlineStr">
        <is>
          <t>LYCKSELE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46094</v>
      </c>
      <c r="E628" s="1" t="n">
        <v>46233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SCA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60309-2025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45994</v>
      </c>
      <c r="E629" s="1" t="n">
        <v>46233</v>
      </c>
      <c r="F629" t="inlineStr">
        <is>
          <t>VÄSTERBOTTENS LÄN</t>
        </is>
      </c>
      <c r="G629" t="inlineStr">
        <is>
          <t>LYCKSELE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13413-2026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46233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13480-2026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46233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Holmen skog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46233</v>
      </c>
      <c r="F632" t="inlineStr">
        <is>
          <t>VÄSTERBOTTENS LÄN</t>
        </is>
      </c>
      <c r="G632" t="inlineStr">
        <is>
          <t>LYCKSELE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46233</v>
      </c>
      <c r="F633" t="inlineStr">
        <is>
          <t>VÄSTERBOTTENS LÄN</t>
        </is>
      </c>
      <c r="G633" t="inlineStr">
        <is>
          <t>LYCKSELE</t>
        </is>
      </c>
      <c r="I633" t="n">
        <v>12.7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8600-2025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45709</v>
      </c>
      <c r="E634" s="1" t="n">
        <v>46233</v>
      </c>
      <c r="F634" t="inlineStr">
        <is>
          <t>VÄSTERBOTTENS LÄN</t>
        </is>
      </c>
      <c r="G634" t="inlineStr">
        <is>
          <t>LYCKSELE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14235-2026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46099</v>
      </c>
      <c r="E635" s="1" t="n">
        <v>46233</v>
      </c>
      <c r="F635" t="inlineStr">
        <is>
          <t>VÄSTERBOTTENS LÄN</t>
        </is>
      </c>
      <c r="G635" t="inlineStr">
        <is>
          <t>LYCKSELE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14243-2026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46233</v>
      </c>
      <c r="F636" t="inlineStr">
        <is>
          <t>VÄSTERBOTTENS LÄN</t>
        </is>
      </c>
      <c r="G636" t="inlineStr">
        <is>
          <t>LYCKSELE</t>
        </is>
      </c>
      <c r="I636" t="n">
        <v>11.8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9892-2022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44620</v>
      </c>
      <c r="E637" s="1" t="n">
        <v>46233</v>
      </c>
      <c r="F637" t="inlineStr">
        <is>
          <t>VÄSTERBOTTENS LÄN</t>
        </is>
      </c>
      <c r="G637" t="inlineStr">
        <is>
          <t>LYCKSELE</t>
        </is>
      </c>
      <c r="I637" t="n">
        <v>14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13954-2026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46233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13921-2026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46233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59927-2025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45993</v>
      </c>
      <c r="E640" s="1" t="n">
        <v>46233</v>
      </c>
      <c r="F640" t="inlineStr">
        <is>
          <t>VÄSTERBOTTENS LÄN</t>
        </is>
      </c>
      <c r="G640" t="inlineStr">
        <is>
          <t>LYCKSELE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12839-2022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44642</v>
      </c>
      <c r="E641" s="1" t="n">
        <v>46233</v>
      </c>
      <c r="F641" t="inlineStr">
        <is>
          <t>VÄSTERBOTTENS LÄN</t>
        </is>
      </c>
      <c r="G641" t="inlineStr">
        <is>
          <t>LYCKSELE</t>
        </is>
      </c>
      <c r="I641" t="n">
        <v>7.3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60594-2025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45996</v>
      </c>
      <c r="E642" s="1" t="n">
        <v>46233</v>
      </c>
      <c r="F642" t="inlineStr">
        <is>
          <t>VÄSTERBOTTENS LÄN</t>
        </is>
      </c>
      <c r="G642" t="inlineStr">
        <is>
          <t>LYCKSELE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27964-2023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45098</v>
      </c>
      <c r="E643" s="1" t="n">
        <v>46233</v>
      </c>
      <c r="F643" t="inlineStr">
        <is>
          <t>VÄSTERBOTTENS LÄN</t>
        </is>
      </c>
      <c r="G643" t="inlineStr">
        <is>
          <t>LYCKSELE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60272-2022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44910</v>
      </c>
      <c r="E644" s="1" t="n">
        <v>46233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61088-2025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46000</v>
      </c>
      <c r="E645" s="1" t="n">
        <v>46233</v>
      </c>
      <c r="F645" t="inlineStr">
        <is>
          <t>VÄSTERBOTTENS LÄN</t>
        </is>
      </c>
      <c r="G645" t="inlineStr">
        <is>
          <t>LYCKSELE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61096-2025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46233</v>
      </c>
      <c r="F646" t="inlineStr">
        <is>
          <t>VÄSTERBOTTENS LÄN</t>
        </is>
      </c>
      <c r="G646" t="inlineStr">
        <is>
          <t>LYCKSELE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61115-2025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46233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14404-2026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46233</v>
      </c>
      <c r="F648" t="inlineStr">
        <is>
          <t>VÄSTERBOTTENS LÄN</t>
        </is>
      </c>
      <c r="G648" t="inlineStr">
        <is>
          <t>LYCKSELE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29543-2023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45106</v>
      </c>
      <c r="E649" s="1" t="n">
        <v>46233</v>
      </c>
      <c r="F649" t="inlineStr">
        <is>
          <t>VÄSTERBOTTENS LÄN</t>
        </is>
      </c>
      <c r="G649" t="inlineStr">
        <is>
          <t>LYCKSELE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61091-2025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46233</v>
      </c>
      <c r="F650" t="inlineStr">
        <is>
          <t>VÄSTERBOTTENS LÄN</t>
        </is>
      </c>
      <c r="G650" t="inlineStr">
        <is>
          <t>LYCKSELE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46000</v>
      </c>
      <c r="E651" s="1" t="n">
        <v>46233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849-2022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44571</v>
      </c>
      <c r="E652" s="1" t="n">
        <v>46233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26357-2023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45091</v>
      </c>
      <c r="E653" s="1" t="n">
        <v>46233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46101</v>
      </c>
      <c r="E654" s="1" t="n">
        <v>46233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SCA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61086-2025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46000</v>
      </c>
      <c r="E655" s="1" t="n">
        <v>46233</v>
      </c>
      <c r="F655" t="inlineStr">
        <is>
          <t>VÄSTERBOTTENS LÄN</t>
        </is>
      </c>
      <c r="G655" t="inlineStr">
        <is>
          <t>LYCKSELE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49175-2023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45210</v>
      </c>
      <c r="E656" s="1" t="n">
        <v>46233</v>
      </c>
      <c r="F656" t="inlineStr">
        <is>
          <t>VÄSTERBOTTENS LÄN</t>
        </is>
      </c>
      <c r="G656" t="inlineStr">
        <is>
          <t>LYCKSELE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21289-2025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45779</v>
      </c>
      <c r="E657" s="1" t="n">
        <v>46233</v>
      </c>
      <c r="F657" t="inlineStr">
        <is>
          <t>VÄSTERBOTTENS LÄN</t>
        </is>
      </c>
      <c r="G657" t="inlineStr">
        <is>
          <t>LYCKSELE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61353-2025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46001</v>
      </c>
      <c r="E658" s="1" t="n">
        <v>46233</v>
      </c>
      <c r="F658" t="inlineStr">
        <is>
          <t>VÄSTERBOTTENS LÄN</t>
        </is>
      </c>
      <c r="G658" t="inlineStr">
        <is>
          <t>LYCKSELE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14725-2026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46101</v>
      </c>
      <c r="E659" s="1" t="n">
        <v>46233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30401-2023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45103</v>
      </c>
      <c r="E660" s="1" t="n">
        <v>46233</v>
      </c>
      <c r="F660" t="inlineStr">
        <is>
          <t>VÄSTERBOTTENS LÄN</t>
        </is>
      </c>
      <c r="G660" t="inlineStr">
        <is>
          <t>LYCKSELE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61335-2025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46001</v>
      </c>
      <c r="E661" s="1" t="n">
        <v>46233</v>
      </c>
      <c r="F661" t="inlineStr">
        <is>
          <t>VÄSTERBOTTENS LÄN</t>
        </is>
      </c>
      <c r="G661" t="inlineStr">
        <is>
          <t>LYCKSELE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61351-2025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46001</v>
      </c>
      <c r="E662" s="1" t="n">
        <v>46233</v>
      </c>
      <c r="F662" t="inlineStr">
        <is>
          <t>VÄSTERBOTTENS LÄN</t>
        </is>
      </c>
      <c r="G662" t="inlineStr">
        <is>
          <t>LYCKSELE</t>
        </is>
      </c>
      <c r="I662" t="n">
        <v>8.199999999999999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61590-2025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46002</v>
      </c>
      <c r="E663" s="1" t="n">
        <v>46233</v>
      </c>
      <c r="F663" t="inlineStr">
        <is>
          <t>VÄSTERBOTTENS LÄN</t>
        </is>
      </c>
      <c r="G663" t="inlineStr">
        <is>
          <t>LYCKSELE</t>
        </is>
      </c>
      <c r="I663" t="n">
        <v>12.4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61472-2025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46001</v>
      </c>
      <c r="E664" s="1" t="n">
        <v>46233</v>
      </c>
      <c r="F664" t="inlineStr">
        <is>
          <t>VÄSTERBOTTENS LÄN</t>
        </is>
      </c>
      <c r="G664" t="inlineStr">
        <is>
          <t>LYCKSELE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46233</v>
      </c>
      <c r="F665" t="inlineStr">
        <is>
          <t>VÄSTERBOTTENS LÄN</t>
        </is>
      </c>
      <c r="G665" t="inlineStr">
        <is>
          <t>LYCKSELE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53241-2022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44876</v>
      </c>
      <c r="E666" s="1" t="n">
        <v>46233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14856-2026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46233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61334-2025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46001</v>
      </c>
      <c r="E668" s="1" t="n">
        <v>46233</v>
      </c>
      <c r="F668" t="inlineStr">
        <is>
          <t>VÄSTERBOTTENS LÄN</t>
        </is>
      </c>
      <c r="G668" t="inlineStr">
        <is>
          <t>LYCKSELE</t>
        </is>
      </c>
      <c r="I668" t="n">
        <v>8.9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56401-2021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44477</v>
      </c>
      <c r="E669" s="1" t="n">
        <v>46233</v>
      </c>
      <c r="F669" t="inlineStr">
        <is>
          <t>VÄSTERBOTTENS LÄN</t>
        </is>
      </c>
      <c r="G669" t="inlineStr">
        <is>
          <t>LYCKSELE</t>
        </is>
      </c>
      <c r="I669" t="n">
        <v>11.5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61593-2025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46002</v>
      </c>
      <c r="E670" s="1" t="n">
        <v>46233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25.2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53323-2021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44468</v>
      </c>
      <c r="E671" s="1" t="n">
        <v>46233</v>
      </c>
      <c r="F671" t="inlineStr">
        <is>
          <t>VÄSTERBOTTENS LÄN</t>
        </is>
      </c>
      <c r="G671" t="inlineStr">
        <is>
          <t>LYCKSELE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46233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12.5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4858-2025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45688</v>
      </c>
      <c r="E673" s="1" t="n">
        <v>46233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61854-2025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46003</v>
      </c>
      <c r="E674" s="1" t="n">
        <v>46233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62476-2025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46007</v>
      </c>
      <c r="E675" s="1" t="n">
        <v>46233</v>
      </c>
      <c r="F675" t="inlineStr">
        <is>
          <t>VÄSTERBOTTENS LÄN</t>
        </is>
      </c>
      <c r="G675" t="inlineStr">
        <is>
          <t>LYCKSELE</t>
        </is>
      </c>
      <c r="I675" t="n">
        <v>36.8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63096-2025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46233</v>
      </c>
      <c r="F676" t="inlineStr">
        <is>
          <t>VÄSTERBOTTENS LÄN</t>
        </is>
      </c>
      <c r="G676" t="inlineStr">
        <is>
          <t>LYCKSELE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57298-2025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45979</v>
      </c>
      <c r="E677" s="1" t="n">
        <v>46233</v>
      </c>
      <c r="F677" t="inlineStr">
        <is>
          <t>VÄSTERBOTTENS LÄN</t>
        </is>
      </c>
      <c r="G677" t="inlineStr">
        <is>
          <t>LYCKSELE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63100-2025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46233</v>
      </c>
      <c r="F678" t="inlineStr">
        <is>
          <t>VÄSTERBOTTENS LÄN</t>
        </is>
      </c>
      <c r="G678" t="inlineStr">
        <is>
          <t>LYCKSELE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62906-2025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46009</v>
      </c>
      <c r="E679" s="1" t="n">
        <v>46233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52699-2021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44466</v>
      </c>
      <c r="E680" s="1" t="n">
        <v>46233</v>
      </c>
      <c r="F680" t="inlineStr">
        <is>
          <t>VÄSTERBOTTENS LÄN</t>
        </is>
      </c>
      <c r="G680" t="inlineStr">
        <is>
          <t>LYCKSELE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15696-2026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46233</v>
      </c>
      <c r="F681" t="inlineStr">
        <is>
          <t>VÄSTERBOTTENS LÄN</t>
        </is>
      </c>
      <c r="G681" t="inlineStr">
        <is>
          <t>LYCKSELE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16192-2024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45406</v>
      </c>
      <c r="E682" s="1" t="n">
        <v>46233</v>
      </c>
      <c r="F682" t="inlineStr">
        <is>
          <t>VÄSTERBOTTENS LÄN</t>
        </is>
      </c>
      <c r="G682" t="inlineStr">
        <is>
          <t>LYCKSELE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58594-2022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44902</v>
      </c>
      <c r="E683" s="1" t="n">
        <v>46233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15655-2026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46233</v>
      </c>
      <c r="F684" t="inlineStr">
        <is>
          <t>VÄSTERBOTTENS LÄN</t>
        </is>
      </c>
      <c r="G684" t="inlineStr">
        <is>
          <t>LYCKSELE</t>
        </is>
      </c>
      <c r="I684" t="n">
        <v>5.8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63315-2025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46010</v>
      </c>
      <c r="E685" s="1" t="n">
        <v>46233</v>
      </c>
      <c r="F685" t="inlineStr">
        <is>
          <t>VÄSTERBOTTENS LÄN</t>
        </is>
      </c>
      <c r="G685" t="inlineStr">
        <is>
          <t>LYCKSELE</t>
        </is>
      </c>
      <c r="I685" t="n">
        <v>9.199999999999999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53036-2023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45226</v>
      </c>
      <c r="E686" s="1" t="n">
        <v>46233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46176-2023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45196</v>
      </c>
      <c r="E687" s="1" t="n">
        <v>46233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46106</v>
      </c>
      <c r="E688" s="1" t="n">
        <v>46233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12.9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12585-2025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45732</v>
      </c>
      <c r="E689" s="1" t="n">
        <v>46233</v>
      </c>
      <c r="F689" t="inlineStr">
        <is>
          <t>VÄSTERBOTTENS LÄN</t>
        </is>
      </c>
      <c r="G689" t="inlineStr">
        <is>
          <t>LYCKSELE</t>
        </is>
      </c>
      <c r="I689" t="n">
        <v>15.5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63639-2025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46014</v>
      </c>
      <c r="E690" s="1" t="n">
        <v>46233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10.6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58961-2022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44903</v>
      </c>
      <c r="E691" s="1" t="n">
        <v>46233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14276-2025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45740</v>
      </c>
      <c r="E692" s="1" t="n">
        <v>46233</v>
      </c>
      <c r="F692" t="inlineStr">
        <is>
          <t>VÄSTERBOTTENS LÄN</t>
        </is>
      </c>
      <c r="G692" t="inlineStr">
        <is>
          <t>LYCKSELE</t>
        </is>
      </c>
      <c r="I692" t="n">
        <v>34.9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44934</v>
      </c>
      <c r="E693" s="1" t="n">
        <v>46233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46692-2025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45926</v>
      </c>
      <c r="E694" s="1" t="n">
        <v>46233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15221-2025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45744</v>
      </c>
      <c r="E695" s="1" t="n">
        <v>46233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12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26396-2022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44735</v>
      </c>
      <c r="E696" s="1" t="n">
        <v>46233</v>
      </c>
      <c r="F696" t="inlineStr">
        <is>
          <t>VÄSTERBOTTENS LÄN</t>
        </is>
      </c>
      <c r="G696" t="inlineStr">
        <is>
          <t>LYCKSELE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46181-2025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45924</v>
      </c>
      <c r="E697" s="1" t="n">
        <v>46233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16397-2026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46233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55170-2022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44886</v>
      </c>
      <c r="E699" s="1" t="n">
        <v>46233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16138-2026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46108</v>
      </c>
      <c r="E700" s="1" t="n">
        <v>46233</v>
      </c>
      <c r="F700" t="inlineStr">
        <is>
          <t>VÄSTERBOTTENS LÄN</t>
        </is>
      </c>
      <c r="G700" t="inlineStr">
        <is>
          <t>LYCKSELE</t>
        </is>
      </c>
      <c r="I700" t="n">
        <v>13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62874-2023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45271</v>
      </c>
      <c r="E701" s="1" t="n">
        <v>46233</v>
      </c>
      <c r="F701" t="inlineStr">
        <is>
          <t>VÄSTERBOTTENS LÄN</t>
        </is>
      </c>
      <c r="G701" t="inlineStr">
        <is>
          <t>LYCKSELE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46233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53839-2023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46233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11822-2023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44994</v>
      </c>
      <c r="E704" s="1" t="n">
        <v>46233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28550-2023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45103</v>
      </c>
      <c r="E705" s="1" t="n">
        <v>46233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8.300000000000001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46233</v>
      </c>
      <c r="F706" t="inlineStr">
        <is>
          <t>VÄSTERBOTTENS LÄN</t>
        </is>
      </c>
      <c r="G706" t="inlineStr">
        <is>
          <t>LYCKSELE</t>
        </is>
      </c>
      <c r="I706" t="n">
        <v>16.3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1085-2026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46030</v>
      </c>
      <c r="E707" s="1" t="n">
        <v>46233</v>
      </c>
      <c r="F707" t="inlineStr">
        <is>
          <t>VÄSTERBOTTENS LÄN</t>
        </is>
      </c>
      <c r="G707" t="inlineStr">
        <is>
          <t>LYCKSELE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16731-2026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46113</v>
      </c>
      <c r="E708" s="1" t="n">
        <v>46233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13.5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46034</v>
      </c>
      <c r="E709" s="1" t="n">
        <v>46233</v>
      </c>
      <c r="F709" t="inlineStr">
        <is>
          <t>VÄSTERBOTTENS LÄN</t>
        </is>
      </c>
      <c r="G709" t="inlineStr">
        <is>
          <t>LYCKSELE</t>
        </is>
      </c>
      <c r="I709" t="n">
        <v>8.4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50652-2021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44459</v>
      </c>
      <c r="E710" s="1" t="n">
        <v>46233</v>
      </c>
      <c r="F710" t="inlineStr">
        <is>
          <t>VÄSTERBOTTENS LÄN</t>
        </is>
      </c>
      <c r="G710" t="inlineStr">
        <is>
          <t>LYCKSELE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1613-2026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46034</v>
      </c>
      <c r="E711" s="1" t="n">
        <v>46233</v>
      </c>
      <c r="F711" t="inlineStr">
        <is>
          <t>VÄSTERBOTTENS LÄN</t>
        </is>
      </c>
      <c r="G711" t="inlineStr">
        <is>
          <t>LYCKSELE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46113</v>
      </c>
      <c r="E712" s="1" t="n">
        <v>46233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33400-2023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45128</v>
      </c>
      <c r="E713" s="1" t="n">
        <v>46233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16643-2026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46112</v>
      </c>
      <c r="E714" s="1" t="n">
        <v>46233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16.8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46233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14070-2024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45392</v>
      </c>
      <c r="E716" s="1" t="n">
        <v>46233</v>
      </c>
      <c r="F716" t="inlineStr">
        <is>
          <t>VÄSTERBOTTENS LÄN</t>
        </is>
      </c>
      <c r="G716" t="inlineStr">
        <is>
          <t>LYCKSELE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46113</v>
      </c>
      <c r="E717" s="1" t="n">
        <v>46233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19.5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16540-2026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46112</v>
      </c>
      <c r="E718" s="1" t="n">
        <v>46233</v>
      </c>
      <c r="F718" t="inlineStr">
        <is>
          <t>VÄSTERBOTTENS LÄN</t>
        </is>
      </c>
      <c r="G718" t="inlineStr">
        <is>
          <t>LYCKSELE</t>
        </is>
      </c>
      <c r="I718" t="n">
        <v>17.1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46034</v>
      </c>
      <c r="E719" s="1" t="n">
        <v>46233</v>
      </c>
      <c r="F719" t="inlineStr">
        <is>
          <t>VÄSTERBOTTENS LÄN</t>
        </is>
      </c>
      <c r="G719" t="inlineStr">
        <is>
          <t>LYCKSELE</t>
        </is>
      </c>
      <c r="I719" t="n">
        <v>10.7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46112</v>
      </c>
      <c r="E720" s="1" t="n">
        <v>46233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33706-2024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45520</v>
      </c>
      <c r="E721" s="1" t="n">
        <v>46233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33713-2024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45520</v>
      </c>
      <c r="E722" s="1" t="n">
        <v>46233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7.5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50044-2021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44456</v>
      </c>
      <c r="E723" s="1" t="n">
        <v>46233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16986-2026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46233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46119</v>
      </c>
      <c r="E725" s="1" t="n">
        <v>46233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23971-2024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45455</v>
      </c>
      <c r="E726" s="1" t="n">
        <v>46233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17650-2026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46121</v>
      </c>
      <c r="E727" s="1" t="n">
        <v>46233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58439-2022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44901</v>
      </c>
      <c r="E728" s="1" t="n">
        <v>46233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64668-2023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45281</v>
      </c>
      <c r="E729" s="1" t="n">
        <v>46233</v>
      </c>
      <c r="F729" t="inlineStr">
        <is>
          <t>VÄSTERBOTTENS LÄN</t>
        </is>
      </c>
      <c r="G729" t="inlineStr">
        <is>
          <t>LYCKSELE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60859-2022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44908</v>
      </c>
      <c r="E730" s="1" t="n">
        <v>46233</v>
      </c>
      <c r="F730" t="inlineStr">
        <is>
          <t>VÄSTERBOTTENS LÄN</t>
        </is>
      </c>
      <c r="G730" t="inlineStr">
        <is>
          <t>LYCKSELE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16289-2025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45751</v>
      </c>
      <c r="E731" s="1" t="n">
        <v>46233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46127</v>
      </c>
      <c r="E732" s="1" t="n">
        <v>46233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18789-2026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46128</v>
      </c>
      <c r="E733" s="1" t="n">
        <v>46233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70197-2021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44534</v>
      </c>
      <c r="E734" s="1" t="n">
        <v>46233</v>
      </c>
      <c r="F734" t="inlineStr">
        <is>
          <t>VÄSTERBOTTENS LÄN</t>
        </is>
      </c>
      <c r="G734" t="inlineStr">
        <is>
          <t>LYCKSELE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53740-2022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44880</v>
      </c>
      <c r="E735" s="1" t="n">
        <v>46233</v>
      </c>
      <c r="F735" t="inlineStr">
        <is>
          <t>VÄSTERBOTTENS LÄN</t>
        </is>
      </c>
      <c r="G735" t="inlineStr">
        <is>
          <t>LYCKSELE</t>
        </is>
      </c>
      <c r="I735" t="n">
        <v>10.5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16887-2024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45411</v>
      </c>
      <c r="E736" s="1" t="n">
        <v>46233</v>
      </c>
      <c r="F736" t="inlineStr">
        <is>
          <t>VÄSTERBOTTENS LÄN</t>
        </is>
      </c>
      <c r="G736" t="inlineStr">
        <is>
          <t>LYCKSELE</t>
        </is>
      </c>
      <c r="I736" t="n">
        <v>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22050-2024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45443</v>
      </c>
      <c r="E737" s="1" t="n">
        <v>46233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19058-2026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46233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19062-2026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46132</v>
      </c>
      <c r="E739" s="1" t="n">
        <v>46233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9.699999999999999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15809-2023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45021</v>
      </c>
      <c r="E740" s="1" t="n">
        <v>46233</v>
      </c>
      <c r="F740" t="inlineStr">
        <is>
          <t>VÄSTERBOTTENS LÄN</t>
        </is>
      </c>
      <c r="G740" t="inlineStr">
        <is>
          <t>LYCKSELE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18737-2026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46128</v>
      </c>
      <c r="E741" s="1" t="n">
        <v>46233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64656-2023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45281</v>
      </c>
      <c r="E742" s="1" t="n">
        <v>46233</v>
      </c>
      <c r="F742" t="inlineStr">
        <is>
          <t>VÄSTERBOTTENS LÄN</t>
        </is>
      </c>
      <c r="G742" t="inlineStr">
        <is>
          <t>LYCKSELE</t>
        </is>
      </c>
      <c r="I742" t="n">
        <v>12.3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19701-2026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46134</v>
      </c>
      <c r="E743" s="1" t="n">
        <v>46233</v>
      </c>
      <c r="F743" t="inlineStr">
        <is>
          <t>VÄSTERBOTTENS LÄN</t>
        </is>
      </c>
      <c r="G743" t="inlineStr">
        <is>
          <t>LYCKSELE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29524-2023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45106</v>
      </c>
      <c r="E744" s="1" t="n">
        <v>46233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27818-2024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45475</v>
      </c>
      <c r="E745" s="1" t="n">
        <v>46233</v>
      </c>
      <c r="F745" t="inlineStr">
        <is>
          <t>VÄSTERBOTTENS LÄN</t>
        </is>
      </c>
      <c r="G745" t="inlineStr">
        <is>
          <t>LYCKSELE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19325-2026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46133</v>
      </c>
      <c r="E746" s="1" t="n">
        <v>46233</v>
      </c>
      <c r="F746" t="inlineStr">
        <is>
          <t>VÄSTERBOTTENS LÄN</t>
        </is>
      </c>
      <c r="G746" t="inlineStr">
        <is>
          <t>LYCKSELE</t>
        </is>
      </c>
      <c r="I746" t="n">
        <v>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27671-2024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45474</v>
      </c>
      <c r="E747" s="1" t="n">
        <v>46233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Naturvårdsverket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35569-2024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45531</v>
      </c>
      <c r="E748" s="1" t="n">
        <v>46233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34111-2025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45845</v>
      </c>
      <c r="E749" s="1" t="n">
        <v>46233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8.4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18156-2023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45040</v>
      </c>
      <c r="E750" s="1" t="n">
        <v>46233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22.9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43770-2025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45912</v>
      </c>
      <c r="E751" s="1" t="n">
        <v>46233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9.5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14857-2023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45014</v>
      </c>
      <c r="E752" s="1" t="n">
        <v>46233</v>
      </c>
      <c r="F752" t="inlineStr">
        <is>
          <t>VÄSTERBOTTENS LÄN</t>
        </is>
      </c>
      <c r="G752" t="inlineStr">
        <is>
          <t>LYCKSELE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28890-2024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45479</v>
      </c>
      <c r="E753" s="1" t="n">
        <v>46233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28892-2024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45479</v>
      </c>
      <c r="E754" s="1" t="n">
        <v>46233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60425-2021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44496</v>
      </c>
      <c r="E755" s="1" t="n">
        <v>46233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35284-2023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45145</v>
      </c>
      <c r="E756" s="1" t="n">
        <v>46233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20034-2025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45772</v>
      </c>
      <c r="E757" s="1" t="n">
        <v>46233</v>
      </c>
      <c r="F757" t="inlineStr">
        <is>
          <t>VÄSTERBOTTENS LÄN</t>
        </is>
      </c>
      <c r="G757" t="inlineStr">
        <is>
          <t>LYCKSELE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57666-2021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44484</v>
      </c>
      <c r="E758" s="1" t="n">
        <v>46233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62547-2022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44924</v>
      </c>
      <c r="E759" s="1" t="n">
        <v>46233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45361-2024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45576</v>
      </c>
      <c r="E760" s="1" t="n">
        <v>46233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14343-2025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45741</v>
      </c>
      <c r="E761" s="1" t="n">
        <v>46233</v>
      </c>
      <c r="F761" t="inlineStr">
        <is>
          <t>VÄSTERBOTTENS LÄN</t>
        </is>
      </c>
      <c r="G761" t="inlineStr">
        <is>
          <t>LYCKSELE</t>
        </is>
      </c>
      <c r="I761" t="n">
        <v>6.4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47113-2025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45929</v>
      </c>
      <c r="E762" s="1" t="n">
        <v>46233</v>
      </c>
      <c r="F762" t="inlineStr">
        <is>
          <t>VÄSTERBOTTENS LÄN</t>
        </is>
      </c>
      <c r="G762" t="inlineStr">
        <is>
          <t>LYCKSELE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2859-2022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44581</v>
      </c>
      <c r="E763" s="1" t="n">
        <v>46233</v>
      </c>
      <c r="F763" t="inlineStr">
        <is>
          <t>VÄSTERBOTTENS LÄN</t>
        </is>
      </c>
      <c r="G763" t="inlineStr">
        <is>
          <t>LYCKSELE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48585-2025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45936</v>
      </c>
      <c r="E764" s="1" t="n">
        <v>46233</v>
      </c>
      <c r="F764" t="inlineStr">
        <is>
          <t>VÄSTERBOTTENS LÄN</t>
        </is>
      </c>
      <c r="G764" t="inlineStr">
        <is>
          <t>LYCKSELE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34857-2024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45527</v>
      </c>
      <c r="E765" s="1" t="n">
        <v>46233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18566-2025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45763</v>
      </c>
      <c r="E766" s="1" t="n">
        <v>46233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29835-2023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46233</v>
      </c>
      <c r="F767" t="inlineStr">
        <is>
          <t>VÄSTERBOTTENS LÄN</t>
        </is>
      </c>
      <c r="G767" t="inlineStr">
        <is>
          <t>LYCKSELE</t>
        </is>
      </c>
      <c r="I767" t="n">
        <v>17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45576</v>
      </c>
      <c r="E768" s="1" t="n">
        <v>46233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10.8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45352-2024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45576</v>
      </c>
      <c r="E769" s="1" t="n">
        <v>46233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7.6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18674-2025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46233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7.9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19390-2024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45429</v>
      </c>
      <c r="E771" s="1" t="n">
        <v>46233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54680-2024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45618</v>
      </c>
      <c r="E772" s="1" t="n">
        <v>46233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57984-2025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45982</v>
      </c>
      <c r="E773" s="1" t="n">
        <v>46233</v>
      </c>
      <c r="F773" t="inlineStr">
        <is>
          <t>VÄSTERBOTTENS LÄN</t>
        </is>
      </c>
      <c r="G773" t="inlineStr">
        <is>
          <t>LYCKSELE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2552-2024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45313</v>
      </c>
      <c r="E774" s="1" t="n">
        <v>46233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Naturvårdsverket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51466-2024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45604</v>
      </c>
      <c r="E775" s="1" t="n">
        <v>46233</v>
      </c>
      <c r="F775" t="inlineStr">
        <is>
          <t>VÄSTERBOTTENS LÄN</t>
        </is>
      </c>
      <c r="G775" t="inlineStr">
        <is>
          <t>LYCKSELE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58263-2025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45985</v>
      </c>
      <c r="E776" s="1" t="n">
        <v>46233</v>
      </c>
      <c r="F776" t="inlineStr">
        <is>
          <t>VÄSTERBOTTENS LÄN</t>
        </is>
      </c>
      <c r="G776" t="inlineStr">
        <is>
          <t>LYCKSELE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57109-2024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45629</v>
      </c>
      <c r="E777" s="1" t="n">
        <v>46233</v>
      </c>
      <c r="F777" t="inlineStr">
        <is>
          <t>VÄSTERBOTTENS LÄN</t>
        </is>
      </c>
      <c r="G777" t="inlineStr">
        <is>
          <t>LYCKSELE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45447-2024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45576</v>
      </c>
      <c r="E778" s="1" t="n">
        <v>46233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Naturvårdsverket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26717-2024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45470</v>
      </c>
      <c r="E779" s="1" t="n">
        <v>46233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45406-2024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45576</v>
      </c>
      <c r="E780" s="1" t="n">
        <v>46233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Naturvårdsverket</t>
        </is>
      </c>
      <c r="I780" t="n">
        <v>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29034-2025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45821</v>
      </c>
      <c r="E781" s="1" t="n">
        <v>46233</v>
      </c>
      <c r="F781" t="inlineStr">
        <is>
          <t>VÄSTERBOTTENS LÄN</t>
        </is>
      </c>
      <c r="G781" t="inlineStr">
        <is>
          <t>LYCKSELE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44566</v>
      </c>
      <c r="E782" s="1" t="n">
        <v>46233</v>
      </c>
      <c r="F782" t="inlineStr">
        <is>
          <t>VÄSTERBOTTENS LÄN</t>
        </is>
      </c>
      <c r="G782" t="inlineStr">
        <is>
          <t>LYCKSELE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45139-2025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45919</v>
      </c>
      <c r="E783" s="1" t="n">
        <v>46233</v>
      </c>
      <c r="F783" t="inlineStr">
        <is>
          <t>VÄSTERBOTTENS LÄN</t>
        </is>
      </c>
      <c r="G783" t="inlineStr">
        <is>
          <t>LYCKSELE</t>
        </is>
      </c>
      <c r="I783" t="n">
        <v>5.7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44092-2025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45915</v>
      </c>
      <c r="E784" s="1" t="n">
        <v>46233</v>
      </c>
      <c r="F784" t="inlineStr">
        <is>
          <t>VÄSTERBOTTENS LÄN</t>
        </is>
      </c>
      <c r="G784" t="inlineStr">
        <is>
          <t>LYCKSELE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2352-2025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45673</v>
      </c>
      <c r="E785" s="1" t="n">
        <v>46233</v>
      </c>
      <c r="F785" t="inlineStr">
        <is>
          <t>VÄSTERBOTTENS LÄN</t>
        </is>
      </c>
      <c r="G785" t="inlineStr">
        <is>
          <t>LYCKSELE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60081-2025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45993</v>
      </c>
      <c r="E786" s="1" t="n">
        <v>46233</v>
      </c>
      <c r="F786" t="inlineStr">
        <is>
          <t>VÄSTERBOTTENS LÄN</t>
        </is>
      </c>
      <c r="G786" t="inlineStr">
        <is>
          <t>LYCKSELE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23769-2023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45077</v>
      </c>
      <c r="E787" s="1" t="n">
        <v>46233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20242-2026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46139</v>
      </c>
      <c r="E788" s="1" t="n">
        <v>46233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11199-2024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45371</v>
      </c>
      <c r="E789" s="1" t="n">
        <v>46233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55.8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51152-2024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45603</v>
      </c>
      <c r="E790" s="1" t="n">
        <v>46233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61975-2025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46003</v>
      </c>
      <c r="E791" s="1" t="n">
        <v>46233</v>
      </c>
      <c r="F791" t="inlineStr">
        <is>
          <t>VÄSTERBOTTENS LÄN</t>
        </is>
      </c>
      <c r="G791" t="inlineStr">
        <is>
          <t>LYCKSELE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50468-2024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45601</v>
      </c>
      <c r="E792" s="1" t="n">
        <v>46233</v>
      </c>
      <c r="F792" t="inlineStr">
        <is>
          <t>VÄSTERBOTTENS LÄN</t>
        </is>
      </c>
      <c r="G792" t="inlineStr">
        <is>
          <t>LYCKSELE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44564</v>
      </c>
      <c r="E793" s="1" t="n">
        <v>46233</v>
      </c>
      <c r="F793" t="inlineStr">
        <is>
          <t>VÄSTERBOTTENS LÄN</t>
        </is>
      </c>
      <c r="G793" t="inlineStr">
        <is>
          <t>LYCKSELE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50365-2024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45600</v>
      </c>
      <c r="E794" s="1" t="n">
        <v>46233</v>
      </c>
      <c r="F794" t="inlineStr">
        <is>
          <t>VÄSTERBOTTENS LÄN</t>
        </is>
      </c>
      <c r="G794" t="inlineStr">
        <is>
          <t>LYCKSELE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54287-2024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45617</v>
      </c>
      <c r="E795" s="1" t="n">
        <v>46233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19059-2026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46132</v>
      </c>
      <c r="E796" s="1" t="n">
        <v>46233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40342-2025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45895</v>
      </c>
      <c r="E797" s="1" t="n">
        <v>46233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40912-2024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45558</v>
      </c>
      <c r="E798" s="1" t="n">
        <v>46233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11.1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26999-2023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45093</v>
      </c>
      <c r="E799" s="1" t="n">
        <v>46233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25573-2025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45803</v>
      </c>
      <c r="E800" s="1" t="n">
        <v>46233</v>
      </c>
      <c r="F800" t="inlineStr">
        <is>
          <t>VÄSTERBOTTENS LÄN</t>
        </is>
      </c>
      <c r="G800" t="inlineStr">
        <is>
          <t>LYCKSELE</t>
        </is>
      </c>
      <c r="I800" t="n">
        <v>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53011-2024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46233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7.1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20287-2022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44698</v>
      </c>
      <c r="E802" s="1" t="n">
        <v>46233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11.5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53788-2024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45615</v>
      </c>
      <c r="E803" s="1" t="n">
        <v>46233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932-2022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44571</v>
      </c>
      <c r="E804" s="1" t="n">
        <v>46233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39527-2025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45890</v>
      </c>
      <c r="E805" s="1" t="n">
        <v>46233</v>
      </c>
      <c r="F805" t="inlineStr">
        <is>
          <t>VÄSTERBOTTENS LÄN</t>
        </is>
      </c>
      <c r="G805" t="inlineStr">
        <is>
          <t>LYCKSELE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48542-2023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45208</v>
      </c>
      <c r="E806" s="1" t="n">
        <v>46233</v>
      </c>
      <c r="F806" t="inlineStr">
        <is>
          <t>VÄSTERBOTTENS LÄN</t>
        </is>
      </c>
      <c r="G806" t="inlineStr">
        <is>
          <t>LYCKSELE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61891-2024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45652</v>
      </c>
      <c r="E807" s="1" t="n">
        <v>46233</v>
      </c>
      <c r="F807" t="inlineStr">
        <is>
          <t>VÄSTERBOTTENS LÄN</t>
        </is>
      </c>
      <c r="G807" t="inlineStr">
        <is>
          <t>LYCKSELE</t>
        </is>
      </c>
      <c r="I807" t="n">
        <v>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21080-2026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46146</v>
      </c>
      <c r="E808" s="1" t="n">
        <v>46233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21096-2026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46146</v>
      </c>
      <c r="E809" s="1" t="n">
        <v>46233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23679-2025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45793</v>
      </c>
      <c r="E810" s="1" t="n">
        <v>46233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29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21142-2026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46146</v>
      </c>
      <c r="E811" s="1" t="n">
        <v>46233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24509-2025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45798</v>
      </c>
      <c r="E812" s="1" t="n">
        <v>46233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29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8035-2024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45350</v>
      </c>
      <c r="E813" s="1" t="n">
        <v>46233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21141-2026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46146</v>
      </c>
      <c r="E814" s="1" t="n">
        <v>46233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21052-2026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46146</v>
      </c>
      <c r="E815" s="1" t="n">
        <v>46233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21079-2026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46146</v>
      </c>
      <c r="E816" s="1" t="n">
        <v>46233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21090-2026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46146</v>
      </c>
      <c r="E817" s="1" t="n">
        <v>46233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13.8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22720-2025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45789</v>
      </c>
      <c r="E818" s="1" t="n">
        <v>46233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29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21092-2026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46146</v>
      </c>
      <c r="E819" s="1" t="n">
        <v>46233</v>
      </c>
      <c r="F819" t="inlineStr">
        <is>
          <t>VÄSTERBOTTENS LÄN</t>
        </is>
      </c>
      <c r="G819" t="inlineStr">
        <is>
          <t>LYCKSELE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24518-2025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45798</v>
      </c>
      <c r="E820" s="1" t="n">
        <v>46233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29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24511-2025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45798</v>
      </c>
      <c r="E821" s="1" t="n">
        <v>46233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29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21150-2026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46146</v>
      </c>
      <c r="E822" s="1" t="n">
        <v>46233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21066-2026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46146</v>
      </c>
      <c r="E823" s="1" t="n">
        <v>46233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21082-2026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46146</v>
      </c>
      <c r="E824" s="1" t="n">
        <v>46233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29861-2023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45107</v>
      </c>
      <c r="E825" s="1" t="n">
        <v>46233</v>
      </c>
      <c r="F825" t="inlineStr">
        <is>
          <t>VÄSTERBOTTENS LÄN</t>
        </is>
      </c>
      <c r="G825" t="inlineStr">
        <is>
          <t>LYCKSELE</t>
        </is>
      </c>
      <c r="I825" t="n">
        <v>10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21317-2026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46147</v>
      </c>
      <c r="E826" s="1" t="n">
        <v>46233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45687</v>
      </c>
      <c r="E827" s="1" t="n">
        <v>46233</v>
      </c>
      <c r="F827" t="inlineStr">
        <is>
          <t>VÄSTERBOTTENS LÄN</t>
        </is>
      </c>
      <c r="G827" t="inlineStr">
        <is>
          <t>LYCKSELE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46233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5.5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27843-2026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46233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21642-2026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46149</v>
      </c>
      <c r="E830" s="1" t="n">
        <v>46233</v>
      </c>
      <c r="F830" t="inlineStr">
        <is>
          <t>VÄSTERBOTTENS LÄN</t>
        </is>
      </c>
      <c r="G830" t="inlineStr">
        <is>
          <t>LYCKSELE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23973-2024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45455</v>
      </c>
      <c r="E831" s="1" t="n">
        <v>46233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27854-2026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46191</v>
      </c>
      <c r="E832" s="1" t="n">
        <v>46233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7.4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21918-2026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46150</v>
      </c>
      <c r="E833" s="1" t="n">
        <v>46233</v>
      </c>
      <c r="F833" t="inlineStr">
        <is>
          <t>VÄSTERBOTTENS LÄN</t>
        </is>
      </c>
      <c r="G833" t="inlineStr">
        <is>
          <t>LYCKSELE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61094-2023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45261</v>
      </c>
      <c r="E834" s="1" t="n">
        <v>46233</v>
      </c>
      <c r="F834" t="inlineStr">
        <is>
          <t>VÄSTERBOTTENS LÄN</t>
        </is>
      </c>
      <c r="G834" t="inlineStr">
        <is>
          <t>LYCKSELE</t>
        </is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46191</v>
      </c>
      <c r="E835" s="1" t="n">
        <v>46233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19246-2025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45769</v>
      </c>
      <c r="E836" s="1" t="n">
        <v>46233</v>
      </c>
      <c r="F836" t="inlineStr">
        <is>
          <t>VÄSTERBOTTENS LÄN</t>
        </is>
      </c>
      <c r="G836" t="inlineStr">
        <is>
          <t>LYCKSELE</t>
        </is>
      </c>
      <c r="I836" t="n">
        <v>9.4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23164-2022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44719</v>
      </c>
      <c r="E837" s="1" t="n">
        <v>46233</v>
      </c>
      <c r="F837" t="inlineStr">
        <is>
          <t>VÄSTERBOTTENS LÄN</t>
        </is>
      </c>
      <c r="G837" t="inlineStr">
        <is>
          <t>LYCKSELE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9550-2025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45715</v>
      </c>
      <c r="E838" s="1" t="n">
        <v>46233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20.6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58553-2023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45251</v>
      </c>
      <c r="E839" s="1" t="n">
        <v>46233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28217-2026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46196</v>
      </c>
      <c r="E840" s="1" t="n">
        <v>46233</v>
      </c>
      <c r="F840" t="inlineStr">
        <is>
          <t>VÄSTERBOTTENS LÄN</t>
        </is>
      </c>
      <c r="G840" t="inlineStr">
        <is>
          <t>LYCKSELE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8577-2026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46065</v>
      </c>
      <c r="E841" s="1" t="n">
        <v>46233</v>
      </c>
      <c r="F841" t="inlineStr">
        <is>
          <t>VÄSTERBOTTENS LÄN</t>
        </is>
      </c>
      <c r="G841" t="inlineStr">
        <is>
          <t>LYCKSELE</t>
        </is>
      </c>
      <c r="I841" t="n">
        <v>9.9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47096-2023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45201</v>
      </c>
      <c r="E842" s="1" t="n">
        <v>46233</v>
      </c>
      <c r="F842" t="inlineStr">
        <is>
          <t>VÄSTERBOTTENS LÄN</t>
        </is>
      </c>
      <c r="G842" t="inlineStr">
        <is>
          <t>LYCKSELE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32863-2023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45124</v>
      </c>
      <c r="E843" s="1" t="n">
        <v>46233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5.2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22367-2026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46154</v>
      </c>
      <c r="E844" s="1" t="n">
        <v>46233</v>
      </c>
      <c r="F844" t="inlineStr">
        <is>
          <t>VÄSTERBOTTENS LÄN</t>
        </is>
      </c>
      <c r="G844" t="inlineStr">
        <is>
          <t>LYCKSELE</t>
        </is>
      </c>
      <c r="I844" t="n">
        <v>18.8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42208-2022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44830</v>
      </c>
      <c r="E845" s="1" t="n">
        <v>46233</v>
      </c>
      <c r="F845" t="inlineStr">
        <is>
          <t>VÄSTERBOTTENS LÄN</t>
        </is>
      </c>
      <c r="G845" t="inlineStr">
        <is>
          <t>LYCKSELE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34060-2023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45135</v>
      </c>
      <c r="E846" s="1" t="n">
        <v>46233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5.5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22285-2026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46154</v>
      </c>
      <c r="E847" s="1" t="n">
        <v>46233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28421-2026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46197</v>
      </c>
      <c r="E848" s="1" t="n">
        <v>46233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7.6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28586-2026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46197</v>
      </c>
      <c r="E849" s="1" t="n">
        <v>46233</v>
      </c>
      <c r="F849" t="inlineStr">
        <is>
          <t>VÄSTERBOTTENS LÄN</t>
        </is>
      </c>
      <c r="G849" t="inlineStr">
        <is>
          <t>LYCKSELE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28650-2026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46198</v>
      </c>
      <c r="E850" s="1" t="n">
        <v>46233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53116-2024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45611</v>
      </c>
      <c r="E851" s="1" t="n">
        <v>46233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28829-2026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46233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25.4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17192-2025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45756</v>
      </c>
      <c r="E853" s="1" t="n">
        <v>46233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26531-2024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45469</v>
      </c>
      <c r="E854" s="1" t="n">
        <v>46233</v>
      </c>
      <c r="F854" t="inlineStr">
        <is>
          <t>VÄSTERBOTTENS LÄN</t>
        </is>
      </c>
      <c r="G854" t="inlineStr">
        <is>
          <t>LYCKSELE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22654-2026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46155</v>
      </c>
      <c r="E855" s="1" t="n">
        <v>46233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8915-2025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45713</v>
      </c>
      <c r="E856" s="1" t="n">
        <v>46233</v>
      </c>
      <c r="F856" t="inlineStr">
        <is>
          <t>VÄSTERBOTTENS LÄN</t>
        </is>
      </c>
      <c r="G856" t="inlineStr">
        <is>
          <t>LYCKSELE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55456-2022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44887</v>
      </c>
      <c r="E857" s="1" t="n">
        <v>46233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7837-2023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44973</v>
      </c>
      <c r="E858" s="1" t="n">
        <v>46233</v>
      </c>
      <c r="F858" t="inlineStr">
        <is>
          <t>VÄSTERBOTTENS LÄN</t>
        </is>
      </c>
      <c r="G858" t="inlineStr">
        <is>
          <t>LYCKSELE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22685-2026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46156</v>
      </c>
      <c r="E859" s="1" t="n">
        <v>46233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30470-2022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44761</v>
      </c>
      <c r="E860" s="1" t="n">
        <v>46233</v>
      </c>
      <c r="F860" t="inlineStr">
        <is>
          <t>VÄSTERBOTTENS LÄN</t>
        </is>
      </c>
      <c r="G860" t="inlineStr">
        <is>
          <t>LYCKSELE</t>
        </is>
      </c>
      <c r="I860" t="n">
        <v>11.9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24041-2023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45078</v>
      </c>
      <c r="E861" s="1" t="n">
        <v>46233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32475-2024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45513</v>
      </c>
      <c r="E862" s="1" t="n">
        <v>46233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28939-2026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46233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57224-2023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45239</v>
      </c>
      <c r="E864" s="1" t="n">
        <v>46233</v>
      </c>
      <c r="F864" t="inlineStr">
        <is>
          <t>VÄSTERBOTTENS LÄN</t>
        </is>
      </c>
      <c r="G864" t="inlineStr">
        <is>
          <t>LYCKSELE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29149-2026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46202</v>
      </c>
      <c r="E865" s="1" t="n">
        <v>46233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38.4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67092-2021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44522</v>
      </c>
      <c r="E866" s="1" t="n">
        <v>46233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29151-2026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46202</v>
      </c>
      <c r="E867" s="1" t="n">
        <v>46233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6.7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29314-2026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46197</v>
      </c>
      <c r="E868" s="1" t="n">
        <v>46233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Kommuner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53035-2023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45226</v>
      </c>
      <c r="E869" s="1" t="n">
        <v>46233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28907-2026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46199</v>
      </c>
      <c r="E870" s="1" t="n">
        <v>46233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7.5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28910-2026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46199</v>
      </c>
      <c r="E871" s="1" t="n">
        <v>46233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35970-2024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45533</v>
      </c>
      <c r="E872" s="1" t="n">
        <v>46233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12.6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29301-2026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46202</v>
      </c>
      <c r="E873" s="1" t="n">
        <v>46233</v>
      </c>
      <c r="F873" t="inlineStr">
        <is>
          <t>VÄSTERBOTTENS LÄN</t>
        </is>
      </c>
      <c r="G873" t="inlineStr">
        <is>
          <t>LYCKSELE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28225-2026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46196</v>
      </c>
      <c r="E874" s="1" t="n">
        <v>46233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29719-2026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46204</v>
      </c>
      <c r="E875" s="1" t="n">
        <v>46233</v>
      </c>
      <c r="F875" t="inlineStr">
        <is>
          <t>VÄSTERBOTTENS LÄN</t>
        </is>
      </c>
      <c r="G875" t="inlineStr">
        <is>
          <t>LYCKSELE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29706-2026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46204</v>
      </c>
      <c r="E876" s="1" t="n">
        <v>46233</v>
      </c>
      <c r="F876" t="inlineStr">
        <is>
          <t>VÄSTERBOTTENS LÄN</t>
        </is>
      </c>
      <c r="G876" t="inlineStr">
        <is>
          <t>LYCKSELE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8360-2024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45352</v>
      </c>
      <c r="E877" s="1" t="n">
        <v>46233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29425-2026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46203</v>
      </c>
      <c r="E878" s="1" t="n">
        <v>46233</v>
      </c>
      <c r="F878" t="inlineStr">
        <is>
          <t>VÄSTERBOTTENS LÄN</t>
        </is>
      </c>
      <c r="G878" t="inlineStr">
        <is>
          <t>LYCKSELE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23274-2026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46162</v>
      </c>
      <c r="E879" s="1" t="n">
        <v>46233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62877-2023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45271</v>
      </c>
      <c r="E880" s="1" t="n">
        <v>46233</v>
      </c>
      <c r="F880" t="inlineStr">
        <is>
          <t>VÄSTERBOTTENS LÄN</t>
        </is>
      </c>
      <c r="G880" t="inlineStr">
        <is>
          <t>LYCKSELE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29395-2026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46203</v>
      </c>
      <c r="E881" s="1" t="n">
        <v>46233</v>
      </c>
      <c r="F881" t="inlineStr">
        <is>
          <t>VÄSTERBOTTENS LÄN</t>
        </is>
      </c>
      <c r="G881" t="inlineStr">
        <is>
          <t>LYCKSELE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29424-2026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46203</v>
      </c>
      <c r="E882" s="1" t="n">
        <v>46233</v>
      </c>
      <c r="F882" t="inlineStr">
        <is>
          <t>VÄSTERBOTTENS LÄN</t>
        </is>
      </c>
      <c r="G882" t="inlineStr">
        <is>
          <t>LYCKSELE</t>
        </is>
      </c>
      <c r="I882" t="n">
        <v>7.1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48379-2024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45590</v>
      </c>
      <c r="E883" s="1" t="n">
        <v>46233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23391-2026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46162</v>
      </c>
      <c r="E884" s="1" t="n">
        <v>46233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10.2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29730-2026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46204</v>
      </c>
      <c r="E885" s="1" t="n">
        <v>46233</v>
      </c>
      <c r="F885" t="inlineStr">
        <is>
          <t>VÄSTERBOTTENS LÄN</t>
        </is>
      </c>
      <c r="G885" t="inlineStr">
        <is>
          <t>LYCKSELE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43875-2023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45187</v>
      </c>
      <c r="E886" s="1" t="n">
        <v>46233</v>
      </c>
      <c r="F886" t="inlineStr">
        <is>
          <t>VÄSTERBOTTENS LÄN</t>
        </is>
      </c>
      <c r="G886" t="inlineStr">
        <is>
          <t>LYCKSELE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51842-2025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45952</v>
      </c>
      <c r="E887" s="1" t="n">
        <v>46233</v>
      </c>
      <c r="F887" t="inlineStr">
        <is>
          <t>VÄSTERBOTTENS LÄN</t>
        </is>
      </c>
      <c r="G887" t="inlineStr">
        <is>
          <t>LYCKSELE</t>
        </is>
      </c>
      <c r="I887" t="n">
        <v>4.6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9879-2022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44620</v>
      </c>
      <c r="E888" s="1" t="n">
        <v>46233</v>
      </c>
      <c r="F888" t="inlineStr">
        <is>
          <t>VÄSTERBOTTENS LÄN</t>
        </is>
      </c>
      <c r="G888" t="inlineStr">
        <is>
          <t>LYCKSELE</t>
        </is>
      </c>
      <c r="I888" t="n">
        <v>8.699999999999999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29436-2026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46203</v>
      </c>
      <c r="E889" s="1" t="n">
        <v>46233</v>
      </c>
      <c r="F889" t="inlineStr">
        <is>
          <t>VÄSTERBOTTENS LÄN</t>
        </is>
      </c>
      <c r="G889" t="inlineStr">
        <is>
          <t>LYCKSELE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49514-2022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44861</v>
      </c>
      <c r="E890" s="1" t="n">
        <v>46233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2323-2025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45673</v>
      </c>
      <c r="E891" s="1" t="n">
        <v>46233</v>
      </c>
      <c r="F891" t="inlineStr">
        <is>
          <t>VÄSTERBOTTENS LÄN</t>
        </is>
      </c>
      <c r="G891" t="inlineStr">
        <is>
          <t>LYCKSELE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14249-2025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45740</v>
      </c>
      <c r="E892" s="1" t="n">
        <v>46233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52956-2022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44875</v>
      </c>
      <c r="E893" s="1" t="n">
        <v>46233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6.4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33699-2024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45520</v>
      </c>
      <c r="E894" s="1" t="n">
        <v>46233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33716-2024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45520</v>
      </c>
      <c r="E895" s="1" t="n">
        <v>46233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33717-2024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45520</v>
      </c>
      <c r="E896" s="1" t="n">
        <v>46233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13.6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29904-2026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46205</v>
      </c>
      <c r="E897" s="1" t="n">
        <v>46233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41980-2024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45561</v>
      </c>
      <c r="E898" s="1" t="n">
        <v>46233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33704-2024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45520</v>
      </c>
      <c r="E899" s="1" t="n">
        <v>46233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46541-2022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44847</v>
      </c>
      <c r="E900" s="1" t="n">
        <v>46233</v>
      </c>
      <c r="F900" t="inlineStr">
        <is>
          <t>VÄSTERBOTTENS LÄN</t>
        </is>
      </c>
      <c r="G900" t="inlineStr">
        <is>
          <t>LYCKSELE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36357-2024</t>
        </is>
      </c>
      <c r="B901" t="inlineStr">
        <is>
          <t>avverkningsanmälan</t>
        </is>
      </c>
      <c r="C901" t="inlineStr">
        <is>
          <t>Avverkning för att bevara och utveckla /försöksver</t>
        </is>
      </c>
      <c r="D901" s="1" t="n">
        <v>45534</v>
      </c>
      <c r="E901" s="1" t="n">
        <v>46233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4.8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25327-2024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45462</v>
      </c>
      <c r="E902" s="1" t="n">
        <v>46233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29852-2026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46205</v>
      </c>
      <c r="E903" s="1" t="n">
        <v>46233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29823-2026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46205</v>
      </c>
      <c r="E904" s="1" t="n">
        <v>46233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5.8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29836-2026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46205</v>
      </c>
      <c r="E905" s="1" t="n">
        <v>46233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8.6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29839-2026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46205</v>
      </c>
      <c r="E906" s="1" t="n">
        <v>46233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5.9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29844-2026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46205</v>
      </c>
      <c r="E907" s="1" t="n">
        <v>46233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29841-2026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46205</v>
      </c>
      <c r="E908" s="1" t="n">
        <v>46233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1746-2026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46233</v>
      </c>
      <c r="F909" t="inlineStr">
        <is>
          <t>VÄSTERBOTTENS LÄN</t>
        </is>
      </c>
      <c r="G909" t="inlineStr">
        <is>
          <t>LYCKSELE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23356-2026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46162</v>
      </c>
      <c r="E910" s="1" t="n">
        <v>46233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2.9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61506-2021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44501</v>
      </c>
      <c r="E911" s="1" t="n">
        <v>46233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6.4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42216-2022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44830</v>
      </c>
      <c r="E912" s="1" t="n">
        <v>46233</v>
      </c>
      <c r="F912" t="inlineStr">
        <is>
          <t>VÄSTERBOTTENS LÄN</t>
        </is>
      </c>
      <c r="G912" t="inlineStr">
        <is>
          <t>LYCKSELE</t>
        </is>
      </c>
      <c r="I912" t="n">
        <v>15.9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40115-2024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45554</v>
      </c>
      <c r="E913" s="1" t="n">
        <v>46233</v>
      </c>
      <c r="F913" t="inlineStr">
        <is>
          <t>VÄSTERBOTTENS LÄN</t>
        </is>
      </c>
      <c r="G913" t="inlineStr">
        <is>
          <t>LYCKSELE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29848-2026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46205</v>
      </c>
      <c r="E914" s="1" t="n">
        <v>46233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30290-2026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46206</v>
      </c>
      <c r="E915" s="1" t="n">
        <v>46233</v>
      </c>
      <c r="F915" t="inlineStr">
        <is>
          <t>VÄSTERBOTTENS LÄN</t>
        </is>
      </c>
      <c r="G915" t="inlineStr">
        <is>
          <t>LYCKSELE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7063-2022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44603</v>
      </c>
      <c r="E916" s="1" t="n">
        <v>46233</v>
      </c>
      <c r="F916" t="inlineStr">
        <is>
          <t>VÄSTERBOTTENS LÄN</t>
        </is>
      </c>
      <c r="G916" t="inlineStr">
        <is>
          <t>LYCKSELE</t>
        </is>
      </c>
      <c r="I916" t="n">
        <v>14.2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41497-2021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44424</v>
      </c>
      <c r="E917" s="1" t="n">
        <v>46233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30288-2026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46206</v>
      </c>
      <c r="E918" s="1" t="n">
        <v>46233</v>
      </c>
      <c r="F918" t="inlineStr">
        <is>
          <t>VÄSTERBOTTENS LÄN</t>
        </is>
      </c>
      <c r="G918" t="inlineStr">
        <is>
          <t>LYCKSELE</t>
        </is>
      </c>
      <c r="I918" t="n">
        <v>3.7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59174-2024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45637</v>
      </c>
      <c r="E919" s="1" t="n">
        <v>46233</v>
      </c>
      <c r="F919" t="inlineStr">
        <is>
          <t>VÄSTERBOTTENS LÄN</t>
        </is>
      </c>
      <c r="G919" t="inlineStr">
        <is>
          <t>LYCKSELE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24205-2026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46168</v>
      </c>
      <c r="E920" s="1" t="n">
        <v>46233</v>
      </c>
      <c r="F920" t="inlineStr">
        <is>
          <t>VÄSTERBOTTENS LÄN</t>
        </is>
      </c>
      <c r="G920" t="inlineStr">
        <is>
          <t>LYCKSELE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53369-2022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44874</v>
      </c>
      <c r="E921" s="1" t="n">
        <v>46233</v>
      </c>
      <c r="F921" t="inlineStr">
        <is>
          <t>VÄSTERBOTTENS LÄN</t>
        </is>
      </c>
      <c r="G921" t="inlineStr">
        <is>
          <t>LYCKSELE</t>
        </is>
      </c>
      <c r="I921" t="n">
        <v>9.1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56343-2022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44890</v>
      </c>
      <c r="E922" s="1" t="n">
        <v>46233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30360-2026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46209</v>
      </c>
      <c r="E923" s="1" t="n">
        <v>46233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41756-2024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45561</v>
      </c>
      <c r="E924" s="1" t="n">
        <v>46233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4.8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24175-2026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46168</v>
      </c>
      <c r="E925" s="1" t="n">
        <v>46233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6.5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45559-2022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44845</v>
      </c>
      <c r="E926" s="1" t="n">
        <v>46233</v>
      </c>
      <c r="F926" t="inlineStr">
        <is>
          <t>VÄSTERBOTTENS LÄN</t>
        </is>
      </c>
      <c r="G926" t="inlineStr">
        <is>
          <t>LYCKSELE</t>
        </is>
      </c>
      <c r="I926" t="n">
        <v>17.8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30447-2026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46209</v>
      </c>
      <c r="E927" s="1" t="n">
        <v>46233</v>
      </c>
      <c r="F927" t="inlineStr">
        <is>
          <t>VÄSTERBOTTENS LÄN</t>
        </is>
      </c>
      <c r="G927" t="inlineStr">
        <is>
          <t>LYCKSELE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24204-2026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46168</v>
      </c>
      <c r="E928" s="1" t="n">
        <v>46233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41358-2022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44826</v>
      </c>
      <c r="E929" s="1" t="n">
        <v>46233</v>
      </c>
      <c r="F929" t="inlineStr">
        <is>
          <t>VÄSTERBOTTENS LÄN</t>
        </is>
      </c>
      <c r="G929" t="inlineStr">
        <is>
          <t>LYCKSELE</t>
        </is>
      </c>
      <c r="I929" t="n">
        <v>6.2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23988-2026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46167</v>
      </c>
      <c r="E930" s="1" t="n">
        <v>46233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2576-2022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44580</v>
      </c>
      <c r="E931" s="1" t="n">
        <v>46233</v>
      </c>
      <c r="F931" t="inlineStr">
        <is>
          <t>VÄSTERBOTTENS LÄN</t>
        </is>
      </c>
      <c r="G931" t="inlineStr">
        <is>
          <t>LYCKSELE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30589-2026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46210</v>
      </c>
      <c r="E932" s="1" t="n">
        <v>46233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6.9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22451-2026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46153</v>
      </c>
      <c r="E933" s="1" t="n">
        <v>46233</v>
      </c>
      <c r="F933" t="inlineStr">
        <is>
          <t>VÄSTERBOTTENS LÄN</t>
        </is>
      </c>
      <c r="G933" t="inlineStr">
        <is>
          <t>LYCKSELE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54167-2022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44881</v>
      </c>
      <c r="E934" s="1" t="n">
        <v>46233</v>
      </c>
      <c r="F934" t="inlineStr">
        <is>
          <t>VÄSTERBOTTENS LÄN</t>
        </is>
      </c>
      <c r="G934" t="inlineStr">
        <is>
          <t>LYCKSELE</t>
        </is>
      </c>
      <c r="I934" t="n">
        <v>11.3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30631-2026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46211</v>
      </c>
      <c r="E935" s="1" t="n">
        <v>46233</v>
      </c>
      <c r="F935" t="inlineStr">
        <is>
          <t>VÄSTERBOTTENS LÄN</t>
        </is>
      </c>
      <c r="G935" t="inlineStr">
        <is>
          <t>LYCKSELE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37391-2024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45540</v>
      </c>
      <c r="E936" s="1" t="n">
        <v>46233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6.7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15046-2023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45015</v>
      </c>
      <c r="E937" s="1" t="n">
        <v>46233</v>
      </c>
      <c r="F937" t="inlineStr">
        <is>
          <t>VÄSTERBOTTENS LÄN</t>
        </is>
      </c>
      <c r="G937" t="inlineStr">
        <is>
          <t>LYCKSELE</t>
        </is>
      </c>
      <c r="I937" t="n">
        <v>13.4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24497-2026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46170</v>
      </c>
      <c r="E938" s="1" t="n">
        <v>46233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24763-2026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46171</v>
      </c>
      <c r="E939" s="1" t="n">
        <v>46233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30939-2026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46213</v>
      </c>
      <c r="E940" s="1" t="n">
        <v>46233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24.3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51943-2023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45223</v>
      </c>
      <c r="E941" s="1" t="n">
        <v>46233</v>
      </c>
      <c r="F941" t="inlineStr">
        <is>
          <t>VÄSTERBOTTENS LÄN</t>
        </is>
      </c>
      <c r="G941" t="inlineStr">
        <is>
          <t>LYCKSELE</t>
        </is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51669-2024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45606</v>
      </c>
      <c r="E942" s="1" t="n">
        <v>46233</v>
      </c>
      <c r="F942" t="inlineStr">
        <is>
          <t>VÄSTERBOTTENS LÄN</t>
        </is>
      </c>
      <c r="G942" t="inlineStr">
        <is>
          <t>LYCKSELE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41950-2024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45561</v>
      </c>
      <c r="E943" s="1" t="n">
        <v>46233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61367-2024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45646</v>
      </c>
      <c r="E944" s="1" t="n">
        <v>46233</v>
      </c>
      <c r="F944" t="inlineStr">
        <is>
          <t>VÄSTERBOTTENS LÄN</t>
        </is>
      </c>
      <c r="G944" t="inlineStr">
        <is>
          <t>LYCKSELE</t>
        </is>
      </c>
      <c r="I944" t="n">
        <v>10.4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24574-2026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46170</v>
      </c>
      <c r="E945" s="1" t="n">
        <v>46233</v>
      </c>
      <c r="F945" t="inlineStr">
        <is>
          <t>VÄSTERBOTTENS LÄN</t>
        </is>
      </c>
      <c r="G945" t="inlineStr">
        <is>
          <t>LYCKSELE</t>
        </is>
      </c>
      <c r="I945" t="n">
        <v>5.4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15564-2023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45020</v>
      </c>
      <c r="E946" s="1" t="n">
        <v>46233</v>
      </c>
      <c r="F946" t="inlineStr">
        <is>
          <t>VÄSTERBOTTENS LÄN</t>
        </is>
      </c>
      <c r="G946" t="inlineStr">
        <is>
          <t>LYCKSELE</t>
        </is>
      </c>
      <c r="I946" t="n">
        <v>5.9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30962-2026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46213</v>
      </c>
      <c r="E947" s="1" t="n">
        <v>46233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24954-2026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46174</v>
      </c>
      <c r="E948" s="1" t="n">
        <v>46233</v>
      </c>
      <c r="F948" t="inlineStr">
        <is>
          <t>VÄSTERBOTTENS LÄN</t>
        </is>
      </c>
      <c r="G948" t="inlineStr">
        <is>
          <t>LYCKSELE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30890-2026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46213</v>
      </c>
      <c r="E949" s="1" t="n">
        <v>46233</v>
      </c>
      <c r="F949" t="inlineStr">
        <is>
          <t>VÄSTERBOTTENS LÄN</t>
        </is>
      </c>
      <c r="G949" t="inlineStr">
        <is>
          <t>LYCKSELE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30945-2026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46213</v>
      </c>
      <c r="E950" s="1" t="n">
        <v>46233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4.9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24548-2026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46170</v>
      </c>
      <c r="E951" s="1" t="n">
        <v>46233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24552-2026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46170</v>
      </c>
      <c r="E952" s="1" t="n">
        <v>46233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24289-2023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45079</v>
      </c>
      <c r="E953" s="1" t="n">
        <v>46233</v>
      </c>
      <c r="F953" t="inlineStr">
        <is>
          <t>VÄSTERBOTTENS LÄN</t>
        </is>
      </c>
      <c r="G953" t="inlineStr">
        <is>
          <t>LYCKSELE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54619-2024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45617</v>
      </c>
      <c r="E954" s="1" t="n">
        <v>46233</v>
      </c>
      <c r="F954" t="inlineStr">
        <is>
          <t>VÄSTERBOTTENS LÄN</t>
        </is>
      </c>
      <c r="G954" t="inlineStr">
        <is>
          <t>LYCKSELE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31288-2026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46218</v>
      </c>
      <c r="E955" s="1" t="n">
        <v>46233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5.6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43566-2024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45569</v>
      </c>
      <c r="E956" s="1" t="n">
        <v>46233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3.7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25080-2026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46174</v>
      </c>
      <c r="E957" s="1" t="n">
        <v>46233</v>
      </c>
      <c r="F957" t="inlineStr">
        <is>
          <t>VÄSTERBOTTENS LÄN</t>
        </is>
      </c>
      <c r="G957" t="inlineStr">
        <is>
          <t>LYCKSELE</t>
        </is>
      </c>
      <c r="I957" t="n">
        <v>13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3947-2023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44952</v>
      </c>
      <c r="E958" s="1" t="n">
        <v>46233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31289-2026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46218</v>
      </c>
      <c r="E959" s="1" t="n">
        <v>46233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13.4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59272-2022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44904</v>
      </c>
      <c r="E960" s="1" t="n">
        <v>46233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6.1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19233-2023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45048</v>
      </c>
      <c r="E961" s="1" t="n">
        <v>46233</v>
      </c>
      <c r="F961" t="inlineStr">
        <is>
          <t>VÄSTERBOTTENS LÄN</t>
        </is>
      </c>
      <c r="G961" t="inlineStr">
        <is>
          <t>LYCKSELE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9551-2025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45715</v>
      </c>
      <c r="E962" s="1" t="n">
        <v>46233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7001-2022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44603</v>
      </c>
      <c r="E963" s="1" t="n">
        <v>46233</v>
      </c>
      <c r="F963" t="inlineStr">
        <is>
          <t>VÄSTERBOTTENS LÄN</t>
        </is>
      </c>
      <c r="G963" t="inlineStr">
        <is>
          <t>LYCKSELE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27595-2023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45097</v>
      </c>
      <c r="E964" s="1" t="n">
        <v>46233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56518-2023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45238</v>
      </c>
      <c r="E965" s="1" t="n">
        <v>46233</v>
      </c>
      <c r="F965" t="inlineStr">
        <is>
          <t>VÄSTERBOTTENS LÄN</t>
        </is>
      </c>
      <c r="G965" t="inlineStr">
        <is>
          <t>LYCKSELE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25039-2026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46174</v>
      </c>
      <c r="E966" s="1" t="n">
        <v>46233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18365-2023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45041</v>
      </c>
      <c r="E967" s="1" t="n">
        <v>46233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22.4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25490-2026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46177</v>
      </c>
      <c r="E968" s="1" t="n">
        <v>46233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14.5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25491-2026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46177</v>
      </c>
      <c r="E969" s="1" t="n">
        <v>46233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25278-2026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46176</v>
      </c>
      <c r="E970" s="1" t="n">
        <v>46233</v>
      </c>
      <c r="F970" t="inlineStr">
        <is>
          <t>VÄSTERBOTTENS LÄN</t>
        </is>
      </c>
      <c r="G970" t="inlineStr">
        <is>
          <t>LYCKSELE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25170-2024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45462</v>
      </c>
      <c r="E971" s="1" t="n">
        <v>46233</v>
      </c>
      <c r="F971" t="inlineStr">
        <is>
          <t>VÄSTERBOTTENS LÄN</t>
        </is>
      </c>
      <c r="G971" t="inlineStr">
        <is>
          <t>LYCKSELE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37491-2023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45156</v>
      </c>
      <c r="E972" s="1" t="n">
        <v>46233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25328-2026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46176</v>
      </c>
      <c r="E973" s="1" t="n">
        <v>46233</v>
      </c>
      <c r="F973" t="inlineStr">
        <is>
          <t>VÄSTERBOTTENS LÄN</t>
        </is>
      </c>
      <c r="G973" t="inlineStr">
        <is>
          <t>LYCKSELE</t>
        </is>
      </c>
      <c r="I973" t="n">
        <v>7.4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29279-2026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46202</v>
      </c>
      <c r="E974" s="1" t="n">
        <v>46233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31371-2026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46219</v>
      </c>
      <c r="E975" s="1" t="n">
        <v>46233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31369-2026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46219</v>
      </c>
      <c r="E976" s="1" t="n">
        <v>46233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31358-2026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46219</v>
      </c>
      <c r="E977" s="1" t="n">
        <v>46233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16.3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31400-2026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46220</v>
      </c>
      <c r="E978" s="1" t="n">
        <v>46233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25453-2026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46177</v>
      </c>
      <c r="E979" s="1" t="n">
        <v>46233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31398-2026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46220</v>
      </c>
      <c r="E980" s="1" t="n">
        <v>46233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31408-2026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46220</v>
      </c>
      <c r="E981" s="1" t="n">
        <v>46233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31384-2026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46220</v>
      </c>
      <c r="E982" s="1" t="n">
        <v>46233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38347-2025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45883</v>
      </c>
      <c r="E983" s="1" t="n">
        <v>46233</v>
      </c>
      <c r="F983" t="inlineStr">
        <is>
          <t>VÄSTERBOTTENS LÄN</t>
        </is>
      </c>
      <c r="G983" t="inlineStr">
        <is>
          <t>LYCKSELE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25461-2026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46177</v>
      </c>
      <c r="E984" s="1" t="n">
        <v>46233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Holmen skog AB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37599-2024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45541</v>
      </c>
      <c r="E985" s="1" t="n">
        <v>46233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21666-2024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45441</v>
      </c>
      <c r="E986" s="1" t="n">
        <v>46233</v>
      </c>
      <c r="F986" t="inlineStr">
        <is>
          <t>VÄSTERBOTTENS LÄN</t>
        </is>
      </c>
      <c r="G986" t="inlineStr">
        <is>
          <t>LYCKSELE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25492-2026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46177</v>
      </c>
      <c r="E987" s="1" t="n">
        <v>46233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34273-2024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45524</v>
      </c>
      <c r="E988" s="1" t="n">
        <v>46233</v>
      </c>
      <c r="F988" t="inlineStr">
        <is>
          <t>VÄSTERBOTTENS LÄN</t>
        </is>
      </c>
      <c r="G988" t="inlineStr">
        <is>
          <t>LYCKSELE</t>
        </is>
      </c>
      <c r="I988" t="n">
        <v>6.7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12430-2025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45730</v>
      </c>
      <c r="E989" s="1" t="n">
        <v>46233</v>
      </c>
      <c r="F989" t="inlineStr">
        <is>
          <t>VÄSTERBOTTENS LÄN</t>
        </is>
      </c>
      <c r="G989" t="inlineStr">
        <is>
          <t>LYCKSELE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25727-2026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46178</v>
      </c>
      <c r="E990" s="1" t="n">
        <v>46233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25709-2026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46178</v>
      </c>
      <c r="E991" s="1" t="n">
        <v>46233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6.1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25716-2026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46178</v>
      </c>
      <c r="E992" s="1" t="n">
        <v>46233</v>
      </c>
      <c r="F992" t="inlineStr">
        <is>
          <t>VÄSTERBOTTENS LÄN</t>
        </is>
      </c>
      <c r="G992" t="inlineStr">
        <is>
          <t>LYCKSELE</t>
        </is>
      </c>
      <c r="I992" t="n">
        <v>7.7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25946-2026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46181</v>
      </c>
      <c r="E993" s="1" t="n">
        <v>46233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6.6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35227-2023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45145</v>
      </c>
      <c r="E994" s="1" t="n">
        <v>46233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41728-2023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45176</v>
      </c>
      <c r="E995" s="1" t="n">
        <v>46233</v>
      </c>
      <c r="F995" t="inlineStr">
        <is>
          <t>VÄSTERBOTTENS LÄN</t>
        </is>
      </c>
      <c r="G995" t="inlineStr">
        <is>
          <t>LYCKSELE</t>
        </is>
      </c>
      <c r="I995" t="n">
        <v>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25718-2026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46178</v>
      </c>
      <c r="E996" s="1" t="n">
        <v>46233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30306-2024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45490</v>
      </c>
      <c r="E997" s="1" t="n">
        <v>46233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68665-2021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44529</v>
      </c>
      <c r="E998" s="1" t="n">
        <v>46233</v>
      </c>
      <c r="F998" t="inlineStr">
        <is>
          <t>VÄSTERBOTTENS LÄN</t>
        </is>
      </c>
      <c r="G998" t="inlineStr">
        <is>
          <t>LYCKSELE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31372-2024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45503</v>
      </c>
      <c r="E999" s="1" t="n">
        <v>46233</v>
      </c>
      <c r="F999" t="inlineStr">
        <is>
          <t>VÄSTERBOTTENS LÄN</t>
        </is>
      </c>
      <c r="G999" t="inlineStr">
        <is>
          <t>LYCKSELE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25746-2026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46178</v>
      </c>
      <c r="E1000" s="1" t="n">
        <v>46233</v>
      </c>
      <c r="F1000" t="inlineStr">
        <is>
          <t>VÄSTERBOTTENS LÄN</t>
        </is>
      </c>
      <c r="G1000" t="inlineStr">
        <is>
          <t>LYCKSELE</t>
        </is>
      </c>
      <c r="I1000" t="n">
        <v>22.3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27929-2024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45475</v>
      </c>
      <c r="E1001" s="1" t="n">
        <v>46233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Naturvårdsverket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27932-2024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45475</v>
      </c>
      <c r="E1002" s="1" t="n">
        <v>46233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Naturvårdsverket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21109-2023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45061</v>
      </c>
      <c r="E1003" s="1" t="n">
        <v>46233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59569-2024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45638</v>
      </c>
      <c r="E1004" s="1" t="n">
        <v>46233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26358-2023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45091</v>
      </c>
      <c r="E1005" s="1" t="n">
        <v>46233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31653-2026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46225</v>
      </c>
      <c r="E1006" s="1" t="n">
        <v>46233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26485-2026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46183</v>
      </c>
      <c r="E1007" s="1" t="n">
        <v>46233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26276-2026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46182</v>
      </c>
      <c r="E1008" s="1" t="n">
        <v>46233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44924</v>
      </c>
      <c r="E1009" s="1" t="n">
        <v>46233</v>
      </c>
      <c r="F1009" t="inlineStr">
        <is>
          <t>VÄSTERBOTTENS LÄN</t>
        </is>
      </c>
      <c r="G1009" t="inlineStr">
        <is>
          <t>LYCKSELE</t>
        </is>
      </c>
      <c r="I1009" t="n">
        <v>11.9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25020-2024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45461</v>
      </c>
      <c r="E1010" s="1" t="n">
        <v>46233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26246-2026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46182</v>
      </c>
      <c r="E1011" s="1" t="n">
        <v>46233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6800-2025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45700</v>
      </c>
      <c r="E1012" s="1" t="n">
        <v>46233</v>
      </c>
      <c r="F1012" t="inlineStr">
        <is>
          <t>VÄSTERBOTTENS LÄN</t>
        </is>
      </c>
      <c r="G1012" t="inlineStr">
        <is>
          <t>LYCKSELE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26387-2026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46183</v>
      </c>
      <c r="E1013" s="1" t="n">
        <v>46233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9.9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30425-2024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45491</v>
      </c>
      <c r="E1014" s="1" t="n">
        <v>46233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47131-2024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45586</v>
      </c>
      <c r="E1015" s="1" t="n">
        <v>46233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26511-2026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46183</v>
      </c>
      <c r="E1016" s="1" t="n">
        <v>46233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33.8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37969-2024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45544</v>
      </c>
      <c r="E1017" s="1" t="n">
        <v>46233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21660-2023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45063</v>
      </c>
      <c r="E1018" s="1" t="n">
        <v>46233</v>
      </c>
      <c r="F1018" t="inlineStr">
        <is>
          <t>VÄSTERBOTTENS LÄN</t>
        </is>
      </c>
      <c r="G1018" t="inlineStr">
        <is>
          <t>LYCKSELE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46184</v>
      </c>
      <c r="E1019" s="1" t="n">
        <v>46233</v>
      </c>
      <c r="F1019" t="inlineStr">
        <is>
          <t>VÄSTERBOTTENS LÄN</t>
        </is>
      </c>
      <c r="G1019" t="inlineStr">
        <is>
          <t>LYCKSELE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26175-2026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46182</v>
      </c>
      <c r="E1020" s="1" t="n">
        <v>46233</v>
      </c>
      <c r="F1020" t="inlineStr">
        <is>
          <t>VÄSTERBOTTENS LÄN</t>
        </is>
      </c>
      <c r="G1020" t="inlineStr">
        <is>
          <t>LYCKSELE</t>
        </is>
      </c>
      <c r="I1020" t="n">
        <v>1.9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46183</v>
      </c>
      <c r="E1021" s="1" t="n">
        <v>46233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33693-2024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45520</v>
      </c>
      <c r="E1022" s="1" t="n">
        <v>46233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16504-2025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45751</v>
      </c>
      <c r="E1023" s="1" t="n">
        <v>46233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49130-2024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45594</v>
      </c>
      <c r="E1024" s="1" t="n">
        <v>46233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37262-2023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45155</v>
      </c>
      <c r="E1025" s="1" t="n">
        <v>46233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58714-2024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45635</v>
      </c>
      <c r="E1026" s="1" t="n">
        <v>46233</v>
      </c>
      <c r="F1026" t="inlineStr">
        <is>
          <t>VÄSTERBOTTENS LÄN</t>
        </is>
      </c>
      <c r="G1026" t="inlineStr">
        <is>
          <t>LYCKSELE</t>
        </is>
      </c>
      <c r="I1026" t="n">
        <v>25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1962-2024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45308</v>
      </c>
      <c r="E1027" s="1" t="n">
        <v>46233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9.300000000000001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46817-2024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45583</v>
      </c>
      <c r="E1028" s="1" t="n">
        <v>46233</v>
      </c>
      <c r="F1028" t="inlineStr">
        <is>
          <t>VÄSTERBOTTENS LÄN</t>
        </is>
      </c>
      <c r="G1028" t="inlineStr">
        <is>
          <t>LYCKSELE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26916-2026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46185</v>
      </c>
      <c r="E1029" s="1" t="n">
        <v>46233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55203-2024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45621</v>
      </c>
      <c r="E1030" s="1" t="n">
        <v>46233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26980-2026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46185</v>
      </c>
      <c r="E1031" s="1" t="n">
        <v>46233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26988-2026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46185</v>
      </c>
      <c r="E1032" s="1" t="n">
        <v>46233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5.6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31819-2026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46230</v>
      </c>
      <c r="E1033" s="1" t="n">
        <v>46233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4.5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60482-2024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45643</v>
      </c>
      <c r="E1034" s="1" t="n">
        <v>46233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7.8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49631-2023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45211</v>
      </c>
      <c r="E1035" s="1" t="n">
        <v>46233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Kommuner</t>
        </is>
      </c>
      <c r="I1035" t="n">
        <v>0.1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31788-2026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46230</v>
      </c>
      <c r="E1036" s="1" t="n">
        <v>46233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27436-2026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46189</v>
      </c>
      <c r="E1037" s="1" t="n">
        <v>46233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27430-2026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46189</v>
      </c>
      <c r="E1038" s="1" t="n">
        <v>46233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37658-2024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45541</v>
      </c>
      <c r="E1039" s="1" t="n">
        <v>46233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28409-2023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45101</v>
      </c>
      <c r="E1040" s="1" t="n">
        <v>46233</v>
      </c>
      <c r="F1040" t="inlineStr">
        <is>
          <t>VÄSTERBOTTENS LÄN</t>
        </is>
      </c>
      <c r="G1040" t="inlineStr">
        <is>
          <t>LYCKSELE</t>
        </is>
      </c>
      <c r="I1040" t="n">
        <v>12.9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54446-2023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45233</v>
      </c>
      <c r="E1041" s="1" t="n">
        <v>46233</v>
      </c>
      <c r="F1041" t="inlineStr">
        <is>
          <t>VÄSTERBOTTENS LÄN</t>
        </is>
      </c>
      <c r="G1041" t="inlineStr">
        <is>
          <t>LYCKSELE</t>
        </is>
      </c>
      <c r="I1041" t="n">
        <v>21.4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40527-2024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45555</v>
      </c>
      <c r="E1042" s="1" t="n">
        <v>46233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48992-2023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45209</v>
      </c>
      <c r="E1043" s="1" t="n">
        <v>46233</v>
      </c>
      <c r="F1043" t="inlineStr">
        <is>
          <t>VÄSTERBOTTENS LÄN</t>
        </is>
      </c>
      <c r="G1043" t="inlineStr">
        <is>
          <t>LYCKSELE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27427-2026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46189</v>
      </c>
      <c r="E1044" s="1" t="n">
        <v>46233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33708-2024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45520</v>
      </c>
      <c r="E1045" s="1" t="n">
        <v>46233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2.7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33714-2024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45520</v>
      </c>
      <c r="E1046" s="1" t="n">
        <v>46233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10.4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16669-2022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44672</v>
      </c>
      <c r="E1047" s="1" t="n">
        <v>46233</v>
      </c>
      <c r="F1047" t="inlineStr">
        <is>
          <t>VÄSTERBOTTENS LÄN</t>
        </is>
      </c>
      <c r="G1047" t="inlineStr">
        <is>
          <t>LYCKSELE</t>
        </is>
      </c>
      <c r="I1047" t="n">
        <v>12.8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57898-2021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44486</v>
      </c>
      <c r="E1048" s="1" t="n">
        <v>46233</v>
      </c>
      <c r="F1048" t="inlineStr">
        <is>
          <t>VÄSTERBOTTENS LÄN</t>
        </is>
      </c>
      <c r="G1048" t="inlineStr">
        <is>
          <t>LYCKSELE</t>
        </is>
      </c>
      <c r="I1048" t="n">
        <v>14.7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32408-2024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45512</v>
      </c>
      <c r="E1049" s="1" t="n">
        <v>46233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Naturvårdsverket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39321-2024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45551</v>
      </c>
      <c r="E1050" s="1" t="n">
        <v>46233</v>
      </c>
      <c r="F1050" t="inlineStr">
        <is>
          <t>VÄSTERBOTTENS LÄN</t>
        </is>
      </c>
      <c r="G1050" t="inlineStr">
        <is>
          <t>LYCKSELE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71412-2021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44540</v>
      </c>
      <c r="E1051" s="1" t="n">
        <v>46233</v>
      </c>
      <c r="F1051" t="inlineStr">
        <is>
          <t>VÄSTERBOTTENS LÄN</t>
        </is>
      </c>
      <c r="G1051" t="inlineStr">
        <is>
          <t>LYCKSELE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10331-2023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44980</v>
      </c>
      <c r="E1052" s="1" t="n">
        <v>46233</v>
      </c>
      <c r="F1052" t="inlineStr">
        <is>
          <t>VÄSTERBOTTENS LÄN</t>
        </is>
      </c>
      <c r="G1052" t="inlineStr">
        <is>
          <t>LYCKSELE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48832-2024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45593</v>
      </c>
      <c r="E1053" s="1" t="n">
        <v>46233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3.7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10208-2024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45364</v>
      </c>
      <c r="E1054" s="1" t="n">
        <v>46233</v>
      </c>
      <c r="F1054" t="inlineStr">
        <is>
          <t>VÄSTERBOTTENS LÄN</t>
        </is>
      </c>
      <c r="G1054" t="inlineStr">
        <is>
          <t>LYCKSELE</t>
        </is>
      </c>
      <c r="I1054" t="n">
        <v>9.4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47807-2024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45588</v>
      </c>
      <c r="E1055" s="1" t="n">
        <v>46233</v>
      </c>
      <c r="F1055" t="inlineStr">
        <is>
          <t>VÄSTERBOTTENS LÄN</t>
        </is>
      </c>
      <c r="G1055" t="inlineStr">
        <is>
          <t>LYCKSELE</t>
        </is>
      </c>
      <c r="I1055" t="n">
        <v>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44465-2022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44840</v>
      </c>
      <c r="E1056" s="1" t="n">
        <v>46233</v>
      </c>
      <c r="F1056" t="inlineStr">
        <is>
          <t>VÄSTERBOTTENS LÄN</t>
        </is>
      </c>
      <c r="G1056" t="inlineStr">
        <is>
          <t>LYCKSELE</t>
        </is>
      </c>
      <c r="I1056" t="n">
        <v>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34810-2024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45526</v>
      </c>
      <c r="E1057" s="1" t="n">
        <v>46233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54428-2024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45617</v>
      </c>
      <c r="E1058" s="1" t="n">
        <v>46233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41361-2023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45174</v>
      </c>
      <c r="E1059" s="1" t="n">
        <v>46233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6.6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37271-2023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45155</v>
      </c>
      <c r="E1060" s="1" t="n">
        <v>46233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64336-2023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45279</v>
      </c>
      <c r="E1061" s="1" t="n">
        <v>46233</v>
      </c>
      <c r="F1061" t="inlineStr">
        <is>
          <t>VÄSTERBOTTENS LÄN</t>
        </is>
      </c>
      <c r="G1061" t="inlineStr">
        <is>
          <t>LYCKSELE</t>
        </is>
      </c>
      <c r="I1061" t="n">
        <v>6.4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9517-2025</t>
        </is>
      </c>
      <c r="B1062" t="inlineStr">
        <is>
          <t>avverkningsanmälan</t>
        </is>
      </c>
      <c r="C1062" t="inlineStr">
        <is>
          <t>Avverkning för att bevara och utveckla /försöksver</t>
        </is>
      </c>
      <c r="D1062" s="1" t="n">
        <v>45715</v>
      </c>
      <c r="E1062" s="1" t="n">
        <v>46233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4.5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11640-2024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45373</v>
      </c>
      <c r="E1063" s="1" t="n">
        <v>46233</v>
      </c>
      <c r="F1063" t="inlineStr">
        <is>
          <t>VÄSTERBOTTENS LÄN</t>
        </is>
      </c>
      <c r="G1063" t="inlineStr">
        <is>
          <t>LYCKSELE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41992-2022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44830</v>
      </c>
      <c r="E1064" s="1" t="n">
        <v>46233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17688-2025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45758</v>
      </c>
      <c r="E1065" s="1" t="n">
        <v>46233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60542-2024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45643</v>
      </c>
      <c r="E1066" s="1" t="n">
        <v>46233</v>
      </c>
      <c r="F1066" t="inlineStr">
        <is>
          <t>VÄSTERBOTTENS LÄN</t>
        </is>
      </c>
      <c r="G1066" t="inlineStr">
        <is>
          <t>LYCKSELE</t>
        </is>
      </c>
      <c r="I1066" t="n">
        <v>4.4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60143-2022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44909</v>
      </c>
      <c r="E1067" s="1" t="n">
        <v>46233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15239-2025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45744</v>
      </c>
      <c r="E1068" s="1" t="n">
        <v>46233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38478-2024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45546</v>
      </c>
      <c r="E1069" s="1" t="n">
        <v>46233</v>
      </c>
      <c r="F1069" t="inlineStr">
        <is>
          <t>VÄSTERBOTTENS LÄN</t>
        </is>
      </c>
      <c r="G1069" t="inlineStr">
        <is>
          <t>LYCKSELE</t>
        </is>
      </c>
      <c r="I1069" t="n">
        <v>0.1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2794-2025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45677</v>
      </c>
      <c r="E1070" s="1" t="n">
        <v>46233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57246-2024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45629</v>
      </c>
      <c r="E1071" s="1" t="n">
        <v>46233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6.3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14623-2025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45742</v>
      </c>
      <c r="E1072" s="1" t="n">
        <v>46233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Naturvårdsverket</t>
        </is>
      </c>
      <c r="I1072" t="n">
        <v>10.4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38112-2024</t>
        </is>
      </c>
      <c r="B1073" t="inlineStr">
        <is>
          <t>avverkningsanmälan</t>
        </is>
      </c>
      <c r="C1073" t="inlineStr">
        <is>
          <t>Avverkning för att bevara och utveckla /försöksver</t>
        </is>
      </c>
      <c r="D1073" s="1" t="n">
        <v>45545</v>
      </c>
      <c r="E1073" s="1" t="n">
        <v>46233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13883-2025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45737</v>
      </c>
      <c r="E1074" s="1" t="n">
        <v>46233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Naturvårdsverket</t>
        </is>
      </c>
      <c r="I1074" t="n">
        <v>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9976-2024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45363</v>
      </c>
      <c r="E1075" s="1" t="n">
        <v>46233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24234-2023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45079</v>
      </c>
      <c r="E1076" s="1" t="n">
        <v>46233</v>
      </c>
      <c r="F1076" t="inlineStr">
        <is>
          <t>VÄSTERBOTTENS LÄN</t>
        </is>
      </c>
      <c r="G1076" t="inlineStr">
        <is>
          <t>LYCKSELE</t>
        </is>
      </c>
      <c r="I1076" t="n">
        <v>3.3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52755-2023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45225</v>
      </c>
      <c r="E1077" s="1" t="n">
        <v>46233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20685-2025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45776</v>
      </c>
      <c r="E1078" s="1" t="n">
        <v>46233</v>
      </c>
      <c r="F1078" t="inlineStr">
        <is>
          <t>VÄSTERBOTTENS LÄN</t>
        </is>
      </c>
      <c r="G1078" t="inlineStr">
        <is>
          <t>LYCKSELE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21046-2025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45777</v>
      </c>
      <c r="E1079" s="1" t="n">
        <v>46233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20979-2025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45777</v>
      </c>
      <c r="E1080" s="1" t="n">
        <v>46233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21266-2025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45779</v>
      </c>
      <c r="E1081" s="1" t="n">
        <v>46233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3.3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21861-2025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45784</v>
      </c>
      <c r="E1082" s="1" t="n">
        <v>46233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10.5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21888-2025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45784</v>
      </c>
      <c r="E1083" s="1" t="n">
        <v>46233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22309-2025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45786</v>
      </c>
      <c r="E1084" s="1" t="n">
        <v>46233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Holmen skog AB</t>
        </is>
      </c>
      <c r="I1084" t="n">
        <v>3.1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64391-2023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45280</v>
      </c>
      <c r="E1085" s="1" t="n">
        <v>46233</v>
      </c>
      <c r="F1085" t="inlineStr">
        <is>
          <t>VÄSTERBOTTENS LÄN</t>
        </is>
      </c>
      <c r="G1085" t="inlineStr">
        <is>
          <t>LYCKSELE</t>
        </is>
      </c>
      <c r="I1085" t="n">
        <v>5.8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22453-2025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45786</v>
      </c>
      <c r="E1086" s="1" t="n">
        <v>46233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5.9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22452-2025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45786</v>
      </c>
      <c r="E1087" s="1" t="n">
        <v>46233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22343-2025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45786</v>
      </c>
      <c r="E1088" s="1" t="n">
        <v>46233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4.7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22127-2025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45785</v>
      </c>
      <c r="E1089" s="1" t="n">
        <v>46233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22456-2025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45786</v>
      </c>
      <c r="E1090" s="1" t="n">
        <v>46233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4.2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32474-2024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45513</v>
      </c>
      <c r="E1091" s="1" t="n">
        <v>46233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3.8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39165-2021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44412</v>
      </c>
      <c r="E1092" s="1" t="n">
        <v>46233</v>
      </c>
      <c r="F1092" t="inlineStr">
        <is>
          <t>VÄSTERBOTTENS LÄN</t>
        </is>
      </c>
      <c r="G1092" t="inlineStr">
        <is>
          <t>LYCKSELE</t>
        </is>
      </c>
      <c r="I1092" t="n">
        <v>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22759-2025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45789</v>
      </c>
      <c r="E1093" s="1" t="n">
        <v>46233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25.5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22344-2025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45786</v>
      </c>
      <c r="E1094" s="1" t="n">
        <v>46233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23801-2025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45793</v>
      </c>
      <c r="E1095" s="1" t="n">
        <v>46233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4.6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48997-2021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44453</v>
      </c>
      <c r="E1096" s="1" t="n">
        <v>46233</v>
      </c>
      <c r="F1096" t="inlineStr">
        <is>
          <t>VÄSTERBOTTENS LÄN</t>
        </is>
      </c>
      <c r="G1096" t="inlineStr">
        <is>
          <t>LYCKSELE</t>
        </is>
      </c>
      <c r="I1096" t="n">
        <v>4.6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60226-2022</t>
        </is>
      </c>
      <c r="B1097" t="inlineStr">
        <is>
          <t>avverkningsanmälan</t>
        </is>
      </c>
      <c r="C1097" t="inlineStr">
        <is>
          <t>Avverkning för att bevara och utveckla /försöksver</t>
        </is>
      </c>
      <c r="D1097" s="1" t="n">
        <v>44910</v>
      </c>
      <c r="E1097" s="1" t="n">
        <v>46233</v>
      </c>
      <c r="F1097" t="inlineStr">
        <is>
          <t>VÄSTERBOTTENS LÄN</t>
        </is>
      </c>
      <c r="G1097" t="inlineStr">
        <is>
          <t>LYCKSELE</t>
        </is>
      </c>
      <c r="I1097" t="n">
        <v>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24129-2025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45796</v>
      </c>
      <c r="E1098" s="1" t="n">
        <v>46233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45503-2021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44440</v>
      </c>
      <c r="E1099" s="1" t="n">
        <v>46233</v>
      </c>
      <c r="F1099" t="inlineStr">
        <is>
          <t>VÄSTERBOTTENS LÄN</t>
        </is>
      </c>
      <c r="G1099" t="inlineStr">
        <is>
          <t>LYCKSELE</t>
        </is>
      </c>
      <c r="I1099" t="n">
        <v>29.1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23315-2024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45453</v>
      </c>
      <c r="E1100" s="1" t="n">
        <v>46233</v>
      </c>
      <c r="F1100" t="inlineStr">
        <is>
          <t>VÄSTERBOTTENS LÄN</t>
        </is>
      </c>
      <c r="G1100" t="inlineStr">
        <is>
          <t>LYCKSELE</t>
        </is>
      </c>
      <c r="I1100" t="n">
        <v>7.3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31848-2024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45509</v>
      </c>
      <c r="E1101" s="1" t="n">
        <v>46233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24603-2025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45798</v>
      </c>
      <c r="E1102" s="1" t="n">
        <v>46233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24514-2025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45798</v>
      </c>
      <c r="E1103" s="1" t="n">
        <v>46233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8.300000000000001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54893-2023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45236</v>
      </c>
      <c r="E1104" s="1" t="n">
        <v>46233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6.5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24729-2025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45799</v>
      </c>
      <c r="E1105" s="1" t="n">
        <v>46233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4.8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25061-2025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45799</v>
      </c>
      <c r="E1106" s="1" t="n">
        <v>46233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13.7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24906-2025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45799</v>
      </c>
      <c r="E1107" s="1" t="n">
        <v>46233</v>
      </c>
      <c r="F1107" t="inlineStr">
        <is>
          <t>VÄSTERBOTTENS LÄN</t>
        </is>
      </c>
      <c r="G1107" t="inlineStr">
        <is>
          <t>LYCKSELE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24770-2025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45799</v>
      </c>
      <c r="E1108" s="1" t="n">
        <v>46233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8.5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25581-2025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45803</v>
      </c>
      <c r="E1109" s="1" t="n">
        <v>46233</v>
      </c>
      <c r="F1109" t="inlineStr">
        <is>
          <t>VÄSTERBOTTENS LÄN</t>
        </is>
      </c>
      <c r="G1109" t="inlineStr">
        <is>
          <t>LYCKSELE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25590-2025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45803</v>
      </c>
      <c r="E1110" s="1" t="n">
        <v>46233</v>
      </c>
      <c r="F1110" t="inlineStr">
        <is>
          <t>VÄSTERBOTTENS LÄN</t>
        </is>
      </c>
      <c r="G1110" t="inlineStr">
        <is>
          <t>LYCKSELE</t>
        </is>
      </c>
      <c r="I1110" t="n">
        <v>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25537-2025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45803</v>
      </c>
      <c r="E1111" s="1" t="n">
        <v>46233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919-2021</t>
        </is>
      </c>
      <c r="B1112" t="inlineStr">
        <is>
          <t>samrådsanmälan</t>
        </is>
      </c>
      <c r="C1112" t="inlineStr">
        <is>
          <t>Skogsgödsling</t>
        </is>
      </c>
      <c r="D1112" s="1" t="n">
        <v>44314</v>
      </c>
      <c r="E1112" s="1" t="n">
        <v>46233</v>
      </c>
      <c r="F1112" t="inlineStr">
        <is>
          <t>VÄSTERBOTTENS LÄN</t>
        </is>
      </c>
      <c r="G1112" t="inlineStr">
        <is>
          <t>LYCKSELE</t>
        </is>
      </c>
      <c r="I1112" t="n">
        <v>26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827-2022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44603</v>
      </c>
      <c r="E1113" s="1" t="n">
        <v>46233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42.7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165-2022</t>
        </is>
      </c>
      <c r="B1114" t="inlineStr">
        <is>
          <t>samrådsanmälan</t>
        </is>
      </c>
      <c r="C1114" t="inlineStr">
        <is>
          <t>Skogsbilväg</t>
        </is>
      </c>
      <c r="D1114" s="1" t="n">
        <v>44572</v>
      </c>
      <c r="E1114" s="1" t="n">
        <v>46233</v>
      </c>
      <c r="F1114" t="inlineStr">
        <is>
          <t>VÄSTERBOTTENS LÄN</t>
        </is>
      </c>
      <c r="G1114" t="inlineStr">
        <is>
          <t>LYCKSELE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897-2022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44607</v>
      </c>
      <c r="E1115" s="1" t="n">
        <v>46233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264.9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1133-2024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45393</v>
      </c>
      <c r="E1116" s="1" t="n">
        <v>46233</v>
      </c>
      <c r="F1116" t="inlineStr">
        <is>
          <t>VÄSTERBOTTENS LÄN</t>
        </is>
      </c>
      <c r="G1116" t="inlineStr">
        <is>
          <t>LYCKSELE</t>
        </is>
      </c>
      <c r="I1116" t="n">
        <v>33.1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6646-2021</t>
        </is>
      </c>
      <c r="B1117" t="inlineStr">
        <is>
          <t>samrådsanmälan</t>
        </is>
      </c>
      <c r="C1117" t="inlineStr">
        <is>
          <t>Basväg</t>
        </is>
      </c>
      <c r="D1117" s="1" t="n">
        <v>44455</v>
      </c>
      <c r="E1117" s="1" t="n">
        <v>46233</v>
      </c>
      <c r="F1117" t="inlineStr">
        <is>
          <t>VÄSTERBOTTENS LÄN</t>
        </is>
      </c>
      <c r="G1117" t="inlineStr">
        <is>
          <t>LYCKSELE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4195-2023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45250</v>
      </c>
      <c r="E1118" s="1" t="n">
        <v>46233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63.8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1398-2023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45040</v>
      </c>
      <c r="E1119" s="1" t="n">
        <v>46233</v>
      </c>
      <c r="F1119" t="inlineStr">
        <is>
          <t>VÄSTERBOTTENS LÄN</t>
        </is>
      </c>
      <c r="G1119" t="inlineStr">
        <is>
          <t>LYCKSELE</t>
        </is>
      </c>
      <c r="I1119" t="n">
        <v>21.5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1378-2023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46233</v>
      </c>
      <c r="F1120" t="inlineStr">
        <is>
          <t>VÄSTERBOTTENS LÄN</t>
        </is>
      </c>
      <c r="G1120" t="inlineStr">
        <is>
          <t>LYCKSELE</t>
        </is>
      </c>
      <c r="I1120" t="n">
        <v>33.1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1656-2024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45426</v>
      </c>
      <c r="E1121" s="1" t="n">
        <v>46233</v>
      </c>
      <c r="F1121" t="inlineStr">
        <is>
          <t>VÄSTERBOTTENS LÄN</t>
        </is>
      </c>
      <c r="G1121" t="inlineStr">
        <is>
          <t>LYCKSELE</t>
        </is>
      </c>
      <c r="I1121" t="n">
        <v>56.6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523-2024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45348</v>
      </c>
      <c r="E1122" s="1" t="n">
        <v>46233</v>
      </c>
      <c r="F1122" t="inlineStr">
        <is>
          <t>VÄSTERBOTTENS LÄN</t>
        </is>
      </c>
      <c r="G1122" t="inlineStr">
        <is>
          <t>LYCKSELE</t>
        </is>
      </c>
      <c r="I1122" t="n">
        <v>19.9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3789-2024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45558</v>
      </c>
      <c r="E1123" s="1" t="n">
        <v>46233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9.800000000000001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271-2024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45323</v>
      </c>
      <c r="E1124" s="1" t="n">
        <v>46233</v>
      </c>
      <c r="F1124" t="inlineStr">
        <is>
          <t>VÄSTERBOTTENS LÄN</t>
        </is>
      </c>
      <c r="G1124" t="inlineStr">
        <is>
          <t>LYCKSELE</t>
        </is>
      </c>
      <c r="I1124" t="n">
        <v>48.7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1132-2024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45393</v>
      </c>
      <c r="E1125" s="1" t="n">
        <v>46233</v>
      </c>
      <c r="F1125" t="inlineStr">
        <is>
          <t>VÄSTERBOTTENS LÄN</t>
        </is>
      </c>
      <c r="G1125" t="inlineStr">
        <is>
          <t>LYCKSELE</t>
        </is>
      </c>
      <c r="I1125" t="n">
        <v>19.2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1031-2025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45747</v>
      </c>
      <c r="E1126" s="1" t="n">
        <v>46233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36.8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1037-2025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45747</v>
      </c>
      <c r="E1127" s="1" t="n">
        <v>46233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138.5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1233-2025</t>
        </is>
      </c>
      <c r="B1128" t="inlineStr">
        <is>
          <t>samrådsanmälan</t>
        </is>
      </c>
      <c r="C1128" t="inlineStr">
        <is>
          <t>Annan skogsbruksåtgärd</t>
        </is>
      </c>
      <c r="D1128" s="1" t="n">
        <v>45757</v>
      </c>
      <c r="E1128" s="1" t="n">
        <v>46233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5.9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1326-2025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45771</v>
      </c>
      <c r="E1129" s="1" t="n">
        <v>46233</v>
      </c>
      <c r="F1129" t="inlineStr">
        <is>
          <t>VÄSTERBOTTENS LÄN</t>
        </is>
      </c>
      <c r="G1129" t="inlineStr">
        <is>
          <t>LYCKSELE</t>
        </is>
      </c>
      <c r="I1129" t="n">
        <v>6.2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1841-2025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45820</v>
      </c>
      <c r="E1130" s="1" t="n">
        <v>46233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447-2026</t>
        </is>
      </c>
      <c r="B1131" t="inlineStr">
        <is>
          <t>samrådsanmälan</t>
        </is>
      </c>
      <c r="C1131" t="inlineStr">
        <is>
          <t>Annan skogsbruksåtgärd</t>
        </is>
      </c>
      <c r="D1131" s="1" t="n">
        <v>46071</v>
      </c>
      <c r="E1131" s="1" t="n">
        <v>46233</v>
      </c>
      <c r="F1131" t="inlineStr">
        <is>
          <t>VÄSTERBOTTENS LÄN</t>
        </is>
      </c>
      <c r="G1131" t="inlineStr">
        <is>
          <t>LYCKSELE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727-2026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46093</v>
      </c>
      <c r="E1132" s="1" t="n">
        <v>46233</v>
      </c>
      <c r="F1132" t="inlineStr">
        <is>
          <t>VÄSTERBOTTENS LÄN</t>
        </is>
      </c>
      <c r="G1132" t="inlineStr">
        <is>
          <t>LYCKSELE</t>
        </is>
      </c>
      <c r="I1132" t="n">
        <v>23.5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1148-2026</t>
        </is>
      </c>
      <c r="B1133" t="inlineStr">
        <is>
          <t>samrådsanmälan</t>
        </is>
      </c>
      <c r="C1133" t="inlineStr">
        <is>
          <t>Askåterföring</t>
        </is>
      </c>
      <c r="D1133" s="1" t="n">
        <v>46135</v>
      </c>
      <c r="E1133" s="1" t="n">
        <v>46233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4.5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1358-2026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46152</v>
      </c>
      <c r="E1134" s="1" t="n">
        <v>46233</v>
      </c>
      <c r="F1134" t="inlineStr">
        <is>
          <t>VÄSTERBOTTENS LÄN</t>
        </is>
      </c>
      <c r="G1134" t="inlineStr">
        <is>
          <t>LYCKSELE</t>
        </is>
      </c>
      <c r="I1134" t="n">
        <v>20.5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>
      <c r="A1135" t="inlineStr">
        <is>
          <t>S 1524-2026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46164</v>
      </c>
      <c r="E1135" s="1" t="n">
        <v>46233</v>
      </c>
      <c r="F1135" t="inlineStr">
        <is>
          <t>VÄSTERBOTTENS LÄN</t>
        </is>
      </c>
      <c r="G1135" t="inlineStr">
        <is>
          <t>LYCKSELE</t>
        </is>
      </c>
      <c r="I1135" t="n">
        <v>99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2026-07-30T01:49:34Z</dcterms:created>
  <dcterms:modified xmlns:dcterms="http://purl.org/dc/terms/" xmlns:xsi="http://www.w3.org/2001/XMLSchema-instance" xsi:type="dcterms:W3CDTF">2026-07-30T01:49:35Z</dcterms:modified>
</cp:coreProperties>
</file>