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45809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45809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45809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45809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45809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45809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45809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45809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45809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45809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45809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45809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45809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45809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45809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45809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45809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45809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45809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45809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45809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45809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45809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45809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45809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45809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45809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45809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45809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45809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45809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45809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45809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45809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45809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45809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45809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45809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45809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45809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45809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45809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45809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45809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45809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45809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45809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45809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45809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45809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45809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45809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45809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45809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45809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45809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45809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45809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45809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45809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45809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45809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45809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45809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45809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45809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45809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45809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45809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45809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45809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45809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45809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45809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45809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45809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45809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45809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45809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45809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45809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45809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45809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45809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45809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45809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45809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45809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45809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45809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45809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45809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45809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45809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45809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45809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45809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45809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45809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45809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45809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45809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45809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45809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45809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45809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45809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45809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45809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45809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45809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45809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45809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45809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45809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45809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45809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45809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45809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45809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45809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45809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45809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45809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45809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45809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45809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45809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45809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45809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45809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45809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45809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45809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45809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45809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45809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45809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45809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45809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45809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45809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45809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45809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45809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45809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45809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45809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45809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22363-2025</t>
        </is>
      </c>
      <c r="B151" s="1" t="n">
        <v>45786</v>
      </c>
      <c r="C151" s="1" t="n">
        <v>45809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22363-2025 artfynd.xlsx", "A 22363-2025")</f>
        <v/>
      </c>
      <c r="T151">
        <f>HYPERLINK("https://klasma.github.io/Logging_242481/kartor/A 22363-2025 karta.png", "A 22363-2025")</f>
        <v/>
      </c>
      <c r="V151">
        <f>HYPERLINK("https://klasma.github.io/Logging_242481/klagomål/A 22363-2025 FSC-klagomål.docx", "A 22363-2025")</f>
        <v/>
      </c>
      <c r="W151">
        <f>HYPERLINK("https://klasma.github.io/Logging_242481/klagomålsmail/A 22363-2025 FSC-klagomål mail.docx", "A 22363-2025")</f>
        <v/>
      </c>
      <c r="X151">
        <f>HYPERLINK("https://klasma.github.io/Logging_242481/tillsyn/A 22363-2025 tillsynsbegäran.docx", "A 22363-2025")</f>
        <v/>
      </c>
      <c r="Y151">
        <f>HYPERLINK("https://klasma.github.io/Logging_242481/tillsynsmail/A 22363-2025 tillsynsbegäran mail.docx", "A 22363-2025")</f>
        <v/>
      </c>
    </row>
    <row r="152" ht="15" customHeight="1">
      <c r="A152" t="inlineStr">
        <is>
          <t>A 22360-2025</t>
        </is>
      </c>
      <c r="B152" s="1" t="n">
        <v>45786</v>
      </c>
      <c r="C152" s="1" t="n">
        <v>45809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22360-2025 artfynd.xlsx", "A 22360-2025")</f>
        <v/>
      </c>
      <c r="T152">
        <f>HYPERLINK("https://klasma.github.io/Logging_242481/kartor/A 22360-2025 karta.png", "A 22360-2025")</f>
        <v/>
      </c>
      <c r="V152">
        <f>HYPERLINK("https://klasma.github.io/Logging_242481/klagomål/A 22360-2025 FSC-klagomål.docx", "A 22360-2025")</f>
        <v/>
      </c>
      <c r="W152">
        <f>HYPERLINK("https://klasma.github.io/Logging_242481/klagomålsmail/A 22360-2025 FSC-klagomål mail.docx", "A 22360-2025")</f>
        <v/>
      </c>
      <c r="X152">
        <f>HYPERLINK("https://klasma.github.io/Logging_242481/tillsyn/A 22360-2025 tillsynsbegäran.docx", "A 22360-2025")</f>
        <v/>
      </c>
      <c r="Y152">
        <f>HYPERLINK("https://klasma.github.io/Logging_242481/tillsynsmail/A 22360-2025 tillsynsbegäran mail.docx", "A 22360-2025")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45809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23328-2025</t>
        </is>
      </c>
      <c r="B154" s="1" t="n">
        <v>45791</v>
      </c>
      <c r="C154" s="1" t="n">
        <v>45809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23328-2025 artfynd.xlsx", "A 23328-2025")</f>
        <v/>
      </c>
      <c r="T154">
        <f>HYPERLINK("https://klasma.github.io/Logging_242481/kartor/A 23328-2025 karta.png", "A 23328-2025")</f>
        <v/>
      </c>
      <c r="V154">
        <f>HYPERLINK("https://klasma.github.io/Logging_242481/klagomål/A 23328-2025 FSC-klagomål.docx", "A 23328-2025")</f>
        <v/>
      </c>
      <c r="W154">
        <f>HYPERLINK("https://klasma.github.io/Logging_242481/klagomålsmail/A 23328-2025 FSC-klagomål mail.docx", "A 23328-2025")</f>
        <v/>
      </c>
      <c r="X154">
        <f>HYPERLINK("https://klasma.github.io/Logging_242481/tillsyn/A 23328-2025 tillsynsbegäran.docx", "A 23328-2025")</f>
        <v/>
      </c>
      <c r="Y154">
        <f>HYPERLINK("https://klasma.github.io/Logging_242481/tillsynsmail/A 23328-2025 tillsynsbegäran mail.docx", "A 23328-2025")</f>
        <v/>
      </c>
    </row>
    <row r="155" ht="15" customHeight="1">
      <c r="A155" t="inlineStr">
        <is>
          <t>A 23341-2025</t>
        </is>
      </c>
      <c r="B155" s="1" t="n">
        <v>45791</v>
      </c>
      <c r="C155" s="1" t="n">
        <v>45809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23341-2025 artfynd.xlsx", "A 23341-2025")</f>
        <v/>
      </c>
      <c r="T155">
        <f>HYPERLINK("https://klasma.github.io/Logging_242481/kartor/A 23341-2025 karta.png", "A 23341-2025")</f>
        <v/>
      </c>
      <c r="V155">
        <f>HYPERLINK("https://klasma.github.io/Logging_242481/klagomål/A 23341-2025 FSC-klagomål.docx", "A 23341-2025")</f>
        <v/>
      </c>
      <c r="W155">
        <f>HYPERLINK("https://klasma.github.io/Logging_242481/klagomålsmail/A 23341-2025 FSC-klagomål mail.docx", "A 23341-2025")</f>
        <v/>
      </c>
      <c r="X155">
        <f>HYPERLINK("https://klasma.github.io/Logging_242481/tillsyn/A 23341-2025 tillsynsbegäran.docx", "A 23341-2025")</f>
        <v/>
      </c>
      <c r="Y155">
        <f>HYPERLINK("https://klasma.github.io/Logging_242481/tillsynsmail/A 23341-2025 tillsynsbegäran mail.docx", "A 23341-2025")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45809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45809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45809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45809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45809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45809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45809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45809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45809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45809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45809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45809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45809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45809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45809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45809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45809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45809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45809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45809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45809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45809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45809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45809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45809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45809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45809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45809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45809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45809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45809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45809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45809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45809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45809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45809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45809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45809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45809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45809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45809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45809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45809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45809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45809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45809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45809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45809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45809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45809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45809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45809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45809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45809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45809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45809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45809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45809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45809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45809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45809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45809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45809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45809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45809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45809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45809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45809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45809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45809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45809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45809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45809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45809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45809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45809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45809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45809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45809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45809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45809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45809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45809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45809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45809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45809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45809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45809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45809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45809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45809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45809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45809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45809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45809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45809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45809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45809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45809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45809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45809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45809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45809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45809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45809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45809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45809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45809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45809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45809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45809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45809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45809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45809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45809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45809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45809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45809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23314-2025</t>
        </is>
      </c>
      <c r="B274" s="1" t="n">
        <v>45791</v>
      </c>
      <c r="C274" s="1" t="n">
        <v>45809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Orange taggsvamp</t>
        </is>
      </c>
      <c r="S274">
        <f>HYPERLINK("https://klasma.github.io/Logging_242481/artfynd/A 23314-2025 artfynd.xlsx", "A 23314-2025")</f>
        <v/>
      </c>
      <c r="T274">
        <f>HYPERLINK("https://klasma.github.io/Logging_242481/kartor/A 23314-2025 karta.png", "A 23314-2025")</f>
        <v/>
      </c>
      <c r="V274">
        <f>HYPERLINK("https://klasma.github.io/Logging_242481/klagomål/A 23314-2025 FSC-klagomål.docx", "A 23314-2025")</f>
        <v/>
      </c>
      <c r="W274">
        <f>HYPERLINK("https://klasma.github.io/Logging_242481/klagomålsmail/A 23314-2025 FSC-klagomål mail.docx", "A 23314-2025")</f>
        <v/>
      </c>
      <c r="X274">
        <f>HYPERLINK("https://klasma.github.io/Logging_242481/tillsyn/A 23314-2025 tillsynsbegäran.docx", "A 23314-2025")</f>
        <v/>
      </c>
      <c r="Y274">
        <f>HYPERLINK("https://klasma.github.io/Logging_242481/tillsynsmail/A 23314-2025 tillsynsbegäran mail.docx", "A 23314-2025")</f>
        <v/>
      </c>
    </row>
    <row r="275" ht="15" customHeight="1">
      <c r="A275" t="inlineStr">
        <is>
          <t>A 23278-2025</t>
        </is>
      </c>
      <c r="B275" s="1" t="n">
        <v>45791</v>
      </c>
      <c r="C275" s="1" t="n">
        <v>45809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HYPERLINK("https://klasma.github.io/Logging_242481/artfynd/A 23278-2025 artfynd.xlsx", "A 23278-2025")</f>
        <v/>
      </c>
      <c r="T275">
        <f>HYPERLINK("https://klasma.github.io/Logging_242481/kartor/A 23278-2025 karta.png", "A 23278-2025")</f>
        <v/>
      </c>
      <c r="V275">
        <f>HYPERLINK("https://klasma.github.io/Logging_242481/klagomål/A 23278-2025 FSC-klagomål.docx", "A 23278-2025")</f>
        <v/>
      </c>
      <c r="W275">
        <f>HYPERLINK("https://klasma.github.io/Logging_242481/klagomålsmail/A 23278-2025 FSC-klagomål mail.docx", "A 23278-2025")</f>
        <v/>
      </c>
      <c r="X275">
        <f>HYPERLINK("https://klasma.github.io/Logging_242481/tillsyn/A 23278-2025 tillsynsbegäran.docx", "A 23278-2025")</f>
        <v/>
      </c>
      <c r="Y275">
        <f>HYPERLINK("https://klasma.github.io/Logging_242481/tillsynsmail/A 23278-2025 tillsynsbegäran mail.docx", "A 23278-2025")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45809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45809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45809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45809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45809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45809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45809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45809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45809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45809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45809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45809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45809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45809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45809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45809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45809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45809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45809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45809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45809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45809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45809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45809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45809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45809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45809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45809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45809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45809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45809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45809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45809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45809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45809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45809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45809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45809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45809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45809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45809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45809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45809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45809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45809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45809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45809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45809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45809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45809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45809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45809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45809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45809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45809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45809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45809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45809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45809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45809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45809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45809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45809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45809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45809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45809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45809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45809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45809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45809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45809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45809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45809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45809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45809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45809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45809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45809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45809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45809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45809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45809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45809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45809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45809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45809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45809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45809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45809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45809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45809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45809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45809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45809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45809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45809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45809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45809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45809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45809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45809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45809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45809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45809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45809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45809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45809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45809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45809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45809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45809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45809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45809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45809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45809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45809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45809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45809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45809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45809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45809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45809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45809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45809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45809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45809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45809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45809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45809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45809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45809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45809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45809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45809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45809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45809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45809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45809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45809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45809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45809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45809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45809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45809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45809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45809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45809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45809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45809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45809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45809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45809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45809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45809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45809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45809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45809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45809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45809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45809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45809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45809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45809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45809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45809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45809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45809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45809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45809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45809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45809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45809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45809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45809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45809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45809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45809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45809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45809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45809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45809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45809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45809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45809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45809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45809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45809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45809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45809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45809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45809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45809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45809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45809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45809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45809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45809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45809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45809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45809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45809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45809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45809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45809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45809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45809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45809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45809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45809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45809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45809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45809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45809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45809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45809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45809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45809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45809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45809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45809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45809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45809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45809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45809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45809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45809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45809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45809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45809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45809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45809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45809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45809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45809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45809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45809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45809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45809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45809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45809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45809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45809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45809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45809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45809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45809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45809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45809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45809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45809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45809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45809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45809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45809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45809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45809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45809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45809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45809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45809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45809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45809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45809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45809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45809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45809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45809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45809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45809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45809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45809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45809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45809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45809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45809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45809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45809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45809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45809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45809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45809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45809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45809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45809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45809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45809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45809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45809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45809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45809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45809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45809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45809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45809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45809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45809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45809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45809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45809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45809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45809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45809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45809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45809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45809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45809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45809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45809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45809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45809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45809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45809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45809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45809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45809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45809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45809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45809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45809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45809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45809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45809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45809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45809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45809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45809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45809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45809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45809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45809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45809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45809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45809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45809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45809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45809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45809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45809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45809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45809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45809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45809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45809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45809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45809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45809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45809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45809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45809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45809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45809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45809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45809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45809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45809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45809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45809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45809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45809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45809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45809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45809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45809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45809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45809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45809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45809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45809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45809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45809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45809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45809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45809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45809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45809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45809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45809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45809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45809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45809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45809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45809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45809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45809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45809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45809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45809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45809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45809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45809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45809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45809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45809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45809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45809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45809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45809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45809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45809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45809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45809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45809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45809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45809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45809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45809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45809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45809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45809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45809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45809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45809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45809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45809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45809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45809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45809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45809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45809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45809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45809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45809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45809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45809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45809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45809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45809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45809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45809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45809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45809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45809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45809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45809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45809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45809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45809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45809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45809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45809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45809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45809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45809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45809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45809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45809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45809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45809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45809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45809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45809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45809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45809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45809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45809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45809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45809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45809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45809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45809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45809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45809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45809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45809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45809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45809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45809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45809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45809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45809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45809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45809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45809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45809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45809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45809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45809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45809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45809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45809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45809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45809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45809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45809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45809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45809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45809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45809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45809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45809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45809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45809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45809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45809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45809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45809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45809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45809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45809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45809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45809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45809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45809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45809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45809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45809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45809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45809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45809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45809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45809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45809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45809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45809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45809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45809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45809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45809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45809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45809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45809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45809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45809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45809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45809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45809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45809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45809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45809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45809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45809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45809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45809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45809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45809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45809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45809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45809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45809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45809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45809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45809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45809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45809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45809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45809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45809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45809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45809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45809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45809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45809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45809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45809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45809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45809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45809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45809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45809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45809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45809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45809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45809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45809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45809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45809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45809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45809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45809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45809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45809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45809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45809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45809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45809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45809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45809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45809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45809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45809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45809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45809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45809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45809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45809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45809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45809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45809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45809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45809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45809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45809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45809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45809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45809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45809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45809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45809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45809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45809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45809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45809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45809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45809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45809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45809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45809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45809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45809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45809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45809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45809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45809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45809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45809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45809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45809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45809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45809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45809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45809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45809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45809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45809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45809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45809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45809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45809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45809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45809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45809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45809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45809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45809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45809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45809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45809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45809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45809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45809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45809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45809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45809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45809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45809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45809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45809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45809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45809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45809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45809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45809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45809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45809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45809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45809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45809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45809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45809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45809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45809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45809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45809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45809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45809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45809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45809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45809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45809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45809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45809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45809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45809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45809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45809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45809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45809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45809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45809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45809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45809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45809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45809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45809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45809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45809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45809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45809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45809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45809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45809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45809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45809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45809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45809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45809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45809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45809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45809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45809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45809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45809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45809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45809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45809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45809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45809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45809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45809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45809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45809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45809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45809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45809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45809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45809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45809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45809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45809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45809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45809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45809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45809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45809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45809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45809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45809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45809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45809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45809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45809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45809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45809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45809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45809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45809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45809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45809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45809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45809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45809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45809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45809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45809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45809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45809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45809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45809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45809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45809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45809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45809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45809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45809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45809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45809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45809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45809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45809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45809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45809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45809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45809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45809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45809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45809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45809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45809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45809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45809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45809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45809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45809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45809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45809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45809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45809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45809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45809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45809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45809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45809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45809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45809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45809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45809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45809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45809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45809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45809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45809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45809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45809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45809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45809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45809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45809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45809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45809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45809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45809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45809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45809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45809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45809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45809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45809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45809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45809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45809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45809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45809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45809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45809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45809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45809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45809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45809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45809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45809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45809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45809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45809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45809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45809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45809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45809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45809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45809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45809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45809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45809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45809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45809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45809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45809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45809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45809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45809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45809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45809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45809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45809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45809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45809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45809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45809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45809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45809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45809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45809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45809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45809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45809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45809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45809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45809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45809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45809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45809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45809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45809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45809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45809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45809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45809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45809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45809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45809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45809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45809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45809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45809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45809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45809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45809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45809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45809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45809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45809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45809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45809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45809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45809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45809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45809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45809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45809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45809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45809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45809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45809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45809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45809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45809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45809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45809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45809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45809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45809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45809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45809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45809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45809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45809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45809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45809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45809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45809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45809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45809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45809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45809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45809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45809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45809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45809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45809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45809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45809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45809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45809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45809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45809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45809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45809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45809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45809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45809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45809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45809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45809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45809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45809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45809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45809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45809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45809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45809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45809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45809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45809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45809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45809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45809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45809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45809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45809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45809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45809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45809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45809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45809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45809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45809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45809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45809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45809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45809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45809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45809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45809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45809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45809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45809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45809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45809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45809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45809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45809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45809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45809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45809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45809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45809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45809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45809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45809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45809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45809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45809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45809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45809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45809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45809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45809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45809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45809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45809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45809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45809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45809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45809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45809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45809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45809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45809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45809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45809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45809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45809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45809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45809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45809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45809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45809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45809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45809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45809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45809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45809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45809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45809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45809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45809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45809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45809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45809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45809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45809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45809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45809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45809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45809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45809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45809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45809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45809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45809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45809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45809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45809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45809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45809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45809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45809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45809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45809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45809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45809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45809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45809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45809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45809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45809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45809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45809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45809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45809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45809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45809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45809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45809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45809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45809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45809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45809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45809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45809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45809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45809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45809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45809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45809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45809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45809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45809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45809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45809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45809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45809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45809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45809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45809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45809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45809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45809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45809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45809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45809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45809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45809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45809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45809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45809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45809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45809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45809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45809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45809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45809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45809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45809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45809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45809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45809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45809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45809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45809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45809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45809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45809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45809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45809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45809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45809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45809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45809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45809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45809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45809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45809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45809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45809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45809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45809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45809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45809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45809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45809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45809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45809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45809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45809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45809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45809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45809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45809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45809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45809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45809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45809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45809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45809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45809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45809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45809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45809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45809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45809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45809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45809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45809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45809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45809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45809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45809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45809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45809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45809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45809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45809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45809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45809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45809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45809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45809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45809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45809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45809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45809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45809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45809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45809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45809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45809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45809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45809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45809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45809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45809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45809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45809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45809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45809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45809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45809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45809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45809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45809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45809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45809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45809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45809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45809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45809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45809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45809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45809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45809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45809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45809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45809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45809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45809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45809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45809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45809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45809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45809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45809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45809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45809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45809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45809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45809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45809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45809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45809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45809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45809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45809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45809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45809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45809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45809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45809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45809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45809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45809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45809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45809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45809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45809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45809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45809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45809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45809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45809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45809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45809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45809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45809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45809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45809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45809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45809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45809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45809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45809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45809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45809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45809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45809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45809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45809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45809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45809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45809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45809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45809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45809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45809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45809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45809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45809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45809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45809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45809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45809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45809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45809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45809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45809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45809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45809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45809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45809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45809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45809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45809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45809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45809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45809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45809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45809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45809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45809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45809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45809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45809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45809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45809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45809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45809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45809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45809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45809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45809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45809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45809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45809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45809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45809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45809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45809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45809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45809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45809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45809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45809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45809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45809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45809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45809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45809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45809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45809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45809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45809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45809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45809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45809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45809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45809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45809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45809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45809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45809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45809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45809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45809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45809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45809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45809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45809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45809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45809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45809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45809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45809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45809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45809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45809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45809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45809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45809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45809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45809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45809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45809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45809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45809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45809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45809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45809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45809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45809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45809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45809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45809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45809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45809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45809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45809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45809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45809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45809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45809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45809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45809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45809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45809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45809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45809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45809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45809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45809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45809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45809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45809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45809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45809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45809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45809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45809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45809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45809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45809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45809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45809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45809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45809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45809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45809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45809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45809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45809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45809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45809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45809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45809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45809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45809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45809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45809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45809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45809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45809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45809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45809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45809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45809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45809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45809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45809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45809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45809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45809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45809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45809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45809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45809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45809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45809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45809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45809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45809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45809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45809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45809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45809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45809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45809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45809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45809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45809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45809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45809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45809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45809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45809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45809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45809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45809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45809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45809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45809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45809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45809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45809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45809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45809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45809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45809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45809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45809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45809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45809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45809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45809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45809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45809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45809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45809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45809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45809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45809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45809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45809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45809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45809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45809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45809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45809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45809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45809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45809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45809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45809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45809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45809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45809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45809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45809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45809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45809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45809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45809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45809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45809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45809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45809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45809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45809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45809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45809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45809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45809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45809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45809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45809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45809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45809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45809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45809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45809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45809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45809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45809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45809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45809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45809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45809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45809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45809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45809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45809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45809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45809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45809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45809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45809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45809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45809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45809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45809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45809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45809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45809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45809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45809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45809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45809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45809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45809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45809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45809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45809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45809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45809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45809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45809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45809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45809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45809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45809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45809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45809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45809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45809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45809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45809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45809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45809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45809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45809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45809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45809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45809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45809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45809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45809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45809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45809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45809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45809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45809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45809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45809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45809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45809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45809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45809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45809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45809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45809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45809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45809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45809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45809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45809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45809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45809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45809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45809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45809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45809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45809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45809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45809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45809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45809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45809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45809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45809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45809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45809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45809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45809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45809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45809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45809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45809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45809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45809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45809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45809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45809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45809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45809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45809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45809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45809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45809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45809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45809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45809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45809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45809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45809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45809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45809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45809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45809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45809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45809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45809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45809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45809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45809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45809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45809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45809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45809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45809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45809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45809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45809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45809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45809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45809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45809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45809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45809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45809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45809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45809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45809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45809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45809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45809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45809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45809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45809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45809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45809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45809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45809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45809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45809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45809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45809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45809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45809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45809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45809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45809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45809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45809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19606-2025</t>
        </is>
      </c>
      <c r="B1936" s="1" t="n">
        <v>45770</v>
      </c>
      <c r="C1936" s="1" t="n">
        <v>45809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19531-2025</t>
        </is>
      </c>
      <c r="B1937" s="1" t="n">
        <v>45770</v>
      </c>
      <c r="C1937" s="1" t="n">
        <v>45809</v>
      </c>
      <c r="D1937" t="inlineStr">
        <is>
          <t>VÄSTERBOTTENS LÄN</t>
        </is>
      </c>
      <c r="E1937" t="inlineStr">
        <is>
          <t>LYCKSELE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20026-2025</t>
        </is>
      </c>
      <c r="B1938" s="1" t="n">
        <v>45772</v>
      </c>
      <c r="C1938" s="1" t="n">
        <v>45809</v>
      </c>
      <c r="D1938" t="inlineStr">
        <is>
          <t>VÄSTERBOTTENS LÄN</t>
        </is>
      </c>
      <c r="E1938" t="inlineStr">
        <is>
          <t>LYCKSELE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20161-2025</t>
        </is>
      </c>
      <c r="B1939" s="1" t="n">
        <v>45772</v>
      </c>
      <c r="C1939" s="1" t="n">
        <v>45809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20034-2025</t>
        </is>
      </c>
      <c r="B1940" s="1" t="n">
        <v>45772</v>
      </c>
      <c r="C1940" s="1" t="n">
        <v>45809</v>
      </c>
      <c r="D1940" t="inlineStr">
        <is>
          <t>VÄSTERBOTTENS LÄN</t>
        </is>
      </c>
      <c r="E1940" t="inlineStr">
        <is>
          <t>LYCKSELE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20148-2025</t>
        </is>
      </c>
      <c r="B1941" s="1" t="n">
        <v>45772</v>
      </c>
      <c r="C1941" s="1" t="n">
        <v>45809</v>
      </c>
      <c r="D1941" t="inlineStr">
        <is>
          <t>VÄSTERBOTTENS LÄN</t>
        </is>
      </c>
      <c r="E1941" t="inlineStr">
        <is>
          <t>LYCKSELE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20344-2025</t>
        </is>
      </c>
      <c r="B1942" s="1" t="n">
        <v>45775</v>
      </c>
      <c r="C1942" s="1" t="n">
        <v>45809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20560-2025</t>
        </is>
      </c>
      <c r="B1943" s="1" t="n">
        <v>45775</v>
      </c>
      <c r="C1943" s="1" t="n">
        <v>45809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20508-2025</t>
        </is>
      </c>
      <c r="B1944" s="1" t="n">
        <v>45775</v>
      </c>
      <c r="C1944" s="1" t="n">
        <v>45809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20685-2025</t>
        </is>
      </c>
      <c r="B1945" s="1" t="n">
        <v>45776</v>
      </c>
      <c r="C1945" s="1" t="n">
        <v>45809</v>
      </c>
      <c r="D1945" t="inlineStr">
        <is>
          <t>VÄSTERBOTTENS LÄN</t>
        </is>
      </c>
      <c r="E1945" t="inlineStr">
        <is>
          <t>LYCKSELE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20671-2025</t>
        </is>
      </c>
      <c r="B1946" s="1" t="n">
        <v>45776</v>
      </c>
      <c r="C1946" s="1" t="n">
        <v>45809</v>
      </c>
      <c r="D1946" t="inlineStr">
        <is>
          <t>VÄSTERBOTTENS LÄN</t>
        </is>
      </c>
      <c r="E1946" t="inlineStr">
        <is>
          <t>LYCKSELE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20979-2025</t>
        </is>
      </c>
      <c r="B1947" s="1" t="n">
        <v>45777</v>
      </c>
      <c r="C1947" s="1" t="n">
        <v>45809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20958-2025</t>
        </is>
      </c>
      <c r="B1948" s="1" t="n">
        <v>45777</v>
      </c>
      <c r="C1948" s="1" t="n">
        <v>45809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45809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21266-2025</t>
        </is>
      </c>
      <c r="B1950" s="1" t="n">
        <v>45779</v>
      </c>
      <c r="C1950" s="1" t="n">
        <v>45809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21195-2025</t>
        </is>
      </c>
      <c r="B1951" s="1" t="n">
        <v>45779</v>
      </c>
      <c r="C1951" s="1" t="n">
        <v>45809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6.5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45809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45809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45809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21655-2025</t>
        </is>
      </c>
      <c r="B1955" s="1" t="n">
        <v>45783</v>
      </c>
      <c r="C1955" s="1" t="n">
        <v>45809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21727-2025</t>
        </is>
      </c>
      <c r="B1956" s="1" t="n">
        <v>45783</v>
      </c>
      <c r="C1956" s="1" t="n">
        <v>45809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21861-2025</t>
        </is>
      </c>
      <c r="B1957" s="1" t="n">
        <v>45784</v>
      </c>
      <c r="C1957" s="1" t="n">
        <v>45809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10.5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21888-2025</t>
        </is>
      </c>
      <c r="B1958" s="1" t="n">
        <v>45784</v>
      </c>
      <c r="C1958" s="1" t="n">
        <v>45809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22107-2025</t>
        </is>
      </c>
      <c r="B1959" s="1" t="n">
        <v>45785</v>
      </c>
      <c r="C1959" s="1" t="n">
        <v>45809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SCA</t>
        </is>
      </c>
      <c r="G1959" t="n">
        <v>8.4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22127-2025</t>
        </is>
      </c>
      <c r="B1960" s="1" t="n">
        <v>45785</v>
      </c>
      <c r="C1960" s="1" t="n">
        <v>45809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45809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22456-2025</t>
        </is>
      </c>
      <c r="B1962" s="1" t="n">
        <v>45786</v>
      </c>
      <c r="C1962" s="1" t="n">
        <v>45809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22408-2025</t>
        </is>
      </c>
      <c r="B1963" s="1" t="n">
        <v>45786</v>
      </c>
      <c r="C1963" s="1" t="n">
        <v>45809</v>
      </c>
      <c r="D1963" t="inlineStr">
        <is>
          <t>VÄSTERBOTTENS LÄN</t>
        </is>
      </c>
      <c r="E1963" t="inlineStr">
        <is>
          <t>LYCKSELE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22423-2025</t>
        </is>
      </c>
      <c r="B1964" s="1" t="n">
        <v>45786</v>
      </c>
      <c r="C1964" s="1" t="n">
        <v>45809</v>
      </c>
      <c r="D1964" t="inlineStr">
        <is>
          <t>VÄSTERBOTTENS LÄN</t>
        </is>
      </c>
      <c r="E1964" t="inlineStr">
        <is>
          <t>LYCKSELE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22343-2025</t>
        </is>
      </c>
      <c r="B1965" s="1" t="n">
        <v>45786</v>
      </c>
      <c r="C1965" s="1" t="n">
        <v>45809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4.7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22344-2025</t>
        </is>
      </c>
      <c r="B1966" s="1" t="n">
        <v>45786</v>
      </c>
      <c r="C1966" s="1" t="n">
        <v>45809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SCA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22378-2025</t>
        </is>
      </c>
      <c r="B1967" s="1" t="n">
        <v>45786</v>
      </c>
      <c r="C1967" s="1" t="n">
        <v>45809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11.9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22452-2025</t>
        </is>
      </c>
      <c r="B1968" s="1" t="n">
        <v>45786</v>
      </c>
      <c r="C1968" s="1" t="n">
        <v>45809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11.4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22453-2025</t>
        </is>
      </c>
      <c r="B1969" s="1" t="n">
        <v>45786</v>
      </c>
      <c r="C1969" s="1" t="n">
        <v>45809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22309-2025</t>
        </is>
      </c>
      <c r="B1970" s="1" t="n">
        <v>45786</v>
      </c>
      <c r="C1970" s="1" t="n">
        <v>45809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22403-2025</t>
        </is>
      </c>
      <c r="B1971" s="1" t="n">
        <v>45786</v>
      </c>
      <c r="C1971" s="1" t="n">
        <v>45809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20.7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22732-2025</t>
        </is>
      </c>
      <c r="B1972" s="1" t="n">
        <v>45789</v>
      </c>
      <c r="C1972" s="1" t="n">
        <v>45809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22720-2025</t>
        </is>
      </c>
      <c r="B1973" s="1" t="n">
        <v>45789</v>
      </c>
      <c r="C1973" s="1" t="n">
        <v>45809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22759-2025</t>
        </is>
      </c>
      <c r="B1974" s="1" t="n">
        <v>45789</v>
      </c>
      <c r="C1974" s="1" t="n">
        <v>45809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45809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45809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23277-2025</t>
        </is>
      </c>
      <c r="B1977" s="1" t="n">
        <v>45791</v>
      </c>
      <c r="C1977" s="1" t="n">
        <v>45809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23274-2025</t>
        </is>
      </c>
      <c r="B1978" s="1" t="n">
        <v>45791</v>
      </c>
      <c r="C1978" s="1" t="n">
        <v>45809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23269-2025</t>
        </is>
      </c>
      <c r="B1979" s="1" t="n">
        <v>45791</v>
      </c>
      <c r="C1979" s="1" t="n">
        <v>45809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45809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23549-2025</t>
        </is>
      </c>
      <c r="B1981" s="1" t="n">
        <v>45792</v>
      </c>
      <c r="C1981" s="1" t="n">
        <v>45809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Naturvårdsverket</t>
        </is>
      </c>
      <c r="G1981" t="n">
        <v>29.9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23551-2025</t>
        </is>
      </c>
      <c r="B1982" s="1" t="n">
        <v>45792</v>
      </c>
      <c r="C1982" s="1" t="n">
        <v>45809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45809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23802-2025</t>
        </is>
      </c>
      <c r="B1984" s="1" t="n">
        <v>45793</v>
      </c>
      <c r="C1984" s="1" t="n">
        <v>45809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Holmen skog AB</t>
        </is>
      </c>
      <c r="G1984" t="n">
        <v>15.4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23827-2025</t>
        </is>
      </c>
      <c r="B1985" s="1" t="n">
        <v>45793</v>
      </c>
      <c r="C1985" s="1" t="n">
        <v>45809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23679-2025</t>
        </is>
      </c>
      <c r="B1986" s="1" t="n">
        <v>45793</v>
      </c>
      <c r="C1986" s="1" t="n">
        <v>45809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23798-2025</t>
        </is>
      </c>
      <c r="B1987" s="1" t="n">
        <v>45793</v>
      </c>
      <c r="C1987" s="1" t="n">
        <v>45809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45809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45809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45809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24511-2025</t>
        </is>
      </c>
      <c r="B1991" s="1" t="n">
        <v>45798</v>
      </c>
      <c r="C1991" s="1" t="n">
        <v>45809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24514-2025</t>
        </is>
      </c>
      <c r="B1992" s="1" t="n">
        <v>45798</v>
      </c>
      <c r="C1992" s="1" t="n">
        <v>45809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8.300000000000001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45809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24679-2025</t>
        </is>
      </c>
      <c r="B1994" s="1" t="n">
        <v>45798</v>
      </c>
      <c r="C1994" s="1" t="n">
        <v>45809</v>
      </c>
      <c r="D1994" t="inlineStr">
        <is>
          <t>VÄSTERBOTTENS LÄN</t>
        </is>
      </c>
      <c r="E1994" t="inlineStr">
        <is>
          <t>LYCKSELE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24509-2025</t>
        </is>
      </c>
      <c r="B1995" s="1" t="n">
        <v>45798</v>
      </c>
      <c r="C1995" s="1" t="n">
        <v>45809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24680-2025</t>
        </is>
      </c>
      <c r="B1996" s="1" t="n">
        <v>45798</v>
      </c>
      <c r="C1996" s="1" t="n">
        <v>45809</v>
      </c>
      <c r="D1996" t="inlineStr">
        <is>
          <t>VÄSTERBOTTENS LÄN</t>
        </is>
      </c>
      <c r="E1996" t="inlineStr">
        <is>
          <t>LYCKSELE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24603-2025</t>
        </is>
      </c>
      <c r="B1997" s="1" t="n">
        <v>45798</v>
      </c>
      <c r="C1997" s="1" t="n">
        <v>45809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24995-2025</t>
        </is>
      </c>
      <c r="B1998" s="1" t="n">
        <v>45799</v>
      </c>
      <c r="C1998" s="1" t="n">
        <v>45809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25000-2025</t>
        </is>
      </c>
      <c r="B1999" s="1" t="n">
        <v>45799</v>
      </c>
      <c r="C1999" s="1" t="n">
        <v>45809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24951-2025</t>
        </is>
      </c>
      <c r="B2000" s="1" t="n">
        <v>45799</v>
      </c>
      <c r="C2000" s="1" t="n">
        <v>45809</v>
      </c>
      <c r="D2000" t="inlineStr">
        <is>
          <t>VÄSTERBOTTENS LÄN</t>
        </is>
      </c>
      <c r="E2000" t="inlineStr">
        <is>
          <t>LYCKSELE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24770-2025</t>
        </is>
      </c>
      <c r="B2001" s="1" t="n">
        <v>45799</v>
      </c>
      <c r="C2001" s="1" t="n">
        <v>45809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8.5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24729-2025</t>
        </is>
      </c>
      <c r="B2002" s="1" t="n">
        <v>45799</v>
      </c>
      <c r="C2002" s="1" t="n">
        <v>45809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25061-2025</t>
        </is>
      </c>
      <c r="B2003" s="1" t="n">
        <v>45799</v>
      </c>
      <c r="C2003" s="1" t="n">
        <v>45809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SCA</t>
        </is>
      </c>
      <c r="G2003" t="n">
        <v>13.7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24906-2025</t>
        </is>
      </c>
      <c r="B2004" s="1" t="n">
        <v>45799</v>
      </c>
      <c r="C2004" s="1" t="n">
        <v>45809</v>
      </c>
      <c r="D2004" t="inlineStr">
        <is>
          <t>VÄSTERBOTTENS LÄN</t>
        </is>
      </c>
      <c r="E2004" t="inlineStr">
        <is>
          <t>LYCKSELE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25259-2025</t>
        </is>
      </c>
      <c r="B2005" s="1" t="n">
        <v>45800</v>
      </c>
      <c r="C2005" s="1" t="n">
        <v>45809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25537-2025</t>
        </is>
      </c>
      <c r="B2006" s="1" t="n">
        <v>45803</v>
      </c>
      <c r="C2006" s="1" t="n">
        <v>45809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Holmen skog AB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25618-2025</t>
        </is>
      </c>
      <c r="B2007" s="1" t="n">
        <v>45803</v>
      </c>
      <c r="C2007" s="1" t="n">
        <v>45809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SCA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25655-2025</t>
        </is>
      </c>
      <c r="B2008" s="1" t="n">
        <v>45803</v>
      </c>
      <c r="C2008" s="1" t="n">
        <v>45809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25565-2025</t>
        </is>
      </c>
      <c r="B2009" s="1" t="n">
        <v>45803</v>
      </c>
      <c r="C2009" s="1" t="n">
        <v>45809</v>
      </c>
      <c r="D2009" t="inlineStr">
        <is>
          <t>VÄSTERBOTTENS LÄN</t>
        </is>
      </c>
      <c r="E2009" t="inlineStr">
        <is>
          <t>LYCKSELE</t>
        </is>
      </c>
      <c r="G2009" t="n">
        <v>21.9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25590-2025</t>
        </is>
      </c>
      <c r="B2010" s="1" t="n">
        <v>45803</v>
      </c>
      <c r="C2010" s="1" t="n">
        <v>45809</v>
      </c>
      <c r="D2010" t="inlineStr">
        <is>
          <t>VÄSTERBOTTENS LÄN</t>
        </is>
      </c>
      <c r="E2010" t="inlineStr">
        <is>
          <t>LYCKSELE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25616-2025</t>
        </is>
      </c>
      <c r="B2011" s="1" t="n">
        <v>45803</v>
      </c>
      <c r="C2011" s="1" t="n">
        <v>45809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25581-2025</t>
        </is>
      </c>
      <c r="B2012" s="1" t="n">
        <v>45803</v>
      </c>
      <c r="C2012" s="1" t="n">
        <v>45809</v>
      </c>
      <c r="D2012" t="inlineStr">
        <is>
          <t>VÄSTERBOTTENS LÄN</t>
        </is>
      </c>
      <c r="E2012" t="inlineStr">
        <is>
          <t>LYCKSELE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25573-2025</t>
        </is>
      </c>
      <c r="B2013" s="1" t="n">
        <v>45803</v>
      </c>
      <c r="C2013" s="1" t="n">
        <v>45809</v>
      </c>
      <c r="D2013" t="inlineStr">
        <is>
          <t>VÄSTERBOTTENS LÄN</t>
        </is>
      </c>
      <c r="E2013" t="inlineStr">
        <is>
          <t>LYCKSELE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26151-2025</t>
        </is>
      </c>
      <c r="B2014" s="1" t="n">
        <v>45805</v>
      </c>
      <c r="C2014" s="1" t="n">
        <v>45809</v>
      </c>
      <c r="D2014" t="inlineStr">
        <is>
          <t>VÄSTERBOTTENS LÄN</t>
        </is>
      </c>
      <c r="E2014" t="inlineStr">
        <is>
          <t>LYCKSELE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26228-2025</t>
        </is>
      </c>
      <c r="B2015" s="1" t="n">
        <v>45805</v>
      </c>
      <c r="C2015" s="1" t="n">
        <v>45809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Sveaskog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26271-2025</t>
        </is>
      </c>
      <c r="B2016" s="1" t="n">
        <v>45805</v>
      </c>
      <c r="C2016" s="1" t="n">
        <v>45809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26199-2025</t>
        </is>
      </c>
      <c r="B2017" s="1" t="n">
        <v>45805</v>
      </c>
      <c r="C2017" s="1" t="n">
        <v>45809</v>
      </c>
      <c r="D2017" t="inlineStr">
        <is>
          <t>VÄSTERBOTTENS LÄN</t>
        </is>
      </c>
      <c r="E2017" t="inlineStr">
        <is>
          <t>LYCKSELE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26295-2025</t>
        </is>
      </c>
      <c r="B2018" s="1" t="n">
        <v>45805</v>
      </c>
      <c r="C2018" s="1" t="n">
        <v>45809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SCA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26419-2025</t>
        </is>
      </c>
      <c r="B2019" s="1" t="n">
        <v>45807</v>
      </c>
      <c r="C2019" s="1" t="n">
        <v>45809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26422-2025</t>
        </is>
      </c>
      <c r="B2020" s="1" t="n">
        <v>45807</v>
      </c>
      <c r="C2020" s="1" t="n">
        <v>45809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26410-2025</t>
        </is>
      </c>
      <c r="B2021" s="1" t="n">
        <v>45807</v>
      </c>
      <c r="C2021" s="1" t="n">
        <v>45809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Holmen skog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>
      <c r="A2022" t="inlineStr">
        <is>
          <t>A 26398-2025</t>
        </is>
      </c>
      <c r="B2022" s="1" t="n">
        <v>45807</v>
      </c>
      <c r="C2022" s="1" t="n">
        <v>45809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2025-06-01T11:52:32Z</dcterms:created>
  <dcterms:modified xmlns:dcterms="http://purl.org/dc/terms/" xmlns:xsi="http://www.w3.org/2001/XMLSchema-instance" xsi:type="dcterms:W3CDTF">2025-06-01T11:52:34Z</dcterms:modified>
</cp:coreProperties>
</file>