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45505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45505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45505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45505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45505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45505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45505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45505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45505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45505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45505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45505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45505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45505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45505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45505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45505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45505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45505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45505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45505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45505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45505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45505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45505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45505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45505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45505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45505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45505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45505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45505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45505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45505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45505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45505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45505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45505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45505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45505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45505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45505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45505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45505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45505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45505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45505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45505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45505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45505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45505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45505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45505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45505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45505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45505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45505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45505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45505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45505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45505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45505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45505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45505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45505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45505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45505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45505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45505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45505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45505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45505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45505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45505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45505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45505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45505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45505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45505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45505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45505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45505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45505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45505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45505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45505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45505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45505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45505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45505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45505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45505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45505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45505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45505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45505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45505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45505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45505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45505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45505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45505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45505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45505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45505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45505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45505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45505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45505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45505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45505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45505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45505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45505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45505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45505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45505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45505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45505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45505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28828-2024</t>
        </is>
      </c>
      <c r="B122" s="1" t="n">
        <v>45478</v>
      </c>
      <c r="C122" s="1" t="n">
        <v>45505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28828-2024 artfynd.xlsx", "A 28828-2024")</f>
        <v/>
      </c>
      <c r="T122">
        <f>HYPERLINK("https://klasma.github.io/Logging_2481/kartor/A 28828-2024 karta.png", "A 28828-2024")</f>
        <v/>
      </c>
      <c r="V122">
        <f>HYPERLINK("https://klasma.github.io/Logging_2481/klagomål/A 28828-2024 FSC-klagomål.docx", "A 28828-2024")</f>
        <v/>
      </c>
      <c r="W122">
        <f>HYPERLINK("https://klasma.github.io/Logging_2481/klagomålsmail/A 28828-2024 FSC-klagomål mail.docx", "A 28828-2024")</f>
        <v/>
      </c>
      <c r="X122">
        <f>HYPERLINK("https://klasma.github.io/Logging_2481/tillsyn/A 28828-2024 tillsynsbegäran.docx", "A 28828-2024")</f>
        <v/>
      </c>
      <c r="Y122">
        <f>HYPERLINK("https://klasma.github.io/Logging_2481/tillsynsmail/A 28828-2024 tillsynsbegäran mail.docx", "A 28828-2024")</f>
        <v/>
      </c>
    </row>
    <row r="123" ht="15" customHeight="1">
      <c r="A123" t="inlineStr">
        <is>
          <t>A 28841-2024</t>
        </is>
      </c>
      <c r="B123" s="1" t="n">
        <v>45478</v>
      </c>
      <c r="C123" s="1" t="n">
        <v>45505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28841-2024 artfynd.xlsx", "A 28841-2024")</f>
        <v/>
      </c>
      <c r="T123">
        <f>HYPERLINK("https://klasma.github.io/Logging_2481/kartor/A 28841-2024 karta.png", "A 28841-2024")</f>
        <v/>
      </c>
      <c r="V123">
        <f>HYPERLINK("https://klasma.github.io/Logging_2481/klagomål/A 28841-2024 FSC-klagomål.docx", "A 28841-2024")</f>
        <v/>
      </c>
      <c r="W123">
        <f>HYPERLINK("https://klasma.github.io/Logging_2481/klagomålsmail/A 28841-2024 FSC-klagomål mail.docx", "A 28841-2024")</f>
        <v/>
      </c>
      <c r="X123">
        <f>HYPERLINK("https://klasma.github.io/Logging_2481/tillsyn/A 28841-2024 tillsynsbegäran.docx", "A 28841-2024")</f>
        <v/>
      </c>
      <c r="Y123">
        <f>HYPERLINK("https://klasma.github.io/Logging_2481/tillsynsmail/A 28841-2024 tillsynsbegäran mail.docx", "A 28841-2024")</f>
        <v/>
      </c>
    </row>
    <row r="124" ht="15" customHeight="1">
      <c r="A124" t="inlineStr">
        <is>
          <t>A 28838-2024</t>
        </is>
      </c>
      <c r="B124" s="1" t="n">
        <v>45478</v>
      </c>
      <c r="C124" s="1" t="n">
        <v>45505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28838-2024 artfynd.xlsx", "A 28838-2024")</f>
        <v/>
      </c>
      <c r="T124">
        <f>HYPERLINK("https://klasma.github.io/Logging_2481/kartor/A 28838-2024 karta.png", "A 28838-2024")</f>
        <v/>
      </c>
      <c r="V124">
        <f>HYPERLINK("https://klasma.github.io/Logging_2481/klagomål/A 28838-2024 FSC-klagomål.docx", "A 28838-2024")</f>
        <v/>
      </c>
      <c r="W124">
        <f>HYPERLINK("https://klasma.github.io/Logging_2481/klagomålsmail/A 28838-2024 FSC-klagomål mail.docx", "A 28838-2024")</f>
        <v/>
      </c>
      <c r="X124">
        <f>HYPERLINK("https://klasma.github.io/Logging_2481/tillsyn/A 28838-2024 tillsynsbegäran.docx", "A 28838-2024")</f>
        <v/>
      </c>
      <c r="Y124">
        <f>HYPERLINK("https://klasma.github.io/Logging_2481/tillsynsmail/A 28838-2024 tillsynsbegäran mail.docx", "A 28838-2024")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45505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45505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45505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45505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45505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45505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45505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45505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45505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45505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45505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45505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45505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45505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45505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45505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45505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45505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45505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45505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45505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45505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45505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45505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45505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45505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45505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45505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45505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45505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45505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45505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45505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45505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45505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45505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45505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45505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45505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45505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45505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45505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45505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45505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45505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45505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45505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45505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45505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45505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45505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45505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45505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45505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45505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45505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45505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45505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45505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45505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45505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45505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45505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45505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45505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45505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45505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45505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45505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45505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45505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45505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45505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45505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45505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45505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45505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45505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45505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45505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45505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45505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45505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45505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45505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45505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45505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45505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45505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45505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45505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45505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45505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45505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45505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45505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45505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45505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45505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45505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45505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45505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45505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45505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45505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45505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45505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45505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45505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45505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45505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45505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45505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45505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45505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45505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45505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45505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45505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45505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45505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45505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45505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45505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45505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45505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45505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45505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45505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45505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45505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45505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45505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45505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45505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45505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45505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45505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45505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45505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45505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45505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45505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45505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45505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45505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45505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45505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45505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45505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45505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45505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45505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45505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45505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45505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45505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45505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45505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45505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45505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45505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45505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45505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45505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45505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45505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45505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45505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45505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45505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45505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45505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45505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45505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45505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45505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45505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45505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45505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45505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45505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45505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45505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45505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45505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45505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45505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45505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45505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45505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45505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45505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45505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45505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45505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45505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45505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45505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45505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45505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45505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45505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45505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45505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45505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45505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45505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45505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45505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45505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45505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45505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45505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45505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45505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45505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45505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45505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45505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45505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45505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45505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45505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45505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45505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45505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45505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45505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45505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45505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45505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45505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45505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45505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45505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45505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45505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45505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45505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45505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45505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45505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45505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45505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45505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45505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45505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45505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45505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45505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45505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45505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45505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45505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45505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45505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45505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45505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45505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45505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45505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45505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45505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45505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45505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45505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45505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45505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45505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45505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45505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45505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45505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45505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45505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45505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45505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45505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45505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45505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45505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45505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45505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45505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45505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45505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45505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45505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45505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45505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45505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45505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45505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45505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45505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45505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45505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45505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45505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45505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45505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45505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45505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45505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45505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45505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45505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45505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45505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45505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45505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45505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45505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45505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45505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45505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45505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45505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45505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45505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45505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45505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45505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45505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45505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45505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45505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45505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45505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45505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45505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45505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45505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45505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45505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45505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45505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45505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45505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45505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45505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45505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45505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45505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45505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45505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45505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45505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45505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45505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45505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45505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45505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45505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45505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45505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45505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45505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45505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45505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45505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45505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45505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45505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45505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45505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45505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45505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45505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45505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45505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45505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45505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45505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45505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45505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45505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45505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45505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45505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45505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45505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45505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45505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45505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45505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45505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45505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45505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45505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45505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45505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45505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45505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45505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45505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45505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45505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45505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45505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45505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45505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45505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45505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45505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45505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45505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45505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45505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45505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45505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45505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45505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45505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45505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45505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45505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45505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45505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45505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45505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45505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45505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45505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45505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45505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45505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45505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45505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45505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45505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45505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45505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45505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45505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45505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45505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45505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45505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45505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45505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45505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45505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45505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45505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45505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45505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45505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45505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45505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45505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45505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45505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45505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45505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45505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45505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45505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45505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45505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45505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45505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45505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45505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45505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45505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45505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45505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45505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45505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45505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45505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45505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45505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45505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45505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45505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45505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45505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45505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45505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45505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45505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45505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45505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45505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45505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45505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45505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45505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45505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45505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45505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45505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45505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45505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45505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45505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45505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45505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45505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45505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45505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45505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45505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45505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45505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45505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45505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45505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45505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45505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45505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45505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45505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45505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45505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45505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45505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45505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45505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45505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45505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45505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45505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45505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45505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45505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45505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45505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45505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45505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45505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45505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45505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45505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45505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45505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45505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45505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45505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45505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45505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45505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45505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45505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45505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45505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45505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45505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45505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45505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45505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45505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45505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45505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45505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45505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45505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45505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45505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45505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45505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45505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45505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45505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45505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45505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45505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45505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45505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45505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45505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45505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45505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45505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45505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45505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45505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45505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45505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45505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45505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45505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45505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45505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45505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45505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45505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45505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45505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45505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45505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45505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45505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45505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45505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45505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45505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45505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45505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45505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45505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45505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45505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45505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45505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45505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45505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45505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45505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45505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45505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45505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45505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45505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45505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45505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45505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45505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45505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45505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45505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45505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45505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45505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45505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45505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45505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45505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45505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45505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45505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45505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45505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45505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45505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45505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45505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45505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45505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45505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45505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45505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45505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45505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45505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45505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45505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45505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45505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45505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45505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45505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45505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45505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45505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45505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45505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45505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45505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45505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45505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45505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45505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45505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45505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45505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45505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45505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45505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45505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45505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45505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45505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45505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45505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45505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45505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45505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45505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45505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45505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45505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45505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45505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45505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45505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45505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45505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45505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45505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45505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45505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45505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45505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45505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45505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45505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45505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45505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45505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45505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45505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45505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45505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45505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45505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45505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45505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45505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45505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45505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45505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45505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45505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45505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45505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45505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45505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45505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45505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45505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45505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45505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45505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45505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45505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45505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45505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45505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45505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45505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45505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45505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45505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45505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45505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45505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45505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45505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45505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45505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45505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45505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45505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45505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45505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45505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45505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45505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45505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45505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45505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45505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45505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45505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45505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45505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45505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45505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45505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45505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45505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45505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45505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45505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45505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45505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45505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45505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45505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45505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45505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45505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45505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45505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45505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45505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45505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45505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45505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45505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45505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45505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45505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45505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45505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45505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45505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45505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45505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45505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45505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45505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45505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45505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45505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45505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45505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45505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45505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45505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45505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45505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45505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45505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45505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45505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45505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45505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45505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45505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45505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45505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45505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45505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45505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45505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45505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45505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45505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45505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45505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45505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45505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45505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45505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45505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45505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45505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45505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45505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45505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45505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45505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45505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45505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45505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45505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45505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45505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45505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45505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45505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45505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45505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45505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45505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45505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45505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45505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45505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45505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45505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45505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45505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45505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45505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45505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45505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45505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45505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45505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45505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45505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45505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45505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45505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45505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45505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45505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45505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45505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45505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45505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45505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45505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45505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45505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45505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45505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45505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45505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45505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45505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45505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45505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45505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45505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45505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45505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45505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45505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45505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45505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45505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45505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45505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45505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45505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45505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45505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45505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45505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45505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45505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45505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45505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45505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45505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45505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45505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45505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45505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45505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45505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45505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45505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45505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45505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45505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45505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45505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45505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45505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45505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45505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45505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45505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45505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45505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45505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45505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45505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45505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45505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45505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45505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45505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45505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45505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45505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45505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45505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45505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45505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45505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45505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45505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45505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45505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45505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45505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45505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45505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45505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45505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45505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45505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45505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45505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45505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45505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45505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45505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45505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45505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45505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45505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45505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45505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45505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45505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45505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45505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45505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45505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45505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45505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45505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45505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45505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45505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45505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45505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45505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45505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45505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45505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45505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45505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45505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45505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45505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45505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45505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45505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45505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45505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45505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45505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45505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45505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45505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45505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45505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45505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45505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45505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45505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45505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45505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45505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45505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45505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45505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45505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45505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45505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45505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45505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45505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45505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45505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45505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45505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45505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45505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45505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45505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45505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45505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45505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45505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45505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45505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45505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45505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45505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45505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45505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45505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45505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45505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45505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45505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45505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45505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45505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45505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45505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45505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45505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45505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45505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45505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45505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45505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45505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45505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45505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45505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45505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45505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45505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45505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45505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45505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45505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45505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45505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45505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45505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45505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45505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45505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45505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45505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45505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45505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45505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45505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45505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45505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45505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45505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45505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45505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45505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45505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45505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45505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45505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45505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45505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45505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45505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45505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45505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45505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45505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45505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45505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45505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45505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45505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45505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45505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45505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45505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45505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45505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45505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45505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45505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45505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45505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45505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45505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45505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45505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45505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45505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45505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45505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45505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45505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45505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45505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45505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45505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45505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45505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45505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45505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45505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45505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45505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45505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45505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45505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45505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45505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45505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45505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45505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45505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45505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45505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45505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45505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45505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45505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45505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45505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45505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45505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45505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45505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45505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45505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45505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45505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45505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45505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45505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45505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45505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45505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45505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45505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45505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45505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45505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45505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45505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45505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45505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45505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45505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45505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45505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45505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45505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45505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45505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45505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45505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45505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45505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45505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45505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45505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45505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45505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45505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45505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45505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45505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45505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45505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45505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45505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45505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45505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45505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45505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45505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45505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45505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45505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45505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45505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45505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45505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45505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45505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45505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45505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45505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45505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45505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45505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45505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45505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45505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28672-2024</t>
        </is>
      </c>
      <c r="B1353" s="1" t="n">
        <v>45478</v>
      </c>
      <c r="C1353" s="1" t="n">
        <v>45505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7.1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28679-2024</t>
        </is>
      </c>
      <c r="B1354" s="1" t="n">
        <v>45478</v>
      </c>
      <c r="C1354" s="1" t="n">
        <v>45505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28833-2024</t>
        </is>
      </c>
      <c r="B1355" s="1" t="n">
        <v>45478</v>
      </c>
      <c r="C1355" s="1" t="n">
        <v>45505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45505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45505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45505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29277-2024</t>
        </is>
      </c>
      <c r="B1359" s="1" t="n">
        <v>45483</v>
      </c>
      <c r="C1359" s="1" t="n">
        <v>45505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29278-2024</t>
        </is>
      </c>
      <c r="B1360" s="1" t="n">
        <v>45483</v>
      </c>
      <c r="C1360" s="1" t="n">
        <v>45505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45505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29545-2024</t>
        </is>
      </c>
      <c r="B1362" s="1" t="n">
        <v>45484</v>
      </c>
      <c r="C1362" s="1" t="n">
        <v>45505</v>
      </c>
      <c r="D1362" t="inlineStr">
        <is>
          <t>VÄSTERBOTTENS LÄN</t>
        </is>
      </c>
      <c r="E1362" t="inlineStr">
        <is>
          <t>LYCKSELE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29515-2024</t>
        </is>
      </c>
      <c r="B1363" s="1" t="n">
        <v>45484</v>
      </c>
      <c r="C1363" s="1" t="n">
        <v>45505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29531-2024</t>
        </is>
      </c>
      <c r="B1364" s="1" t="n">
        <v>45484</v>
      </c>
      <c r="C1364" s="1" t="n">
        <v>45505</v>
      </c>
      <c r="D1364" t="inlineStr">
        <is>
          <t>VÄSTERBOTTENS LÄN</t>
        </is>
      </c>
      <c r="E1364" t="inlineStr">
        <is>
          <t>LYCKSELE</t>
        </is>
      </c>
      <c r="G1364" t="n">
        <v>8.800000000000001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29560-2024</t>
        </is>
      </c>
      <c r="B1365" s="1" t="n">
        <v>45484</v>
      </c>
      <c r="C1365" s="1" t="n">
        <v>45505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45505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45505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30422-2024</t>
        </is>
      </c>
      <c r="B1368" s="1" t="n">
        <v>45491</v>
      </c>
      <c r="C1368" s="1" t="n">
        <v>45505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33.9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30426-2024</t>
        </is>
      </c>
      <c r="B1369" s="1" t="n">
        <v>45491</v>
      </c>
      <c r="C1369" s="1" t="n">
        <v>45505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30430-2024</t>
        </is>
      </c>
      <c r="B1370" s="1" t="n">
        <v>45491</v>
      </c>
      <c r="C1370" s="1" t="n">
        <v>45505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30421-2024</t>
        </is>
      </c>
      <c r="B1371" s="1" t="n">
        <v>45491</v>
      </c>
      <c r="C1371" s="1" t="n">
        <v>45505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30425-2024</t>
        </is>
      </c>
      <c r="B1372" s="1" t="n">
        <v>45491</v>
      </c>
      <c r="C1372" s="1" t="n">
        <v>45505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30420-2024</t>
        </is>
      </c>
      <c r="B1373" s="1" t="n">
        <v>45491</v>
      </c>
      <c r="C1373" s="1" t="n">
        <v>45505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30424-2024</t>
        </is>
      </c>
      <c r="B1374" s="1" t="n">
        <v>45491</v>
      </c>
      <c r="C1374" s="1" t="n">
        <v>45505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30428-2024</t>
        </is>
      </c>
      <c r="B1375" s="1" t="n">
        <v>45491</v>
      </c>
      <c r="C1375" s="1" t="n">
        <v>45505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18.5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30423-2024</t>
        </is>
      </c>
      <c r="B1376" s="1" t="n">
        <v>45491</v>
      </c>
      <c r="C1376" s="1" t="n">
        <v>45505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8.199999999999999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30581-2024</t>
        </is>
      </c>
      <c r="B1377" s="1" t="n">
        <v>45493</v>
      </c>
      <c r="C1377" s="1" t="n">
        <v>45505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30579-2024</t>
        </is>
      </c>
      <c r="B1378" s="1" t="n">
        <v>45493</v>
      </c>
      <c r="C1378" s="1" t="n">
        <v>45505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45505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30725-2024</t>
        </is>
      </c>
      <c r="B1380" s="1" t="n">
        <v>45496</v>
      </c>
      <c r="C1380" s="1" t="n">
        <v>45505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30708-2024</t>
        </is>
      </c>
      <c r="B1381" s="1" t="n">
        <v>45496</v>
      </c>
      <c r="C1381" s="1" t="n">
        <v>45505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45505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45505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45505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31251-2024</t>
        </is>
      </c>
      <c r="B1385" s="1" t="n">
        <v>45503</v>
      </c>
      <c r="C1385" s="1" t="n">
        <v>45505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2024-08-01T10:48:02Z</dcterms:created>
  <dcterms:modified xmlns:dcterms="http://purl.org/dc/terms/" xmlns:xsi="http://www.w3.org/2001/XMLSchema-instance" xsi:type="dcterms:W3CDTF">2024-08-01T10:48:03Z</dcterms:modified>
</cp:coreProperties>
</file>