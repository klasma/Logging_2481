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45337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45337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45337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45337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45337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45337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45337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45337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45337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45337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45337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45337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45337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45337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48782-2020</t>
        </is>
      </c>
      <c r="B16" s="1" t="n">
        <v>44103</v>
      </c>
      <c r="C16" s="1" t="n">
        <v>45337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2.1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Gammelgransskål
Garnlav
Granticka
Gränsticka
Ullticka
Vedskivlav
Bronshjon</t>
        </is>
      </c>
      <c r="S16">
        <f>HYPERLINK("https://klasma.github.io/Logging_2481/artfynd/A 48782-2020 artfynd.xlsx", "A 48782-2020")</f>
        <v/>
      </c>
      <c r="T16">
        <f>HYPERLINK("https://klasma.github.io/Logging_2481/kartor/A 48782-2020 karta.png", "A 48782-2020")</f>
        <v/>
      </c>
      <c r="V16">
        <f>HYPERLINK("https://klasma.github.io/Logging_2481/klagomål/A 48782-2020 FSC-klagomål.docx", "A 48782-2020")</f>
        <v/>
      </c>
      <c r="W16">
        <f>HYPERLINK("https://klasma.github.io/Logging_2481/klagomålsmail/A 48782-2020 FSC-klagomål mail.docx", "A 48782-2020")</f>
        <v/>
      </c>
      <c r="X16">
        <f>HYPERLINK("https://klasma.github.io/Logging_2481/tillsyn/A 48782-2020 tillsynsbegäran.docx", "A 48782-2020")</f>
        <v/>
      </c>
      <c r="Y16">
        <f>HYPERLINK("https://klasma.github.io/Logging_2481/tillsynsmail/A 48782-2020 tillsynsbegäran mail.docx", "A 48782-2020")</f>
        <v/>
      </c>
    </row>
    <row r="17" ht="15" customHeight="1">
      <c r="A17" t="inlineStr">
        <is>
          <t>A 50008-2020</t>
        </is>
      </c>
      <c r="B17" s="1" t="n">
        <v>44109</v>
      </c>
      <c r="C17" s="1" t="n">
        <v>45337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1.3</v>
      </c>
      <c r="H17" t="n">
        <v>3</v>
      </c>
      <c r="I17" t="n">
        <v>0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7</v>
      </c>
      <c r="R17" s="2" t="inlineStr">
        <is>
          <t>Doftticka
Knärot
Garnlav
Granticka
Lunglav
Tretåig hackspett
Ullticka</t>
        </is>
      </c>
      <c r="S17">
        <f>HYPERLINK("https://klasma.github.io/Logging_2481/artfynd/A 50008-2020 artfynd.xlsx", "A 50008-2020")</f>
        <v/>
      </c>
      <c r="T17">
        <f>HYPERLINK("https://klasma.github.io/Logging_2481/kartor/A 50008-2020 karta.png", "A 50008-2020")</f>
        <v/>
      </c>
      <c r="U17">
        <f>HYPERLINK("https://klasma.github.io/Logging_2481/knärot/A 50008-2020 karta knärot.png", "A 50008-2020")</f>
        <v/>
      </c>
      <c r="V17">
        <f>HYPERLINK("https://klasma.github.io/Logging_2481/klagomål/A 50008-2020 FSC-klagomål.docx", "A 50008-2020")</f>
        <v/>
      </c>
      <c r="W17">
        <f>HYPERLINK("https://klasma.github.io/Logging_2481/klagomålsmail/A 50008-2020 FSC-klagomål mail.docx", "A 50008-2020")</f>
        <v/>
      </c>
      <c r="X17">
        <f>HYPERLINK("https://klasma.github.io/Logging_2481/tillsyn/A 50008-2020 tillsynsbegäran.docx", "A 50008-2020")</f>
        <v/>
      </c>
      <c r="Y17">
        <f>HYPERLINK("https://klasma.github.io/Logging_2481/tillsynsmail/A 50008-2020 tillsynsbegäran mail.docx", "A 50008-2020")</f>
        <v/>
      </c>
      <c r="Z17">
        <f>HYPERLINK("https://klasma.github.io/Logging_2481/fåglar/A 50008-2020 prioriterade fågelarter.docx", "A 50008-2020")</f>
        <v/>
      </c>
    </row>
    <row r="18" ht="15" customHeight="1">
      <c r="A18" t="inlineStr">
        <is>
          <t>A 43734-2021</t>
        </is>
      </c>
      <c r="B18" s="1" t="n">
        <v>44433</v>
      </c>
      <c r="C18" s="1" t="n">
        <v>45337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5.5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Smalfotad taggsvamp
Blå taggsvamp
Skrovlig taggsvamp
Vaddporing
Vedflamlav
Dropptaggsvamp
Vedticka</t>
        </is>
      </c>
      <c r="S18">
        <f>HYPERLINK("https://klasma.github.io/Logging_2481/artfynd/A 43734-2021 artfynd.xlsx", "A 43734-2021")</f>
        <v/>
      </c>
      <c r="T18">
        <f>HYPERLINK("https://klasma.github.io/Logging_2481/kartor/A 43734-2021 karta.png", "A 43734-2021")</f>
        <v/>
      </c>
      <c r="V18">
        <f>HYPERLINK("https://klasma.github.io/Logging_2481/klagomål/A 43734-2021 FSC-klagomål.docx", "A 43734-2021")</f>
        <v/>
      </c>
      <c r="W18">
        <f>HYPERLINK("https://klasma.github.io/Logging_2481/klagomålsmail/A 43734-2021 FSC-klagomål mail.docx", "A 43734-2021")</f>
        <v/>
      </c>
      <c r="X18">
        <f>HYPERLINK("https://klasma.github.io/Logging_2481/tillsyn/A 43734-2021 tillsynsbegäran.docx", "A 43734-2021")</f>
        <v/>
      </c>
      <c r="Y18">
        <f>HYPERLINK("https://klasma.github.io/Logging_2481/tillsynsmail/A 43734-2021 tillsynsbegäran mail.docx", "A 43734-2021")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45337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1828-2024</t>
        </is>
      </c>
      <c r="B20" s="1" t="n">
        <v>45307</v>
      </c>
      <c r="C20" s="1" t="n">
        <v>45337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20</v>
      </c>
      <c r="H20" t="n">
        <v>0</v>
      </c>
      <c r="I20" t="n">
        <v>0</v>
      </c>
      <c r="J20" t="n">
        <v>4</v>
      </c>
      <c r="K20" t="n">
        <v>3</v>
      </c>
      <c r="L20" t="n">
        <v>0</v>
      </c>
      <c r="M20" t="n">
        <v>0</v>
      </c>
      <c r="N20" t="n">
        <v>0</v>
      </c>
      <c r="O20" t="n">
        <v>7</v>
      </c>
      <c r="P20" t="n">
        <v>3</v>
      </c>
      <c r="Q20" t="n">
        <v>7</v>
      </c>
      <c r="R20" s="2" t="inlineStr">
        <is>
          <t>Spadskinn
Tallmusseron
Torrmusseron
Blå taggsvamp
Dvärgbägarlav
Tallriska
Vaddporing</t>
        </is>
      </c>
      <c r="S20">
        <f>HYPERLINK("https://klasma.github.io/Logging_2481/artfynd/A 1828-2024 artfynd.xlsx", "A 1828-2024")</f>
        <v/>
      </c>
      <c r="T20">
        <f>HYPERLINK("https://klasma.github.io/Logging_2481/kartor/A 1828-2024 karta.png", "A 1828-2024")</f>
        <v/>
      </c>
      <c r="V20">
        <f>HYPERLINK("https://klasma.github.io/Logging_2481/klagomål/A 1828-2024 FSC-klagomål.docx", "A 1828-2024")</f>
        <v/>
      </c>
      <c r="W20">
        <f>HYPERLINK("https://klasma.github.io/Logging_2481/klagomålsmail/A 1828-2024 FSC-klagomål mail.docx", "A 1828-2024")</f>
        <v/>
      </c>
      <c r="X20">
        <f>HYPERLINK("https://klasma.github.io/Logging_2481/tillsyn/A 1828-2024 tillsynsbegäran.docx", "A 1828-2024")</f>
        <v/>
      </c>
      <c r="Y20">
        <f>HYPERLINK("https://klasma.github.io/Logging_2481/tillsynsmail/A 1828-2024 tillsynsbegäran mail.docx", "A 1828-2024")</f>
        <v/>
      </c>
    </row>
    <row r="21" ht="15" customHeight="1">
      <c r="A21" t="inlineStr">
        <is>
          <t>A 54906-2018</t>
        </is>
      </c>
      <c r="B21" s="1" t="n">
        <v>43396</v>
      </c>
      <c r="C21" s="1" t="n">
        <v>45337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15.2</v>
      </c>
      <c r="H21" t="n">
        <v>1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Doftticka
Dvärgbägarlav
Gränsticka
Lunglav
Stiftgelélav
Dropptaggsvamp</t>
        </is>
      </c>
      <c r="S21">
        <f>HYPERLINK("https://klasma.github.io/Logging_2481/artfynd/A 54906-2018 artfynd.xlsx", "A 54906-2018")</f>
        <v/>
      </c>
      <c r="T21">
        <f>HYPERLINK("https://klasma.github.io/Logging_2481/kartor/A 54906-2018 karta.png", "A 54906-2018")</f>
        <v/>
      </c>
      <c r="V21">
        <f>HYPERLINK("https://klasma.github.io/Logging_2481/klagomål/A 54906-2018 FSC-klagomål.docx", "A 54906-2018")</f>
        <v/>
      </c>
      <c r="W21">
        <f>HYPERLINK("https://klasma.github.io/Logging_2481/klagomålsmail/A 54906-2018 FSC-klagomål mail.docx", "A 54906-2018")</f>
        <v/>
      </c>
      <c r="X21">
        <f>HYPERLINK("https://klasma.github.io/Logging_2481/tillsyn/A 54906-2018 tillsynsbegäran.docx", "A 54906-2018")</f>
        <v/>
      </c>
      <c r="Y21">
        <f>HYPERLINK("https://klasma.github.io/Logging_2481/tillsynsmail/A 54906-2018 tillsynsbegäran mail.docx", "A 54906-2018")</f>
        <v/>
      </c>
    </row>
    <row r="22" ht="15" customHeight="1">
      <c r="A22" t="inlineStr">
        <is>
          <t>A 31722-2022</t>
        </is>
      </c>
      <c r="B22" s="1" t="n">
        <v>44776</v>
      </c>
      <c r="C22" s="1" t="n">
        <v>45337</v>
      </c>
      <c r="D22" t="inlineStr">
        <is>
          <t>VÄSTERBOTTENS LÄN</t>
        </is>
      </c>
      <c r="E22" t="inlineStr">
        <is>
          <t>LYCKSELE</t>
        </is>
      </c>
      <c r="G22" t="n">
        <v>11.2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Gammelgransskål
Garnlav
Gränsticka
Ullticka
Vitgrynig nållav
Fläcknycklar</t>
        </is>
      </c>
      <c r="S22">
        <f>HYPERLINK("https://klasma.github.io/Logging_2481/artfynd/A 31722-2022 artfynd.xlsx", "A 31722-2022")</f>
        <v/>
      </c>
      <c r="T22">
        <f>HYPERLINK("https://klasma.github.io/Logging_2481/kartor/A 31722-2022 karta.png", "A 31722-2022")</f>
        <v/>
      </c>
      <c r="V22">
        <f>HYPERLINK("https://klasma.github.io/Logging_2481/klagomål/A 31722-2022 FSC-klagomål.docx", "A 31722-2022")</f>
        <v/>
      </c>
      <c r="W22">
        <f>HYPERLINK("https://klasma.github.io/Logging_2481/klagomålsmail/A 31722-2022 FSC-klagomål mail.docx", "A 31722-2022")</f>
        <v/>
      </c>
      <c r="X22">
        <f>HYPERLINK("https://klasma.github.io/Logging_2481/tillsyn/A 31722-2022 tillsynsbegäran.docx", "A 31722-2022")</f>
        <v/>
      </c>
      <c r="Y22">
        <f>HYPERLINK("https://klasma.github.io/Logging_2481/tillsynsmail/A 31722-2022 tillsynsbegäran mail.docx", "A 31722-2022")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45337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</v>
      </c>
      <c r="C24" s="1" t="n">
        <v>45337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58205-2023</t>
        </is>
      </c>
      <c r="B25" s="1" t="n">
        <v>45250</v>
      </c>
      <c r="C25" s="1" t="n">
        <v>45337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Reliktbock
Tallticka
Varglav
Lavskrika</t>
        </is>
      </c>
      <c r="S25">
        <f>HYPERLINK("https://klasma.github.io/Logging_2481/artfynd/A 58205-2023 artfynd.xlsx", "A 58205-2023")</f>
        <v/>
      </c>
      <c r="T25">
        <f>HYPERLINK("https://klasma.github.io/Logging_2481/kartor/A 58205-2023 karta.png", "A 58205-2023")</f>
        <v/>
      </c>
      <c r="V25">
        <f>HYPERLINK("https://klasma.github.io/Logging_2481/klagomål/A 58205-2023 FSC-klagomål.docx", "A 58205-2023")</f>
        <v/>
      </c>
      <c r="W25">
        <f>HYPERLINK("https://klasma.github.io/Logging_2481/klagomålsmail/A 58205-2023 FSC-klagomål mail.docx", "A 58205-2023")</f>
        <v/>
      </c>
      <c r="X25">
        <f>HYPERLINK("https://klasma.github.io/Logging_2481/tillsyn/A 58205-2023 tillsynsbegäran.docx", "A 58205-2023")</f>
        <v/>
      </c>
      <c r="Y25">
        <f>HYPERLINK("https://klasma.github.io/Logging_2481/tillsynsmail/A 58205-2023 tillsynsbegäran mail.docx", "A 58205-2023")</f>
        <v/>
      </c>
      <c r="Z25">
        <f>HYPERLINK("https://klasma.github.io/Logging_2481/fåglar/A 58205-2023 prioriterade fågelarter.docx", "A 58205-2023")</f>
        <v/>
      </c>
    </row>
    <row r="26" ht="15" customHeight="1">
      <c r="A26" t="inlineStr">
        <is>
          <t>A 58366-2023</t>
        </is>
      </c>
      <c r="B26" s="1" t="n">
        <v>45250</v>
      </c>
      <c r="C26" s="1" t="n">
        <v>45337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Doftticka
Garnlav
Lunglav
Skrovellav
Stuplav</t>
        </is>
      </c>
      <c r="S26">
        <f>HYPERLINK("https://klasma.github.io/Logging_2481/artfynd/A 58366-2023 artfynd.xlsx", "A 58366-2023")</f>
        <v/>
      </c>
      <c r="T26">
        <f>HYPERLINK("https://klasma.github.io/Logging_2481/kartor/A 58366-2023 karta.png", "A 58366-2023")</f>
        <v/>
      </c>
      <c r="V26">
        <f>HYPERLINK("https://klasma.github.io/Logging_2481/klagomål/A 58366-2023 FSC-klagomål.docx", "A 58366-2023")</f>
        <v/>
      </c>
      <c r="W26">
        <f>HYPERLINK("https://klasma.github.io/Logging_2481/klagomålsmail/A 58366-2023 FSC-klagomål mail.docx", "A 58366-2023")</f>
        <v/>
      </c>
      <c r="X26">
        <f>HYPERLINK("https://klasma.github.io/Logging_2481/tillsyn/A 58366-2023 tillsynsbegäran.docx", "A 58366-2023")</f>
        <v/>
      </c>
      <c r="Y26">
        <f>HYPERLINK("https://klasma.github.io/Logging_2481/tillsynsmail/A 58366-2023 tillsynsbegäran mail.docx", "A 58366-2023")</f>
        <v/>
      </c>
    </row>
    <row r="27" ht="15" customHeight="1">
      <c r="A27" t="inlineStr">
        <is>
          <t>A 5617-2019</t>
        </is>
      </c>
      <c r="B27" s="1" t="n">
        <v>43482</v>
      </c>
      <c r="C27" s="1" t="n">
        <v>45337</v>
      </c>
      <c r="D27" t="inlineStr">
        <is>
          <t>VÄSTERBOTTENS LÄN</t>
        </is>
      </c>
      <c r="E27" t="inlineStr">
        <is>
          <t>LYCKSELE</t>
        </is>
      </c>
      <c r="G27" t="n">
        <v>8.699999999999999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Spindelblomster
Fläcknycklar
Revlummer</t>
        </is>
      </c>
      <c r="S27">
        <f>HYPERLINK("https://klasma.github.io/Logging_2481/artfynd/A 5617-2019 artfynd.xlsx", "A 5617-2019")</f>
        <v/>
      </c>
      <c r="T27">
        <f>HYPERLINK("https://klasma.github.io/Logging_2481/kartor/A 5617-2019 karta.png", "A 5617-2019")</f>
        <v/>
      </c>
      <c r="V27">
        <f>HYPERLINK("https://klasma.github.io/Logging_2481/klagomål/A 5617-2019 FSC-klagomål.docx", "A 5617-2019")</f>
        <v/>
      </c>
      <c r="W27">
        <f>HYPERLINK("https://klasma.github.io/Logging_2481/klagomålsmail/A 5617-2019 FSC-klagomål mail.docx", "A 5617-2019")</f>
        <v/>
      </c>
      <c r="X27">
        <f>HYPERLINK("https://klasma.github.io/Logging_2481/tillsyn/A 5617-2019 tillsynsbegäran.docx", "A 5617-2019")</f>
        <v/>
      </c>
      <c r="Y27">
        <f>HYPERLINK("https://klasma.github.io/Logging_2481/tillsynsmail/A 5617-2019 tillsynsbegäran mail.docx", "A 5617-2019")</f>
        <v/>
      </c>
    </row>
    <row r="28" ht="15" customHeight="1">
      <c r="A28" t="inlineStr">
        <is>
          <t>A 5981-2019</t>
        </is>
      </c>
      <c r="B28" s="1" t="n">
        <v>43483</v>
      </c>
      <c r="C28" s="1" t="n">
        <v>45337</v>
      </c>
      <c r="D28" t="inlineStr">
        <is>
          <t>VÄSTERBOTTENS LÄN</t>
        </is>
      </c>
      <c r="E28" t="inlineStr">
        <is>
          <t>LYCKSELE</t>
        </is>
      </c>
      <c r="G28" t="n">
        <v>5.2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Granticka
Ullticka</t>
        </is>
      </c>
      <c r="S28">
        <f>HYPERLINK("https://klasma.github.io/Logging_2481/artfynd/A 5981-2019 artfynd.xlsx", "A 5981-2019")</f>
        <v/>
      </c>
      <c r="T28">
        <f>HYPERLINK("https://klasma.github.io/Logging_2481/kartor/A 5981-2019 karta.png", "A 5981-2019")</f>
        <v/>
      </c>
      <c r="V28">
        <f>HYPERLINK("https://klasma.github.io/Logging_2481/klagomål/A 5981-2019 FSC-klagomål.docx", "A 5981-2019")</f>
        <v/>
      </c>
      <c r="W28">
        <f>HYPERLINK("https://klasma.github.io/Logging_2481/klagomålsmail/A 5981-2019 FSC-klagomål mail.docx", "A 5981-2019")</f>
        <v/>
      </c>
      <c r="X28">
        <f>HYPERLINK("https://klasma.github.io/Logging_2481/tillsyn/A 5981-2019 tillsynsbegäran.docx", "A 5981-2019")</f>
        <v/>
      </c>
      <c r="Y28">
        <f>HYPERLINK("https://klasma.github.io/Logging_2481/tillsynsmail/A 5981-2019 tillsynsbegäran mail.docx", "A 5981-2019")</f>
        <v/>
      </c>
    </row>
    <row r="29" ht="15" customHeight="1">
      <c r="A29" t="inlineStr">
        <is>
          <t>A 55329-2019</t>
        </is>
      </c>
      <c r="B29" s="1" t="n">
        <v>43756</v>
      </c>
      <c r="C29" s="1" t="n">
        <v>45337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7.4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Lavskrika</t>
        </is>
      </c>
      <c r="S29">
        <f>HYPERLINK("https://klasma.github.io/Logging_2481/artfynd/A 55329-2019 artfynd.xlsx", "A 55329-2019")</f>
        <v/>
      </c>
      <c r="T29">
        <f>HYPERLINK("https://klasma.github.io/Logging_2481/kartor/A 55329-2019 karta.png", "A 55329-2019")</f>
        <v/>
      </c>
      <c r="V29">
        <f>HYPERLINK("https://klasma.github.io/Logging_2481/klagomål/A 55329-2019 FSC-klagomål.docx", "A 55329-2019")</f>
        <v/>
      </c>
      <c r="W29">
        <f>HYPERLINK("https://klasma.github.io/Logging_2481/klagomålsmail/A 55329-2019 FSC-klagomål mail.docx", "A 55329-2019")</f>
        <v/>
      </c>
      <c r="X29">
        <f>HYPERLINK("https://klasma.github.io/Logging_2481/tillsyn/A 55329-2019 tillsynsbegäran.docx", "A 55329-2019")</f>
        <v/>
      </c>
      <c r="Y29">
        <f>HYPERLINK("https://klasma.github.io/Logging_2481/tillsynsmail/A 55329-2019 tillsynsbegäran mail.docx", "A 55329-2019")</f>
        <v/>
      </c>
      <c r="Z29">
        <f>HYPERLINK("https://klasma.github.io/Logging_2481/fåglar/A 55329-2019 prioriterade fågelarter.docx", "A 55329-2019")</f>
        <v/>
      </c>
    </row>
    <row r="30" ht="15" customHeight="1">
      <c r="A30" t="inlineStr">
        <is>
          <t>A 55889-2020</t>
        </is>
      </c>
      <c r="B30" s="1" t="n">
        <v>44132</v>
      </c>
      <c r="C30" s="1" t="n">
        <v>45337</v>
      </c>
      <c r="D30" t="inlineStr">
        <is>
          <t>VÄSTERBOTTENS LÄN</t>
        </is>
      </c>
      <c r="E30" t="inlineStr">
        <is>
          <t>LYCKSELE</t>
        </is>
      </c>
      <c r="F30" t="inlineStr">
        <is>
          <t>Holmen skog AB</t>
        </is>
      </c>
      <c r="G30" t="n">
        <v>11.3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Granticka
Tretåig hackspett
Vitgrynig nållav</t>
        </is>
      </c>
      <c r="S30">
        <f>HYPERLINK("https://klasma.github.io/Logging_2481/artfynd/A 55889-2020 artfynd.xlsx", "A 55889-2020")</f>
        <v/>
      </c>
      <c r="T30">
        <f>HYPERLINK("https://klasma.github.io/Logging_2481/kartor/A 55889-2020 karta.png", "A 55889-2020")</f>
        <v/>
      </c>
      <c r="V30">
        <f>HYPERLINK("https://klasma.github.io/Logging_2481/klagomål/A 55889-2020 FSC-klagomål.docx", "A 55889-2020")</f>
        <v/>
      </c>
      <c r="W30">
        <f>HYPERLINK("https://klasma.github.io/Logging_2481/klagomålsmail/A 55889-2020 FSC-klagomål mail.docx", "A 55889-2020")</f>
        <v/>
      </c>
      <c r="X30">
        <f>HYPERLINK("https://klasma.github.io/Logging_2481/tillsyn/A 55889-2020 tillsynsbegäran.docx", "A 55889-2020")</f>
        <v/>
      </c>
      <c r="Y30">
        <f>HYPERLINK("https://klasma.github.io/Logging_2481/tillsynsmail/A 55889-2020 tillsynsbegäran mail.docx", "A 55889-2020")</f>
        <v/>
      </c>
      <c r="Z30">
        <f>HYPERLINK("https://klasma.github.io/Logging_2481/fåglar/A 55889-2020 prioriterade fågelarter.docx", "A 55889-2020")</f>
        <v/>
      </c>
    </row>
    <row r="31" ht="15" customHeight="1">
      <c r="A31" t="inlineStr">
        <is>
          <t>A 43740-2021</t>
        </is>
      </c>
      <c r="B31" s="1" t="n">
        <v>44433</v>
      </c>
      <c r="C31" s="1" t="n">
        <v>45337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16.2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Kolflarnlav
Lunglav
Bårdlav</t>
        </is>
      </c>
      <c r="S31">
        <f>HYPERLINK("https://klasma.github.io/Logging_2481/artfynd/A 43740-2021 artfynd.xlsx", "A 43740-2021")</f>
        <v/>
      </c>
      <c r="T31">
        <f>HYPERLINK("https://klasma.github.io/Logging_2481/kartor/A 43740-2021 karta.png", "A 43740-2021")</f>
        <v/>
      </c>
      <c r="V31">
        <f>HYPERLINK("https://klasma.github.io/Logging_2481/klagomål/A 43740-2021 FSC-klagomål.docx", "A 43740-2021")</f>
        <v/>
      </c>
      <c r="W31">
        <f>HYPERLINK("https://klasma.github.io/Logging_2481/klagomålsmail/A 43740-2021 FSC-klagomål mail.docx", "A 43740-2021")</f>
        <v/>
      </c>
      <c r="X31">
        <f>HYPERLINK("https://klasma.github.io/Logging_2481/tillsyn/A 43740-2021 tillsynsbegäran.docx", "A 43740-2021")</f>
        <v/>
      </c>
      <c r="Y31">
        <f>HYPERLINK("https://klasma.github.io/Logging_2481/tillsynsmail/A 43740-2021 tillsynsbegäran mail.docx", "A 43740-2021")</f>
        <v/>
      </c>
    </row>
    <row r="32" ht="15" customHeight="1">
      <c r="A32" t="inlineStr">
        <is>
          <t>A 54434-2021</t>
        </is>
      </c>
      <c r="B32" s="1" t="n">
        <v>44473</v>
      </c>
      <c r="C32" s="1" t="n">
        <v>45337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20.5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Doftskinn
Garnlav
Lunglav</t>
        </is>
      </c>
      <c r="S32">
        <f>HYPERLINK("https://klasma.github.io/Logging_2481/artfynd/A 54434-2021 artfynd.xlsx", "A 54434-2021")</f>
        <v/>
      </c>
      <c r="T32">
        <f>HYPERLINK("https://klasma.github.io/Logging_2481/kartor/A 54434-2021 karta.png", "A 54434-2021")</f>
        <v/>
      </c>
      <c r="V32">
        <f>HYPERLINK("https://klasma.github.io/Logging_2481/klagomål/A 54434-2021 FSC-klagomål.docx", "A 54434-2021")</f>
        <v/>
      </c>
      <c r="W32">
        <f>HYPERLINK("https://klasma.github.io/Logging_2481/klagomålsmail/A 54434-2021 FSC-klagomål mail.docx", "A 54434-2021")</f>
        <v/>
      </c>
      <c r="X32">
        <f>HYPERLINK("https://klasma.github.io/Logging_2481/tillsyn/A 54434-2021 tillsynsbegäran.docx", "A 54434-2021")</f>
        <v/>
      </c>
      <c r="Y32">
        <f>HYPERLINK("https://klasma.github.io/Logging_2481/tillsynsmail/A 54434-2021 tillsynsbegäran mail.docx", "A 54434-2021")</f>
        <v/>
      </c>
    </row>
    <row r="33" ht="15" customHeight="1">
      <c r="A33" t="inlineStr">
        <is>
          <t>A 30296-2022</t>
        </is>
      </c>
      <c r="B33" s="1" t="n">
        <v>44760</v>
      </c>
      <c r="C33" s="1" t="n">
        <v>45337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Kolflarnlav
Lunglav
Stuplav</t>
        </is>
      </c>
      <c r="S33">
        <f>HYPERLINK("https://klasma.github.io/Logging_2481/artfynd/A 30296-2022 artfynd.xlsx", "A 30296-2022")</f>
        <v/>
      </c>
      <c r="T33">
        <f>HYPERLINK("https://klasma.github.io/Logging_2481/kartor/A 30296-2022 karta.png", "A 30296-2022")</f>
        <v/>
      </c>
      <c r="V33">
        <f>HYPERLINK("https://klasma.github.io/Logging_2481/klagomål/A 30296-2022 FSC-klagomål.docx", "A 30296-2022")</f>
        <v/>
      </c>
      <c r="W33">
        <f>HYPERLINK("https://klasma.github.io/Logging_2481/klagomålsmail/A 30296-2022 FSC-klagomål mail.docx", "A 30296-2022")</f>
        <v/>
      </c>
      <c r="X33">
        <f>HYPERLINK("https://klasma.github.io/Logging_2481/tillsyn/A 30296-2022 tillsynsbegäran.docx", "A 30296-2022")</f>
        <v/>
      </c>
      <c r="Y33">
        <f>HYPERLINK("https://klasma.github.io/Logging_2481/tillsynsmail/A 30296-2022 tillsynsbegäran mail.docx", "A 30296-2022")</f>
        <v/>
      </c>
    </row>
    <row r="34" ht="15" customHeight="1">
      <c r="A34" t="inlineStr">
        <is>
          <t>A 2937-2023</t>
        </is>
      </c>
      <c r="B34" s="1" t="n">
        <v>44945</v>
      </c>
      <c r="C34" s="1" t="n">
        <v>45337</v>
      </c>
      <c r="D34" t="inlineStr">
        <is>
          <t>VÄSTERBOTTENS LÄN</t>
        </is>
      </c>
      <c r="E34" t="inlineStr">
        <is>
          <t>LYCKSELE</t>
        </is>
      </c>
      <c r="F34" t="inlineStr">
        <is>
          <t>Kyrkan</t>
        </is>
      </c>
      <c r="G34" t="n">
        <v>17.4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Blå taggsvamp
Lunglav
Orange taggsvamp
Dropptaggsvamp</t>
        </is>
      </c>
      <c r="S34">
        <f>HYPERLINK("https://klasma.github.io/Logging_2481/artfynd/A 2937-2023 artfynd.xlsx", "A 2937-2023")</f>
        <v/>
      </c>
      <c r="T34">
        <f>HYPERLINK("https://klasma.github.io/Logging_2481/kartor/A 2937-2023 karta.png", "A 2937-2023")</f>
        <v/>
      </c>
      <c r="V34">
        <f>HYPERLINK("https://klasma.github.io/Logging_2481/klagomål/A 2937-2023 FSC-klagomål.docx", "A 2937-2023")</f>
        <v/>
      </c>
      <c r="W34">
        <f>HYPERLINK("https://klasma.github.io/Logging_2481/klagomålsmail/A 2937-2023 FSC-klagomål mail.docx", "A 2937-2023")</f>
        <v/>
      </c>
      <c r="X34">
        <f>HYPERLINK("https://klasma.github.io/Logging_2481/tillsyn/A 2937-2023 tillsynsbegäran.docx", "A 2937-2023")</f>
        <v/>
      </c>
      <c r="Y34">
        <f>HYPERLINK("https://klasma.github.io/Logging_2481/tillsynsmail/A 2937-2023 tillsynsbegäran mail.docx", "A 2937-2023")</f>
        <v/>
      </c>
    </row>
    <row r="35" ht="15" customHeight="1">
      <c r="A35" t="inlineStr">
        <is>
          <t>A 53793-2023</t>
        </is>
      </c>
      <c r="B35" s="1" t="n">
        <v>45231</v>
      </c>
      <c r="C35" s="1" t="n">
        <v>45337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5.7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Violmussling
Dropptaggsvamp</t>
        </is>
      </c>
      <c r="S35">
        <f>HYPERLINK("https://klasma.github.io/Logging_2481/artfynd/A 53793-2023 artfynd.xlsx", "A 53793-2023")</f>
        <v/>
      </c>
      <c r="T35">
        <f>HYPERLINK("https://klasma.github.io/Logging_2481/kartor/A 53793-2023 karta.png", "A 53793-2023")</f>
        <v/>
      </c>
      <c r="V35">
        <f>HYPERLINK("https://klasma.github.io/Logging_2481/klagomål/A 53793-2023 FSC-klagomål.docx", "A 53793-2023")</f>
        <v/>
      </c>
      <c r="W35">
        <f>HYPERLINK("https://klasma.github.io/Logging_2481/klagomålsmail/A 53793-2023 FSC-klagomål mail.docx", "A 53793-2023")</f>
        <v/>
      </c>
      <c r="X35">
        <f>HYPERLINK("https://klasma.github.io/Logging_2481/tillsyn/A 53793-2023 tillsynsbegäran.docx", "A 53793-2023")</f>
        <v/>
      </c>
      <c r="Y35">
        <f>HYPERLINK("https://klasma.github.io/Logging_2481/tillsynsmail/A 53793-2023 tillsynsbegäran mail.docx", "A 53793-2023")</f>
        <v/>
      </c>
    </row>
    <row r="36" ht="15" customHeight="1">
      <c r="A36" t="inlineStr">
        <is>
          <t>A 47498-2021</t>
        </is>
      </c>
      <c r="B36" s="1" t="n">
        <v>44447</v>
      </c>
      <c r="C36" s="1" t="n">
        <v>45337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Doftticka
Skinnlav
Stuplav</t>
        </is>
      </c>
      <c r="S36">
        <f>HYPERLINK("https://klasma.github.io/Logging_2481/artfynd/A 47498-2021 artfynd.xlsx", "A 47498-2021")</f>
        <v/>
      </c>
      <c r="T36">
        <f>HYPERLINK("https://klasma.github.io/Logging_2481/kartor/A 47498-2021 karta.png", "A 47498-2021")</f>
        <v/>
      </c>
      <c r="V36">
        <f>HYPERLINK("https://klasma.github.io/Logging_2481/klagomål/A 47498-2021 FSC-klagomål.docx", "A 47498-2021")</f>
        <v/>
      </c>
      <c r="W36">
        <f>HYPERLINK("https://klasma.github.io/Logging_2481/klagomålsmail/A 47498-2021 FSC-klagomål mail.docx", "A 47498-2021")</f>
        <v/>
      </c>
      <c r="X36">
        <f>HYPERLINK("https://klasma.github.io/Logging_2481/tillsyn/A 47498-2021 tillsynsbegäran.docx", "A 47498-2021")</f>
        <v/>
      </c>
      <c r="Y36">
        <f>HYPERLINK("https://klasma.github.io/Logging_2481/tillsynsmail/A 47498-2021 tillsynsbegäran mail.docx", "A 47498-2021")</f>
        <v/>
      </c>
    </row>
    <row r="37" ht="15" customHeight="1">
      <c r="A37" t="inlineStr">
        <is>
          <t>A 61172-2021</t>
        </is>
      </c>
      <c r="B37" s="1" t="n">
        <v>44498</v>
      </c>
      <c r="C37" s="1" t="n">
        <v>45337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Jättemusseron
Kolflarnlav
Nordtagging</t>
        </is>
      </c>
      <c r="S37">
        <f>HYPERLINK("https://klasma.github.io/Logging_2481/artfynd/A 61172-2021 artfynd.xlsx", "A 61172-2021")</f>
        <v/>
      </c>
      <c r="T37">
        <f>HYPERLINK("https://klasma.github.io/Logging_2481/kartor/A 61172-2021 karta.png", "A 61172-2021")</f>
        <v/>
      </c>
      <c r="V37">
        <f>HYPERLINK("https://klasma.github.io/Logging_2481/klagomål/A 61172-2021 FSC-klagomål.docx", "A 61172-2021")</f>
        <v/>
      </c>
      <c r="W37">
        <f>HYPERLINK("https://klasma.github.io/Logging_2481/klagomålsmail/A 61172-2021 FSC-klagomål mail.docx", "A 61172-2021")</f>
        <v/>
      </c>
      <c r="X37">
        <f>HYPERLINK("https://klasma.github.io/Logging_2481/tillsyn/A 61172-2021 tillsynsbegäran.docx", "A 61172-2021")</f>
        <v/>
      </c>
      <c r="Y37">
        <f>HYPERLINK("https://klasma.github.io/Logging_2481/tillsynsmail/A 61172-2021 tillsynsbegäran mail.docx", "A 61172-2021")</f>
        <v/>
      </c>
    </row>
    <row r="38" ht="15" customHeight="1">
      <c r="A38" t="inlineStr">
        <is>
          <t>A 61747-2021</t>
        </is>
      </c>
      <c r="B38" s="1" t="n">
        <v>44501</v>
      </c>
      <c r="C38" s="1" t="n">
        <v>45337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Vaddporing
Dropptaggsvamp
Fjällig taggsvamp s.str.</t>
        </is>
      </c>
      <c r="S38">
        <f>HYPERLINK("https://klasma.github.io/Logging_2481/artfynd/A 61747-2021 artfynd.xlsx", "A 61747-2021")</f>
        <v/>
      </c>
      <c r="T38">
        <f>HYPERLINK("https://klasma.github.io/Logging_2481/kartor/A 61747-2021 karta.png", "A 61747-2021")</f>
        <v/>
      </c>
      <c r="V38">
        <f>HYPERLINK("https://klasma.github.io/Logging_2481/klagomål/A 61747-2021 FSC-klagomål.docx", "A 61747-2021")</f>
        <v/>
      </c>
      <c r="W38">
        <f>HYPERLINK("https://klasma.github.io/Logging_2481/klagomålsmail/A 61747-2021 FSC-klagomål mail.docx", "A 61747-2021")</f>
        <v/>
      </c>
      <c r="X38">
        <f>HYPERLINK("https://klasma.github.io/Logging_2481/tillsyn/A 61747-2021 tillsynsbegäran.docx", "A 61747-2021")</f>
        <v/>
      </c>
      <c r="Y38">
        <f>HYPERLINK("https://klasma.github.io/Logging_2481/tillsynsmail/A 61747-2021 tillsynsbegäran mail.docx", "A 61747-2021")</f>
        <v/>
      </c>
    </row>
    <row r="39" ht="15" customHeight="1">
      <c r="A39" t="inlineStr">
        <is>
          <t>A 28420-2022</t>
        </is>
      </c>
      <c r="B39" s="1" t="n">
        <v>44747</v>
      </c>
      <c r="C39" s="1" t="n">
        <v>45337</v>
      </c>
      <c r="D39" t="inlineStr">
        <is>
          <t>VÄSTERBOTTENS LÄN</t>
        </is>
      </c>
      <c r="E39" t="inlineStr">
        <is>
          <t>LYCKSELE</t>
        </is>
      </c>
      <c r="G39" t="n">
        <v>6.4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Lunglav
Luddlav
Stuplav</t>
        </is>
      </c>
      <c r="S39">
        <f>HYPERLINK("https://klasma.github.io/Logging_2481/artfynd/A 28420-2022 artfynd.xlsx", "A 28420-2022")</f>
        <v/>
      </c>
      <c r="T39">
        <f>HYPERLINK("https://klasma.github.io/Logging_2481/kartor/A 28420-2022 karta.png", "A 28420-2022")</f>
        <v/>
      </c>
      <c r="V39">
        <f>HYPERLINK("https://klasma.github.io/Logging_2481/klagomål/A 28420-2022 FSC-klagomål.docx", "A 28420-2022")</f>
        <v/>
      </c>
      <c r="W39">
        <f>HYPERLINK("https://klasma.github.io/Logging_2481/klagomålsmail/A 28420-2022 FSC-klagomål mail.docx", "A 28420-2022")</f>
        <v/>
      </c>
      <c r="X39">
        <f>HYPERLINK("https://klasma.github.io/Logging_2481/tillsyn/A 28420-2022 tillsynsbegäran.docx", "A 28420-2022")</f>
        <v/>
      </c>
      <c r="Y39">
        <f>HYPERLINK("https://klasma.github.io/Logging_2481/tillsynsmail/A 28420-2022 tillsynsbegäran mail.docx", "A 28420-2022")</f>
        <v/>
      </c>
    </row>
    <row r="40" ht="15" customHeight="1">
      <c r="A40" t="inlineStr">
        <is>
          <t>A 56519-2022</t>
        </is>
      </c>
      <c r="B40" s="1" t="n">
        <v>44893</v>
      </c>
      <c r="C40" s="1" t="n">
        <v>45337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18.2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Vedflamlav
Dropptaggsvamp
Skarp dropptaggsvamp</t>
        </is>
      </c>
      <c r="S40">
        <f>HYPERLINK("https://klasma.github.io/Logging_2481/artfynd/A 56519-2022 artfynd.xlsx", "A 56519-2022")</f>
        <v/>
      </c>
      <c r="T40">
        <f>HYPERLINK("https://klasma.github.io/Logging_2481/kartor/A 56519-2022 karta.png", "A 56519-2022")</f>
        <v/>
      </c>
      <c r="V40">
        <f>HYPERLINK("https://klasma.github.io/Logging_2481/klagomål/A 56519-2022 FSC-klagomål.docx", "A 56519-2022")</f>
        <v/>
      </c>
      <c r="W40">
        <f>HYPERLINK("https://klasma.github.io/Logging_2481/klagomålsmail/A 56519-2022 FSC-klagomål mail.docx", "A 56519-2022")</f>
        <v/>
      </c>
      <c r="X40">
        <f>HYPERLINK("https://klasma.github.io/Logging_2481/tillsyn/A 56519-2022 tillsynsbegäran.docx", "A 56519-2022")</f>
        <v/>
      </c>
      <c r="Y40">
        <f>HYPERLINK("https://klasma.github.io/Logging_2481/tillsynsmail/A 56519-2022 tillsynsbegäran mail.docx", "A 56519-2022")</f>
        <v/>
      </c>
    </row>
    <row r="41" ht="15" customHeight="1">
      <c r="A41" t="inlineStr">
        <is>
          <t>A 40657-2023</t>
        </is>
      </c>
      <c r="B41" s="1" t="n">
        <v>45170</v>
      </c>
      <c r="C41" s="1" t="n">
        <v>45337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7.1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Orange taggsvamp
Dropptaggsvamp</t>
        </is>
      </c>
      <c r="S41">
        <f>HYPERLINK("https://klasma.github.io/Logging_2481/artfynd/A 40657-2023 artfynd.xlsx", "A 40657-2023")</f>
        <v/>
      </c>
      <c r="T41">
        <f>HYPERLINK("https://klasma.github.io/Logging_2481/kartor/A 40657-2023 karta.png", "A 40657-2023")</f>
        <v/>
      </c>
      <c r="V41">
        <f>HYPERLINK("https://klasma.github.io/Logging_2481/klagomål/A 40657-2023 FSC-klagomål.docx", "A 40657-2023")</f>
        <v/>
      </c>
      <c r="W41">
        <f>HYPERLINK("https://klasma.github.io/Logging_2481/klagomålsmail/A 40657-2023 FSC-klagomål mail.docx", "A 40657-2023")</f>
        <v/>
      </c>
      <c r="X41">
        <f>HYPERLINK("https://klasma.github.io/Logging_2481/tillsyn/A 40657-2023 tillsynsbegäran.docx", "A 40657-2023")</f>
        <v/>
      </c>
      <c r="Y41">
        <f>HYPERLINK("https://klasma.github.io/Logging_2481/tillsynsmail/A 40657-2023 tillsynsbegäran mail.docx", "A 40657-2023")</f>
        <v/>
      </c>
    </row>
    <row r="42" ht="15" customHeight="1">
      <c r="A42" t="inlineStr">
        <is>
          <t>A 53808-2023</t>
        </is>
      </c>
      <c r="B42" s="1" t="n">
        <v>45231</v>
      </c>
      <c r="C42" s="1" t="n">
        <v>45337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1.8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Vedflamlav
Brandticka
Gullgröppa</t>
        </is>
      </c>
      <c r="S42">
        <f>HYPERLINK("https://klasma.github.io/Logging_2481/artfynd/A 53808-2023 artfynd.xlsx", "A 53808-2023")</f>
        <v/>
      </c>
      <c r="T42">
        <f>HYPERLINK("https://klasma.github.io/Logging_2481/kartor/A 53808-2023 karta.png", "A 53808-2023")</f>
        <v/>
      </c>
      <c r="V42">
        <f>HYPERLINK("https://klasma.github.io/Logging_2481/klagomål/A 53808-2023 FSC-klagomål.docx", "A 53808-2023")</f>
        <v/>
      </c>
      <c r="W42">
        <f>HYPERLINK("https://klasma.github.io/Logging_2481/klagomålsmail/A 53808-2023 FSC-klagomål mail.docx", "A 53808-2023")</f>
        <v/>
      </c>
      <c r="X42">
        <f>HYPERLINK("https://klasma.github.io/Logging_2481/tillsyn/A 53808-2023 tillsynsbegäran.docx", "A 53808-2023")</f>
        <v/>
      </c>
      <c r="Y42">
        <f>HYPERLINK("https://klasma.github.io/Logging_2481/tillsynsmail/A 53808-2023 tillsynsbegäran mail.docx", "A 53808-2023")</f>
        <v/>
      </c>
    </row>
    <row r="43" ht="15" customHeight="1">
      <c r="A43" t="inlineStr">
        <is>
          <t>A 679-2024</t>
        </is>
      </c>
      <c r="B43" s="1" t="n">
        <v>45300</v>
      </c>
      <c r="C43" s="1" t="n">
        <v>45337</v>
      </c>
      <c r="D43" t="inlineStr">
        <is>
          <t>VÄSTERBOTTENS LÄN</t>
        </is>
      </c>
      <c r="E43" t="inlineStr">
        <is>
          <t>LYCKSELE</t>
        </is>
      </c>
      <c r="G43" t="n">
        <v>11.3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Skrovellav
Luddlav</t>
        </is>
      </c>
      <c r="S43">
        <f>HYPERLINK("https://klasma.github.io/Logging_2481/artfynd/A 679-2024 artfynd.xlsx", "A 679-2024")</f>
        <v/>
      </c>
      <c r="T43">
        <f>HYPERLINK("https://klasma.github.io/Logging_2481/kartor/A 679-2024 karta.png", "A 679-2024")</f>
        <v/>
      </c>
      <c r="V43">
        <f>HYPERLINK("https://klasma.github.io/Logging_2481/klagomål/A 679-2024 FSC-klagomål.docx", "A 679-2024")</f>
        <v/>
      </c>
      <c r="W43">
        <f>HYPERLINK("https://klasma.github.io/Logging_2481/klagomålsmail/A 679-2024 FSC-klagomål mail.docx", "A 679-2024")</f>
        <v/>
      </c>
      <c r="X43">
        <f>HYPERLINK("https://klasma.github.io/Logging_2481/tillsyn/A 679-2024 tillsynsbegäran.docx", "A 679-2024")</f>
        <v/>
      </c>
      <c r="Y43">
        <f>HYPERLINK("https://klasma.github.io/Logging_2481/tillsynsmail/A 679-2024 tillsynsbegäran mail.docx", "A 679-2024")</f>
        <v/>
      </c>
    </row>
    <row r="44" ht="15" customHeight="1">
      <c r="A44" t="inlineStr">
        <is>
          <t>A 15662-2021</t>
        </is>
      </c>
      <c r="B44" s="1" t="n">
        <v>44286</v>
      </c>
      <c r="C44" s="1" t="n">
        <v>45337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Lunglav
Reliktbock</t>
        </is>
      </c>
      <c r="S44">
        <f>HYPERLINK("https://klasma.github.io/Logging_2481/artfynd/A 15662-2021 artfynd.xlsx", "A 15662-2021")</f>
        <v/>
      </c>
      <c r="T44">
        <f>HYPERLINK("https://klasma.github.io/Logging_2481/kartor/A 15662-2021 karta.png", "A 15662-2021")</f>
        <v/>
      </c>
      <c r="V44">
        <f>HYPERLINK("https://klasma.github.io/Logging_2481/klagomål/A 15662-2021 FSC-klagomål.docx", "A 15662-2021")</f>
        <v/>
      </c>
      <c r="W44">
        <f>HYPERLINK("https://klasma.github.io/Logging_2481/klagomålsmail/A 15662-2021 FSC-klagomål mail.docx", "A 15662-2021")</f>
        <v/>
      </c>
      <c r="X44">
        <f>HYPERLINK("https://klasma.github.io/Logging_2481/tillsyn/A 15662-2021 tillsynsbegäran.docx", "A 15662-2021")</f>
        <v/>
      </c>
      <c r="Y44">
        <f>HYPERLINK("https://klasma.github.io/Logging_2481/tillsynsmail/A 15662-2021 tillsynsbegäran mail.docx", "A 15662-2021")</f>
        <v/>
      </c>
    </row>
    <row r="45" ht="15" customHeight="1">
      <c r="A45" t="inlineStr">
        <is>
          <t>A 61497-2021</t>
        </is>
      </c>
      <c r="B45" s="1" t="n">
        <v>44501</v>
      </c>
      <c r="C45" s="1" t="n">
        <v>45337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Vaddporing</t>
        </is>
      </c>
      <c r="S45">
        <f>HYPERLINK("https://klasma.github.io/Logging_2481/artfynd/A 61497-2021 artfynd.xlsx", "A 61497-2021")</f>
        <v/>
      </c>
      <c r="T45">
        <f>HYPERLINK("https://klasma.github.io/Logging_2481/kartor/A 61497-2021 karta.png", "A 61497-2021")</f>
        <v/>
      </c>
      <c r="V45">
        <f>HYPERLINK("https://klasma.github.io/Logging_2481/klagomål/A 61497-2021 FSC-klagomål.docx", "A 61497-2021")</f>
        <v/>
      </c>
      <c r="W45">
        <f>HYPERLINK("https://klasma.github.io/Logging_2481/klagomålsmail/A 61497-2021 FSC-klagomål mail.docx", "A 61497-2021")</f>
        <v/>
      </c>
      <c r="X45">
        <f>HYPERLINK("https://klasma.github.io/Logging_2481/tillsyn/A 61497-2021 tillsynsbegäran.docx", "A 61497-2021")</f>
        <v/>
      </c>
      <c r="Y45">
        <f>HYPERLINK("https://klasma.github.io/Logging_2481/tillsynsmail/A 61497-2021 tillsynsbegäran mail.docx", "A 61497-2021")</f>
        <v/>
      </c>
    </row>
    <row r="46" ht="15" customHeight="1">
      <c r="A46" t="inlineStr">
        <is>
          <t>A 70179-2021</t>
        </is>
      </c>
      <c r="B46" s="1" t="n">
        <v>44533</v>
      </c>
      <c r="C46" s="1" t="n">
        <v>45337</v>
      </c>
      <c r="D46" t="inlineStr">
        <is>
          <t>VÄSTERBOTTENS LÄN</t>
        </is>
      </c>
      <c r="E46" t="inlineStr">
        <is>
          <t>LYCKSELE</t>
        </is>
      </c>
      <c r="G46" t="n">
        <v>5.2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Blanksvart spiklav
Vedflamlav</t>
        </is>
      </c>
      <c r="S46">
        <f>HYPERLINK("https://klasma.github.io/Logging_2481/artfynd/A 70179-2021 artfynd.xlsx", "A 70179-2021")</f>
        <v/>
      </c>
      <c r="T46">
        <f>HYPERLINK("https://klasma.github.io/Logging_2481/kartor/A 70179-2021 karta.png", "A 70179-2021")</f>
        <v/>
      </c>
      <c r="V46">
        <f>HYPERLINK("https://klasma.github.io/Logging_2481/klagomål/A 70179-2021 FSC-klagomål.docx", "A 70179-2021")</f>
        <v/>
      </c>
      <c r="W46">
        <f>HYPERLINK("https://klasma.github.io/Logging_2481/klagomålsmail/A 70179-2021 FSC-klagomål mail.docx", "A 70179-2021")</f>
        <v/>
      </c>
      <c r="X46">
        <f>HYPERLINK("https://klasma.github.io/Logging_2481/tillsyn/A 70179-2021 tillsynsbegäran.docx", "A 70179-2021")</f>
        <v/>
      </c>
      <c r="Y46">
        <f>HYPERLINK("https://klasma.github.io/Logging_2481/tillsynsmail/A 70179-2021 tillsynsbegäran mail.docx", "A 70179-2021")</f>
        <v/>
      </c>
    </row>
    <row r="47" ht="15" customHeight="1">
      <c r="A47" t="inlineStr">
        <is>
          <t>A 6526-2022</t>
        </is>
      </c>
      <c r="B47" s="1" t="n">
        <v>44601</v>
      </c>
      <c r="C47" s="1" t="n">
        <v>45337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6.7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HYPERLINK("https://klasma.github.io/Logging_2481/artfynd/A 6526-2022 artfynd.xlsx", "A 6526-2022")</f>
        <v/>
      </c>
      <c r="T47">
        <f>HYPERLINK("https://klasma.github.io/Logging_2481/kartor/A 6526-2022 karta.png", "A 6526-2022")</f>
        <v/>
      </c>
      <c r="V47">
        <f>HYPERLINK("https://klasma.github.io/Logging_2481/klagomål/A 6526-2022 FSC-klagomål.docx", "A 6526-2022")</f>
        <v/>
      </c>
      <c r="W47">
        <f>HYPERLINK("https://klasma.github.io/Logging_2481/klagomålsmail/A 6526-2022 FSC-klagomål mail.docx", "A 6526-2022")</f>
        <v/>
      </c>
      <c r="X47">
        <f>HYPERLINK("https://klasma.github.io/Logging_2481/tillsyn/A 6526-2022 tillsynsbegäran.docx", "A 6526-2022")</f>
        <v/>
      </c>
      <c r="Y47">
        <f>HYPERLINK("https://klasma.github.io/Logging_2481/tillsynsmail/A 6526-2022 tillsynsbegäran mail.docx", "A 6526-2022")</f>
        <v/>
      </c>
    </row>
    <row r="48" ht="15" customHeight="1">
      <c r="A48" t="inlineStr">
        <is>
          <t>A 21668-2022</t>
        </is>
      </c>
      <c r="B48" s="1" t="n">
        <v>44706</v>
      </c>
      <c r="C48" s="1" t="n">
        <v>45337</v>
      </c>
      <c r="D48" t="inlineStr">
        <is>
          <t>VÄSTERBOTTENS LÄN</t>
        </is>
      </c>
      <c r="E48" t="inlineStr">
        <is>
          <t>LYCKSELE</t>
        </is>
      </c>
      <c r="F48" t="inlineStr">
        <is>
          <t>SCA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Granticka</t>
        </is>
      </c>
      <c r="S48">
        <f>HYPERLINK("https://klasma.github.io/Logging_2481/artfynd/A 21668-2022 artfynd.xlsx", "A 21668-2022")</f>
        <v/>
      </c>
      <c r="T48">
        <f>HYPERLINK("https://klasma.github.io/Logging_2481/kartor/A 21668-2022 karta.png", "A 21668-2022")</f>
        <v/>
      </c>
      <c r="V48">
        <f>HYPERLINK("https://klasma.github.io/Logging_2481/klagomål/A 21668-2022 FSC-klagomål.docx", "A 21668-2022")</f>
        <v/>
      </c>
      <c r="W48">
        <f>HYPERLINK("https://klasma.github.io/Logging_2481/klagomålsmail/A 21668-2022 FSC-klagomål mail.docx", "A 21668-2022")</f>
        <v/>
      </c>
      <c r="X48">
        <f>HYPERLINK("https://klasma.github.io/Logging_2481/tillsyn/A 21668-2022 tillsynsbegäran.docx", "A 21668-2022")</f>
        <v/>
      </c>
      <c r="Y48">
        <f>HYPERLINK("https://klasma.github.io/Logging_2481/tillsynsmail/A 21668-2022 tillsynsbegäran mail.docx", "A 21668-2022")</f>
        <v/>
      </c>
    </row>
    <row r="49" ht="15" customHeight="1">
      <c r="A49" t="inlineStr">
        <is>
          <t>A 58624-2022</t>
        </is>
      </c>
      <c r="B49" s="1" t="n">
        <v>44902</v>
      </c>
      <c r="C49" s="1" t="n">
        <v>45337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Blanksvart spiklav
Vedflamlav</t>
        </is>
      </c>
      <c r="S49">
        <f>HYPERLINK("https://klasma.github.io/Logging_2481/artfynd/A 58624-2022 artfynd.xlsx", "A 58624-2022")</f>
        <v/>
      </c>
      <c r="T49">
        <f>HYPERLINK("https://klasma.github.io/Logging_2481/kartor/A 58624-2022 karta.png", "A 58624-2022")</f>
        <v/>
      </c>
      <c r="V49">
        <f>HYPERLINK("https://klasma.github.io/Logging_2481/klagomål/A 58624-2022 FSC-klagomål.docx", "A 58624-2022")</f>
        <v/>
      </c>
      <c r="W49">
        <f>HYPERLINK("https://klasma.github.io/Logging_2481/klagomålsmail/A 58624-2022 FSC-klagomål mail.docx", "A 58624-2022")</f>
        <v/>
      </c>
      <c r="X49">
        <f>HYPERLINK("https://klasma.github.io/Logging_2481/tillsyn/A 58624-2022 tillsynsbegäran.docx", "A 58624-2022")</f>
        <v/>
      </c>
      <c r="Y49">
        <f>HYPERLINK("https://klasma.github.io/Logging_2481/tillsynsmail/A 58624-2022 tillsynsbegäran mail.docx", "A 58624-2022")</f>
        <v/>
      </c>
    </row>
    <row r="50" ht="15" customHeight="1">
      <c r="A50" t="inlineStr">
        <is>
          <t>A 2893-2023</t>
        </is>
      </c>
      <c r="B50" s="1" t="n">
        <v>44945</v>
      </c>
      <c r="C50" s="1" t="n">
        <v>45337</v>
      </c>
      <c r="D50" t="inlineStr">
        <is>
          <t>VÄSTERBOTTENS LÄN</t>
        </is>
      </c>
      <c r="E50" t="inlineStr">
        <is>
          <t>LYCKSELE</t>
        </is>
      </c>
      <c r="F50" t="inlineStr">
        <is>
          <t>Kyrkan</t>
        </is>
      </c>
      <c r="G50" t="n">
        <v>3.5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Dropptaggsvamp</t>
        </is>
      </c>
      <c r="S50">
        <f>HYPERLINK("https://klasma.github.io/Logging_2481/artfynd/A 2893-2023 artfynd.xlsx", "A 2893-2023")</f>
        <v/>
      </c>
      <c r="T50">
        <f>HYPERLINK("https://klasma.github.io/Logging_2481/kartor/A 2893-2023 karta.png", "A 2893-2023")</f>
        <v/>
      </c>
      <c r="V50">
        <f>HYPERLINK("https://klasma.github.io/Logging_2481/klagomål/A 2893-2023 FSC-klagomål.docx", "A 2893-2023")</f>
        <v/>
      </c>
      <c r="W50">
        <f>HYPERLINK("https://klasma.github.io/Logging_2481/klagomålsmail/A 2893-2023 FSC-klagomål mail.docx", "A 2893-2023")</f>
        <v/>
      </c>
      <c r="X50">
        <f>HYPERLINK("https://klasma.github.io/Logging_2481/tillsyn/A 2893-2023 tillsynsbegäran.docx", "A 2893-2023")</f>
        <v/>
      </c>
      <c r="Y50">
        <f>HYPERLINK("https://klasma.github.io/Logging_2481/tillsynsmail/A 2893-2023 tillsynsbegäran mail.docx", "A 2893-2023")</f>
        <v/>
      </c>
    </row>
    <row r="51" ht="15" customHeight="1">
      <c r="A51" t="inlineStr">
        <is>
          <t>A 6002-2023</t>
        </is>
      </c>
      <c r="B51" s="1" t="n">
        <v>44964</v>
      </c>
      <c r="C51" s="1" t="n">
        <v>45337</v>
      </c>
      <c r="D51" t="inlineStr">
        <is>
          <t>VÄSTERBOTTENS LÄN</t>
        </is>
      </c>
      <c r="E51" t="inlineStr">
        <is>
          <t>LYCKSELE</t>
        </is>
      </c>
      <c r="F51" t="inlineStr">
        <is>
          <t>Kyrkan</t>
        </is>
      </c>
      <c r="G51" t="n">
        <v>15.7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Violettgrå tagellav</t>
        </is>
      </c>
      <c r="S51">
        <f>HYPERLINK("https://klasma.github.io/Logging_2481/artfynd/A 6002-2023 artfynd.xlsx", "A 6002-2023")</f>
        <v/>
      </c>
      <c r="T51">
        <f>HYPERLINK("https://klasma.github.io/Logging_2481/kartor/A 6002-2023 karta.png", "A 6002-2023")</f>
        <v/>
      </c>
      <c r="V51">
        <f>HYPERLINK("https://klasma.github.io/Logging_2481/klagomål/A 6002-2023 FSC-klagomål.docx", "A 6002-2023")</f>
        <v/>
      </c>
      <c r="W51">
        <f>HYPERLINK("https://klasma.github.io/Logging_2481/klagomålsmail/A 6002-2023 FSC-klagomål mail.docx", "A 6002-2023")</f>
        <v/>
      </c>
      <c r="X51">
        <f>HYPERLINK("https://klasma.github.io/Logging_2481/tillsyn/A 6002-2023 tillsynsbegäran.docx", "A 6002-2023")</f>
        <v/>
      </c>
      <c r="Y51">
        <f>HYPERLINK("https://klasma.github.io/Logging_2481/tillsynsmail/A 6002-2023 tillsynsbegäran mail.docx", "A 6002-2023")</f>
        <v/>
      </c>
    </row>
    <row r="52" ht="15" customHeight="1">
      <c r="A52" t="inlineStr">
        <is>
          <t>A 7670-2023</t>
        </is>
      </c>
      <c r="B52" s="1" t="n">
        <v>44972</v>
      </c>
      <c r="C52" s="1" t="n">
        <v>45337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Dropptaggsvamp</t>
        </is>
      </c>
      <c r="S52">
        <f>HYPERLINK("https://klasma.github.io/Logging_2481/artfynd/A 7670-2023 artfynd.xlsx", "A 7670-2023")</f>
        <v/>
      </c>
      <c r="T52">
        <f>HYPERLINK("https://klasma.github.io/Logging_2481/kartor/A 7670-2023 karta.png", "A 7670-2023")</f>
        <v/>
      </c>
      <c r="V52">
        <f>HYPERLINK("https://klasma.github.io/Logging_2481/klagomål/A 7670-2023 FSC-klagomål.docx", "A 7670-2023")</f>
        <v/>
      </c>
      <c r="W52">
        <f>HYPERLINK("https://klasma.github.io/Logging_2481/klagomålsmail/A 7670-2023 FSC-klagomål mail.docx", "A 7670-2023")</f>
        <v/>
      </c>
      <c r="X52">
        <f>HYPERLINK("https://klasma.github.io/Logging_2481/tillsyn/A 7670-2023 tillsynsbegäran.docx", "A 7670-2023")</f>
        <v/>
      </c>
      <c r="Y52">
        <f>HYPERLINK("https://klasma.github.io/Logging_2481/tillsynsmail/A 7670-2023 tillsynsbegäran mail.docx", "A 7670-2023")</f>
        <v/>
      </c>
    </row>
    <row r="53" ht="15" customHeight="1">
      <c r="A53" t="inlineStr">
        <is>
          <t>A 15197-2023</t>
        </is>
      </c>
      <c r="B53" s="1" t="n">
        <v>45016</v>
      </c>
      <c r="C53" s="1" t="n">
        <v>45337</v>
      </c>
      <c r="D53" t="inlineStr">
        <is>
          <t>VÄSTERBOTTENS LÄN</t>
        </is>
      </c>
      <c r="E53" t="inlineStr">
        <is>
          <t>LYCKSELE</t>
        </is>
      </c>
      <c r="G53" t="n">
        <v>11.2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Vaddporing
Dropptaggsvamp</t>
        </is>
      </c>
      <c r="S53">
        <f>HYPERLINK("https://klasma.github.io/Logging_2481/artfynd/A 15197-2023 artfynd.xlsx", "A 15197-2023")</f>
        <v/>
      </c>
      <c r="T53">
        <f>HYPERLINK("https://klasma.github.io/Logging_2481/kartor/A 15197-2023 karta.png", "A 15197-2023")</f>
        <v/>
      </c>
      <c r="V53">
        <f>HYPERLINK("https://klasma.github.io/Logging_2481/klagomål/A 15197-2023 FSC-klagomål.docx", "A 15197-2023")</f>
        <v/>
      </c>
      <c r="W53">
        <f>HYPERLINK("https://klasma.github.io/Logging_2481/klagomålsmail/A 15197-2023 FSC-klagomål mail.docx", "A 15197-2023")</f>
        <v/>
      </c>
      <c r="X53">
        <f>HYPERLINK("https://klasma.github.io/Logging_2481/tillsyn/A 15197-2023 tillsynsbegäran.docx", "A 15197-2023")</f>
        <v/>
      </c>
      <c r="Y53">
        <f>HYPERLINK("https://klasma.github.io/Logging_2481/tillsynsmail/A 15197-2023 tillsynsbegäran mail.docx", "A 15197-2023")</f>
        <v/>
      </c>
    </row>
    <row r="54" ht="15" customHeight="1">
      <c r="A54" t="inlineStr">
        <is>
          <t>A 28515-2023</t>
        </is>
      </c>
      <c r="B54" s="1" t="n">
        <v>45103</v>
      </c>
      <c r="C54" s="1" t="n">
        <v>45337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10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Tallticka</t>
        </is>
      </c>
      <c r="S54">
        <f>HYPERLINK("https://klasma.github.io/Logging_2481/artfynd/A 28515-2023 artfynd.xlsx", "A 28515-2023")</f>
        <v/>
      </c>
      <c r="T54">
        <f>HYPERLINK("https://klasma.github.io/Logging_2481/kartor/A 28515-2023 karta.png", "A 28515-2023")</f>
        <v/>
      </c>
      <c r="V54">
        <f>HYPERLINK("https://klasma.github.io/Logging_2481/klagomål/A 28515-2023 FSC-klagomål.docx", "A 28515-2023")</f>
        <v/>
      </c>
      <c r="W54">
        <f>HYPERLINK("https://klasma.github.io/Logging_2481/klagomålsmail/A 28515-2023 FSC-klagomål mail.docx", "A 28515-2023")</f>
        <v/>
      </c>
      <c r="X54">
        <f>HYPERLINK("https://klasma.github.io/Logging_2481/tillsyn/A 28515-2023 tillsynsbegäran.docx", "A 28515-2023")</f>
        <v/>
      </c>
      <c r="Y54">
        <f>HYPERLINK("https://klasma.github.io/Logging_2481/tillsynsmail/A 28515-2023 tillsynsbegäran mail.docx", "A 28515-2023")</f>
        <v/>
      </c>
    </row>
    <row r="55" ht="15" customHeight="1">
      <c r="A55" t="inlineStr">
        <is>
          <t>A 34870-2023</t>
        </is>
      </c>
      <c r="B55" s="1" t="n">
        <v>45142</v>
      </c>
      <c r="C55" s="1" t="n">
        <v>45337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Lunglav
Mörk kolflarnlav</t>
        </is>
      </c>
      <c r="S55">
        <f>HYPERLINK("https://klasma.github.io/Logging_2481/artfynd/A 34870-2023 artfynd.xlsx", "A 34870-2023")</f>
        <v/>
      </c>
      <c r="T55">
        <f>HYPERLINK("https://klasma.github.io/Logging_2481/kartor/A 34870-2023 karta.png", "A 34870-2023")</f>
        <v/>
      </c>
      <c r="V55">
        <f>HYPERLINK("https://klasma.github.io/Logging_2481/klagomål/A 34870-2023 FSC-klagomål.docx", "A 34870-2023")</f>
        <v/>
      </c>
      <c r="W55">
        <f>HYPERLINK("https://klasma.github.io/Logging_2481/klagomålsmail/A 34870-2023 FSC-klagomål mail.docx", "A 34870-2023")</f>
        <v/>
      </c>
      <c r="X55">
        <f>HYPERLINK("https://klasma.github.io/Logging_2481/tillsyn/A 34870-2023 tillsynsbegäran.docx", "A 34870-2023")</f>
        <v/>
      </c>
      <c r="Y55">
        <f>HYPERLINK("https://klasma.github.io/Logging_2481/tillsynsmail/A 34870-2023 tillsynsbegäran mail.docx", "A 34870-2023")</f>
        <v/>
      </c>
    </row>
    <row r="56" ht="15" customHeight="1">
      <c r="A56" t="inlineStr">
        <is>
          <t>A 38430-2023</t>
        </is>
      </c>
      <c r="B56" s="1" t="n">
        <v>45162</v>
      </c>
      <c r="C56" s="1" t="n">
        <v>45337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13.7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Kolflarnlav
Dropptaggsvamp</t>
        </is>
      </c>
      <c r="S56">
        <f>HYPERLINK("https://klasma.github.io/Logging_2481/artfynd/A 38430-2023 artfynd.xlsx", "A 38430-2023")</f>
        <v/>
      </c>
      <c r="T56">
        <f>HYPERLINK("https://klasma.github.io/Logging_2481/kartor/A 38430-2023 karta.png", "A 38430-2023")</f>
        <v/>
      </c>
      <c r="V56">
        <f>HYPERLINK("https://klasma.github.io/Logging_2481/klagomål/A 38430-2023 FSC-klagomål.docx", "A 38430-2023")</f>
        <v/>
      </c>
      <c r="W56">
        <f>HYPERLINK("https://klasma.github.io/Logging_2481/klagomålsmail/A 38430-2023 FSC-klagomål mail.docx", "A 38430-2023")</f>
        <v/>
      </c>
      <c r="X56">
        <f>HYPERLINK("https://klasma.github.io/Logging_2481/tillsyn/A 38430-2023 tillsynsbegäran.docx", "A 38430-2023")</f>
        <v/>
      </c>
      <c r="Y56">
        <f>HYPERLINK("https://klasma.github.io/Logging_2481/tillsynsmail/A 38430-2023 tillsynsbegäran mail.docx", "A 38430-2023")</f>
        <v/>
      </c>
    </row>
    <row r="57" ht="15" customHeight="1">
      <c r="A57" t="inlineStr">
        <is>
          <t>A 38475-2023</t>
        </is>
      </c>
      <c r="B57" s="1" t="n">
        <v>45162</v>
      </c>
      <c r="C57" s="1" t="n">
        <v>45337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Blå taggsvamp
Mörk kolflarnlav</t>
        </is>
      </c>
      <c r="S57">
        <f>HYPERLINK("https://klasma.github.io/Logging_2481/artfynd/A 38475-2023 artfynd.xlsx", "A 38475-2023")</f>
        <v/>
      </c>
      <c r="T57">
        <f>HYPERLINK("https://klasma.github.io/Logging_2481/kartor/A 38475-2023 karta.png", "A 38475-2023")</f>
        <v/>
      </c>
      <c r="V57">
        <f>HYPERLINK("https://klasma.github.io/Logging_2481/klagomål/A 38475-2023 FSC-klagomål.docx", "A 38475-2023")</f>
        <v/>
      </c>
      <c r="W57">
        <f>HYPERLINK("https://klasma.github.io/Logging_2481/klagomålsmail/A 38475-2023 FSC-klagomål mail.docx", "A 38475-2023")</f>
        <v/>
      </c>
      <c r="X57">
        <f>HYPERLINK("https://klasma.github.io/Logging_2481/tillsyn/A 38475-2023 tillsynsbegäran.docx", "A 38475-2023")</f>
        <v/>
      </c>
      <c r="Y57">
        <f>HYPERLINK("https://klasma.github.io/Logging_2481/tillsynsmail/A 38475-2023 tillsynsbegäran mail.docx", "A 38475-2023")</f>
        <v/>
      </c>
    </row>
    <row r="58" ht="15" customHeight="1">
      <c r="A58" t="inlineStr">
        <is>
          <t>A 41449-2023</t>
        </is>
      </c>
      <c r="B58" s="1" t="n">
        <v>45175</v>
      </c>
      <c r="C58" s="1" t="n">
        <v>45337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41449-2023 artfynd.xlsx", "A 41449-2023")</f>
        <v/>
      </c>
      <c r="T58">
        <f>HYPERLINK("https://klasma.github.io/Logging_2481/kartor/A 41449-2023 karta.png", "A 41449-2023")</f>
        <v/>
      </c>
      <c r="V58">
        <f>HYPERLINK("https://klasma.github.io/Logging_2481/klagomål/A 41449-2023 FSC-klagomål.docx", "A 41449-2023")</f>
        <v/>
      </c>
      <c r="W58">
        <f>HYPERLINK("https://klasma.github.io/Logging_2481/klagomålsmail/A 41449-2023 FSC-klagomål mail.docx", "A 41449-2023")</f>
        <v/>
      </c>
      <c r="X58">
        <f>HYPERLINK("https://klasma.github.io/Logging_2481/tillsyn/A 41449-2023 tillsynsbegäran.docx", "A 41449-2023")</f>
        <v/>
      </c>
      <c r="Y58">
        <f>HYPERLINK("https://klasma.github.io/Logging_2481/tillsynsmail/A 41449-2023 tillsynsbegäran mail.docx", "A 41449-2023")</f>
        <v/>
      </c>
    </row>
    <row r="59" ht="15" customHeight="1">
      <c r="A59" t="inlineStr">
        <is>
          <t>A 47038-2023</t>
        </is>
      </c>
      <c r="B59" s="1" t="n">
        <v>45201</v>
      </c>
      <c r="C59" s="1" t="n">
        <v>45337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8.800000000000001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Dropptaggsvamp</t>
        </is>
      </c>
      <c r="S59">
        <f>HYPERLINK("https://klasma.github.io/Logging_2481/artfynd/A 47038-2023 artfynd.xlsx", "A 47038-2023")</f>
        <v/>
      </c>
      <c r="T59">
        <f>HYPERLINK("https://klasma.github.io/Logging_2481/kartor/A 47038-2023 karta.png", "A 47038-2023")</f>
        <v/>
      </c>
      <c r="V59">
        <f>HYPERLINK("https://klasma.github.io/Logging_2481/klagomål/A 47038-2023 FSC-klagomål.docx", "A 47038-2023")</f>
        <v/>
      </c>
      <c r="W59">
        <f>HYPERLINK("https://klasma.github.io/Logging_2481/klagomålsmail/A 47038-2023 FSC-klagomål mail.docx", "A 47038-2023")</f>
        <v/>
      </c>
      <c r="X59">
        <f>HYPERLINK("https://klasma.github.io/Logging_2481/tillsyn/A 47038-2023 tillsynsbegäran.docx", "A 47038-2023")</f>
        <v/>
      </c>
      <c r="Y59">
        <f>HYPERLINK("https://klasma.github.io/Logging_2481/tillsynsmail/A 47038-2023 tillsynsbegäran mail.docx", "A 47038-2023")</f>
        <v/>
      </c>
    </row>
    <row r="60" ht="15" customHeight="1">
      <c r="A60" t="inlineStr">
        <is>
          <t>A 47041-2023</t>
        </is>
      </c>
      <c r="B60" s="1" t="n">
        <v>45201</v>
      </c>
      <c r="C60" s="1" t="n">
        <v>45337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7.5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47041-2023 artfynd.xlsx", "A 47041-2023")</f>
        <v/>
      </c>
      <c r="T60">
        <f>HYPERLINK("https://klasma.github.io/Logging_2481/kartor/A 47041-2023 karta.png", "A 47041-2023")</f>
        <v/>
      </c>
      <c r="V60">
        <f>HYPERLINK("https://klasma.github.io/Logging_2481/klagomål/A 47041-2023 FSC-klagomål.docx", "A 47041-2023")</f>
        <v/>
      </c>
      <c r="W60">
        <f>HYPERLINK("https://klasma.github.io/Logging_2481/klagomålsmail/A 47041-2023 FSC-klagomål mail.docx", "A 47041-2023")</f>
        <v/>
      </c>
      <c r="X60">
        <f>HYPERLINK("https://klasma.github.io/Logging_2481/tillsyn/A 47041-2023 tillsynsbegäran.docx", "A 47041-2023")</f>
        <v/>
      </c>
      <c r="Y60">
        <f>HYPERLINK("https://klasma.github.io/Logging_2481/tillsynsmail/A 47041-2023 tillsynsbegäran mail.docx", "A 47041-2023")</f>
        <v/>
      </c>
    </row>
    <row r="61" ht="15" customHeight="1">
      <c r="A61" t="inlineStr">
        <is>
          <t>A 53809-2023</t>
        </is>
      </c>
      <c r="B61" s="1" t="n">
        <v>45231</v>
      </c>
      <c r="C61" s="1" t="n">
        <v>45337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25.1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Skrovlig taggsvamp
Stuplav</t>
        </is>
      </c>
      <c r="S61">
        <f>HYPERLINK("https://klasma.github.io/Logging_2481/artfynd/A 53809-2023 artfynd.xlsx", "A 53809-2023")</f>
        <v/>
      </c>
      <c r="T61">
        <f>HYPERLINK("https://klasma.github.io/Logging_2481/kartor/A 53809-2023 karta.png", "A 53809-2023")</f>
        <v/>
      </c>
      <c r="V61">
        <f>HYPERLINK("https://klasma.github.io/Logging_2481/klagomål/A 53809-2023 FSC-klagomål.docx", "A 53809-2023")</f>
        <v/>
      </c>
      <c r="W61">
        <f>HYPERLINK("https://klasma.github.io/Logging_2481/klagomålsmail/A 53809-2023 FSC-klagomål mail.docx", "A 53809-2023")</f>
        <v/>
      </c>
      <c r="X61">
        <f>HYPERLINK("https://klasma.github.io/Logging_2481/tillsyn/A 53809-2023 tillsynsbegäran.docx", "A 53809-2023")</f>
        <v/>
      </c>
      <c r="Y61">
        <f>HYPERLINK("https://klasma.github.io/Logging_2481/tillsynsmail/A 53809-2023 tillsynsbegäran mail.docx", "A 53809-2023")</f>
        <v/>
      </c>
    </row>
    <row r="62" ht="15" customHeight="1">
      <c r="A62" t="inlineStr">
        <is>
          <t>A 36373-2019</t>
        </is>
      </c>
      <c r="B62" s="1" t="n">
        <v>43670</v>
      </c>
      <c r="C62" s="1" t="n">
        <v>45337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HYPERLINK("https://klasma.github.io/Logging_2481/artfynd/A 36373-2019 artfynd.xlsx", "A 36373-2019")</f>
        <v/>
      </c>
      <c r="T62">
        <f>HYPERLINK("https://klasma.github.io/Logging_2481/kartor/A 36373-2019 karta.png", "A 36373-2019")</f>
        <v/>
      </c>
      <c r="U62">
        <f>HYPERLINK("https://klasma.github.io/Logging_2481/knärot/A 36373-2019 karta knärot.png", "A 36373-2019")</f>
        <v/>
      </c>
      <c r="V62">
        <f>HYPERLINK("https://klasma.github.io/Logging_2481/klagomål/A 36373-2019 FSC-klagomål.docx", "A 36373-2019")</f>
        <v/>
      </c>
      <c r="W62">
        <f>HYPERLINK("https://klasma.github.io/Logging_2481/klagomålsmail/A 36373-2019 FSC-klagomål mail.docx", "A 36373-2019")</f>
        <v/>
      </c>
      <c r="X62">
        <f>HYPERLINK("https://klasma.github.io/Logging_2481/tillsyn/A 36373-2019 tillsynsbegäran.docx", "A 36373-2019")</f>
        <v/>
      </c>
      <c r="Y62">
        <f>HYPERLINK("https://klasma.github.io/Logging_2481/tillsynsmail/A 36373-2019 tillsynsbegäran mail.docx", "A 36373-2019")</f>
        <v/>
      </c>
    </row>
    <row r="63" ht="15" customHeight="1">
      <c r="A63" t="inlineStr">
        <is>
          <t>A 51211-2019</t>
        </is>
      </c>
      <c r="B63" s="1" t="n">
        <v>43739</v>
      </c>
      <c r="C63" s="1" t="n">
        <v>45337</v>
      </c>
      <c r="D63" t="inlineStr">
        <is>
          <t>VÄSTERBOTTENS LÄN</t>
        </is>
      </c>
      <c r="E63" t="inlineStr">
        <is>
          <t>LYCKSELE</t>
        </is>
      </c>
      <c r="F63" t="inlineStr">
        <is>
          <t>Kyrkan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51211-2019 artfynd.xlsx", "A 51211-2019")</f>
        <v/>
      </c>
      <c r="T63">
        <f>HYPERLINK("https://klasma.github.io/Logging_2481/kartor/A 51211-2019 karta.png", "A 51211-2019")</f>
        <v/>
      </c>
      <c r="V63">
        <f>HYPERLINK("https://klasma.github.io/Logging_2481/klagomål/A 51211-2019 FSC-klagomål.docx", "A 51211-2019")</f>
        <v/>
      </c>
      <c r="W63">
        <f>HYPERLINK("https://klasma.github.io/Logging_2481/klagomålsmail/A 51211-2019 FSC-klagomål mail.docx", "A 51211-2019")</f>
        <v/>
      </c>
      <c r="X63">
        <f>HYPERLINK("https://klasma.github.io/Logging_2481/tillsyn/A 51211-2019 tillsynsbegäran.docx", "A 51211-2019")</f>
        <v/>
      </c>
      <c r="Y63">
        <f>HYPERLINK("https://klasma.github.io/Logging_2481/tillsynsmail/A 51211-2019 tillsynsbegäran mail.docx", "A 51211-2019")</f>
        <v/>
      </c>
    </row>
    <row r="64" ht="15" customHeight="1">
      <c r="A64" t="inlineStr">
        <is>
          <t>A 60563-2019</t>
        </is>
      </c>
      <c r="B64" s="1" t="n">
        <v>43781</v>
      </c>
      <c r="C64" s="1" t="n">
        <v>45337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HYPERLINK("https://klasma.github.io/Logging_2481/artfynd/A 60563-2019 artfynd.xlsx", "A 60563-2019")</f>
        <v/>
      </c>
      <c r="T64">
        <f>HYPERLINK("https://klasma.github.io/Logging_2481/kartor/A 60563-2019 karta.png", "A 60563-2019")</f>
        <v/>
      </c>
      <c r="V64">
        <f>HYPERLINK("https://klasma.github.io/Logging_2481/klagomål/A 60563-2019 FSC-klagomål.docx", "A 60563-2019")</f>
        <v/>
      </c>
      <c r="W64">
        <f>HYPERLINK("https://klasma.github.io/Logging_2481/klagomålsmail/A 60563-2019 FSC-klagomål mail.docx", "A 60563-2019")</f>
        <v/>
      </c>
      <c r="X64">
        <f>HYPERLINK("https://klasma.github.io/Logging_2481/tillsyn/A 60563-2019 tillsynsbegäran.docx", "A 60563-2019")</f>
        <v/>
      </c>
      <c r="Y64">
        <f>HYPERLINK("https://klasma.github.io/Logging_2481/tillsynsmail/A 60563-2019 tillsynsbegäran mail.docx", "A 60563-2019")</f>
        <v/>
      </c>
    </row>
    <row r="65" ht="15" customHeight="1">
      <c r="A65" t="inlineStr">
        <is>
          <t>A 67975-2019</t>
        </is>
      </c>
      <c r="B65" s="1" t="n">
        <v>43816</v>
      </c>
      <c r="C65" s="1" t="n">
        <v>45337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HYPERLINK("https://klasma.github.io/Logging_2481/artfynd/A 67975-2019 artfynd.xlsx", "A 67975-2019")</f>
        <v/>
      </c>
      <c r="T65">
        <f>HYPERLINK("https://klasma.github.io/Logging_2481/kartor/A 67975-2019 karta.png", "A 67975-2019")</f>
        <v/>
      </c>
      <c r="V65">
        <f>HYPERLINK("https://klasma.github.io/Logging_2481/klagomål/A 67975-2019 FSC-klagomål.docx", "A 67975-2019")</f>
        <v/>
      </c>
      <c r="W65">
        <f>HYPERLINK("https://klasma.github.io/Logging_2481/klagomålsmail/A 67975-2019 FSC-klagomål mail.docx", "A 67975-2019")</f>
        <v/>
      </c>
      <c r="X65">
        <f>HYPERLINK("https://klasma.github.io/Logging_2481/tillsyn/A 67975-2019 tillsynsbegäran.docx", "A 67975-2019")</f>
        <v/>
      </c>
      <c r="Y65">
        <f>HYPERLINK("https://klasma.github.io/Logging_2481/tillsynsmail/A 67975-2019 tillsynsbegäran mail.docx", "A 67975-2019")</f>
        <v/>
      </c>
    </row>
    <row r="66" ht="15" customHeight="1">
      <c r="A66" t="inlineStr">
        <is>
          <t>A 68098-2019</t>
        </is>
      </c>
      <c r="B66" s="1" t="n">
        <v>43817</v>
      </c>
      <c r="C66" s="1" t="n">
        <v>45337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Harticka</t>
        </is>
      </c>
      <c r="S66">
        <f>HYPERLINK("https://klasma.github.io/Logging_2481/artfynd/A 68098-2019 artfynd.xlsx", "A 68098-2019")</f>
        <v/>
      </c>
      <c r="T66">
        <f>HYPERLINK("https://klasma.github.io/Logging_2481/kartor/A 68098-2019 karta.png", "A 68098-2019")</f>
        <v/>
      </c>
      <c r="V66">
        <f>HYPERLINK("https://klasma.github.io/Logging_2481/klagomål/A 68098-2019 FSC-klagomål.docx", "A 68098-2019")</f>
        <v/>
      </c>
      <c r="W66">
        <f>HYPERLINK("https://klasma.github.io/Logging_2481/klagomålsmail/A 68098-2019 FSC-klagomål mail.docx", "A 68098-2019")</f>
        <v/>
      </c>
      <c r="X66">
        <f>HYPERLINK("https://klasma.github.io/Logging_2481/tillsyn/A 68098-2019 tillsynsbegäran.docx", "A 68098-2019")</f>
        <v/>
      </c>
      <c r="Y66">
        <f>HYPERLINK("https://klasma.github.io/Logging_2481/tillsynsmail/A 68098-2019 tillsynsbegäran mail.docx", "A 68098-2019")</f>
        <v/>
      </c>
    </row>
    <row r="67" ht="15" customHeight="1">
      <c r="A67" t="inlineStr">
        <is>
          <t>A 28098-2020</t>
        </is>
      </c>
      <c r="B67" s="1" t="n">
        <v>43997</v>
      </c>
      <c r="C67" s="1" t="n">
        <v>45337</v>
      </c>
      <c r="D67" t="inlineStr">
        <is>
          <t>VÄSTERBOTTENS LÄN</t>
        </is>
      </c>
      <c r="E67" t="inlineStr">
        <is>
          <t>LYCKSELE</t>
        </is>
      </c>
      <c r="F67" t="inlineStr">
        <is>
          <t>Kyrkan</t>
        </is>
      </c>
      <c r="G67" t="n">
        <v>6.4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märgborre</t>
        </is>
      </c>
      <c r="S67">
        <f>HYPERLINK("https://klasma.github.io/Logging_2481/artfynd/A 28098-2020 artfynd.xlsx", "A 28098-2020")</f>
        <v/>
      </c>
      <c r="T67">
        <f>HYPERLINK("https://klasma.github.io/Logging_2481/kartor/A 28098-2020 karta.png", "A 28098-2020")</f>
        <v/>
      </c>
      <c r="V67">
        <f>HYPERLINK("https://klasma.github.io/Logging_2481/klagomål/A 28098-2020 FSC-klagomål.docx", "A 28098-2020")</f>
        <v/>
      </c>
      <c r="W67">
        <f>HYPERLINK("https://klasma.github.io/Logging_2481/klagomålsmail/A 28098-2020 FSC-klagomål mail.docx", "A 28098-2020")</f>
        <v/>
      </c>
      <c r="X67">
        <f>HYPERLINK("https://klasma.github.io/Logging_2481/tillsyn/A 28098-2020 tillsynsbegäran.docx", "A 28098-2020")</f>
        <v/>
      </c>
      <c r="Y67">
        <f>HYPERLINK("https://klasma.github.io/Logging_2481/tillsynsmail/A 28098-2020 tillsynsbegäran mail.docx", "A 28098-2020")</f>
        <v/>
      </c>
    </row>
    <row r="68" ht="15" customHeight="1">
      <c r="A68" t="inlineStr">
        <is>
          <t>A 31460-2021</t>
        </is>
      </c>
      <c r="B68" s="1" t="n">
        <v>44369</v>
      </c>
      <c r="C68" s="1" t="n">
        <v>45337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6.3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Nordtagging</t>
        </is>
      </c>
      <c r="S68">
        <f>HYPERLINK("https://klasma.github.io/Logging_2481/artfynd/A 31460-2021 artfynd.xlsx", "A 31460-2021")</f>
        <v/>
      </c>
      <c r="T68">
        <f>HYPERLINK("https://klasma.github.io/Logging_2481/kartor/A 31460-2021 karta.png", "A 31460-2021")</f>
        <v/>
      </c>
      <c r="V68">
        <f>HYPERLINK("https://klasma.github.io/Logging_2481/klagomål/A 31460-2021 FSC-klagomål.docx", "A 31460-2021")</f>
        <v/>
      </c>
      <c r="W68">
        <f>HYPERLINK("https://klasma.github.io/Logging_2481/klagomålsmail/A 31460-2021 FSC-klagomål mail.docx", "A 31460-2021")</f>
        <v/>
      </c>
      <c r="X68">
        <f>HYPERLINK("https://klasma.github.io/Logging_2481/tillsyn/A 31460-2021 tillsynsbegäran.docx", "A 31460-2021")</f>
        <v/>
      </c>
      <c r="Y68">
        <f>HYPERLINK("https://klasma.github.io/Logging_2481/tillsynsmail/A 31460-2021 tillsynsbegäran mail.docx", "A 31460-2021")</f>
        <v/>
      </c>
    </row>
    <row r="69" ht="15" customHeight="1">
      <c r="A69" t="inlineStr">
        <is>
          <t>A 54142-2021</t>
        </is>
      </c>
      <c r="B69" s="1" t="n">
        <v>44470</v>
      </c>
      <c r="C69" s="1" t="n">
        <v>45337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15.5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HYPERLINK("https://klasma.github.io/Logging_2481/artfynd/A 54142-2021 artfynd.xlsx", "A 54142-2021")</f>
        <v/>
      </c>
      <c r="T69">
        <f>HYPERLINK("https://klasma.github.io/Logging_2481/kartor/A 54142-2021 karta.png", "A 54142-2021")</f>
        <v/>
      </c>
      <c r="U69">
        <f>HYPERLINK("https://klasma.github.io/Logging_2481/knärot/A 54142-2021 karta knärot.png", "A 54142-2021")</f>
        <v/>
      </c>
      <c r="V69">
        <f>HYPERLINK("https://klasma.github.io/Logging_2481/klagomål/A 54142-2021 FSC-klagomål.docx", "A 54142-2021")</f>
        <v/>
      </c>
      <c r="W69">
        <f>HYPERLINK("https://klasma.github.io/Logging_2481/klagomålsmail/A 54142-2021 FSC-klagomål mail.docx", "A 54142-2021")</f>
        <v/>
      </c>
      <c r="X69">
        <f>HYPERLINK("https://klasma.github.io/Logging_2481/tillsyn/A 54142-2021 tillsynsbegäran.docx", "A 54142-2021")</f>
        <v/>
      </c>
      <c r="Y69">
        <f>HYPERLINK("https://klasma.github.io/Logging_2481/tillsynsmail/A 54142-2021 tillsynsbegäran mail.docx", "A 54142-2021")</f>
        <v/>
      </c>
    </row>
    <row r="70" ht="15" customHeight="1">
      <c r="A70" t="inlineStr">
        <is>
          <t>A 59780-2021</t>
        </is>
      </c>
      <c r="B70" s="1" t="n">
        <v>44494</v>
      </c>
      <c r="C70" s="1" t="n">
        <v>45337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59780-2021 artfynd.xlsx", "A 59780-2021")</f>
        <v/>
      </c>
      <c r="T70">
        <f>HYPERLINK("https://klasma.github.io/Logging_2481/kartor/A 59780-2021 karta.png", "A 59780-2021")</f>
        <v/>
      </c>
      <c r="V70">
        <f>HYPERLINK("https://klasma.github.io/Logging_2481/klagomål/A 59780-2021 FSC-klagomål.docx", "A 59780-2021")</f>
        <v/>
      </c>
      <c r="W70">
        <f>HYPERLINK("https://klasma.github.io/Logging_2481/klagomålsmail/A 59780-2021 FSC-klagomål mail.docx", "A 59780-2021")</f>
        <v/>
      </c>
      <c r="X70">
        <f>HYPERLINK("https://klasma.github.io/Logging_2481/tillsyn/A 59780-2021 tillsynsbegäran.docx", "A 59780-2021")</f>
        <v/>
      </c>
      <c r="Y70">
        <f>HYPERLINK("https://klasma.github.io/Logging_2481/tillsynsmail/A 59780-2021 tillsynsbegäran mail.docx", "A 59780-2021")</f>
        <v/>
      </c>
    </row>
    <row r="71" ht="15" customHeight="1">
      <c r="A71" t="inlineStr">
        <is>
          <t>A 60045-2021</t>
        </is>
      </c>
      <c r="B71" s="1" t="n">
        <v>44495</v>
      </c>
      <c r="C71" s="1" t="n">
        <v>45337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HYPERLINK("https://klasma.github.io/Logging_2481/artfynd/A 60045-2021 artfynd.xlsx", "A 60045-2021")</f>
        <v/>
      </c>
      <c r="T71">
        <f>HYPERLINK("https://klasma.github.io/Logging_2481/kartor/A 60045-2021 karta.png", "A 60045-2021")</f>
        <v/>
      </c>
      <c r="V71">
        <f>HYPERLINK("https://klasma.github.io/Logging_2481/klagomål/A 60045-2021 FSC-klagomål.docx", "A 60045-2021")</f>
        <v/>
      </c>
      <c r="W71">
        <f>HYPERLINK("https://klasma.github.io/Logging_2481/klagomålsmail/A 60045-2021 FSC-klagomål mail.docx", "A 60045-2021")</f>
        <v/>
      </c>
      <c r="X71">
        <f>HYPERLINK("https://klasma.github.io/Logging_2481/tillsyn/A 60045-2021 tillsynsbegäran.docx", "A 60045-2021")</f>
        <v/>
      </c>
      <c r="Y71">
        <f>HYPERLINK("https://klasma.github.io/Logging_2481/tillsynsmail/A 60045-2021 tillsynsbegäran mail.docx", "A 60045-2021")</f>
        <v/>
      </c>
    </row>
    <row r="72" ht="15" customHeight="1">
      <c r="A72" t="inlineStr">
        <is>
          <t>A 3929-2022</t>
        </is>
      </c>
      <c r="B72" s="1" t="n">
        <v>44587</v>
      </c>
      <c r="C72" s="1" t="n">
        <v>45337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6.7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HYPERLINK("https://klasma.github.io/Logging_2481/artfynd/A 3929-2022 artfynd.xlsx", "A 3929-2022")</f>
        <v/>
      </c>
      <c r="T72">
        <f>HYPERLINK("https://klasma.github.io/Logging_2481/kartor/A 3929-2022 karta.png", "A 3929-2022")</f>
        <v/>
      </c>
      <c r="V72">
        <f>HYPERLINK("https://klasma.github.io/Logging_2481/klagomål/A 3929-2022 FSC-klagomål.docx", "A 3929-2022")</f>
        <v/>
      </c>
      <c r="W72">
        <f>HYPERLINK("https://klasma.github.io/Logging_2481/klagomålsmail/A 3929-2022 FSC-klagomål mail.docx", "A 3929-2022")</f>
        <v/>
      </c>
      <c r="X72">
        <f>HYPERLINK("https://klasma.github.io/Logging_2481/tillsyn/A 3929-2022 tillsynsbegäran.docx", "A 3929-2022")</f>
        <v/>
      </c>
      <c r="Y72">
        <f>HYPERLINK("https://klasma.github.io/Logging_2481/tillsynsmail/A 3929-2022 tillsynsbegäran mail.docx", "A 3929-2022")</f>
        <v/>
      </c>
    </row>
    <row r="73" ht="15" customHeight="1">
      <c r="A73" t="inlineStr">
        <is>
          <t>A 9073-2022</t>
        </is>
      </c>
      <c r="B73" s="1" t="n">
        <v>44615</v>
      </c>
      <c r="C73" s="1" t="n">
        <v>45337</v>
      </c>
      <c r="D73" t="inlineStr">
        <is>
          <t>VÄSTERBOTTENS LÄN</t>
        </is>
      </c>
      <c r="E73" t="inlineStr">
        <is>
          <t>LYCKSELE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Utter</t>
        </is>
      </c>
      <c r="S73">
        <f>HYPERLINK("https://klasma.github.io/Logging_2481/artfynd/A 9073-2022 artfynd.xlsx", "A 9073-2022")</f>
        <v/>
      </c>
      <c r="T73">
        <f>HYPERLINK("https://klasma.github.io/Logging_2481/kartor/A 9073-2022 karta.png", "A 9073-2022")</f>
        <v/>
      </c>
      <c r="V73">
        <f>HYPERLINK("https://klasma.github.io/Logging_2481/klagomål/A 9073-2022 FSC-klagomål.docx", "A 9073-2022")</f>
        <v/>
      </c>
      <c r="W73">
        <f>HYPERLINK("https://klasma.github.io/Logging_2481/klagomålsmail/A 9073-2022 FSC-klagomål mail.docx", "A 9073-2022")</f>
        <v/>
      </c>
      <c r="X73">
        <f>HYPERLINK("https://klasma.github.io/Logging_2481/tillsyn/A 9073-2022 tillsynsbegäran.docx", "A 9073-2022")</f>
        <v/>
      </c>
      <c r="Y73">
        <f>HYPERLINK("https://klasma.github.io/Logging_2481/tillsynsmail/A 9073-2022 tillsynsbegäran mail.docx", "A 9073-2022")</f>
        <v/>
      </c>
    </row>
    <row r="74" ht="15" customHeight="1">
      <c r="A74" t="inlineStr">
        <is>
          <t>A 23308-2022</t>
        </is>
      </c>
      <c r="B74" s="1" t="n">
        <v>44720</v>
      </c>
      <c r="C74" s="1" t="n">
        <v>45337</v>
      </c>
      <c r="D74" t="inlineStr">
        <is>
          <t>VÄSTERBOTTENS LÄN</t>
        </is>
      </c>
      <c r="E74" t="inlineStr">
        <is>
          <t>LYCKSELE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HYPERLINK("https://klasma.github.io/Logging_2481/artfynd/A 23308-2022 artfynd.xlsx", "A 23308-2022")</f>
        <v/>
      </c>
      <c r="T74">
        <f>HYPERLINK("https://klasma.github.io/Logging_2481/kartor/A 23308-2022 karta.png", "A 23308-2022")</f>
        <v/>
      </c>
      <c r="V74">
        <f>HYPERLINK("https://klasma.github.io/Logging_2481/klagomål/A 23308-2022 FSC-klagomål.docx", "A 23308-2022")</f>
        <v/>
      </c>
      <c r="W74">
        <f>HYPERLINK("https://klasma.github.io/Logging_2481/klagomålsmail/A 23308-2022 FSC-klagomål mail.docx", "A 23308-2022")</f>
        <v/>
      </c>
      <c r="X74">
        <f>HYPERLINK("https://klasma.github.io/Logging_2481/tillsyn/A 23308-2022 tillsynsbegäran.docx", "A 23308-2022")</f>
        <v/>
      </c>
      <c r="Y74">
        <f>HYPERLINK("https://klasma.github.io/Logging_2481/tillsynsmail/A 23308-2022 tillsynsbegäran mail.docx", "A 23308-2022")</f>
        <v/>
      </c>
    </row>
    <row r="75" ht="15" customHeight="1">
      <c r="A75" t="inlineStr">
        <is>
          <t>A 32638-2022</t>
        </is>
      </c>
      <c r="B75" s="1" t="n">
        <v>44783</v>
      </c>
      <c r="C75" s="1" t="n">
        <v>45337</v>
      </c>
      <c r="D75" t="inlineStr">
        <is>
          <t>VÄSTERBOTTENS LÄN</t>
        </is>
      </c>
      <c r="E75" t="inlineStr">
        <is>
          <t>LYCKSELE</t>
        </is>
      </c>
      <c r="F75" t="inlineStr">
        <is>
          <t>Holmen skog AB</t>
        </is>
      </c>
      <c r="G75" t="n">
        <v>4.2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32638-2022 artfynd.xlsx", "A 32638-2022")</f>
        <v/>
      </c>
      <c r="T75">
        <f>HYPERLINK("https://klasma.github.io/Logging_2481/kartor/A 32638-2022 karta.png", "A 32638-2022")</f>
        <v/>
      </c>
      <c r="V75">
        <f>HYPERLINK("https://klasma.github.io/Logging_2481/klagomål/A 32638-2022 FSC-klagomål.docx", "A 32638-2022")</f>
        <v/>
      </c>
      <c r="W75">
        <f>HYPERLINK("https://klasma.github.io/Logging_2481/klagomålsmail/A 32638-2022 FSC-klagomål mail.docx", "A 32638-2022")</f>
        <v/>
      </c>
      <c r="X75">
        <f>HYPERLINK("https://klasma.github.io/Logging_2481/tillsyn/A 32638-2022 tillsynsbegäran.docx", "A 32638-2022")</f>
        <v/>
      </c>
      <c r="Y75">
        <f>HYPERLINK("https://klasma.github.io/Logging_2481/tillsynsmail/A 32638-2022 tillsynsbegäran mail.docx", "A 32638-2022")</f>
        <v/>
      </c>
    </row>
    <row r="76" ht="15" customHeight="1">
      <c r="A76" t="inlineStr">
        <is>
          <t>A 34810-2022</t>
        </is>
      </c>
      <c r="B76" s="1" t="n">
        <v>44795</v>
      </c>
      <c r="C76" s="1" t="n">
        <v>45337</v>
      </c>
      <c r="D76" t="inlineStr">
        <is>
          <t>VÄSTERBOTTENS LÄN</t>
        </is>
      </c>
      <c r="E76" t="inlineStr">
        <is>
          <t>LYCKSELE</t>
        </is>
      </c>
      <c r="F76" t="inlineStr">
        <is>
          <t>SCA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HYPERLINK("https://klasma.github.io/Logging_2481/artfynd/A 34810-2022 artfynd.xlsx", "A 34810-2022")</f>
        <v/>
      </c>
      <c r="T76">
        <f>HYPERLINK("https://klasma.github.io/Logging_2481/kartor/A 34810-2022 karta.png", "A 34810-2022")</f>
        <v/>
      </c>
      <c r="V76">
        <f>HYPERLINK("https://klasma.github.io/Logging_2481/klagomål/A 34810-2022 FSC-klagomål.docx", "A 34810-2022")</f>
        <v/>
      </c>
      <c r="W76">
        <f>HYPERLINK("https://klasma.github.io/Logging_2481/klagomålsmail/A 34810-2022 FSC-klagomål mail.docx", "A 34810-2022")</f>
        <v/>
      </c>
      <c r="X76">
        <f>HYPERLINK("https://klasma.github.io/Logging_2481/tillsyn/A 34810-2022 tillsynsbegäran.docx", "A 34810-2022")</f>
        <v/>
      </c>
      <c r="Y76">
        <f>HYPERLINK("https://klasma.github.io/Logging_2481/tillsynsmail/A 34810-2022 tillsynsbegäran mail.docx", "A 34810-2022")</f>
        <v/>
      </c>
    </row>
    <row r="77" ht="15" customHeight="1">
      <c r="A77" t="inlineStr">
        <is>
          <t>A 34809-2022</t>
        </is>
      </c>
      <c r="B77" s="1" t="n">
        <v>44795</v>
      </c>
      <c r="C77" s="1" t="n">
        <v>45337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HYPERLINK("https://klasma.github.io/Logging_2481/artfynd/A 34809-2022 artfynd.xlsx", "A 34809-2022")</f>
        <v/>
      </c>
      <c r="T77">
        <f>HYPERLINK("https://klasma.github.io/Logging_2481/kartor/A 34809-2022 karta.png", "A 34809-2022")</f>
        <v/>
      </c>
      <c r="V77">
        <f>HYPERLINK("https://klasma.github.io/Logging_2481/klagomål/A 34809-2022 FSC-klagomål.docx", "A 34809-2022")</f>
        <v/>
      </c>
      <c r="W77">
        <f>HYPERLINK("https://klasma.github.io/Logging_2481/klagomålsmail/A 34809-2022 FSC-klagomål mail.docx", "A 34809-2022")</f>
        <v/>
      </c>
      <c r="X77">
        <f>HYPERLINK("https://klasma.github.io/Logging_2481/tillsyn/A 34809-2022 tillsynsbegäran.docx", "A 34809-2022")</f>
        <v/>
      </c>
      <c r="Y77">
        <f>HYPERLINK("https://klasma.github.io/Logging_2481/tillsynsmail/A 34809-2022 tillsynsbegäran mail.docx", "A 34809-2022")</f>
        <v/>
      </c>
    </row>
    <row r="78" ht="15" customHeight="1">
      <c r="A78" t="inlineStr">
        <is>
          <t>A 40133-2022</t>
        </is>
      </c>
      <c r="B78" s="1" t="n">
        <v>44820</v>
      </c>
      <c r="C78" s="1" t="n">
        <v>45337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15.3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Gräddporing</t>
        </is>
      </c>
      <c r="S78">
        <f>HYPERLINK("https://klasma.github.io/Logging_2481/artfynd/A 40133-2022 artfynd.xlsx", "A 40133-2022")</f>
        <v/>
      </c>
      <c r="T78">
        <f>HYPERLINK("https://klasma.github.io/Logging_2481/kartor/A 40133-2022 karta.png", "A 40133-2022")</f>
        <v/>
      </c>
      <c r="V78">
        <f>HYPERLINK("https://klasma.github.io/Logging_2481/klagomål/A 40133-2022 FSC-klagomål.docx", "A 40133-2022")</f>
        <v/>
      </c>
      <c r="W78">
        <f>HYPERLINK("https://klasma.github.io/Logging_2481/klagomålsmail/A 40133-2022 FSC-klagomål mail.docx", "A 40133-2022")</f>
        <v/>
      </c>
      <c r="X78">
        <f>HYPERLINK("https://klasma.github.io/Logging_2481/tillsyn/A 40133-2022 tillsynsbegäran.docx", "A 40133-2022")</f>
        <v/>
      </c>
      <c r="Y78">
        <f>HYPERLINK("https://klasma.github.io/Logging_2481/tillsynsmail/A 40133-2022 tillsynsbegäran mail.docx", "A 40133-2022")</f>
        <v/>
      </c>
    </row>
    <row r="79" ht="15" customHeight="1">
      <c r="A79" t="inlineStr">
        <is>
          <t>A 43418-2022</t>
        </is>
      </c>
      <c r="B79" s="1" t="n">
        <v>44834</v>
      </c>
      <c r="C79" s="1" t="n">
        <v>45337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8.4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HYPERLINK("https://klasma.github.io/Logging_2481/artfynd/A 43418-2022 artfynd.xlsx", "A 43418-2022")</f>
        <v/>
      </c>
      <c r="T79">
        <f>HYPERLINK("https://klasma.github.io/Logging_2481/kartor/A 43418-2022 karta.png", "A 43418-2022")</f>
        <v/>
      </c>
      <c r="V79">
        <f>HYPERLINK("https://klasma.github.io/Logging_2481/klagomål/A 43418-2022 FSC-klagomål.docx", "A 43418-2022")</f>
        <v/>
      </c>
      <c r="W79">
        <f>HYPERLINK("https://klasma.github.io/Logging_2481/klagomålsmail/A 43418-2022 FSC-klagomål mail.docx", "A 43418-2022")</f>
        <v/>
      </c>
      <c r="X79">
        <f>HYPERLINK("https://klasma.github.io/Logging_2481/tillsyn/A 43418-2022 tillsynsbegäran.docx", "A 43418-2022")</f>
        <v/>
      </c>
      <c r="Y79">
        <f>HYPERLINK("https://klasma.github.io/Logging_2481/tillsynsmail/A 43418-2022 tillsynsbegäran mail.docx", "A 43418-2022")</f>
        <v/>
      </c>
    </row>
    <row r="80" ht="15" customHeight="1">
      <c r="A80" t="inlineStr">
        <is>
          <t>A 51554-2022</t>
        </is>
      </c>
      <c r="B80" s="1" t="n">
        <v>44869</v>
      </c>
      <c r="C80" s="1" t="n">
        <v>45337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4.2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HYPERLINK("https://klasma.github.io/Logging_2481/artfynd/A 51554-2022 artfynd.xlsx", "A 51554-2022")</f>
        <v/>
      </c>
      <c r="T80">
        <f>HYPERLINK("https://klasma.github.io/Logging_2481/kartor/A 51554-2022 karta.png", "A 51554-2022")</f>
        <v/>
      </c>
      <c r="V80">
        <f>HYPERLINK("https://klasma.github.io/Logging_2481/klagomål/A 51554-2022 FSC-klagomål.docx", "A 51554-2022")</f>
        <v/>
      </c>
      <c r="W80">
        <f>HYPERLINK("https://klasma.github.io/Logging_2481/klagomålsmail/A 51554-2022 FSC-klagomål mail.docx", "A 51554-2022")</f>
        <v/>
      </c>
      <c r="X80">
        <f>HYPERLINK("https://klasma.github.io/Logging_2481/tillsyn/A 51554-2022 tillsynsbegäran.docx", "A 51554-2022")</f>
        <v/>
      </c>
      <c r="Y80">
        <f>HYPERLINK("https://klasma.github.io/Logging_2481/tillsynsmail/A 51554-2022 tillsynsbegäran mail.docx", "A 51554-2022")</f>
        <v/>
      </c>
      <c r="Z80">
        <f>HYPERLINK("https://klasma.github.io/Logging_2481/fåglar/A 51554-2022 prioriterade fågelarter.docx", "A 51554-2022")</f>
        <v/>
      </c>
    </row>
    <row r="81" ht="15" customHeight="1">
      <c r="A81" t="inlineStr">
        <is>
          <t>A 57618-2022</t>
        </is>
      </c>
      <c r="B81" s="1" t="n">
        <v>44897</v>
      </c>
      <c r="C81" s="1" t="n">
        <v>45337</v>
      </c>
      <c r="D81" t="inlineStr">
        <is>
          <t>VÄSTERBOTTENS LÄN</t>
        </is>
      </c>
      <c r="E81" t="inlineStr">
        <is>
          <t>LYCKSELE</t>
        </is>
      </c>
      <c r="F81" t="inlineStr">
        <is>
          <t>Holmen skog AB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Flodpärlmussla</t>
        </is>
      </c>
      <c r="S81">
        <f>HYPERLINK("https://klasma.github.io/Logging_2481/artfynd/A 57618-2022 artfynd.xlsx", "A 57618-2022")</f>
        <v/>
      </c>
      <c r="T81">
        <f>HYPERLINK("https://klasma.github.io/Logging_2481/kartor/A 57618-2022 karta.png", "A 57618-2022")</f>
        <v/>
      </c>
      <c r="V81">
        <f>HYPERLINK("https://klasma.github.io/Logging_2481/klagomål/A 57618-2022 FSC-klagomål.docx", "A 57618-2022")</f>
        <v/>
      </c>
      <c r="W81">
        <f>HYPERLINK("https://klasma.github.io/Logging_2481/klagomålsmail/A 57618-2022 FSC-klagomål mail.docx", "A 57618-2022")</f>
        <v/>
      </c>
      <c r="X81">
        <f>HYPERLINK("https://klasma.github.io/Logging_2481/tillsyn/A 57618-2022 tillsynsbegäran.docx", "A 57618-2022")</f>
        <v/>
      </c>
      <c r="Y81">
        <f>HYPERLINK("https://klasma.github.io/Logging_2481/tillsynsmail/A 57618-2022 tillsynsbegäran mail.docx", "A 57618-2022")</f>
        <v/>
      </c>
    </row>
    <row r="82" ht="15" customHeight="1">
      <c r="A82" t="inlineStr">
        <is>
          <t>A 11552-2023</t>
        </is>
      </c>
      <c r="B82" s="1" t="n">
        <v>44993</v>
      </c>
      <c r="C82" s="1" t="n">
        <v>45337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11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Tornseglare</t>
        </is>
      </c>
      <c r="S82">
        <f>HYPERLINK("https://klasma.github.io/Logging_2481/artfynd/A 11552-2023 artfynd.xlsx", "A 11552-2023")</f>
        <v/>
      </c>
      <c r="T82">
        <f>HYPERLINK("https://klasma.github.io/Logging_2481/kartor/A 11552-2023 karta.png", "A 11552-2023")</f>
        <v/>
      </c>
      <c r="V82">
        <f>HYPERLINK("https://klasma.github.io/Logging_2481/klagomål/A 11552-2023 FSC-klagomål.docx", "A 11552-2023")</f>
        <v/>
      </c>
      <c r="W82">
        <f>HYPERLINK("https://klasma.github.io/Logging_2481/klagomålsmail/A 11552-2023 FSC-klagomål mail.docx", "A 11552-2023")</f>
        <v/>
      </c>
      <c r="X82">
        <f>HYPERLINK("https://klasma.github.io/Logging_2481/tillsyn/A 11552-2023 tillsynsbegäran.docx", "A 11552-2023")</f>
        <v/>
      </c>
      <c r="Y82">
        <f>HYPERLINK("https://klasma.github.io/Logging_2481/tillsynsmail/A 11552-2023 tillsynsbegäran mail.docx", "A 11552-2023")</f>
        <v/>
      </c>
      <c r="Z82">
        <f>HYPERLINK("https://klasma.github.io/Logging_2481/fåglar/A 11552-2023 prioriterade fågelarter.docx", "A 11552-2023")</f>
        <v/>
      </c>
    </row>
    <row r="83" ht="15" customHeight="1">
      <c r="A83" t="inlineStr">
        <is>
          <t>A 20940-2023</t>
        </is>
      </c>
      <c r="B83" s="1" t="n">
        <v>45061</v>
      </c>
      <c r="C83" s="1" t="n">
        <v>45337</v>
      </c>
      <c r="D83" t="inlineStr">
        <is>
          <t>VÄSTERBOTTENS LÄN</t>
        </is>
      </c>
      <c r="E83" t="inlineStr">
        <is>
          <t>LYCKSELE</t>
        </is>
      </c>
      <c r="G83" t="n">
        <v>4.6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HYPERLINK("https://klasma.github.io/Logging_2481/artfynd/A 20940-2023 artfynd.xlsx", "A 20940-2023")</f>
        <v/>
      </c>
      <c r="T83">
        <f>HYPERLINK("https://klasma.github.io/Logging_2481/kartor/A 20940-2023 karta.png", "A 20940-2023")</f>
        <v/>
      </c>
      <c r="V83">
        <f>HYPERLINK("https://klasma.github.io/Logging_2481/klagomål/A 20940-2023 FSC-klagomål.docx", "A 20940-2023")</f>
        <v/>
      </c>
      <c r="W83">
        <f>HYPERLINK("https://klasma.github.io/Logging_2481/klagomålsmail/A 20940-2023 FSC-klagomål mail.docx", "A 20940-2023")</f>
        <v/>
      </c>
      <c r="X83">
        <f>HYPERLINK("https://klasma.github.io/Logging_2481/tillsyn/A 20940-2023 tillsynsbegäran.docx", "A 20940-2023")</f>
        <v/>
      </c>
      <c r="Y83">
        <f>HYPERLINK("https://klasma.github.io/Logging_2481/tillsynsmail/A 20940-2023 tillsynsbegäran mail.docx", "A 20940-2023")</f>
        <v/>
      </c>
    </row>
    <row r="84" ht="15" customHeight="1">
      <c r="A84" t="inlineStr">
        <is>
          <t>A 27447-2023</t>
        </is>
      </c>
      <c r="B84" s="1" t="n">
        <v>45097</v>
      </c>
      <c r="C84" s="1" t="n">
        <v>45337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Gräddticka</t>
        </is>
      </c>
      <c r="S84">
        <f>HYPERLINK("https://klasma.github.io/Logging_2481/artfynd/A 27447-2023 artfynd.xlsx", "A 27447-2023")</f>
        <v/>
      </c>
      <c r="T84">
        <f>HYPERLINK("https://klasma.github.io/Logging_2481/kartor/A 27447-2023 karta.png", "A 27447-2023")</f>
        <v/>
      </c>
      <c r="V84">
        <f>HYPERLINK("https://klasma.github.io/Logging_2481/klagomål/A 27447-2023 FSC-klagomål.docx", "A 27447-2023")</f>
        <v/>
      </c>
      <c r="W84">
        <f>HYPERLINK("https://klasma.github.io/Logging_2481/klagomålsmail/A 27447-2023 FSC-klagomål mail.docx", "A 27447-2023")</f>
        <v/>
      </c>
      <c r="X84">
        <f>HYPERLINK("https://klasma.github.io/Logging_2481/tillsyn/A 27447-2023 tillsynsbegäran.docx", "A 27447-2023")</f>
        <v/>
      </c>
      <c r="Y84">
        <f>HYPERLINK("https://klasma.github.io/Logging_2481/tillsynsmail/A 27447-2023 tillsynsbegäran mail.docx", "A 27447-2023")</f>
        <v/>
      </c>
    </row>
    <row r="85" ht="15" customHeight="1">
      <c r="A85" t="inlineStr">
        <is>
          <t>A 29561-2023</t>
        </is>
      </c>
      <c r="B85" s="1" t="n">
        <v>45106</v>
      </c>
      <c r="C85" s="1" t="n">
        <v>45337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29561-2023 artfynd.xlsx", "A 29561-2023")</f>
        <v/>
      </c>
      <c r="T85">
        <f>HYPERLINK("https://klasma.github.io/Logging_2481/kartor/A 29561-2023 karta.png", "A 29561-2023")</f>
        <v/>
      </c>
      <c r="V85">
        <f>HYPERLINK("https://klasma.github.io/Logging_2481/klagomål/A 29561-2023 FSC-klagomål.docx", "A 29561-2023")</f>
        <v/>
      </c>
      <c r="W85">
        <f>HYPERLINK("https://klasma.github.io/Logging_2481/klagomålsmail/A 29561-2023 FSC-klagomål mail.docx", "A 29561-2023")</f>
        <v/>
      </c>
      <c r="X85">
        <f>HYPERLINK("https://klasma.github.io/Logging_2481/tillsyn/A 29561-2023 tillsynsbegäran.docx", "A 29561-2023")</f>
        <v/>
      </c>
      <c r="Y85">
        <f>HYPERLINK("https://klasma.github.io/Logging_2481/tillsynsmail/A 29561-2023 tillsynsbegäran mail.docx", "A 29561-2023")</f>
        <v/>
      </c>
    </row>
    <row r="86" ht="15" customHeight="1">
      <c r="A86" t="inlineStr">
        <is>
          <t>A 32661-2023</t>
        </is>
      </c>
      <c r="B86" s="1" t="n">
        <v>45121</v>
      </c>
      <c r="C86" s="1" t="n">
        <v>45337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HYPERLINK("https://klasma.github.io/Logging_2481/artfynd/A 32661-2023 artfynd.xlsx", "A 32661-2023")</f>
        <v/>
      </c>
      <c r="T86">
        <f>HYPERLINK("https://klasma.github.io/Logging_2481/kartor/A 32661-2023 karta.png", "A 32661-2023")</f>
        <v/>
      </c>
      <c r="V86">
        <f>HYPERLINK("https://klasma.github.io/Logging_2481/klagomål/A 32661-2023 FSC-klagomål.docx", "A 32661-2023")</f>
        <v/>
      </c>
      <c r="W86">
        <f>HYPERLINK("https://klasma.github.io/Logging_2481/klagomålsmail/A 32661-2023 FSC-klagomål mail.docx", "A 32661-2023")</f>
        <v/>
      </c>
      <c r="X86">
        <f>HYPERLINK("https://klasma.github.io/Logging_2481/tillsyn/A 32661-2023 tillsynsbegäran.docx", "A 32661-2023")</f>
        <v/>
      </c>
      <c r="Y86">
        <f>HYPERLINK("https://klasma.github.io/Logging_2481/tillsynsmail/A 32661-2023 tillsynsbegäran mail.docx", "A 32661-2023")</f>
        <v/>
      </c>
    </row>
    <row r="87" ht="15" customHeight="1">
      <c r="A87" t="inlineStr">
        <is>
          <t>A 34781-2023</t>
        </is>
      </c>
      <c r="B87" s="1" t="n">
        <v>45141</v>
      </c>
      <c r="C87" s="1" t="n">
        <v>45337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6.8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HYPERLINK("https://klasma.github.io/Logging_2481/artfynd/A 34781-2023 artfynd.xlsx", "A 34781-2023")</f>
        <v/>
      </c>
      <c r="T87">
        <f>HYPERLINK("https://klasma.github.io/Logging_2481/kartor/A 34781-2023 karta.png", "A 34781-2023")</f>
        <v/>
      </c>
      <c r="V87">
        <f>HYPERLINK("https://klasma.github.io/Logging_2481/klagomål/A 34781-2023 FSC-klagomål.docx", "A 34781-2023")</f>
        <v/>
      </c>
      <c r="W87">
        <f>HYPERLINK("https://klasma.github.io/Logging_2481/klagomålsmail/A 34781-2023 FSC-klagomål mail.docx", "A 34781-2023")</f>
        <v/>
      </c>
      <c r="X87">
        <f>HYPERLINK("https://klasma.github.io/Logging_2481/tillsyn/A 34781-2023 tillsynsbegäran.docx", "A 34781-2023")</f>
        <v/>
      </c>
      <c r="Y87">
        <f>HYPERLINK("https://klasma.github.io/Logging_2481/tillsynsmail/A 34781-2023 tillsynsbegäran mail.docx", "A 34781-2023")</f>
        <v/>
      </c>
    </row>
    <row r="88" ht="15" customHeight="1">
      <c r="A88" t="inlineStr">
        <is>
          <t>A 34871-2023</t>
        </is>
      </c>
      <c r="B88" s="1" t="n">
        <v>45142</v>
      </c>
      <c r="C88" s="1" t="n">
        <v>45337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HYPERLINK("https://klasma.github.io/Logging_2481/artfynd/A 34871-2023 artfynd.xlsx", "A 34871-2023")</f>
        <v/>
      </c>
      <c r="T88">
        <f>HYPERLINK("https://klasma.github.io/Logging_2481/kartor/A 34871-2023 karta.png", "A 34871-2023")</f>
        <v/>
      </c>
      <c r="V88">
        <f>HYPERLINK("https://klasma.github.io/Logging_2481/klagomål/A 34871-2023 FSC-klagomål.docx", "A 34871-2023")</f>
        <v/>
      </c>
      <c r="W88">
        <f>HYPERLINK("https://klasma.github.io/Logging_2481/klagomålsmail/A 34871-2023 FSC-klagomål mail.docx", "A 34871-2023")</f>
        <v/>
      </c>
      <c r="X88">
        <f>HYPERLINK("https://klasma.github.io/Logging_2481/tillsyn/A 34871-2023 tillsynsbegäran.docx", "A 34871-2023")</f>
        <v/>
      </c>
      <c r="Y88">
        <f>HYPERLINK("https://klasma.github.io/Logging_2481/tillsynsmail/A 34871-2023 tillsynsbegäran mail.docx", "A 34871-2023")</f>
        <v/>
      </c>
    </row>
    <row r="89" ht="15" customHeight="1">
      <c r="A89" t="inlineStr">
        <is>
          <t>A 37612-2023</t>
        </is>
      </c>
      <c r="B89" s="1" t="n">
        <v>45159</v>
      </c>
      <c r="C89" s="1" t="n">
        <v>45337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3.6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HYPERLINK("https://klasma.github.io/Logging_2481/artfynd/A 37612-2023 artfynd.xlsx", "A 37612-2023")</f>
        <v/>
      </c>
      <c r="T89">
        <f>HYPERLINK("https://klasma.github.io/Logging_2481/kartor/A 37612-2023 karta.png", "A 37612-2023")</f>
        <v/>
      </c>
      <c r="V89">
        <f>HYPERLINK("https://klasma.github.io/Logging_2481/klagomål/A 37612-2023 FSC-klagomål.docx", "A 37612-2023")</f>
        <v/>
      </c>
      <c r="W89">
        <f>HYPERLINK("https://klasma.github.io/Logging_2481/klagomålsmail/A 37612-2023 FSC-klagomål mail.docx", "A 37612-2023")</f>
        <v/>
      </c>
      <c r="X89">
        <f>HYPERLINK("https://klasma.github.io/Logging_2481/tillsyn/A 37612-2023 tillsynsbegäran.docx", "A 37612-2023")</f>
        <v/>
      </c>
      <c r="Y89">
        <f>HYPERLINK("https://klasma.github.io/Logging_2481/tillsynsmail/A 37612-2023 tillsynsbegäran mail.docx", "A 37612-2023")</f>
        <v/>
      </c>
    </row>
    <row r="90" ht="15" customHeight="1">
      <c r="A90" t="inlineStr">
        <is>
          <t>A 38507-2023</t>
        </is>
      </c>
      <c r="B90" s="1" t="n">
        <v>45162</v>
      </c>
      <c r="C90" s="1" t="n">
        <v>45337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HYPERLINK("https://klasma.github.io/Logging_2481/artfynd/A 38507-2023 artfynd.xlsx", "A 38507-2023")</f>
        <v/>
      </c>
      <c r="T90">
        <f>HYPERLINK("https://klasma.github.io/Logging_2481/kartor/A 38507-2023 karta.png", "A 38507-2023")</f>
        <v/>
      </c>
      <c r="V90">
        <f>HYPERLINK("https://klasma.github.io/Logging_2481/klagomål/A 38507-2023 FSC-klagomål.docx", "A 38507-2023")</f>
        <v/>
      </c>
      <c r="W90">
        <f>HYPERLINK("https://klasma.github.io/Logging_2481/klagomålsmail/A 38507-2023 FSC-klagomål mail.docx", "A 38507-2023")</f>
        <v/>
      </c>
      <c r="X90">
        <f>HYPERLINK("https://klasma.github.io/Logging_2481/tillsyn/A 38507-2023 tillsynsbegäran.docx", "A 38507-2023")</f>
        <v/>
      </c>
      <c r="Y90">
        <f>HYPERLINK("https://klasma.github.io/Logging_2481/tillsynsmail/A 38507-2023 tillsynsbegäran mail.docx", "A 38507-2023")</f>
        <v/>
      </c>
    </row>
    <row r="91" ht="15" customHeight="1">
      <c r="A91" t="inlineStr">
        <is>
          <t>A 40526-2023</t>
        </is>
      </c>
      <c r="B91" s="1" t="n">
        <v>45170</v>
      </c>
      <c r="C91" s="1" t="n">
        <v>45337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40526-2023 artfynd.xlsx", "A 40526-2023")</f>
        <v/>
      </c>
      <c r="T91">
        <f>HYPERLINK("https://klasma.github.io/Logging_2481/kartor/A 40526-2023 karta.png", "A 40526-2023")</f>
        <v/>
      </c>
      <c r="V91">
        <f>HYPERLINK("https://klasma.github.io/Logging_2481/klagomål/A 40526-2023 FSC-klagomål.docx", "A 40526-2023")</f>
        <v/>
      </c>
      <c r="W91">
        <f>HYPERLINK("https://klasma.github.io/Logging_2481/klagomålsmail/A 40526-2023 FSC-klagomål mail.docx", "A 40526-2023")</f>
        <v/>
      </c>
      <c r="X91">
        <f>HYPERLINK("https://klasma.github.io/Logging_2481/tillsyn/A 40526-2023 tillsynsbegäran.docx", "A 40526-2023")</f>
        <v/>
      </c>
      <c r="Y91">
        <f>HYPERLINK("https://klasma.github.io/Logging_2481/tillsynsmail/A 40526-2023 tillsynsbegäran mail.docx", "A 40526-2023")</f>
        <v/>
      </c>
    </row>
    <row r="92" ht="15" customHeight="1">
      <c r="A92" t="inlineStr">
        <is>
          <t>A 41432-2023</t>
        </is>
      </c>
      <c r="B92" s="1" t="n">
        <v>45175</v>
      </c>
      <c r="C92" s="1" t="n">
        <v>45337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3.4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HYPERLINK("https://klasma.github.io/Logging_2481/artfynd/A 41432-2023 artfynd.xlsx", "A 41432-2023")</f>
        <v/>
      </c>
      <c r="T92">
        <f>HYPERLINK("https://klasma.github.io/Logging_2481/kartor/A 41432-2023 karta.png", "A 41432-2023")</f>
        <v/>
      </c>
      <c r="V92">
        <f>HYPERLINK("https://klasma.github.io/Logging_2481/klagomål/A 41432-2023 FSC-klagomål.docx", "A 41432-2023")</f>
        <v/>
      </c>
      <c r="W92">
        <f>HYPERLINK("https://klasma.github.io/Logging_2481/klagomålsmail/A 41432-2023 FSC-klagomål mail.docx", "A 41432-2023")</f>
        <v/>
      </c>
      <c r="X92">
        <f>HYPERLINK("https://klasma.github.io/Logging_2481/tillsyn/A 41432-2023 tillsynsbegäran.docx", "A 41432-2023")</f>
        <v/>
      </c>
      <c r="Y92">
        <f>HYPERLINK("https://klasma.github.io/Logging_2481/tillsynsmail/A 41432-2023 tillsynsbegäran mail.docx", "A 41432-2023")</f>
        <v/>
      </c>
    </row>
    <row r="93" ht="15" customHeight="1">
      <c r="A93" t="inlineStr">
        <is>
          <t>A 43619-2023</t>
        </is>
      </c>
      <c r="B93" s="1" t="n">
        <v>45184</v>
      </c>
      <c r="C93" s="1" t="n">
        <v>45337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HYPERLINK("https://klasma.github.io/Logging_2481/artfynd/A 43619-2023 artfynd.xlsx", "A 43619-2023")</f>
        <v/>
      </c>
      <c r="T93">
        <f>HYPERLINK("https://klasma.github.io/Logging_2481/kartor/A 43619-2023 karta.png", "A 43619-2023")</f>
        <v/>
      </c>
      <c r="V93">
        <f>HYPERLINK("https://klasma.github.io/Logging_2481/klagomål/A 43619-2023 FSC-klagomål.docx", "A 43619-2023")</f>
        <v/>
      </c>
      <c r="W93">
        <f>HYPERLINK("https://klasma.github.io/Logging_2481/klagomålsmail/A 43619-2023 FSC-klagomål mail.docx", "A 43619-2023")</f>
        <v/>
      </c>
      <c r="X93">
        <f>HYPERLINK("https://klasma.github.io/Logging_2481/tillsyn/A 43619-2023 tillsynsbegäran.docx", "A 43619-2023")</f>
        <v/>
      </c>
      <c r="Y93">
        <f>HYPERLINK("https://klasma.github.io/Logging_2481/tillsynsmail/A 43619-2023 tillsynsbegäran mail.docx", "A 43619-2023")</f>
        <v/>
      </c>
    </row>
    <row r="94" ht="15" customHeight="1">
      <c r="A94" t="inlineStr">
        <is>
          <t>A 43616-2023</t>
        </is>
      </c>
      <c r="B94" s="1" t="n">
        <v>45184</v>
      </c>
      <c r="C94" s="1" t="n">
        <v>45337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HYPERLINK("https://klasma.github.io/Logging_2481/artfynd/A 43616-2023 artfynd.xlsx", "A 43616-2023")</f>
        <v/>
      </c>
      <c r="T94">
        <f>HYPERLINK("https://klasma.github.io/Logging_2481/kartor/A 43616-2023 karta.png", "A 43616-2023")</f>
        <v/>
      </c>
      <c r="V94">
        <f>HYPERLINK("https://klasma.github.io/Logging_2481/klagomål/A 43616-2023 FSC-klagomål.docx", "A 43616-2023")</f>
        <v/>
      </c>
      <c r="W94">
        <f>HYPERLINK("https://klasma.github.io/Logging_2481/klagomålsmail/A 43616-2023 FSC-klagomål mail.docx", "A 43616-2023")</f>
        <v/>
      </c>
      <c r="X94">
        <f>HYPERLINK("https://klasma.github.io/Logging_2481/tillsyn/A 43616-2023 tillsynsbegäran.docx", "A 43616-2023")</f>
        <v/>
      </c>
      <c r="Y94">
        <f>HYPERLINK("https://klasma.github.io/Logging_2481/tillsynsmail/A 43616-2023 tillsynsbegäran mail.docx", "A 43616-2023")</f>
        <v/>
      </c>
    </row>
    <row r="95" ht="15" customHeight="1">
      <c r="A95" t="inlineStr">
        <is>
          <t>A 44194-2023</t>
        </is>
      </c>
      <c r="B95" s="1" t="n">
        <v>45188</v>
      </c>
      <c r="C95" s="1" t="n">
        <v>45337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12.5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HYPERLINK("https://klasma.github.io/Logging_2481/artfynd/A 44194-2023 artfynd.xlsx", "A 44194-2023")</f>
        <v/>
      </c>
      <c r="T95">
        <f>HYPERLINK("https://klasma.github.io/Logging_2481/kartor/A 44194-2023 karta.png", "A 44194-2023")</f>
        <v/>
      </c>
      <c r="V95">
        <f>HYPERLINK("https://klasma.github.io/Logging_2481/klagomål/A 44194-2023 FSC-klagomål.docx", "A 44194-2023")</f>
        <v/>
      </c>
      <c r="W95">
        <f>HYPERLINK("https://klasma.github.io/Logging_2481/klagomålsmail/A 44194-2023 FSC-klagomål mail.docx", "A 44194-2023")</f>
        <v/>
      </c>
      <c r="X95">
        <f>HYPERLINK("https://klasma.github.io/Logging_2481/tillsyn/A 44194-2023 tillsynsbegäran.docx", "A 44194-2023")</f>
        <v/>
      </c>
      <c r="Y95">
        <f>HYPERLINK("https://klasma.github.io/Logging_2481/tillsynsmail/A 44194-2023 tillsynsbegäran mail.docx", "A 44194-2023")</f>
        <v/>
      </c>
    </row>
    <row r="96" ht="15" customHeight="1">
      <c r="A96" t="inlineStr">
        <is>
          <t>A 46114-2023</t>
        </is>
      </c>
      <c r="B96" s="1" t="n">
        <v>45196</v>
      </c>
      <c r="C96" s="1" t="n">
        <v>45337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46114-2023 artfynd.xlsx", "A 46114-2023")</f>
        <v/>
      </c>
      <c r="T96">
        <f>HYPERLINK("https://klasma.github.io/Logging_2481/kartor/A 46114-2023 karta.png", "A 46114-2023")</f>
        <v/>
      </c>
      <c r="V96">
        <f>HYPERLINK("https://klasma.github.io/Logging_2481/klagomål/A 46114-2023 FSC-klagomål.docx", "A 46114-2023")</f>
        <v/>
      </c>
      <c r="W96">
        <f>HYPERLINK("https://klasma.github.io/Logging_2481/klagomålsmail/A 46114-2023 FSC-klagomål mail.docx", "A 46114-2023")</f>
        <v/>
      </c>
      <c r="X96">
        <f>HYPERLINK("https://klasma.github.io/Logging_2481/tillsyn/A 46114-2023 tillsynsbegäran.docx", "A 46114-2023")</f>
        <v/>
      </c>
      <c r="Y96">
        <f>HYPERLINK("https://klasma.github.io/Logging_2481/tillsynsmail/A 46114-2023 tillsynsbegäran mail.docx", "A 46114-2023")</f>
        <v/>
      </c>
    </row>
    <row r="97" ht="15" customHeight="1">
      <c r="A97" t="inlineStr">
        <is>
          <t>A 50813-2023</t>
        </is>
      </c>
      <c r="B97" s="1" t="n">
        <v>45217</v>
      </c>
      <c r="C97" s="1" t="n">
        <v>45337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14.7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50813-2023 artfynd.xlsx", "A 50813-2023")</f>
        <v/>
      </c>
      <c r="T97">
        <f>HYPERLINK("https://klasma.github.io/Logging_2481/kartor/A 50813-2023 karta.png", "A 50813-2023")</f>
        <v/>
      </c>
      <c r="V97">
        <f>HYPERLINK("https://klasma.github.io/Logging_2481/klagomål/A 50813-2023 FSC-klagomål.docx", "A 50813-2023")</f>
        <v/>
      </c>
      <c r="W97">
        <f>HYPERLINK("https://klasma.github.io/Logging_2481/klagomålsmail/A 50813-2023 FSC-klagomål mail.docx", "A 50813-2023")</f>
        <v/>
      </c>
      <c r="X97">
        <f>HYPERLINK("https://klasma.github.io/Logging_2481/tillsyn/A 50813-2023 tillsynsbegäran.docx", "A 50813-2023")</f>
        <v/>
      </c>
      <c r="Y97">
        <f>HYPERLINK("https://klasma.github.io/Logging_2481/tillsynsmail/A 50813-2023 tillsynsbegäran mail.docx", "A 50813-2023")</f>
        <v/>
      </c>
    </row>
    <row r="98" ht="15" customHeight="1">
      <c r="A98" t="inlineStr">
        <is>
          <t>A 50997-2023</t>
        </is>
      </c>
      <c r="B98" s="1" t="n">
        <v>45218</v>
      </c>
      <c r="C98" s="1" t="n">
        <v>45337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50997-2023 artfynd.xlsx", "A 50997-2023")</f>
        <v/>
      </c>
      <c r="T98">
        <f>HYPERLINK("https://klasma.github.io/Logging_2481/kartor/A 50997-2023 karta.png", "A 50997-2023")</f>
        <v/>
      </c>
      <c r="V98">
        <f>HYPERLINK("https://klasma.github.io/Logging_2481/klagomål/A 50997-2023 FSC-klagomål.docx", "A 50997-2023")</f>
        <v/>
      </c>
      <c r="W98">
        <f>HYPERLINK("https://klasma.github.io/Logging_2481/klagomålsmail/A 50997-2023 FSC-klagomål mail.docx", "A 50997-2023")</f>
        <v/>
      </c>
      <c r="X98">
        <f>HYPERLINK("https://klasma.github.io/Logging_2481/tillsyn/A 50997-2023 tillsynsbegäran.docx", "A 50997-2023")</f>
        <v/>
      </c>
      <c r="Y98">
        <f>HYPERLINK("https://klasma.github.io/Logging_2481/tillsynsmail/A 50997-2023 tillsynsbegäran mail.docx", "A 50997-2023")</f>
        <v/>
      </c>
    </row>
    <row r="99" ht="15" customHeight="1">
      <c r="A99" t="inlineStr">
        <is>
          <t>A 52929-2023</t>
        </is>
      </c>
      <c r="B99" s="1" t="n">
        <v>45226</v>
      </c>
      <c r="C99" s="1" t="n">
        <v>45337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8.4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52929-2023 artfynd.xlsx", "A 52929-2023")</f>
        <v/>
      </c>
      <c r="T99">
        <f>HYPERLINK("https://klasma.github.io/Logging_2481/kartor/A 52929-2023 karta.png", "A 52929-2023")</f>
        <v/>
      </c>
      <c r="V99">
        <f>HYPERLINK("https://klasma.github.io/Logging_2481/klagomål/A 52929-2023 FSC-klagomål.docx", "A 52929-2023")</f>
        <v/>
      </c>
      <c r="W99">
        <f>HYPERLINK("https://klasma.github.io/Logging_2481/klagomålsmail/A 52929-2023 FSC-klagomål mail.docx", "A 52929-2023")</f>
        <v/>
      </c>
      <c r="X99">
        <f>HYPERLINK("https://klasma.github.io/Logging_2481/tillsyn/A 52929-2023 tillsynsbegäran.docx", "A 52929-2023")</f>
        <v/>
      </c>
      <c r="Y99">
        <f>HYPERLINK("https://klasma.github.io/Logging_2481/tillsynsmail/A 52929-2023 tillsynsbegäran mail.docx", "A 52929-2023")</f>
        <v/>
      </c>
    </row>
    <row r="100" ht="15" customHeight="1">
      <c r="A100" t="inlineStr">
        <is>
          <t>A 53869-2023</t>
        </is>
      </c>
      <c r="B100" s="1" t="n">
        <v>45231</v>
      </c>
      <c r="C100" s="1" t="n">
        <v>45337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5.6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53869-2023 artfynd.xlsx", "A 53869-2023")</f>
        <v/>
      </c>
      <c r="T100">
        <f>HYPERLINK("https://klasma.github.io/Logging_2481/kartor/A 53869-2023 karta.png", "A 53869-2023")</f>
        <v/>
      </c>
      <c r="V100">
        <f>HYPERLINK("https://klasma.github.io/Logging_2481/klagomål/A 53869-2023 FSC-klagomål.docx", "A 53869-2023")</f>
        <v/>
      </c>
      <c r="W100">
        <f>HYPERLINK("https://klasma.github.io/Logging_2481/klagomålsmail/A 53869-2023 FSC-klagomål mail.docx", "A 53869-2023")</f>
        <v/>
      </c>
      <c r="X100">
        <f>HYPERLINK("https://klasma.github.io/Logging_2481/tillsyn/A 53869-2023 tillsynsbegäran.docx", "A 53869-2023")</f>
        <v/>
      </c>
      <c r="Y100">
        <f>HYPERLINK("https://klasma.github.io/Logging_2481/tillsynsmail/A 53869-2023 tillsynsbegäran mail.docx", "A 53869-2023")</f>
        <v/>
      </c>
    </row>
    <row r="101" ht="15" customHeight="1">
      <c r="A101" t="inlineStr">
        <is>
          <t>A 58657-2023</t>
        </is>
      </c>
      <c r="B101" s="1" t="n">
        <v>45251</v>
      </c>
      <c r="C101" s="1" t="n">
        <v>45337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Bollvitmossa</t>
        </is>
      </c>
      <c r="S101">
        <f>HYPERLINK("https://klasma.github.io/Logging_2481/artfynd/A 58657-2023 artfynd.xlsx", "A 58657-2023")</f>
        <v/>
      </c>
      <c r="T101">
        <f>HYPERLINK("https://klasma.github.io/Logging_2481/kartor/A 58657-2023 karta.png", "A 58657-2023")</f>
        <v/>
      </c>
      <c r="V101">
        <f>HYPERLINK("https://klasma.github.io/Logging_2481/klagomål/A 58657-2023 FSC-klagomål.docx", "A 58657-2023")</f>
        <v/>
      </c>
      <c r="W101">
        <f>HYPERLINK("https://klasma.github.io/Logging_2481/klagomålsmail/A 58657-2023 FSC-klagomål mail.docx", "A 58657-2023")</f>
        <v/>
      </c>
      <c r="X101">
        <f>HYPERLINK("https://klasma.github.io/Logging_2481/tillsyn/A 58657-2023 tillsynsbegäran.docx", "A 58657-2023")</f>
        <v/>
      </c>
      <c r="Y101">
        <f>HYPERLINK("https://klasma.github.io/Logging_2481/tillsynsmail/A 58657-2023 tillsynsbegäran mail.docx", "A 58657-2023")</f>
        <v/>
      </c>
    </row>
    <row r="102" ht="15" customHeight="1">
      <c r="A102" t="inlineStr">
        <is>
          <t>A 59300-2023</t>
        </is>
      </c>
      <c r="B102" s="1" t="n">
        <v>45253</v>
      </c>
      <c r="C102" s="1" t="n">
        <v>45337</v>
      </c>
      <c r="D102" t="inlineStr">
        <is>
          <t>VÄSTERBOTTENS LÄN</t>
        </is>
      </c>
      <c r="E102" t="inlineStr">
        <is>
          <t>LYCKSELE</t>
        </is>
      </c>
      <c r="G102" t="n">
        <v>22.1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HYPERLINK("https://klasma.github.io/Logging_2481/artfynd/A 59300-2023 artfynd.xlsx", "A 59300-2023")</f>
        <v/>
      </c>
      <c r="T102">
        <f>HYPERLINK("https://klasma.github.io/Logging_2481/kartor/A 59300-2023 karta.png", "A 59300-2023")</f>
        <v/>
      </c>
      <c r="V102">
        <f>HYPERLINK("https://klasma.github.io/Logging_2481/klagomål/A 59300-2023 FSC-klagomål.docx", "A 59300-2023")</f>
        <v/>
      </c>
      <c r="W102">
        <f>HYPERLINK("https://klasma.github.io/Logging_2481/klagomålsmail/A 59300-2023 FSC-klagomål mail.docx", "A 59300-2023")</f>
        <v/>
      </c>
      <c r="X102">
        <f>HYPERLINK("https://klasma.github.io/Logging_2481/tillsyn/A 59300-2023 tillsynsbegäran.docx", "A 59300-2023")</f>
        <v/>
      </c>
      <c r="Y102">
        <f>HYPERLINK("https://klasma.github.io/Logging_2481/tillsynsmail/A 59300-2023 tillsynsbegäran mail.docx", "A 59300-2023")</f>
        <v/>
      </c>
    </row>
    <row r="103" ht="15" customHeight="1">
      <c r="A103" t="inlineStr">
        <is>
          <t>A 61590-2023</t>
        </is>
      </c>
      <c r="B103" s="1" t="n">
        <v>45265</v>
      </c>
      <c r="C103" s="1" t="n">
        <v>45337</v>
      </c>
      <c r="D103" t="inlineStr">
        <is>
          <t>VÄSTERBOTTENS LÄN</t>
        </is>
      </c>
      <c r="E103" t="inlineStr">
        <is>
          <t>LYCKSELE</t>
        </is>
      </c>
      <c r="G103" t="n">
        <v>8.800000000000001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HYPERLINK("https://klasma.github.io/Logging_2481/artfynd/A 61590-2023 artfynd.xlsx", "A 61590-2023")</f>
        <v/>
      </c>
      <c r="T103">
        <f>HYPERLINK("https://klasma.github.io/Logging_2481/kartor/A 61590-2023 karta.png", "A 61590-2023")</f>
        <v/>
      </c>
      <c r="V103">
        <f>HYPERLINK("https://klasma.github.io/Logging_2481/klagomål/A 61590-2023 FSC-klagomål.docx", "A 61590-2023")</f>
        <v/>
      </c>
      <c r="W103">
        <f>HYPERLINK("https://klasma.github.io/Logging_2481/klagomålsmail/A 61590-2023 FSC-klagomål mail.docx", "A 61590-2023")</f>
        <v/>
      </c>
      <c r="X103">
        <f>HYPERLINK("https://klasma.github.io/Logging_2481/tillsyn/A 61590-2023 tillsynsbegäran.docx", "A 61590-2023")</f>
        <v/>
      </c>
      <c r="Y103">
        <f>HYPERLINK("https://klasma.github.io/Logging_2481/tillsynsmail/A 61590-2023 tillsynsbegäran mail.docx", "A 61590-2023")</f>
        <v/>
      </c>
    </row>
    <row r="104" ht="15" customHeight="1">
      <c r="A104" t="inlineStr">
        <is>
          <t>A 1778-2024</t>
        </is>
      </c>
      <c r="B104" s="1" t="n">
        <v>45307</v>
      </c>
      <c r="C104" s="1" t="n">
        <v>45337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9.800000000000001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1778-2024 artfynd.xlsx", "A 1778-2024")</f>
        <v/>
      </c>
      <c r="T104">
        <f>HYPERLINK("https://klasma.github.io/Logging_2481/kartor/A 1778-2024 karta.png", "A 1778-2024")</f>
        <v/>
      </c>
      <c r="V104">
        <f>HYPERLINK("https://klasma.github.io/Logging_2481/klagomål/A 1778-2024 FSC-klagomål.docx", "A 1778-2024")</f>
        <v/>
      </c>
      <c r="W104">
        <f>HYPERLINK("https://klasma.github.io/Logging_2481/klagomålsmail/A 1778-2024 FSC-klagomål mail.docx", "A 1778-2024")</f>
        <v/>
      </c>
      <c r="X104">
        <f>HYPERLINK("https://klasma.github.io/Logging_2481/tillsyn/A 1778-2024 tillsynsbegäran.docx", "A 1778-2024")</f>
        <v/>
      </c>
      <c r="Y104">
        <f>HYPERLINK("https://klasma.github.io/Logging_2481/tillsynsmail/A 1778-2024 tillsynsbegäran mail.docx", "A 1778-2024")</f>
        <v/>
      </c>
    </row>
    <row r="105" ht="15" customHeight="1">
      <c r="A105" t="inlineStr">
        <is>
          <t>A 1936-2024</t>
        </is>
      </c>
      <c r="B105" s="1" t="n">
        <v>45308</v>
      </c>
      <c r="C105" s="1" t="n">
        <v>45337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Orange taggsvamp</t>
        </is>
      </c>
      <c r="S105">
        <f>HYPERLINK("https://klasma.github.io/Logging_2481/artfynd/A 1936-2024 artfynd.xlsx", "A 1936-2024")</f>
        <v/>
      </c>
      <c r="T105">
        <f>HYPERLINK("https://klasma.github.io/Logging_2481/kartor/A 1936-2024 karta.png", "A 1936-2024")</f>
        <v/>
      </c>
      <c r="V105">
        <f>HYPERLINK("https://klasma.github.io/Logging_2481/klagomål/A 1936-2024 FSC-klagomål.docx", "A 1936-2024")</f>
        <v/>
      </c>
      <c r="W105">
        <f>HYPERLINK("https://klasma.github.io/Logging_2481/klagomålsmail/A 1936-2024 FSC-klagomål mail.docx", "A 1936-2024")</f>
        <v/>
      </c>
      <c r="X105">
        <f>HYPERLINK("https://klasma.github.io/Logging_2481/tillsyn/A 1936-2024 tillsynsbegäran.docx", "A 1936-2024")</f>
        <v/>
      </c>
      <c r="Y105">
        <f>HYPERLINK("https://klasma.github.io/Logging_2481/tillsynsmail/A 1936-2024 tillsynsbegäran mail.docx", "A 1936-2024")</f>
        <v/>
      </c>
    </row>
    <row r="106" ht="15" customHeight="1">
      <c r="A106" t="inlineStr">
        <is>
          <t>A 1973-2024</t>
        </is>
      </c>
      <c r="B106" s="1" t="n">
        <v>45308</v>
      </c>
      <c r="C106" s="1" t="n">
        <v>45337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HYPERLINK("https://klasma.github.io/Logging_2481/artfynd/A 1973-2024 artfynd.xlsx", "A 1973-2024")</f>
        <v/>
      </c>
      <c r="T106">
        <f>HYPERLINK("https://klasma.github.io/Logging_2481/kartor/A 1973-2024 karta.png", "A 1973-2024")</f>
        <v/>
      </c>
      <c r="V106">
        <f>HYPERLINK("https://klasma.github.io/Logging_2481/klagomål/A 1973-2024 FSC-klagomål.docx", "A 1973-2024")</f>
        <v/>
      </c>
      <c r="W106">
        <f>HYPERLINK("https://klasma.github.io/Logging_2481/klagomålsmail/A 1973-2024 FSC-klagomål mail.docx", "A 1973-2024")</f>
        <v/>
      </c>
      <c r="X106">
        <f>HYPERLINK("https://klasma.github.io/Logging_2481/tillsyn/A 1973-2024 tillsynsbegäran.docx", "A 1973-2024")</f>
        <v/>
      </c>
      <c r="Y106">
        <f>HYPERLINK("https://klasma.github.io/Logging_2481/tillsynsmail/A 1973-2024 tillsynsbegäran mail.docx", "A 1973-2024")</f>
        <v/>
      </c>
    </row>
    <row r="107" ht="15" customHeight="1">
      <c r="A107" t="inlineStr">
        <is>
          <t>A 36544-2018</t>
        </is>
      </c>
      <c r="B107" s="1" t="n">
        <v>43328</v>
      </c>
      <c r="C107" s="1" t="n">
        <v>45337</v>
      </c>
      <c r="D107" t="inlineStr">
        <is>
          <t>VÄSTERBOTTENS LÄN</t>
        </is>
      </c>
      <c r="E107" t="inlineStr">
        <is>
          <t>LYCKSELE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37706-2018</t>
        </is>
      </c>
      <c r="B108" s="1" t="n">
        <v>43334</v>
      </c>
      <c r="C108" s="1" t="n">
        <v>45337</v>
      </c>
      <c r="D108" t="inlineStr">
        <is>
          <t>VÄSTERBOTTENS LÄN</t>
        </is>
      </c>
      <c r="E108" t="inlineStr">
        <is>
          <t>LYCKSELE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38681-2018</t>
        </is>
      </c>
      <c r="B109" s="1" t="n">
        <v>43335</v>
      </c>
      <c r="C109" s="1" t="n">
        <v>45337</v>
      </c>
      <c r="D109" t="inlineStr">
        <is>
          <t>VÄSTERBOTTENS LÄN</t>
        </is>
      </c>
      <c r="E109" t="inlineStr">
        <is>
          <t>LYCKSELE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38120-2018</t>
        </is>
      </c>
      <c r="B110" s="1" t="n">
        <v>43336</v>
      </c>
      <c r="C110" s="1" t="n">
        <v>45337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39514-2018</t>
        </is>
      </c>
      <c r="B111" s="1" t="n">
        <v>43340</v>
      </c>
      <c r="C111" s="1" t="n">
        <v>45337</v>
      </c>
      <c r="D111" t="inlineStr">
        <is>
          <t>VÄSTERBOTTENS LÄN</t>
        </is>
      </c>
      <c r="E111" t="inlineStr">
        <is>
          <t>LYCKSELE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40629-2018</t>
        </is>
      </c>
      <c r="B112" s="1" t="n">
        <v>43343</v>
      </c>
      <c r="C112" s="1" t="n">
        <v>45337</v>
      </c>
      <c r="D112" t="inlineStr">
        <is>
          <t>VÄSTERBOTTENS LÄN</t>
        </is>
      </c>
      <c r="E112" t="inlineStr">
        <is>
          <t>LYCKSELE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42519-2018</t>
        </is>
      </c>
      <c r="B113" s="1" t="n">
        <v>43349</v>
      </c>
      <c r="C113" s="1" t="n">
        <v>45337</v>
      </c>
      <c r="D113" t="inlineStr">
        <is>
          <t>VÄSTERBOTTENS LÄN</t>
        </is>
      </c>
      <c r="E113" t="inlineStr">
        <is>
          <t>LYCKSELE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42366-2018</t>
        </is>
      </c>
      <c r="B114" s="1" t="n">
        <v>43349</v>
      </c>
      <c r="C114" s="1" t="n">
        <v>45337</v>
      </c>
      <c r="D114" t="inlineStr">
        <is>
          <t>VÄSTERBOTTENS LÄN</t>
        </is>
      </c>
      <c r="E114" t="inlineStr">
        <is>
          <t>LYCKSELE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43421-2018</t>
        </is>
      </c>
      <c r="B115" s="1" t="n">
        <v>43356</v>
      </c>
      <c r="C115" s="1" t="n">
        <v>45337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Holmen skog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43397-2018</t>
        </is>
      </c>
      <c r="B116" s="1" t="n">
        <v>43356</v>
      </c>
      <c r="C116" s="1" t="n">
        <v>45337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44351-2018</t>
        </is>
      </c>
      <c r="B117" s="1" t="n">
        <v>43360</v>
      </c>
      <c r="C117" s="1" t="n">
        <v>45337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47104-2018</t>
        </is>
      </c>
      <c r="B118" s="1" t="n">
        <v>43364</v>
      </c>
      <c r="C118" s="1" t="n">
        <v>45337</v>
      </c>
      <c r="D118" t="inlineStr">
        <is>
          <t>VÄSTERBOTTENS LÄN</t>
        </is>
      </c>
      <c r="E118" t="inlineStr">
        <is>
          <t>LYCKSELE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50276-2018</t>
        </is>
      </c>
      <c r="B119" s="1" t="n">
        <v>43378</v>
      </c>
      <c r="C119" s="1" t="n">
        <v>45337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52361-2018</t>
        </is>
      </c>
      <c r="B120" s="1" t="n">
        <v>43382</v>
      </c>
      <c r="C120" s="1" t="n">
        <v>45337</v>
      </c>
      <c r="D120" t="inlineStr">
        <is>
          <t>VÄSTERBOTTENS LÄN</t>
        </is>
      </c>
      <c r="E120" t="inlineStr">
        <is>
          <t>LYCKSELE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55700-2018</t>
        </is>
      </c>
      <c r="B121" s="1" t="n">
        <v>43395</v>
      </c>
      <c r="C121" s="1" t="n">
        <v>45337</v>
      </c>
      <c r="D121" t="inlineStr">
        <is>
          <t>VÄSTERBOTTENS LÄN</t>
        </is>
      </c>
      <c r="E121" t="inlineStr">
        <is>
          <t>LYCKSELE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58386-2018</t>
        </is>
      </c>
      <c r="B122" s="1" t="n">
        <v>43398</v>
      </c>
      <c r="C122" s="1" t="n">
        <v>45337</v>
      </c>
      <c r="D122" t="inlineStr">
        <is>
          <t>VÄSTERBOTTENS LÄN</t>
        </is>
      </c>
      <c r="E122" t="inlineStr">
        <is>
          <t>LYCKSELE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59266-2018</t>
        </is>
      </c>
      <c r="B123" s="1" t="n">
        <v>43402</v>
      </c>
      <c r="C123" s="1" t="n">
        <v>45337</v>
      </c>
      <c r="D123" t="inlineStr">
        <is>
          <t>VÄSTERBOTTENS LÄN</t>
        </is>
      </c>
      <c r="E123" t="inlineStr">
        <is>
          <t>LYCKSELE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59267-2018</t>
        </is>
      </c>
      <c r="B124" s="1" t="n">
        <v>43402</v>
      </c>
      <c r="C124" s="1" t="n">
        <v>45337</v>
      </c>
      <c r="D124" t="inlineStr">
        <is>
          <t>VÄSTERBOTTENS LÄN</t>
        </is>
      </c>
      <c r="E124" t="inlineStr">
        <is>
          <t>LYCKSELE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56731-2018</t>
        </is>
      </c>
      <c r="B125" s="1" t="n">
        <v>43402</v>
      </c>
      <c r="C125" s="1" t="n">
        <v>45337</v>
      </c>
      <c r="D125" t="inlineStr">
        <is>
          <t>VÄSTERBOTTENS LÄN</t>
        </is>
      </c>
      <c r="E125" t="inlineStr">
        <is>
          <t>LYCKSELE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59193-2018</t>
        </is>
      </c>
      <c r="B126" s="1" t="n">
        <v>43403</v>
      </c>
      <c r="C126" s="1" t="n">
        <v>45337</v>
      </c>
      <c r="D126" t="inlineStr">
        <is>
          <t>VÄSTERBOTTENS LÄN</t>
        </is>
      </c>
      <c r="E126" t="inlineStr">
        <is>
          <t>LYCKSELE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58564-2018</t>
        </is>
      </c>
      <c r="B127" s="1" t="n">
        <v>43409</v>
      </c>
      <c r="C127" s="1" t="n">
        <v>45337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SCA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60840-2018</t>
        </is>
      </c>
      <c r="B128" s="1" t="n">
        <v>43410</v>
      </c>
      <c r="C128" s="1" t="n">
        <v>45337</v>
      </c>
      <c r="D128" t="inlineStr">
        <is>
          <t>VÄSTERBOTTENS LÄN</t>
        </is>
      </c>
      <c r="E128" t="inlineStr">
        <is>
          <t>LYCKSELE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61145-2018</t>
        </is>
      </c>
      <c r="B129" s="1" t="n">
        <v>43411</v>
      </c>
      <c r="C129" s="1" t="n">
        <v>45337</v>
      </c>
      <c r="D129" t="inlineStr">
        <is>
          <t>VÄSTERBOTTENS LÄN</t>
        </is>
      </c>
      <c r="E129" t="inlineStr">
        <is>
          <t>LYCKSELE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62711-2018</t>
        </is>
      </c>
      <c r="B130" s="1" t="n">
        <v>43413</v>
      </c>
      <c r="C130" s="1" t="n">
        <v>45337</v>
      </c>
      <c r="D130" t="inlineStr">
        <is>
          <t>VÄSTERBOTTENS LÄN</t>
        </is>
      </c>
      <c r="E130" t="inlineStr">
        <is>
          <t>LYCKSELE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65651-2018</t>
        </is>
      </c>
      <c r="B131" s="1" t="n">
        <v>43425</v>
      </c>
      <c r="C131" s="1" t="n">
        <v>45337</v>
      </c>
      <c r="D131" t="inlineStr">
        <is>
          <t>VÄSTERBOTTENS LÄN</t>
        </is>
      </c>
      <c r="E131" t="inlineStr">
        <is>
          <t>LYCKSELE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66322-2018</t>
        </is>
      </c>
      <c r="B132" s="1" t="n">
        <v>43427</v>
      </c>
      <c r="C132" s="1" t="n">
        <v>45337</v>
      </c>
      <c r="D132" t="inlineStr">
        <is>
          <t>VÄSTERBOTTENS LÄN</t>
        </is>
      </c>
      <c r="E132" t="inlineStr">
        <is>
          <t>LYCKSELE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66452-2018</t>
        </is>
      </c>
      <c r="B133" s="1" t="n">
        <v>43430</v>
      </c>
      <c r="C133" s="1" t="n">
        <v>45337</v>
      </c>
      <c r="D133" t="inlineStr">
        <is>
          <t>VÄSTERBOTTENS LÄN</t>
        </is>
      </c>
      <c r="E133" t="inlineStr">
        <is>
          <t>LYCKSELE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66417-2018</t>
        </is>
      </c>
      <c r="B134" s="1" t="n">
        <v>43430</v>
      </c>
      <c r="C134" s="1" t="n">
        <v>45337</v>
      </c>
      <c r="D134" t="inlineStr">
        <is>
          <t>VÄSTERBOTTENS LÄN</t>
        </is>
      </c>
      <c r="E134" t="inlineStr">
        <is>
          <t>LYCKSELE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66958-2018</t>
        </is>
      </c>
      <c r="B135" s="1" t="n">
        <v>43430</v>
      </c>
      <c r="C135" s="1" t="n">
        <v>45337</v>
      </c>
      <c r="D135" t="inlineStr">
        <is>
          <t>VÄSTERBOTTENS LÄN</t>
        </is>
      </c>
      <c r="E135" t="inlineStr">
        <is>
          <t>LYCKSELE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64759-2018</t>
        </is>
      </c>
      <c r="B136" s="1" t="n">
        <v>43431</v>
      </c>
      <c r="C136" s="1" t="n">
        <v>45337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65069-2018</t>
        </is>
      </c>
      <c r="B137" s="1" t="n">
        <v>43432</v>
      </c>
      <c r="C137" s="1" t="n">
        <v>45337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66447-2018</t>
        </is>
      </c>
      <c r="B138" s="1" t="n">
        <v>43437</v>
      </c>
      <c r="C138" s="1" t="n">
        <v>45337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68036-2018</t>
        </is>
      </c>
      <c r="B139" s="1" t="n">
        <v>43437</v>
      </c>
      <c r="C139" s="1" t="n">
        <v>45337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66610-2018</t>
        </is>
      </c>
      <c r="B140" s="1" t="n">
        <v>43437</v>
      </c>
      <c r="C140" s="1" t="n">
        <v>45337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66746-2018</t>
        </is>
      </c>
      <c r="B141" s="1" t="n">
        <v>43438</v>
      </c>
      <c r="C141" s="1" t="n">
        <v>45337</v>
      </c>
      <c r="D141" t="inlineStr">
        <is>
          <t>VÄSTERBOTTENS LÄN</t>
        </is>
      </c>
      <c r="E141" t="inlineStr">
        <is>
          <t>LYCKSELE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66905-2018</t>
        </is>
      </c>
      <c r="B142" s="1" t="n">
        <v>43438</v>
      </c>
      <c r="C142" s="1" t="n">
        <v>45337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67818-2018</t>
        </is>
      </c>
      <c r="B143" s="1" t="n">
        <v>43438</v>
      </c>
      <c r="C143" s="1" t="n">
        <v>45337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66843-2018</t>
        </is>
      </c>
      <c r="B144" s="1" t="n">
        <v>43438</v>
      </c>
      <c r="C144" s="1" t="n">
        <v>45337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68692-2018</t>
        </is>
      </c>
      <c r="B145" s="1" t="n">
        <v>43439</v>
      </c>
      <c r="C145" s="1" t="n">
        <v>45337</v>
      </c>
      <c r="D145" t="inlineStr">
        <is>
          <t>VÄSTERBOTTENS LÄN</t>
        </is>
      </c>
      <c r="E145" t="inlineStr">
        <is>
          <t>LYCKSELE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68702-2018</t>
        </is>
      </c>
      <c r="B146" s="1" t="n">
        <v>43439</v>
      </c>
      <c r="C146" s="1" t="n">
        <v>45337</v>
      </c>
      <c r="D146" t="inlineStr">
        <is>
          <t>VÄSTERBOTTENS LÄN</t>
        </is>
      </c>
      <c r="E146" t="inlineStr">
        <is>
          <t>LYCKSELE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68085-2018</t>
        </is>
      </c>
      <c r="B147" s="1" t="n">
        <v>43441</v>
      </c>
      <c r="C147" s="1" t="n">
        <v>45337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68965-2018</t>
        </is>
      </c>
      <c r="B148" s="1" t="n">
        <v>43441</v>
      </c>
      <c r="C148" s="1" t="n">
        <v>45337</v>
      </c>
      <c r="D148" t="inlineStr">
        <is>
          <t>VÄSTERBOTTENS LÄN</t>
        </is>
      </c>
      <c r="E148" t="inlineStr">
        <is>
          <t>LYCKSELE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69848-2018</t>
        </is>
      </c>
      <c r="B149" s="1" t="n">
        <v>43444</v>
      </c>
      <c r="C149" s="1" t="n">
        <v>45337</v>
      </c>
      <c r="D149" t="inlineStr">
        <is>
          <t>VÄSTERBOTTENS LÄN</t>
        </is>
      </c>
      <c r="E149" t="inlineStr">
        <is>
          <t>LYCKSELE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69902-2018</t>
        </is>
      </c>
      <c r="B150" s="1" t="n">
        <v>43444</v>
      </c>
      <c r="C150" s="1" t="n">
        <v>45337</v>
      </c>
      <c r="D150" t="inlineStr">
        <is>
          <t>VÄSTERBOTTENS LÄN</t>
        </is>
      </c>
      <c r="E150" t="inlineStr">
        <is>
          <t>LYCKSELE</t>
        </is>
      </c>
      <c r="G150" t="n">
        <v>21.1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70565-2018</t>
        </is>
      </c>
      <c r="B151" s="1" t="n">
        <v>43447</v>
      </c>
      <c r="C151" s="1" t="n">
        <v>45337</v>
      </c>
      <c r="D151" t="inlineStr">
        <is>
          <t>VÄSTERBOTTENS LÄN</t>
        </is>
      </c>
      <c r="E151" t="inlineStr">
        <is>
          <t>LYCKSELE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70491-2018</t>
        </is>
      </c>
      <c r="B152" s="1" t="n">
        <v>43447</v>
      </c>
      <c r="C152" s="1" t="n">
        <v>45337</v>
      </c>
      <c r="D152" t="inlineStr">
        <is>
          <t>VÄSTERBOTTENS LÄN</t>
        </is>
      </c>
      <c r="E152" t="inlineStr">
        <is>
          <t>LYCKSELE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70695-2018</t>
        </is>
      </c>
      <c r="B153" s="1" t="n">
        <v>43447</v>
      </c>
      <c r="C153" s="1" t="n">
        <v>45337</v>
      </c>
      <c r="D153" t="inlineStr">
        <is>
          <t>VÄSTERBOTTENS LÄN</t>
        </is>
      </c>
      <c r="E153" t="inlineStr">
        <is>
          <t>LYCKSELE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70484-2018</t>
        </is>
      </c>
      <c r="B154" s="1" t="n">
        <v>43447</v>
      </c>
      <c r="C154" s="1" t="n">
        <v>45337</v>
      </c>
      <c r="D154" t="inlineStr">
        <is>
          <t>VÄSTERBOTTENS LÄN</t>
        </is>
      </c>
      <c r="E154" t="inlineStr">
        <is>
          <t>LYCKSELE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360-2019</t>
        </is>
      </c>
      <c r="B155" s="1" t="n">
        <v>43454</v>
      </c>
      <c r="C155" s="1" t="n">
        <v>45337</v>
      </c>
      <c r="D155" t="inlineStr">
        <is>
          <t>VÄSTERBOTTENS LÄN</t>
        </is>
      </c>
      <c r="E155" t="inlineStr">
        <is>
          <t>LYCKSELE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361-2019</t>
        </is>
      </c>
      <c r="B156" s="1" t="n">
        <v>43454</v>
      </c>
      <c r="C156" s="1" t="n">
        <v>45337</v>
      </c>
      <c r="D156" t="inlineStr">
        <is>
          <t>VÄSTERBOTTENS LÄN</t>
        </is>
      </c>
      <c r="E156" t="inlineStr">
        <is>
          <t>LYCKSELE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924-2019</t>
        </is>
      </c>
      <c r="B157" s="1" t="n">
        <v>43461</v>
      </c>
      <c r="C157" s="1" t="n">
        <v>45337</v>
      </c>
      <c r="D157" t="inlineStr">
        <is>
          <t>VÄSTERBOTTENS LÄN</t>
        </is>
      </c>
      <c r="E157" t="inlineStr">
        <is>
          <t>LYCKSELE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379-2019</t>
        </is>
      </c>
      <c r="B158" s="1" t="n">
        <v>43468</v>
      </c>
      <c r="C158" s="1" t="n">
        <v>45337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696-2019</t>
        </is>
      </c>
      <c r="B159" s="1" t="n">
        <v>43469</v>
      </c>
      <c r="C159" s="1" t="n">
        <v>45337</v>
      </c>
      <c r="D159" t="inlineStr">
        <is>
          <t>VÄSTERBOTTENS LÄN</t>
        </is>
      </c>
      <c r="E159" t="inlineStr">
        <is>
          <t>LYCKSELE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900-2019</t>
        </is>
      </c>
      <c r="B160" s="1" t="n">
        <v>43472</v>
      </c>
      <c r="C160" s="1" t="n">
        <v>45337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35.4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1271-2019</t>
        </is>
      </c>
      <c r="B161" s="1" t="n">
        <v>43473</v>
      </c>
      <c r="C161" s="1" t="n">
        <v>45337</v>
      </c>
      <c r="D161" t="inlineStr">
        <is>
          <t>VÄSTERBOTTENS LÄN</t>
        </is>
      </c>
      <c r="E161" t="inlineStr">
        <is>
          <t>LYCKSELE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2009-2019</t>
        </is>
      </c>
      <c r="B162" s="1" t="n">
        <v>43475</v>
      </c>
      <c r="C162" s="1" t="n">
        <v>45337</v>
      </c>
      <c r="D162" t="inlineStr">
        <is>
          <t>VÄSTERBOTTENS LÄN</t>
        </is>
      </c>
      <c r="E162" t="inlineStr">
        <is>
          <t>LYCKSELE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3104-2019</t>
        </is>
      </c>
      <c r="B163" s="1" t="n">
        <v>43479</v>
      </c>
      <c r="C163" s="1" t="n">
        <v>45337</v>
      </c>
      <c r="D163" t="inlineStr">
        <is>
          <t>VÄSTERBOTTENS LÄN</t>
        </is>
      </c>
      <c r="E163" t="inlineStr">
        <is>
          <t>LYCKSELE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5220-2019</t>
        </is>
      </c>
      <c r="B164" s="1" t="n">
        <v>43480</v>
      </c>
      <c r="C164" s="1" t="n">
        <v>45337</v>
      </c>
      <c r="D164" t="inlineStr">
        <is>
          <t>VÄSTERBOTTENS LÄN</t>
        </is>
      </c>
      <c r="E164" t="inlineStr">
        <is>
          <t>LYCKSELE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5226-2019</t>
        </is>
      </c>
      <c r="B165" s="1" t="n">
        <v>43480</v>
      </c>
      <c r="C165" s="1" t="n">
        <v>45337</v>
      </c>
      <c r="D165" t="inlineStr">
        <is>
          <t>VÄSTERBOTTENS LÄN</t>
        </is>
      </c>
      <c r="E165" t="inlineStr">
        <is>
          <t>LYCKSELE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5323-2019</t>
        </is>
      </c>
      <c r="B166" s="1" t="n">
        <v>43481</v>
      </c>
      <c r="C166" s="1" t="n">
        <v>45337</v>
      </c>
      <c r="D166" t="inlineStr">
        <is>
          <t>VÄSTERBOTTENS LÄN</t>
        </is>
      </c>
      <c r="E166" t="inlineStr">
        <is>
          <t>LYCKSELE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4815-2019</t>
        </is>
      </c>
      <c r="B167" s="1" t="n">
        <v>43486</v>
      </c>
      <c r="C167" s="1" t="n">
        <v>45337</v>
      </c>
      <c r="D167" t="inlineStr">
        <is>
          <t>VÄSTERBOTTENS LÄN</t>
        </is>
      </c>
      <c r="E167" t="inlineStr">
        <is>
          <t>LYCKSELE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5324-2019</t>
        </is>
      </c>
      <c r="B168" s="1" t="n">
        <v>43488</v>
      </c>
      <c r="C168" s="1" t="n">
        <v>45337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5542-2019</t>
        </is>
      </c>
      <c r="B169" s="1" t="n">
        <v>43489</v>
      </c>
      <c r="C169" s="1" t="n">
        <v>45337</v>
      </c>
      <c r="D169" t="inlineStr">
        <is>
          <t>VÄSTERBOTTENS LÄN</t>
        </is>
      </c>
      <c r="E169" t="inlineStr">
        <is>
          <t>LYCKSELE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8159-2019</t>
        </is>
      </c>
      <c r="B170" s="1" t="n">
        <v>43495</v>
      </c>
      <c r="C170" s="1" t="n">
        <v>45337</v>
      </c>
      <c r="D170" t="inlineStr">
        <is>
          <t>VÄSTERBOTTENS LÄN</t>
        </is>
      </c>
      <c r="E170" t="inlineStr">
        <is>
          <t>LYCKSELE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8157-2019</t>
        </is>
      </c>
      <c r="B171" s="1" t="n">
        <v>43495</v>
      </c>
      <c r="C171" s="1" t="n">
        <v>45337</v>
      </c>
      <c r="D171" t="inlineStr">
        <is>
          <t>VÄSTERBOTTENS LÄN</t>
        </is>
      </c>
      <c r="E171" t="inlineStr">
        <is>
          <t>LYCKSELE</t>
        </is>
      </c>
      <c r="G171" t="n">
        <v>15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8163-2019</t>
        </is>
      </c>
      <c r="B172" s="1" t="n">
        <v>43495</v>
      </c>
      <c r="C172" s="1" t="n">
        <v>45337</v>
      </c>
      <c r="D172" t="inlineStr">
        <is>
          <t>VÄSTERBOTTENS LÄN</t>
        </is>
      </c>
      <c r="E172" t="inlineStr">
        <is>
          <t>LYCKSELE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8152-2019</t>
        </is>
      </c>
      <c r="B173" s="1" t="n">
        <v>43495</v>
      </c>
      <c r="C173" s="1" t="n">
        <v>45337</v>
      </c>
      <c r="D173" t="inlineStr">
        <is>
          <t>VÄSTERBOTTENS LÄN</t>
        </is>
      </c>
      <c r="E173" t="inlineStr">
        <is>
          <t>LYCKSELE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7572-2019</t>
        </is>
      </c>
      <c r="B174" s="1" t="n">
        <v>43497</v>
      </c>
      <c r="C174" s="1" t="n">
        <v>45337</v>
      </c>
      <c r="D174" t="inlineStr">
        <is>
          <t>VÄSTERBOTTENS LÄN</t>
        </is>
      </c>
      <c r="E174" t="inlineStr">
        <is>
          <t>LYCKSELE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7573-2019</t>
        </is>
      </c>
      <c r="B175" s="1" t="n">
        <v>43497</v>
      </c>
      <c r="C175" s="1" t="n">
        <v>45337</v>
      </c>
      <c r="D175" t="inlineStr">
        <is>
          <t>VÄSTERBOTTENS LÄN</t>
        </is>
      </c>
      <c r="E175" t="inlineStr">
        <is>
          <t>LYCKSELE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9191-2019</t>
        </is>
      </c>
      <c r="B176" s="1" t="n">
        <v>43505</v>
      </c>
      <c r="C176" s="1" t="n">
        <v>45337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9250-2019</t>
        </is>
      </c>
      <c r="B177" s="1" t="n">
        <v>43507</v>
      </c>
      <c r="C177" s="1" t="n">
        <v>45337</v>
      </c>
      <c r="D177" t="inlineStr">
        <is>
          <t>VÄSTERBOTTENS LÄN</t>
        </is>
      </c>
      <c r="E177" t="inlineStr">
        <is>
          <t>LYCKSELE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10612-2019</t>
        </is>
      </c>
      <c r="B178" s="1" t="n">
        <v>43511</v>
      </c>
      <c r="C178" s="1" t="n">
        <v>45337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10385-2019</t>
        </is>
      </c>
      <c r="B179" s="1" t="n">
        <v>43511</v>
      </c>
      <c r="C179" s="1" t="n">
        <v>45337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10983-2019</t>
        </is>
      </c>
      <c r="B180" s="1" t="n">
        <v>43515</v>
      </c>
      <c r="C180" s="1" t="n">
        <v>45337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11803-2019</t>
        </is>
      </c>
      <c r="B181" s="1" t="n">
        <v>43518</v>
      </c>
      <c r="C181" s="1" t="n">
        <v>45337</v>
      </c>
      <c r="D181" t="inlineStr">
        <is>
          <t>VÄSTERBOTTENS LÄN</t>
        </is>
      </c>
      <c r="E181" t="inlineStr">
        <is>
          <t>LYCKSELE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11781-2019</t>
        </is>
      </c>
      <c r="B182" s="1" t="n">
        <v>43518</v>
      </c>
      <c r="C182" s="1" t="n">
        <v>45337</v>
      </c>
      <c r="D182" t="inlineStr">
        <is>
          <t>VÄSTERBOTTENS LÄN</t>
        </is>
      </c>
      <c r="E182" t="inlineStr">
        <is>
          <t>LYCKSELE</t>
        </is>
      </c>
      <c r="G182" t="n">
        <v>16.4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11809-2019</t>
        </is>
      </c>
      <c r="B183" s="1" t="n">
        <v>43518</v>
      </c>
      <c r="C183" s="1" t="n">
        <v>45337</v>
      </c>
      <c r="D183" t="inlineStr">
        <is>
          <t>VÄSTERBOTTENS LÄN</t>
        </is>
      </c>
      <c r="E183" t="inlineStr">
        <is>
          <t>LYCKSELE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11810-2019</t>
        </is>
      </c>
      <c r="B184" s="1" t="n">
        <v>43518</v>
      </c>
      <c r="C184" s="1" t="n">
        <v>45337</v>
      </c>
      <c r="D184" t="inlineStr">
        <is>
          <t>VÄSTERBOTTENS LÄN</t>
        </is>
      </c>
      <c r="E184" t="inlineStr">
        <is>
          <t>LYCKSELE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12516-2019</t>
        </is>
      </c>
      <c r="B185" s="1" t="n">
        <v>43523</v>
      </c>
      <c r="C185" s="1" t="n">
        <v>45337</v>
      </c>
      <c r="D185" t="inlineStr">
        <is>
          <t>VÄSTERBOTTENS LÄN</t>
        </is>
      </c>
      <c r="E185" t="inlineStr">
        <is>
          <t>LYCKSELE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12627-2019</t>
        </is>
      </c>
      <c r="B186" s="1" t="n">
        <v>43524</v>
      </c>
      <c r="C186" s="1" t="n">
        <v>45337</v>
      </c>
      <c r="D186" t="inlineStr">
        <is>
          <t>VÄSTERBOTTENS LÄN</t>
        </is>
      </c>
      <c r="E186" t="inlineStr">
        <is>
          <t>LYCKSELE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14701-2019</t>
        </is>
      </c>
      <c r="B187" s="1" t="n">
        <v>43535</v>
      </c>
      <c r="C187" s="1" t="n">
        <v>45337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14939-2019</t>
        </is>
      </c>
      <c r="B188" s="1" t="n">
        <v>43538</v>
      </c>
      <c r="C188" s="1" t="n">
        <v>45337</v>
      </c>
      <c r="D188" t="inlineStr">
        <is>
          <t>VÄSTERBOTTENS LÄN</t>
        </is>
      </c>
      <c r="E188" t="inlineStr">
        <is>
          <t>LYCKSELE</t>
        </is>
      </c>
      <c r="G188" t="n">
        <v>12.2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15813-2019</t>
        </is>
      </c>
      <c r="B189" s="1" t="n">
        <v>43542</v>
      </c>
      <c r="C189" s="1" t="n">
        <v>45337</v>
      </c>
      <c r="D189" t="inlineStr">
        <is>
          <t>VÄSTERBOTTENS LÄN</t>
        </is>
      </c>
      <c r="E189" t="inlineStr">
        <is>
          <t>LYCKSELE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17266-2019</t>
        </is>
      </c>
      <c r="B190" s="1" t="n">
        <v>43551</v>
      </c>
      <c r="C190" s="1" t="n">
        <v>45337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17594-2019</t>
        </is>
      </c>
      <c r="B191" s="1" t="n">
        <v>43553</v>
      </c>
      <c r="C191" s="1" t="n">
        <v>45337</v>
      </c>
      <c r="D191" t="inlineStr">
        <is>
          <t>VÄSTERBOTTENS LÄN</t>
        </is>
      </c>
      <c r="E191" t="inlineStr">
        <is>
          <t>LYCKSELE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18771-2019</t>
        </is>
      </c>
      <c r="B192" s="1" t="n">
        <v>43560</v>
      </c>
      <c r="C192" s="1" t="n">
        <v>45337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18986-2019</t>
        </is>
      </c>
      <c r="B193" s="1" t="n">
        <v>43563</v>
      </c>
      <c r="C193" s="1" t="n">
        <v>45337</v>
      </c>
      <c r="D193" t="inlineStr">
        <is>
          <t>VÄSTERBOTTENS LÄN</t>
        </is>
      </c>
      <c r="E193" t="inlineStr">
        <is>
          <t>LYCKSELE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19604-2019</t>
        </is>
      </c>
      <c r="B194" s="1" t="n">
        <v>43566</v>
      </c>
      <c r="C194" s="1" t="n">
        <v>45337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20928-2019</t>
        </is>
      </c>
      <c r="B195" s="1" t="n">
        <v>43572</v>
      </c>
      <c r="C195" s="1" t="n">
        <v>45337</v>
      </c>
      <c r="D195" t="inlineStr">
        <is>
          <t>VÄSTERBOTTENS LÄN</t>
        </is>
      </c>
      <c r="E195" t="inlineStr">
        <is>
          <t>LYCKSELE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21331-2019</t>
        </is>
      </c>
      <c r="B196" s="1" t="n">
        <v>43579</v>
      </c>
      <c r="C196" s="1" t="n">
        <v>45337</v>
      </c>
      <c r="D196" t="inlineStr">
        <is>
          <t>VÄSTERBOTTENS LÄN</t>
        </is>
      </c>
      <c r="E196" t="inlineStr">
        <is>
          <t>LYCKSELE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21775-2019</t>
        </is>
      </c>
      <c r="B197" s="1" t="n">
        <v>43581</v>
      </c>
      <c r="C197" s="1" t="n">
        <v>45337</v>
      </c>
      <c r="D197" t="inlineStr">
        <is>
          <t>VÄSTERBOTTENS LÄN</t>
        </is>
      </c>
      <c r="E197" t="inlineStr">
        <is>
          <t>LYCKSELE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21766-2019</t>
        </is>
      </c>
      <c r="B198" s="1" t="n">
        <v>43581</v>
      </c>
      <c r="C198" s="1" t="n">
        <v>45337</v>
      </c>
      <c r="D198" t="inlineStr">
        <is>
          <t>VÄSTERBOTTENS LÄN</t>
        </is>
      </c>
      <c r="E198" t="inlineStr">
        <is>
          <t>LYCKSELE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21756-2019</t>
        </is>
      </c>
      <c r="B199" s="1" t="n">
        <v>43581</v>
      </c>
      <c r="C199" s="1" t="n">
        <v>45337</v>
      </c>
      <c r="D199" t="inlineStr">
        <is>
          <t>VÄSTERBOTTENS LÄN</t>
        </is>
      </c>
      <c r="E199" t="inlineStr">
        <is>
          <t>LYCKSELE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21754-2019</t>
        </is>
      </c>
      <c r="B200" s="1" t="n">
        <v>43581</v>
      </c>
      <c r="C200" s="1" t="n">
        <v>45337</v>
      </c>
      <c r="D200" t="inlineStr">
        <is>
          <t>VÄSTERBOTTENS LÄN</t>
        </is>
      </c>
      <c r="E200" t="inlineStr">
        <is>
          <t>LYCKSELE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22320-2019</t>
        </is>
      </c>
      <c r="B201" s="1" t="n">
        <v>43586</v>
      </c>
      <c r="C201" s="1" t="n">
        <v>45337</v>
      </c>
      <c r="D201" t="inlineStr">
        <is>
          <t>VÄSTERBOTTENS LÄN</t>
        </is>
      </c>
      <c r="E201" t="inlineStr">
        <is>
          <t>LYCKSELE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22318-2019</t>
        </is>
      </c>
      <c r="B202" s="1" t="n">
        <v>43586</v>
      </c>
      <c r="C202" s="1" t="n">
        <v>45337</v>
      </c>
      <c r="D202" t="inlineStr">
        <is>
          <t>VÄSTERBOTTENS LÄN</t>
        </is>
      </c>
      <c r="E202" t="inlineStr">
        <is>
          <t>LYCKSELE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23158-2019</t>
        </is>
      </c>
      <c r="B203" s="1" t="n">
        <v>43592</v>
      </c>
      <c r="C203" s="1" t="n">
        <v>45337</v>
      </c>
      <c r="D203" t="inlineStr">
        <is>
          <t>VÄSTERBOTTENS LÄN</t>
        </is>
      </c>
      <c r="E203" t="inlineStr">
        <is>
          <t>LYCKSELE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23103-2019</t>
        </is>
      </c>
      <c r="B204" s="1" t="n">
        <v>43592</v>
      </c>
      <c r="C204" s="1" t="n">
        <v>45337</v>
      </c>
      <c r="D204" t="inlineStr">
        <is>
          <t>VÄSTERBOTTENS LÄN</t>
        </is>
      </c>
      <c r="E204" t="inlineStr">
        <is>
          <t>LYCKSELE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23106-2019</t>
        </is>
      </c>
      <c r="B205" s="1" t="n">
        <v>43592</v>
      </c>
      <c r="C205" s="1" t="n">
        <v>45337</v>
      </c>
      <c r="D205" t="inlineStr">
        <is>
          <t>VÄSTERBOTTENS LÄN</t>
        </is>
      </c>
      <c r="E205" t="inlineStr">
        <is>
          <t>LYCKSELE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23282-2019</t>
        </is>
      </c>
      <c r="B206" s="1" t="n">
        <v>43593</v>
      </c>
      <c r="C206" s="1" t="n">
        <v>45337</v>
      </c>
      <c r="D206" t="inlineStr">
        <is>
          <t>VÄSTERBOTTENS LÄN</t>
        </is>
      </c>
      <c r="E206" t="inlineStr">
        <is>
          <t>LYCKSELE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23520-2019</t>
        </is>
      </c>
      <c r="B207" s="1" t="n">
        <v>43593</v>
      </c>
      <c r="C207" s="1" t="n">
        <v>45337</v>
      </c>
      <c r="D207" t="inlineStr">
        <is>
          <t>VÄSTERBOTTENS LÄN</t>
        </is>
      </c>
      <c r="E207" t="inlineStr">
        <is>
          <t>LYCKSELE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23536-2019</t>
        </is>
      </c>
      <c r="B208" s="1" t="n">
        <v>43594</v>
      </c>
      <c r="C208" s="1" t="n">
        <v>45337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23938-2019</t>
        </is>
      </c>
      <c r="B209" s="1" t="n">
        <v>43595</v>
      </c>
      <c r="C209" s="1" t="n">
        <v>45337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24332-2019</t>
        </is>
      </c>
      <c r="B210" s="1" t="n">
        <v>43598</v>
      </c>
      <c r="C210" s="1" t="n">
        <v>45337</v>
      </c>
      <c r="D210" t="inlineStr">
        <is>
          <t>VÄSTERBOTTENS LÄN</t>
        </is>
      </c>
      <c r="E210" t="inlineStr">
        <is>
          <t>LYCKSELE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24335-2019</t>
        </is>
      </c>
      <c r="B211" s="1" t="n">
        <v>43598</v>
      </c>
      <c r="C211" s="1" t="n">
        <v>45337</v>
      </c>
      <c r="D211" t="inlineStr">
        <is>
          <t>VÄSTERBOTTENS LÄN</t>
        </is>
      </c>
      <c r="E211" t="inlineStr">
        <is>
          <t>LYCKSELE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24581-2019</t>
        </is>
      </c>
      <c r="B212" s="1" t="n">
        <v>43600</v>
      </c>
      <c r="C212" s="1" t="n">
        <v>45337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29088-2019</t>
        </is>
      </c>
      <c r="B213" s="1" t="n">
        <v>43621</v>
      </c>
      <c r="C213" s="1" t="n">
        <v>45337</v>
      </c>
      <c r="D213" t="inlineStr">
        <is>
          <t>VÄSTERBOTTENS LÄN</t>
        </is>
      </c>
      <c r="E213" t="inlineStr">
        <is>
          <t>LYCKSELE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28569-2019</t>
        </is>
      </c>
      <c r="B214" s="1" t="n">
        <v>43626</v>
      </c>
      <c r="C214" s="1" t="n">
        <v>45337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29397-2019</t>
        </is>
      </c>
      <c r="B215" s="1" t="n">
        <v>43627</v>
      </c>
      <c r="C215" s="1" t="n">
        <v>45337</v>
      </c>
      <c r="D215" t="inlineStr">
        <is>
          <t>VÄSTERBOTTENS LÄN</t>
        </is>
      </c>
      <c r="E215" t="inlineStr">
        <is>
          <t>LYCKSELE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29394-2019</t>
        </is>
      </c>
      <c r="B216" s="1" t="n">
        <v>43627</v>
      </c>
      <c r="C216" s="1" t="n">
        <v>45337</v>
      </c>
      <c r="D216" t="inlineStr">
        <is>
          <t>VÄSTERBOTTENS LÄN</t>
        </is>
      </c>
      <c r="E216" t="inlineStr">
        <is>
          <t>LYCKSELE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30082-2019</t>
        </is>
      </c>
      <c r="B217" s="1" t="n">
        <v>43633</v>
      </c>
      <c r="C217" s="1" t="n">
        <v>45337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30420-2019</t>
        </is>
      </c>
      <c r="B218" s="1" t="n">
        <v>43633</v>
      </c>
      <c r="C218" s="1" t="n">
        <v>45337</v>
      </c>
      <c r="D218" t="inlineStr">
        <is>
          <t>VÄSTERBOTTENS LÄN</t>
        </is>
      </c>
      <c r="E218" t="inlineStr">
        <is>
          <t>LYCKSELE</t>
        </is>
      </c>
      <c r="G218" t="n">
        <v>21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30333-2019</t>
        </is>
      </c>
      <c r="B219" s="1" t="n">
        <v>43634</v>
      </c>
      <c r="C219" s="1" t="n">
        <v>45337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30335-2019</t>
        </is>
      </c>
      <c r="B220" s="1" t="n">
        <v>43634</v>
      </c>
      <c r="C220" s="1" t="n">
        <v>45337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31917-2019</t>
        </is>
      </c>
      <c r="B221" s="1" t="n">
        <v>43641</v>
      </c>
      <c r="C221" s="1" t="n">
        <v>45337</v>
      </c>
      <c r="D221" t="inlineStr">
        <is>
          <t>VÄSTERBOTTENS LÄN</t>
        </is>
      </c>
      <c r="E221" t="inlineStr">
        <is>
          <t>LYCKSELE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31883-2019</t>
        </is>
      </c>
      <c r="B222" s="1" t="n">
        <v>43642</v>
      </c>
      <c r="C222" s="1" t="n">
        <v>45337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32083-2019</t>
        </is>
      </c>
      <c r="B223" s="1" t="n">
        <v>43642</v>
      </c>
      <c r="C223" s="1" t="n">
        <v>45337</v>
      </c>
      <c r="D223" t="inlineStr">
        <is>
          <t>VÄSTERBOTTENS LÄN</t>
        </is>
      </c>
      <c r="E223" t="inlineStr">
        <is>
          <t>LYCKSELE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31876-2019</t>
        </is>
      </c>
      <c r="B224" s="1" t="n">
        <v>43642</v>
      </c>
      <c r="C224" s="1" t="n">
        <v>45337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32074-2019</t>
        </is>
      </c>
      <c r="B225" s="1" t="n">
        <v>43642</v>
      </c>
      <c r="C225" s="1" t="n">
        <v>45337</v>
      </c>
      <c r="D225" t="inlineStr">
        <is>
          <t>VÄSTERBOTTENS LÄN</t>
        </is>
      </c>
      <c r="E225" t="inlineStr">
        <is>
          <t>LYCKSELE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33203-2019</t>
        </is>
      </c>
      <c r="B226" s="1" t="n">
        <v>43649</v>
      </c>
      <c r="C226" s="1" t="n">
        <v>45337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20.2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34852-2019</t>
        </is>
      </c>
      <c r="B227" s="1" t="n">
        <v>43649</v>
      </c>
      <c r="C227" s="1" t="n">
        <v>45337</v>
      </c>
      <c r="D227" t="inlineStr">
        <is>
          <t>VÄSTERBOTTENS LÄN</t>
        </is>
      </c>
      <c r="E227" t="inlineStr">
        <is>
          <t>LYCKSELE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33414-2019</t>
        </is>
      </c>
      <c r="B228" s="1" t="n">
        <v>43650</v>
      </c>
      <c r="C228" s="1" t="n">
        <v>45337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33810-2019</t>
        </is>
      </c>
      <c r="B229" s="1" t="n">
        <v>43651</v>
      </c>
      <c r="C229" s="1" t="n">
        <v>45337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34249-2019</t>
        </is>
      </c>
      <c r="B230" s="1" t="n">
        <v>43655</v>
      </c>
      <c r="C230" s="1" t="n">
        <v>45337</v>
      </c>
      <c r="D230" t="inlineStr">
        <is>
          <t>VÄSTERBOTTENS LÄN</t>
        </is>
      </c>
      <c r="E230" t="inlineStr">
        <is>
          <t>LYCKSELE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36154-2019</t>
        </is>
      </c>
      <c r="B231" s="1" t="n">
        <v>43658</v>
      </c>
      <c r="C231" s="1" t="n">
        <v>45337</v>
      </c>
      <c r="D231" t="inlineStr">
        <is>
          <t>VÄSTERBOTTENS LÄN</t>
        </is>
      </c>
      <c r="E231" t="inlineStr">
        <is>
          <t>LYCKSELE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35091-2019</t>
        </is>
      </c>
      <c r="B232" s="1" t="n">
        <v>43661</v>
      </c>
      <c r="C232" s="1" t="n">
        <v>45337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35092-2019</t>
        </is>
      </c>
      <c r="B233" s="1" t="n">
        <v>43661</v>
      </c>
      <c r="C233" s="1" t="n">
        <v>45337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36155-2019</t>
        </is>
      </c>
      <c r="B234" s="1" t="n">
        <v>43668</v>
      </c>
      <c r="C234" s="1" t="n">
        <v>45337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18.2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37162-2019</t>
        </is>
      </c>
      <c r="B235" s="1" t="n">
        <v>43677</v>
      </c>
      <c r="C235" s="1" t="n">
        <v>45337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38551-2019</t>
        </is>
      </c>
      <c r="B236" s="1" t="n">
        <v>43685</v>
      </c>
      <c r="C236" s="1" t="n">
        <v>45337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Holmen skog AB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38800-2019</t>
        </is>
      </c>
      <c r="B237" s="1" t="n">
        <v>43688</v>
      </c>
      <c r="C237" s="1" t="n">
        <v>45337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39373-2019</t>
        </is>
      </c>
      <c r="B238" s="1" t="n">
        <v>43690</v>
      </c>
      <c r="C238" s="1" t="n">
        <v>45337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39201-2019</t>
        </is>
      </c>
      <c r="B239" s="1" t="n">
        <v>43690</v>
      </c>
      <c r="C239" s="1" t="n">
        <v>45337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41150-2019</t>
        </is>
      </c>
      <c r="B240" s="1" t="n">
        <v>43691</v>
      </c>
      <c r="C240" s="1" t="n">
        <v>45337</v>
      </c>
      <c r="D240" t="inlineStr">
        <is>
          <t>VÄSTERBOTTENS LÄN</t>
        </is>
      </c>
      <c r="E240" t="inlineStr">
        <is>
          <t>LYCKSELE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40310-2019</t>
        </is>
      </c>
      <c r="B241" s="1" t="n">
        <v>43696</v>
      </c>
      <c r="C241" s="1" t="n">
        <v>45337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Holmen skog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41375-2019</t>
        </is>
      </c>
      <c r="B242" s="1" t="n">
        <v>43696</v>
      </c>
      <c r="C242" s="1" t="n">
        <v>45337</v>
      </c>
      <c r="D242" t="inlineStr">
        <is>
          <t>VÄSTERBOTTENS LÄN</t>
        </is>
      </c>
      <c r="E242" t="inlineStr">
        <is>
          <t>LYCKSELE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42373-2019</t>
        </is>
      </c>
      <c r="B243" s="1" t="n">
        <v>43703</v>
      </c>
      <c r="C243" s="1" t="n">
        <v>45337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43465-2019</t>
        </is>
      </c>
      <c r="B244" s="1" t="n">
        <v>43703</v>
      </c>
      <c r="C244" s="1" t="n">
        <v>45337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43480-2019</t>
        </is>
      </c>
      <c r="B245" s="1" t="n">
        <v>43703</v>
      </c>
      <c r="C245" s="1" t="n">
        <v>45337</v>
      </c>
      <c r="D245" t="inlineStr">
        <is>
          <t>VÄSTERBOTTENS LÄN</t>
        </is>
      </c>
      <c r="E245" t="inlineStr">
        <is>
          <t>LYCKSELE</t>
        </is>
      </c>
      <c r="G245" t="n">
        <v>13.6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42368-2019</t>
        </is>
      </c>
      <c r="B246" s="1" t="n">
        <v>43703</v>
      </c>
      <c r="C246" s="1" t="n">
        <v>45337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42588-2019</t>
        </is>
      </c>
      <c r="B247" s="1" t="n">
        <v>43704</v>
      </c>
      <c r="C247" s="1" t="n">
        <v>45337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44031-2019</t>
        </is>
      </c>
      <c r="B248" s="1" t="n">
        <v>43704</v>
      </c>
      <c r="C248" s="1" t="n">
        <v>45337</v>
      </c>
      <c r="D248" t="inlineStr">
        <is>
          <t>VÄSTERBOTTENS LÄN</t>
        </is>
      </c>
      <c r="E248" t="inlineStr">
        <is>
          <t>LYCKSELE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44858-2019</t>
        </is>
      </c>
      <c r="B249" s="1" t="n">
        <v>43707</v>
      </c>
      <c r="C249" s="1" t="n">
        <v>45337</v>
      </c>
      <c r="D249" t="inlineStr">
        <is>
          <t>VÄSTERBOTTENS LÄN</t>
        </is>
      </c>
      <c r="E249" t="inlineStr">
        <is>
          <t>LYCKSELE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44024-2019</t>
        </is>
      </c>
      <c r="B250" s="1" t="n">
        <v>43710</v>
      </c>
      <c r="C250" s="1" t="n">
        <v>45337</v>
      </c>
      <c r="D250" t="inlineStr">
        <is>
          <t>VÄSTERBOTTENS LÄN</t>
        </is>
      </c>
      <c r="E250" t="inlineStr">
        <is>
          <t>LYCKSELE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44590-2019</t>
        </is>
      </c>
      <c r="B251" s="1" t="n">
        <v>43711</v>
      </c>
      <c r="C251" s="1" t="n">
        <v>45337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46252-2019</t>
        </is>
      </c>
      <c r="B252" s="1" t="n">
        <v>43712</v>
      </c>
      <c r="C252" s="1" t="n">
        <v>45337</v>
      </c>
      <c r="D252" t="inlineStr">
        <is>
          <t>VÄSTERBOTTENS LÄN</t>
        </is>
      </c>
      <c r="E252" t="inlineStr">
        <is>
          <t>LYCKSELE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45227-2019</t>
        </is>
      </c>
      <c r="B253" s="1" t="n">
        <v>43713</v>
      </c>
      <c r="C253" s="1" t="n">
        <v>45337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45264-2019</t>
        </is>
      </c>
      <c r="B254" s="1" t="n">
        <v>43713</v>
      </c>
      <c r="C254" s="1" t="n">
        <v>45337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45228-2019</t>
        </is>
      </c>
      <c r="B255" s="1" t="n">
        <v>43713</v>
      </c>
      <c r="C255" s="1" t="n">
        <v>45337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46271-2019</t>
        </is>
      </c>
      <c r="B256" s="1" t="n">
        <v>43713</v>
      </c>
      <c r="C256" s="1" t="n">
        <v>45337</v>
      </c>
      <c r="D256" t="inlineStr">
        <is>
          <t>VÄSTERBOTTENS LÄN</t>
        </is>
      </c>
      <c r="E256" t="inlineStr">
        <is>
          <t>LYCKSELE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46284-2019</t>
        </is>
      </c>
      <c r="B257" s="1" t="n">
        <v>43713</v>
      </c>
      <c r="C257" s="1" t="n">
        <v>45337</v>
      </c>
      <c r="D257" t="inlineStr">
        <is>
          <t>VÄSTERBOTTENS LÄN</t>
        </is>
      </c>
      <c r="E257" t="inlineStr">
        <is>
          <t>LYCKSELE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45758-2019</t>
        </is>
      </c>
      <c r="B258" s="1" t="n">
        <v>43717</v>
      </c>
      <c r="C258" s="1" t="n">
        <v>45337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47062-2019</t>
        </is>
      </c>
      <c r="B259" s="1" t="n">
        <v>43720</v>
      </c>
      <c r="C259" s="1" t="n">
        <v>45337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48784-2019</t>
        </is>
      </c>
      <c r="B260" s="1" t="n">
        <v>43727</v>
      </c>
      <c r="C260" s="1" t="n">
        <v>45337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49112-2019</t>
        </is>
      </c>
      <c r="B261" s="1" t="n">
        <v>43731</v>
      </c>
      <c r="C261" s="1" t="n">
        <v>45337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50603-2019</t>
        </is>
      </c>
      <c r="B262" s="1" t="n">
        <v>43735</v>
      </c>
      <c r="C262" s="1" t="n">
        <v>45337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51144-2019</t>
        </is>
      </c>
      <c r="B263" s="1" t="n">
        <v>43739</v>
      </c>
      <c r="C263" s="1" t="n">
        <v>45337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Kyrkan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51152-2019</t>
        </is>
      </c>
      <c r="B264" s="1" t="n">
        <v>43739</v>
      </c>
      <c r="C264" s="1" t="n">
        <v>45337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Kyrkan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51135-2019</t>
        </is>
      </c>
      <c r="B265" s="1" t="n">
        <v>43739</v>
      </c>
      <c r="C265" s="1" t="n">
        <v>45337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Kyrkan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51155-2019</t>
        </is>
      </c>
      <c r="B266" s="1" t="n">
        <v>43739</v>
      </c>
      <c r="C266" s="1" t="n">
        <v>45337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Kyrkan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52437-2019</t>
        </is>
      </c>
      <c r="B267" s="1" t="n">
        <v>43745</v>
      </c>
      <c r="C267" s="1" t="n">
        <v>45337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52630-2019</t>
        </is>
      </c>
      <c r="B268" s="1" t="n">
        <v>43746</v>
      </c>
      <c r="C268" s="1" t="n">
        <v>45337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52621-2019</t>
        </is>
      </c>
      <c r="B269" s="1" t="n">
        <v>43746</v>
      </c>
      <c r="C269" s="1" t="n">
        <v>45337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54435-2019</t>
        </is>
      </c>
      <c r="B270" s="1" t="n">
        <v>43747</v>
      </c>
      <c r="C270" s="1" t="n">
        <v>45337</v>
      </c>
      <c r="D270" t="inlineStr">
        <is>
          <t>VÄSTERBOTTENS LÄN</t>
        </is>
      </c>
      <c r="E270" t="inlineStr">
        <is>
          <t>LYCKSELE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55396-2019</t>
        </is>
      </c>
      <c r="B271" s="1" t="n">
        <v>43758</v>
      </c>
      <c r="C271" s="1" t="n">
        <v>45337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56685-2019</t>
        </is>
      </c>
      <c r="B272" s="1" t="n">
        <v>43759</v>
      </c>
      <c r="C272" s="1" t="n">
        <v>45337</v>
      </c>
      <c r="D272" t="inlineStr">
        <is>
          <t>VÄSTERBOTTENS LÄN</t>
        </is>
      </c>
      <c r="E272" t="inlineStr">
        <is>
          <t>LYCKSELE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56679-2019</t>
        </is>
      </c>
      <c r="B273" s="1" t="n">
        <v>43759</v>
      </c>
      <c r="C273" s="1" t="n">
        <v>45337</v>
      </c>
      <c r="D273" t="inlineStr">
        <is>
          <t>VÄSTERBOTTENS LÄN</t>
        </is>
      </c>
      <c r="E273" t="inlineStr">
        <is>
          <t>LYCKSELE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56191-2019</t>
        </is>
      </c>
      <c r="B274" s="1" t="n">
        <v>43761</v>
      </c>
      <c r="C274" s="1" t="n">
        <v>45337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57972-2019</t>
        </is>
      </c>
      <c r="B275" s="1" t="n">
        <v>43762</v>
      </c>
      <c r="C275" s="1" t="n">
        <v>45337</v>
      </c>
      <c r="D275" t="inlineStr">
        <is>
          <t>VÄSTERBOTTENS LÄN</t>
        </is>
      </c>
      <c r="E275" t="inlineStr">
        <is>
          <t>LYCKSELE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58655-2019</t>
        </is>
      </c>
      <c r="B276" s="1" t="n">
        <v>43767</v>
      </c>
      <c r="C276" s="1" t="n">
        <v>45337</v>
      </c>
      <c r="D276" t="inlineStr">
        <is>
          <t>VÄSTERBOTTENS LÄN</t>
        </is>
      </c>
      <c r="E276" t="inlineStr">
        <is>
          <t>LYCKSELE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58648-2019</t>
        </is>
      </c>
      <c r="B277" s="1" t="n">
        <v>43768</v>
      </c>
      <c r="C277" s="1" t="n">
        <v>45337</v>
      </c>
      <c r="D277" t="inlineStr">
        <is>
          <t>VÄSTERBOTTENS LÄN</t>
        </is>
      </c>
      <c r="E277" t="inlineStr">
        <is>
          <t>LYCKSELE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57838-2019</t>
        </is>
      </c>
      <c r="B278" s="1" t="n">
        <v>43768</v>
      </c>
      <c r="C278" s="1" t="n">
        <v>45337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59632-2019</t>
        </is>
      </c>
      <c r="B279" s="1" t="n">
        <v>43776</v>
      </c>
      <c r="C279" s="1" t="n">
        <v>45337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60438-2019</t>
        </is>
      </c>
      <c r="B280" s="1" t="n">
        <v>43780</v>
      </c>
      <c r="C280" s="1" t="n">
        <v>45337</v>
      </c>
      <c r="D280" t="inlineStr">
        <is>
          <t>VÄSTERBOTTENS LÄN</t>
        </is>
      </c>
      <c r="E280" t="inlineStr">
        <is>
          <t>LYCKSELE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60567-2019</t>
        </is>
      </c>
      <c r="B281" s="1" t="n">
        <v>43781</v>
      </c>
      <c r="C281" s="1" t="n">
        <v>45337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62147-2019</t>
        </is>
      </c>
      <c r="B282" s="1" t="n">
        <v>43787</v>
      </c>
      <c r="C282" s="1" t="n">
        <v>45337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63313-2019</t>
        </is>
      </c>
      <c r="B283" s="1" t="n">
        <v>43787</v>
      </c>
      <c r="C283" s="1" t="n">
        <v>45337</v>
      </c>
      <c r="D283" t="inlineStr">
        <is>
          <t>VÄSTERBOTTENS LÄN</t>
        </is>
      </c>
      <c r="E283" t="inlineStr">
        <is>
          <t>LYCKSELE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63305-2019</t>
        </is>
      </c>
      <c r="B284" s="1" t="n">
        <v>43787</v>
      </c>
      <c r="C284" s="1" t="n">
        <v>45337</v>
      </c>
      <c r="D284" t="inlineStr">
        <is>
          <t>VÄSTERBOTTENS LÄN</t>
        </is>
      </c>
      <c r="E284" t="inlineStr">
        <is>
          <t>LYCKSELE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62507-2019</t>
        </is>
      </c>
      <c r="B285" s="1" t="n">
        <v>43788</v>
      </c>
      <c r="C285" s="1" t="n">
        <v>45337</v>
      </c>
      <c r="D285" t="inlineStr">
        <is>
          <t>VÄSTERBOTTENS LÄN</t>
        </is>
      </c>
      <c r="E285" t="inlineStr">
        <is>
          <t>LYCKSELE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63506-2019</t>
        </is>
      </c>
      <c r="B286" s="1" t="n">
        <v>43788</v>
      </c>
      <c r="C286" s="1" t="n">
        <v>45337</v>
      </c>
      <c r="D286" t="inlineStr">
        <is>
          <t>VÄSTERBOTTENS LÄN</t>
        </is>
      </c>
      <c r="E286" t="inlineStr">
        <is>
          <t>LYCKSELE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63236-2019</t>
        </is>
      </c>
      <c r="B287" s="1" t="n">
        <v>43791</v>
      </c>
      <c r="C287" s="1" t="n">
        <v>45337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64371-2019</t>
        </is>
      </c>
      <c r="B288" s="1" t="n">
        <v>43797</v>
      </c>
      <c r="C288" s="1" t="n">
        <v>45337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64478-2019</t>
        </is>
      </c>
      <c r="B289" s="1" t="n">
        <v>43797</v>
      </c>
      <c r="C289" s="1" t="n">
        <v>45337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67650-2019</t>
        </is>
      </c>
      <c r="B290" s="1" t="n">
        <v>43809</v>
      </c>
      <c r="C290" s="1" t="n">
        <v>45337</v>
      </c>
      <c r="D290" t="inlineStr">
        <is>
          <t>VÄSTERBOTTENS LÄN</t>
        </is>
      </c>
      <c r="E290" t="inlineStr">
        <is>
          <t>LYCKSELE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67652-2019</t>
        </is>
      </c>
      <c r="B291" s="1" t="n">
        <v>43809</v>
      </c>
      <c r="C291" s="1" t="n">
        <v>45337</v>
      </c>
      <c r="D291" t="inlineStr">
        <is>
          <t>VÄSTERBOTTENS LÄN</t>
        </is>
      </c>
      <c r="E291" t="inlineStr">
        <is>
          <t>LYCKSELE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67636-2019</t>
        </is>
      </c>
      <c r="B292" s="1" t="n">
        <v>43809</v>
      </c>
      <c r="C292" s="1" t="n">
        <v>45337</v>
      </c>
      <c r="D292" t="inlineStr">
        <is>
          <t>VÄSTERBOTTENS LÄN</t>
        </is>
      </c>
      <c r="E292" t="inlineStr">
        <is>
          <t>LYCKSELE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69024-2019</t>
        </is>
      </c>
      <c r="B293" s="1" t="n">
        <v>43815</v>
      </c>
      <c r="C293" s="1" t="n">
        <v>45337</v>
      </c>
      <c r="D293" t="inlineStr">
        <is>
          <t>VÄSTERBOTTENS LÄN</t>
        </is>
      </c>
      <c r="E293" t="inlineStr">
        <is>
          <t>LYCKSELE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67949-2019</t>
        </is>
      </c>
      <c r="B294" s="1" t="n">
        <v>43816</v>
      </c>
      <c r="C294" s="1" t="n">
        <v>45337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67935-2019</t>
        </is>
      </c>
      <c r="B295" s="1" t="n">
        <v>43816</v>
      </c>
      <c r="C295" s="1" t="n">
        <v>45337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68185-2019</t>
        </is>
      </c>
      <c r="B296" s="1" t="n">
        <v>43817</v>
      </c>
      <c r="C296" s="1" t="n">
        <v>45337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68179-2019</t>
        </is>
      </c>
      <c r="B297" s="1" t="n">
        <v>43817</v>
      </c>
      <c r="C297" s="1" t="n">
        <v>45337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68172-2019</t>
        </is>
      </c>
      <c r="B298" s="1" t="n">
        <v>43817</v>
      </c>
      <c r="C298" s="1" t="n">
        <v>45337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23.7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68194-2019</t>
        </is>
      </c>
      <c r="B299" s="1" t="n">
        <v>43817</v>
      </c>
      <c r="C299" s="1" t="n">
        <v>45337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68614-2019</t>
        </is>
      </c>
      <c r="B300" s="1" t="n">
        <v>43818</v>
      </c>
      <c r="C300" s="1" t="n">
        <v>45337</v>
      </c>
      <c r="D300" t="inlineStr">
        <is>
          <t>VÄSTERBOTTENS LÄN</t>
        </is>
      </c>
      <c r="E300" t="inlineStr">
        <is>
          <t>LYCKSELE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1716-2020</t>
        </is>
      </c>
      <c r="B301" s="1" t="n">
        <v>43833</v>
      </c>
      <c r="C301" s="1" t="n">
        <v>45337</v>
      </c>
      <c r="D301" t="inlineStr">
        <is>
          <t>VÄSTERBOTTENS LÄN</t>
        </is>
      </c>
      <c r="E301" t="inlineStr">
        <is>
          <t>LYCKSELE</t>
        </is>
      </c>
      <c r="G301" t="n">
        <v>17.4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1691-2020</t>
        </is>
      </c>
      <c r="B302" s="1" t="n">
        <v>43833</v>
      </c>
      <c r="C302" s="1" t="n">
        <v>45337</v>
      </c>
      <c r="D302" t="inlineStr">
        <is>
          <t>VÄSTERBOTTENS LÄN</t>
        </is>
      </c>
      <c r="E302" t="inlineStr">
        <is>
          <t>LYCKSELE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954-2020</t>
        </is>
      </c>
      <c r="B303" s="1" t="n">
        <v>43839</v>
      </c>
      <c r="C303" s="1" t="n">
        <v>45337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1108-2020</t>
        </is>
      </c>
      <c r="B304" s="1" t="n">
        <v>43840</v>
      </c>
      <c r="C304" s="1" t="n">
        <v>45337</v>
      </c>
      <c r="D304" t="inlineStr">
        <is>
          <t>VÄSTERBOTTENS LÄN</t>
        </is>
      </c>
      <c r="E304" t="inlineStr">
        <is>
          <t>LYCKSELE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1142-2020</t>
        </is>
      </c>
      <c r="B305" s="1" t="n">
        <v>43840</v>
      </c>
      <c r="C305" s="1" t="n">
        <v>45337</v>
      </c>
      <c r="D305" t="inlineStr">
        <is>
          <t>VÄSTERBOTTENS LÄN</t>
        </is>
      </c>
      <c r="E305" t="inlineStr">
        <is>
          <t>LYCKSELE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1133-2020</t>
        </is>
      </c>
      <c r="B306" s="1" t="n">
        <v>43840</v>
      </c>
      <c r="C306" s="1" t="n">
        <v>45337</v>
      </c>
      <c r="D306" t="inlineStr">
        <is>
          <t>VÄSTERBOTTENS LÄN</t>
        </is>
      </c>
      <c r="E306" t="inlineStr">
        <is>
          <t>LYCKSELE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1270-2020</t>
        </is>
      </c>
      <c r="B307" s="1" t="n">
        <v>43841</v>
      </c>
      <c r="C307" s="1" t="n">
        <v>45337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Naturvårdsverket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3620-2020</t>
        </is>
      </c>
      <c r="B308" s="1" t="n">
        <v>43845</v>
      </c>
      <c r="C308" s="1" t="n">
        <v>45337</v>
      </c>
      <c r="D308" t="inlineStr">
        <is>
          <t>VÄSTERBOTTENS LÄN</t>
        </is>
      </c>
      <c r="E308" t="inlineStr">
        <is>
          <t>LYCKSELE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4041-2020</t>
        </is>
      </c>
      <c r="B309" s="1" t="n">
        <v>43857</v>
      </c>
      <c r="C309" s="1" t="n">
        <v>45337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5501-2020</t>
        </is>
      </c>
      <c r="B310" s="1" t="n">
        <v>43858</v>
      </c>
      <c r="C310" s="1" t="n">
        <v>45337</v>
      </c>
      <c r="D310" t="inlineStr">
        <is>
          <t>VÄSTERBOTTENS LÄN</t>
        </is>
      </c>
      <c r="E310" t="inlineStr">
        <is>
          <t>LYCKSELE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6097-2020</t>
        </is>
      </c>
      <c r="B311" s="1" t="n">
        <v>43864</v>
      </c>
      <c r="C311" s="1" t="n">
        <v>45337</v>
      </c>
      <c r="D311" t="inlineStr">
        <is>
          <t>VÄSTERBOTTENS LÄN</t>
        </is>
      </c>
      <c r="E311" t="inlineStr">
        <is>
          <t>LYCKSELE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7618-2020</t>
        </is>
      </c>
      <c r="B312" s="1" t="n">
        <v>43871</v>
      </c>
      <c r="C312" s="1" t="n">
        <v>45337</v>
      </c>
      <c r="D312" t="inlineStr">
        <is>
          <t>VÄSTERBOTTENS LÄN</t>
        </is>
      </c>
      <c r="E312" t="inlineStr">
        <is>
          <t>LYCKSELE</t>
        </is>
      </c>
      <c r="G312" t="n">
        <v>17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7632-2020</t>
        </is>
      </c>
      <c r="B313" s="1" t="n">
        <v>43871</v>
      </c>
      <c r="C313" s="1" t="n">
        <v>45337</v>
      </c>
      <c r="D313" t="inlineStr">
        <is>
          <t>VÄSTERBOTTENS LÄN</t>
        </is>
      </c>
      <c r="E313" t="inlineStr">
        <is>
          <t>LYCKSELE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9994-2020</t>
        </is>
      </c>
      <c r="B314" s="1" t="n">
        <v>43882</v>
      </c>
      <c r="C314" s="1" t="n">
        <v>45337</v>
      </c>
      <c r="D314" t="inlineStr">
        <is>
          <t>VÄSTERBOTTENS LÄN</t>
        </is>
      </c>
      <c r="E314" t="inlineStr">
        <is>
          <t>LYCKSELE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14940-2020</t>
        </is>
      </c>
      <c r="B315" s="1" t="n">
        <v>43910</v>
      </c>
      <c r="C315" s="1" t="n">
        <v>45337</v>
      </c>
      <c r="D315" t="inlineStr">
        <is>
          <t>VÄSTERBOTTENS LÄN</t>
        </is>
      </c>
      <c r="E315" t="inlineStr">
        <is>
          <t>LYCKSELE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17137-2020</t>
        </is>
      </c>
      <c r="B316" s="1" t="n">
        <v>43922</v>
      </c>
      <c r="C316" s="1" t="n">
        <v>45337</v>
      </c>
      <c r="D316" t="inlineStr">
        <is>
          <t>VÄSTERBOTTENS LÄN</t>
        </is>
      </c>
      <c r="E316" t="inlineStr">
        <is>
          <t>LYCKSELE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17126-2020</t>
        </is>
      </c>
      <c r="B317" s="1" t="n">
        <v>43922</v>
      </c>
      <c r="C317" s="1" t="n">
        <v>45337</v>
      </c>
      <c r="D317" t="inlineStr">
        <is>
          <t>VÄSTERBOTTENS LÄN</t>
        </is>
      </c>
      <c r="E317" t="inlineStr">
        <is>
          <t>LYCKSELE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18609-2020</t>
        </is>
      </c>
      <c r="B318" s="1" t="n">
        <v>43929</v>
      </c>
      <c r="C318" s="1" t="n">
        <v>45337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18898-2020</t>
        </is>
      </c>
      <c r="B319" s="1" t="n">
        <v>43930</v>
      </c>
      <c r="C319" s="1" t="n">
        <v>45337</v>
      </c>
      <c r="D319" t="inlineStr">
        <is>
          <t>VÄSTERBOTTENS LÄN</t>
        </is>
      </c>
      <c r="E319" t="inlineStr">
        <is>
          <t>LYCKSELE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20383-2020</t>
        </is>
      </c>
      <c r="B320" s="1" t="n">
        <v>43945</v>
      </c>
      <c r="C320" s="1" t="n">
        <v>45337</v>
      </c>
      <c r="D320" t="inlineStr">
        <is>
          <t>VÄSTERBOTTENS LÄN</t>
        </is>
      </c>
      <c r="E320" t="inlineStr">
        <is>
          <t>LYCKSELE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20445-2020</t>
        </is>
      </c>
      <c r="B321" s="1" t="n">
        <v>43945</v>
      </c>
      <c r="C321" s="1" t="n">
        <v>45337</v>
      </c>
      <c r="D321" t="inlineStr">
        <is>
          <t>VÄSTERBOTTENS LÄN</t>
        </is>
      </c>
      <c r="E321" t="inlineStr">
        <is>
          <t>LYCKSELE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20388-2020</t>
        </is>
      </c>
      <c r="B322" s="1" t="n">
        <v>43945</v>
      </c>
      <c r="C322" s="1" t="n">
        <v>45337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25258-2020</t>
        </is>
      </c>
      <c r="B323" s="1" t="n">
        <v>43980</v>
      </c>
      <c r="C323" s="1" t="n">
        <v>45337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25608-2020</t>
        </is>
      </c>
      <c r="B324" s="1" t="n">
        <v>43983</v>
      </c>
      <c r="C324" s="1" t="n">
        <v>45337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25916-2020</t>
        </is>
      </c>
      <c r="B325" s="1" t="n">
        <v>43984</v>
      </c>
      <c r="C325" s="1" t="n">
        <v>45337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26096-2020</t>
        </is>
      </c>
      <c r="B326" s="1" t="n">
        <v>43985</v>
      </c>
      <c r="C326" s="1" t="n">
        <v>45337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26082-2020</t>
        </is>
      </c>
      <c r="B327" s="1" t="n">
        <v>43985</v>
      </c>
      <c r="C327" s="1" t="n">
        <v>45337</v>
      </c>
      <c r="D327" t="inlineStr">
        <is>
          <t>VÄSTERBOTTENS LÄN</t>
        </is>
      </c>
      <c r="E327" t="inlineStr">
        <is>
          <t>LYCKSELE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27094-2020</t>
        </is>
      </c>
      <c r="B328" s="1" t="n">
        <v>43985</v>
      </c>
      <c r="C328" s="1" t="n">
        <v>45337</v>
      </c>
      <c r="D328" t="inlineStr">
        <is>
          <t>VÄSTERBOTTENS LÄN</t>
        </is>
      </c>
      <c r="E328" t="inlineStr">
        <is>
          <t>LYCKSELE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26457-2020</t>
        </is>
      </c>
      <c r="B329" s="1" t="n">
        <v>43987</v>
      </c>
      <c r="C329" s="1" t="n">
        <v>45337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26780-2020</t>
        </is>
      </c>
      <c r="B330" s="1" t="n">
        <v>43990</v>
      </c>
      <c r="C330" s="1" t="n">
        <v>45337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30386-2020</t>
        </is>
      </c>
      <c r="B331" s="1" t="n">
        <v>44007</v>
      </c>
      <c r="C331" s="1" t="n">
        <v>45337</v>
      </c>
      <c r="D331" t="inlineStr">
        <is>
          <t>VÄSTERBOTTENS LÄN</t>
        </is>
      </c>
      <c r="E331" t="inlineStr">
        <is>
          <t>LYCKSELE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30964-2020</t>
        </is>
      </c>
      <c r="B332" s="1" t="n">
        <v>44011</v>
      </c>
      <c r="C332" s="1" t="n">
        <v>45337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31743-2020</t>
        </is>
      </c>
      <c r="B333" s="1" t="n">
        <v>44014</v>
      </c>
      <c r="C333" s="1" t="n">
        <v>45337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32176-2020</t>
        </is>
      </c>
      <c r="B334" s="1" t="n">
        <v>44015</v>
      </c>
      <c r="C334" s="1" t="n">
        <v>45337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32188-2020</t>
        </is>
      </c>
      <c r="B335" s="1" t="n">
        <v>44015</v>
      </c>
      <c r="C335" s="1" t="n">
        <v>45337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33082-2020</t>
        </is>
      </c>
      <c r="B336" s="1" t="n">
        <v>44021</v>
      </c>
      <c r="C336" s="1" t="n">
        <v>45337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33109-2020</t>
        </is>
      </c>
      <c r="B337" s="1" t="n">
        <v>44021</v>
      </c>
      <c r="C337" s="1" t="n">
        <v>45337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33347-2020</t>
        </is>
      </c>
      <c r="B338" s="1" t="n">
        <v>44021</v>
      </c>
      <c r="C338" s="1" t="n">
        <v>45337</v>
      </c>
      <c r="D338" t="inlineStr">
        <is>
          <t>VÄSTERBOTTENS LÄN</t>
        </is>
      </c>
      <c r="E338" t="inlineStr">
        <is>
          <t>LYCKSELE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33487-2020</t>
        </is>
      </c>
      <c r="B339" s="1" t="n">
        <v>44024</v>
      </c>
      <c r="C339" s="1" t="n">
        <v>45337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33484-2020</t>
        </is>
      </c>
      <c r="B340" s="1" t="n">
        <v>44024</v>
      </c>
      <c r="C340" s="1" t="n">
        <v>45337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34151-2020</t>
        </is>
      </c>
      <c r="B341" s="1" t="n">
        <v>44027</v>
      </c>
      <c r="C341" s="1" t="n">
        <v>45337</v>
      </c>
      <c r="D341" t="inlineStr">
        <is>
          <t>VÄSTERBOTTENS LÄN</t>
        </is>
      </c>
      <c r="E341" t="inlineStr">
        <is>
          <t>LYCKSELE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33841-2020</t>
        </is>
      </c>
      <c r="B342" s="1" t="n">
        <v>44027</v>
      </c>
      <c r="C342" s="1" t="n">
        <v>45337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13.1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34060-2020</t>
        </is>
      </c>
      <c r="B343" s="1" t="n">
        <v>44028</v>
      </c>
      <c r="C343" s="1" t="n">
        <v>45337</v>
      </c>
      <c r="D343" t="inlineStr">
        <is>
          <t>VÄSTERBOTTENS LÄN</t>
        </is>
      </c>
      <c r="E343" t="inlineStr">
        <is>
          <t>LYCKSELE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34479-2020</t>
        </is>
      </c>
      <c r="B344" s="1" t="n">
        <v>44032</v>
      </c>
      <c r="C344" s="1" t="n">
        <v>45337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Naturvårdsverket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34770-2020</t>
        </is>
      </c>
      <c r="B345" s="1" t="n">
        <v>44035</v>
      </c>
      <c r="C345" s="1" t="n">
        <v>45337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34763-2020</t>
        </is>
      </c>
      <c r="B346" s="1" t="n">
        <v>44035</v>
      </c>
      <c r="C346" s="1" t="n">
        <v>45337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37227-2020</t>
        </is>
      </c>
      <c r="B347" s="1" t="n">
        <v>44054</v>
      </c>
      <c r="C347" s="1" t="n">
        <v>45337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37978-2020</t>
        </is>
      </c>
      <c r="B348" s="1" t="n">
        <v>44057</v>
      </c>
      <c r="C348" s="1" t="n">
        <v>45337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38067-2020</t>
        </is>
      </c>
      <c r="B349" s="1" t="n">
        <v>44057</v>
      </c>
      <c r="C349" s="1" t="n">
        <v>45337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38944-2020</t>
        </is>
      </c>
      <c r="B350" s="1" t="n">
        <v>44062</v>
      </c>
      <c r="C350" s="1" t="n">
        <v>45337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38980-2020</t>
        </is>
      </c>
      <c r="B351" s="1" t="n">
        <v>44062</v>
      </c>
      <c r="C351" s="1" t="n">
        <v>45337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40355-2020</t>
        </is>
      </c>
      <c r="B352" s="1" t="n">
        <v>44067</v>
      </c>
      <c r="C352" s="1" t="n">
        <v>45337</v>
      </c>
      <c r="D352" t="inlineStr">
        <is>
          <t>VÄSTERBOTTENS LÄN</t>
        </is>
      </c>
      <c r="E352" t="inlineStr">
        <is>
          <t>LYCKSELE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43063-2020</t>
        </is>
      </c>
      <c r="B353" s="1" t="n">
        <v>44078</v>
      </c>
      <c r="C353" s="1" t="n">
        <v>45337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44041-2020</t>
        </is>
      </c>
      <c r="B354" s="1" t="n">
        <v>44081</v>
      </c>
      <c r="C354" s="1" t="n">
        <v>45337</v>
      </c>
      <c r="D354" t="inlineStr">
        <is>
          <t>VÄSTERBOTTENS LÄN</t>
        </is>
      </c>
      <c r="E354" t="inlineStr">
        <is>
          <t>LYCKSELE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44198-2020</t>
        </is>
      </c>
      <c r="B355" s="1" t="n">
        <v>44083</v>
      </c>
      <c r="C355" s="1" t="n">
        <v>45337</v>
      </c>
      <c r="D355" t="inlineStr">
        <is>
          <t>VÄSTERBOTTENS LÄN</t>
        </is>
      </c>
      <c r="E355" t="inlineStr">
        <is>
          <t>LYCKSELE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44529-2020</t>
        </is>
      </c>
      <c r="B356" s="1" t="n">
        <v>44085</v>
      </c>
      <c r="C356" s="1" t="n">
        <v>45337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55.2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45974-2020</t>
        </is>
      </c>
      <c r="B357" s="1" t="n">
        <v>44091</v>
      </c>
      <c r="C357" s="1" t="n">
        <v>45337</v>
      </c>
      <c r="D357" t="inlineStr">
        <is>
          <t>VÄSTERBOTTENS LÄN</t>
        </is>
      </c>
      <c r="E357" t="inlineStr">
        <is>
          <t>LYCKSELE</t>
        </is>
      </c>
      <c r="G357" t="n">
        <v>14.1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46595-2020</t>
        </is>
      </c>
      <c r="B358" s="1" t="n">
        <v>44095</v>
      </c>
      <c r="C358" s="1" t="n">
        <v>45337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56.3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46632-2020</t>
        </is>
      </c>
      <c r="B359" s="1" t="n">
        <v>44095</v>
      </c>
      <c r="C359" s="1" t="n">
        <v>45337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46764-2020</t>
        </is>
      </c>
      <c r="B360" s="1" t="n">
        <v>44095</v>
      </c>
      <c r="C360" s="1" t="n">
        <v>45337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47487-2020</t>
        </is>
      </c>
      <c r="B361" s="1" t="n">
        <v>44098</v>
      </c>
      <c r="C361" s="1" t="n">
        <v>45337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48370-2020</t>
        </is>
      </c>
      <c r="B362" s="1" t="n">
        <v>44102</v>
      </c>
      <c r="C362" s="1" t="n">
        <v>45337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49378-2020</t>
        </is>
      </c>
      <c r="B363" s="1" t="n">
        <v>44105</v>
      </c>
      <c r="C363" s="1" t="n">
        <v>45337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49482-2020</t>
        </is>
      </c>
      <c r="B364" s="1" t="n">
        <v>44105</v>
      </c>
      <c r="C364" s="1" t="n">
        <v>45337</v>
      </c>
      <c r="D364" t="inlineStr">
        <is>
          <t>VÄSTERBOTTENS LÄN</t>
        </is>
      </c>
      <c r="E364" t="inlineStr">
        <is>
          <t>LYCKSELE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50218-2020</t>
        </is>
      </c>
      <c r="B365" s="1" t="n">
        <v>44109</v>
      </c>
      <c r="C365" s="1" t="n">
        <v>45337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50012-2020</t>
        </is>
      </c>
      <c r="B366" s="1" t="n">
        <v>44109</v>
      </c>
      <c r="C366" s="1" t="n">
        <v>45337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50217-2020</t>
        </is>
      </c>
      <c r="B367" s="1" t="n">
        <v>44109</v>
      </c>
      <c r="C367" s="1" t="n">
        <v>45337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53053-2020</t>
        </is>
      </c>
      <c r="B368" s="1" t="n">
        <v>44120</v>
      </c>
      <c r="C368" s="1" t="n">
        <v>45337</v>
      </c>
      <c r="D368" t="inlineStr">
        <is>
          <t>VÄSTERBOTTENS LÄN</t>
        </is>
      </c>
      <c r="E368" t="inlineStr">
        <is>
          <t>LYCKSELE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53083-2020</t>
        </is>
      </c>
      <c r="B369" s="1" t="n">
        <v>44120</v>
      </c>
      <c r="C369" s="1" t="n">
        <v>45337</v>
      </c>
      <c r="D369" t="inlineStr">
        <is>
          <t>VÄSTERBOTTENS LÄN</t>
        </is>
      </c>
      <c r="E369" t="inlineStr">
        <is>
          <t>LYCKSELE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53074-2020</t>
        </is>
      </c>
      <c r="B370" s="1" t="n">
        <v>44120</v>
      </c>
      <c r="C370" s="1" t="n">
        <v>45337</v>
      </c>
      <c r="D370" t="inlineStr">
        <is>
          <t>VÄSTERBOTTENS LÄN</t>
        </is>
      </c>
      <c r="E370" t="inlineStr">
        <is>
          <t>LYCKSELE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53146-2020</t>
        </is>
      </c>
      <c r="B371" s="1" t="n">
        <v>44120</v>
      </c>
      <c r="C371" s="1" t="n">
        <v>45337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53180-2020</t>
        </is>
      </c>
      <c r="B372" s="1" t="n">
        <v>44120</v>
      </c>
      <c r="C372" s="1" t="n">
        <v>45337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53469-2020</t>
        </is>
      </c>
      <c r="B373" s="1" t="n">
        <v>44123</v>
      </c>
      <c r="C373" s="1" t="n">
        <v>45337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53446-2020</t>
        </is>
      </c>
      <c r="B374" s="1" t="n">
        <v>44123</v>
      </c>
      <c r="C374" s="1" t="n">
        <v>45337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54805-2020</t>
        </is>
      </c>
      <c r="B375" s="1" t="n">
        <v>44127</v>
      </c>
      <c r="C375" s="1" t="n">
        <v>45337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55782-2020</t>
        </is>
      </c>
      <c r="B376" s="1" t="n">
        <v>44132</v>
      </c>
      <c r="C376" s="1" t="n">
        <v>45337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57085-2020</t>
        </is>
      </c>
      <c r="B377" s="1" t="n">
        <v>44138</v>
      </c>
      <c r="C377" s="1" t="n">
        <v>45337</v>
      </c>
      <c r="D377" t="inlineStr">
        <is>
          <t>VÄSTERBOTTENS LÄN</t>
        </is>
      </c>
      <c r="E377" t="inlineStr">
        <is>
          <t>LYCKSELE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59029-2020</t>
        </is>
      </c>
      <c r="B378" s="1" t="n">
        <v>44147</v>
      </c>
      <c r="C378" s="1" t="n">
        <v>45337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59264-2020</t>
        </is>
      </c>
      <c r="B379" s="1" t="n">
        <v>44147</v>
      </c>
      <c r="C379" s="1" t="n">
        <v>45337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59261-2020</t>
        </is>
      </c>
      <c r="B380" s="1" t="n">
        <v>44147</v>
      </c>
      <c r="C380" s="1" t="n">
        <v>45337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59546-2020</t>
        </is>
      </c>
      <c r="B381" s="1" t="n">
        <v>44148</v>
      </c>
      <c r="C381" s="1" t="n">
        <v>45337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61634-2020</t>
        </is>
      </c>
      <c r="B382" s="1" t="n">
        <v>44158</v>
      </c>
      <c r="C382" s="1" t="n">
        <v>45337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61630-2020</t>
        </is>
      </c>
      <c r="B383" s="1" t="n">
        <v>44158</v>
      </c>
      <c r="C383" s="1" t="n">
        <v>45337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63037-2020</t>
        </is>
      </c>
      <c r="B384" s="1" t="n">
        <v>44162</v>
      </c>
      <c r="C384" s="1" t="n">
        <v>45337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20.8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63871-2020</t>
        </is>
      </c>
      <c r="B385" s="1" t="n">
        <v>44166</v>
      </c>
      <c r="C385" s="1" t="n">
        <v>45337</v>
      </c>
      <c r="D385" t="inlineStr">
        <is>
          <t>VÄSTERBOTTENS LÄN</t>
        </is>
      </c>
      <c r="E385" t="inlineStr">
        <is>
          <t>LYCKSELE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63878-2020</t>
        </is>
      </c>
      <c r="B386" s="1" t="n">
        <v>44166</v>
      </c>
      <c r="C386" s="1" t="n">
        <v>45337</v>
      </c>
      <c r="D386" t="inlineStr">
        <is>
          <t>VÄSTERBOTTENS LÄN</t>
        </is>
      </c>
      <c r="E386" t="inlineStr">
        <is>
          <t>LYCKSELE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68253-2020</t>
        </is>
      </c>
      <c r="B387" s="1" t="n">
        <v>44182</v>
      </c>
      <c r="C387" s="1" t="n">
        <v>45337</v>
      </c>
      <c r="D387" t="inlineStr">
        <is>
          <t>VÄSTERBOTTENS LÄN</t>
        </is>
      </c>
      <c r="E387" t="inlineStr">
        <is>
          <t>LYCKSELE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68405-2020</t>
        </is>
      </c>
      <c r="B388" s="1" t="n">
        <v>44182</v>
      </c>
      <c r="C388" s="1" t="n">
        <v>45337</v>
      </c>
      <c r="D388" t="inlineStr">
        <is>
          <t>VÄSTERBOTTENS LÄN</t>
        </is>
      </c>
      <c r="E388" t="inlineStr">
        <is>
          <t>LYCKSELE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68409-2020</t>
        </is>
      </c>
      <c r="B389" s="1" t="n">
        <v>44182</v>
      </c>
      <c r="C389" s="1" t="n">
        <v>45337</v>
      </c>
      <c r="D389" t="inlineStr">
        <is>
          <t>VÄSTERBOTTENS LÄN</t>
        </is>
      </c>
      <c r="E389" t="inlineStr">
        <is>
          <t>LYCKSELE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68510-2020</t>
        </is>
      </c>
      <c r="B390" s="1" t="n">
        <v>44183</v>
      </c>
      <c r="C390" s="1" t="n">
        <v>45337</v>
      </c>
      <c r="D390" t="inlineStr">
        <is>
          <t>VÄSTERBOTTENS LÄN</t>
        </is>
      </c>
      <c r="E390" t="inlineStr">
        <is>
          <t>LYCKSELE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441-2021</t>
        </is>
      </c>
      <c r="B391" s="1" t="n">
        <v>44201</v>
      </c>
      <c r="C391" s="1" t="n">
        <v>45337</v>
      </c>
      <c r="D391" t="inlineStr">
        <is>
          <t>VÄSTERBOTTENS LÄN</t>
        </is>
      </c>
      <c r="E391" t="inlineStr">
        <is>
          <t>LYCKSELE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5316-2021</t>
        </is>
      </c>
      <c r="B392" s="1" t="n">
        <v>44229</v>
      </c>
      <c r="C392" s="1" t="n">
        <v>45337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13911-2021</t>
        </is>
      </c>
      <c r="B393" s="1" t="n">
        <v>44277</v>
      </c>
      <c r="C393" s="1" t="n">
        <v>45337</v>
      </c>
      <c r="D393" t="inlineStr">
        <is>
          <t>VÄSTERBOTTENS LÄN</t>
        </is>
      </c>
      <c r="E393" t="inlineStr">
        <is>
          <t>LYCKSELE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13955-2021</t>
        </is>
      </c>
      <c r="B394" s="1" t="n">
        <v>44277</v>
      </c>
      <c r="C394" s="1" t="n">
        <v>45337</v>
      </c>
      <c r="D394" t="inlineStr">
        <is>
          <t>VÄSTERBOTTENS LÄN</t>
        </is>
      </c>
      <c r="E394" t="inlineStr">
        <is>
          <t>LYCKSELE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13924-2021</t>
        </is>
      </c>
      <c r="B395" s="1" t="n">
        <v>44277</v>
      </c>
      <c r="C395" s="1" t="n">
        <v>45337</v>
      </c>
      <c r="D395" t="inlineStr">
        <is>
          <t>VÄSTERBOTTENS LÄN</t>
        </is>
      </c>
      <c r="E395" t="inlineStr">
        <is>
          <t>LYCKSELE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13903-2021</t>
        </is>
      </c>
      <c r="B396" s="1" t="n">
        <v>44277</v>
      </c>
      <c r="C396" s="1" t="n">
        <v>45337</v>
      </c>
      <c r="D396" t="inlineStr">
        <is>
          <t>VÄSTERBOTTENS LÄN</t>
        </is>
      </c>
      <c r="E396" t="inlineStr">
        <is>
          <t>LYCKSELE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15112-2021</t>
        </is>
      </c>
      <c r="B397" s="1" t="n">
        <v>44282</v>
      </c>
      <c r="C397" s="1" t="n">
        <v>45337</v>
      </c>
      <c r="D397" t="inlineStr">
        <is>
          <t>VÄSTERBOTTENS LÄN</t>
        </is>
      </c>
      <c r="E397" t="inlineStr">
        <is>
          <t>LYCKSELE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15113-2021</t>
        </is>
      </c>
      <c r="B398" s="1" t="n">
        <v>44282</v>
      </c>
      <c r="C398" s="1" t="n">
        <v>45337</v>
      </c>
      <c r="D398" t="inlineStr">
        <is>
          <t>VÄSTERBOTTENS LÄN</t>
        </is>
      </c>
      <c r="E398" t="inlineStr">
        <is>
          <t>LYCKSELE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21961-2021</t>
        </is>
      </c>
      <c r="B399" s="1" t="n">
        <v>44323</v>
      </c>
      <c r="C399" s="1" t="n">
        <v>45337</v>
      </c>
      <c r="D399" t="inlineStr">
        <is>
          <t>VÄSTERBOTTENS LÄN</t>
        </is>
      </c>
      <c r="E399" t="inlineStr">
        <is>
          <t>LYCKSELE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26105-2021</t>
        </is>
      </c>
      <c r="B400" s="1" t="n">
        <v>44345</v>
      </c>
      <c r="C400" s="1" t="n">
        <v>45337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26635-2021</t>
        </is>
      </c>
      <c r="B401" s="1" t="n">
        <v>44348</v>
      </c>
      <c r="C401" s="1" t="n">
        <v>45337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26673-2021</t>
        </is>
      </c>
      <c r="B402" s="1" t="n">
        <v>44349</v>
      </c>
      <c r="C402" s="1" t="n">
        <v>45337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27945-2021</t>
        </is>
      </c>
      <c r="B403" s="1" t="n">
        <v>44354</v>
      </c>
      <c r="C403" s="1" t="n">
        <v>45337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28263-2021</t>
        </is>
      </c>
      <c r="B404" s="1" t="n">
        <v>44355</v>
      </c>
      <c r="C404" s="1" t="n">
        <v>45337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28620-2021</t>
        </is>
      </c>
      <c r="B405" s="1" t="n">
        <v>44357</v>
      </c>
      <c r="C405" s="1" t="n">
        <v>45337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29150-2021</t>
        </is>
      </c>
      <c r="B406" s="1" t="n">
        <v>44358</v>
      </c>
      <c r="C406" s="1" t="n">
        <v>45337</v>
      </c>
      <c r="D406" t="inlineStr">
        <is>
          <t>VÄSTERBOTTENS LÄN</t>
        </is>
      </c>
      <c r="E406" t="inlineStr">
        <is>
          <t>LYCKSELE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29278-2021</t>
        </is>
      </c>
      <c r="B407" s="1" t="n">
        <v>44361</v>
      </c>
      <c r="C407" s="1" t="n">
        <v>45337</v>
      </c>
      <c r="D407" t="inlineStr">
        <is>
          <t>VÄSTERBOTTENS LÄN</t>
        </is>
      </c>
      <c r="E407" t="inlineStr">
        <is>
          <t>LYCKSELE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30919-2021</t>
        </is>
      </c>
      <c r="B408" s="1" t="n">
        <v>44365</v>
      </c>
      <c r="C408" s="1" t="n">
        <v>45337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31466-2021</t>
        </is>
      </c>
      <c r="B409" s="1" t="n">
        <v>44369</v>
      </c>
      <c r="C409" s="1" t="n">
        <v>45337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18.3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33161-2021</t>
        </is>
      </c>
      <c r="B410" s="1" t="n">
        <v>44376</v>
      </c>
      <c r="C410" s="1" t="n">
        <v>45337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33222-2021</t>
        </is>
      </c>
      <c r="B411" s="1" t="n">
        <v>44376</v>
      </c>
      <c r="C411" s="1" t="n">
        <v>45337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33165-2021</t>
        </is>
      </c>
      <c r="B412" s="1" t="n">
        <v>44376</v>
      </c>
      <c r="C412" s="1" t="n">
        <v>45337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35021-2021</t>
        </is>
      </c>
      <c r="B413" s="1" t="n">
        <v>44383</v>
      </c>
      <c r="C413" s="1" t="n">
        <v>45337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35282-2021</t>
        </is>
      </c>
      <c r="B414" s="1" t="n">
        <v>44384</v>
      </c>
      <c r="C414" s="1" t="n">
        <v>45337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17.4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35700-2021</t>
        </is>
      </c>
      <c r="B415" s="1" t="n">
        <v>44386</v>
      </c>
      <c r="C415" s="1" t="n">
        <v>45337</v>
      </c>
      <c r="D415" t="inlineStr">
        <is>
          <t>VÄSTERBOTTENS LÄN</t>
        </is>
      </c>
      <c r="E415" t="inlineStr">
        <is>
          <t>LYCKSELE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36046-2021</t>
        </is>
      </c>
      <c r="B416" s="1" t="n">
        <v>44386</v>
      </c>
      <c r="C416" s="1" t="n">
        <v>45337</v>
      </c>
      <c r="D416" t="inlineStr">
        <is>
          <t>VÄSTERBOTTENS LÄN</t>
        </is>
      </c>
      <c r="E416" t="inlineStr">
        <is>
          <t>LYCKSELE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35939-2021</t>
        </is>
      </c>
      <c r="B417" s="1" t="n">
        <v>44388</v>
      </c>
      <c r="C417" s="1" t="n">
        <v>45337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35938-2021</t>
        </is>
      </c>
      <c r="B418" s="1" t="n">
        <v>44388</v>
      </c>
      <c r="C418" s="1" t="n">
        <v>45337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35937-2021</t>
        </is>
      </c>
      <c r="B419" s="1" t="n">
        <v>44388</v>
      </c>
      <c r="C419" s="1" t="n">
        <v>45337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35943-2021</t>
        </is>
      </c>
      <c r="B420" s="1" t="n">
        <v>44388</v>
      </c>
      <c r="C420" s="1" t="n">
        <v>45337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36855-2021</t>
        </is>
      </c>
      <c r="B421" s="1" t="n">
        <v>44393</v>
      </c>
      <c r="C421" s="1" t="n">
        <v>45337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37598-2021</t>
        </is>
      </c>
      <c r="B422" s="1" t="n">
        <v>44399</v>
      </c>
      <c r="C422" s="1" t="n">
        <v>45337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37593-2021</t>
        </is>
      </c>
      <c r="B423" s="1" t="n">
        <v>44399</v>
      </c>
      <c r="C423" s="1" t="n">
        <v>45337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37583-2021</t>
        </is>
      </c>
      <c r="B424" s="1" t="n">
        <v>44399</v>
      </c>
      <c r="C424" s="1" t="n">
        <v>45337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37727-2021</t>
        </is>
      </c>
      <c r="B425" s="1" t="n">
        <v>44400</v>
      </c>
      <c r="C425" s="1" t="n">
        <v>45337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37733-2021</t>
        </is>
      </c>
      <c r="B426" s="1" t="n">
        <v>44400</v>
      </c>
      <c r="C426" s="1" t="n">
        <v>45337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37731-2021</t>
        </is>
      </c>
      <c r="B427" s="1" t="n">
        <v>44400</v>
      </c>
      <c r="C427" s="1" t="n">
        <v>45337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37979-2021</t>
        </is>
      </c>
      <c r="B428" s="1" t="n">
        <v>44403</v>
      </c>
      <c r="C428" s="1" t="n">
        <v>45337</v>
      </c>
      <c r="D428" t="inlineStr">
        <is>
          <t>VÄSTERBOTTENS LÄN</t>
        </is>
      </c>
      <c r="E428" t="inlineStr">
        <is>
          <t>LYCKSELE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37984-2021</t>
        </is>
      </c>
      <c r="B429" s="1" t="n">
        <v>44403</v>
      </c>
      <c r="C429" s="1" t="n">
        <v>45337</v>
      </c>
      <c r="D429" t="inlineStr">
        <is>
          <t>VÄSTERBOTTENS LÄN</t>
        </is>
      </c>
      <c r="E429" t="inlineStr">
        <is>
          <t>LYCKSELE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37986-2021</t>
        </is>
      </c>
      <c r="B430" s="1" t="n">
        <v>44403</v>
      </c>
      <c r="C430" s="1" t="n">
        <v>45337</v>
      </c>
      <c r="D430" t="inlineStr">
        <is>
          <t>VÄSTERBOTTENS LÄN</t>
        </is>
      </c>
      <c r="E430" t="inlineStr">
        <is>
          <t>LYCKSELE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37987-2021</t>
        </is>
      </c>
      <c r="B431" s="1" t="n">
        <v>44403</v>
      </c>
      <c r="C431" s="1" t="n">
        <v>45337</v>
      </c>
      <c r="D431" t="inlineStr">
        <is>
          <t>VÄSTERBOTTENS LÄN</t>
        </is>
      </c>
      <c r="E431" t="inlineStr">
        <is>
          <t>LYCKSELE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38712-2021</t>
        </is>
      </c>
      <c r="B432" s="1" t="n">
        <v>44405</v>
      </c>
      <c r="C432" s="1" t="n">
        <v>45337</v>
      </c>
      <c r="D432" t="inlineStr">
        <is>
          <t>VÄSTERBOTTENS LÄN</t>
        </is>
      </c>
      <c r="E432" t="inlineStr">
        <is>
          <t>LYCKSELE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38544-2021</t>
        </is>
      </c>
      <c r="B433" s="1" t="n">
        <v>44407</v>
      </c>
      <c r="C433" s="1" t="n">
        <v>45337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39165-2021</t>
        </is>
      </c>
      <c r="B434" s="1" t="n">
        <v>44412</v>
      </c>
      <c r="C434" s="1" t="n">
        <v>45337</v>
      </c>
      <c r="D434" t="inlineStr">
        <is>
          <t>VÄSTERBOTTENS LÄN</t>
        </is>
      </c>
      <c r="E434" t="inlineStr">
        <is>
          <t>LYCKSELE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41497-2021</t>
        </is>
      </c>
      <c r="B435" s="1" t="n">
        <v>44424</v>
      </c>
      <c r="C435" s="1" t="n">
        <v>45337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42144-2021</t>
        </is>
      </c>
      <c r="B436" s="1" t="n">
        <v>44426</v>
      </c>
      <c r="C436" s="1" t="n">
        <v>45337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42818-2021</t>
        </is>
      </c>
      <c r="B437" s="1" t="n">
        <v>44429</v>
      </c>
      <c r="C437" s="1" t="n">
        <v>45337</v>
      </c>
      <c r="D437" t="inlineStr">
        <is>
          <t>VÄSTERBOTTENS LÄN</t>
        </is>
      </c>
      <c r="E437" t="inlineStr">
        <is>
          <t>LYCKSELE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42967-2021</t>
        </is>
      </c>
      <c r="B438" s="1" t="n">
        <v>44431</v>
      </c>
      <c r="C438" s="1" t="n">
        <v>45337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43579-2021</t>
        </is>
      </c>
      <c r="B439" s="1" t="n">
        <v>44433</v>
      </c>
      <c r="C439" s="1" t="n">
        <v>45337</v>
      </c>
      <c r="D439" t="inlineStr">
        <is>
          <t>VÄSTERBOTTENS LÄN</t>
        </is>
      </c>
      <c r="E439" t="inlineStr">
        <is>
          <t>LYCKSELE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44632-2021</t>
        </is>
      </c>
      <c r="B440" s="1" t="n">
        <v>44437</v>
      </c>
      <c r="C440" s="1" t="n">
        <v>45337</v>
      </c>
      <c r="D440" t="inlineStr">
        <is>
          <t>VÄSTERBOTTENS LÄN</t>
        </is>
      </c>
      <c r="E440" t="inlineStr">
        <is>
          <t>LYCKSELE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45270-2021</t>
        </is>
      </c>
      <c r="B441" s="1" t="n">
        <v>44439</v>
      </c>
      <c r="C441" s="1" t="n">
        <v>45337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45266-2021</t>
        </is>
      </c>
      <c r="B442" s="1" t="n">
        <v>44439</v>
      </c>
      <c r="C442" s="1" t="n">
        <v>45337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45503-2021</t>
        </is>
      </c>
      <c r="B443" s="1" t="n">
        <v>44440</v>
      </c>
      <c r="C443" s="1" t="n">
        <v>45337</v>
      </c>
      <c r="D443" t="inlineStr">
        <is>
          <t>VÄSTERBOTTENS LÄN</t>
        </is>
      </c>
      <c r="E443" t="inlineStr">
        <is>
          <t>LYCKSELE</t>
        </is>
      </c>
      <c r="G443" t="n">
        <v>29.1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45953-2021</t>
        </is>
      </c>
      <c r="B444" s="1" t="n">
        <v>44441</v>
      </c>
      <c r="C444" s="1" t="n">
        <v>45337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45946-2021</t>
        </is>
      </c>
      <c r="B445" s="1" t="n">
        <v>44441</v>
      </c>
      <c r="C445" s="1" t="n">
        <v>45337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47018-2021</t>
        </is>
      </c>
      <c r="B446" s="1" t="n">
        <v>44446</v>
      </c>
      <c r="C446" s="1" t="n">
        <v>45337</v>
      </c>
      <c r="D446" t="inlineStr">
        <is>
          <t>VÄSTERBOTTENS LÄN</t>
        </is>
      </c>
      <c r="E446" t="inlineStr">
        <is>
          <t>LYCKSELE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47067-2021</t>
        </is>
      </c>
      <c r="B447" s="1" t="n">
        <v>44446</v>
      </c>
      <c r="C447" s="1" t="n">
        <v>45337</v>
      </c>
      <c r="D447" t="inlineStr">
        <is>
          <t>VÄSTERBOTTENS LÄN</t>
        </is>
      </c>
      <c r="E447" t="inlineStr">
        <is>
          <t>LYCKSELE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47497-2021</t>
        </is>
      </c>
      <c r="B448" s="1" t="n">
        <v>44447</v>
      </c>
      <c r="C448" s="1" t="n">
        <v>45337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47717-2021</t>
        </is>
      </c>
      <c r="B449" s="1" t="n">
        <v>44448</v>
      </c>
      <c r="C449" s="1" t="n">
        <v>45337</v>
      </c>
      <c r="D449" t="inlineStr">
        <is>
          <t>VÄSTERBOTTENS LÄN</t>
        </is>
      </c>
      <c r="E449" t="inlineStr">
        <is>
          <t>LYCKSELE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47704-2021</t>
        </is>
      </c>
      <c r="B450" s="1" t="n">
        <v>44448</v>
      </c>
      <c r="C450" s="1" t="n">
        <v>45337</v>
      </c>
      <c r="D450" t="inlineStr">
        <is>
          <t>VÄSTERBOTTENS LÄN</t>
        </is>
      </c>
      <c r="E450" t="inlineStr">
        <is>
          <t>LYCKSELE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47711-2021</t>
        </is>
      </c>
      <c r="B451" s="1" t="n">
        <v>44448</v>
      </c>
      <c r="C451" s="1" t="n">
        <v>45337</v>
      </c>
      <c r="D451" t="inlineStr">
        <is>
          <t>VÄSTERBOTTENS LÄN</t>
        </is>
      </c>
      <c r="E451" t="inlineStr">
        <is>
          <t>LYCKSELE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47708-2021</t>
        </is>
      </c>
      <c r="B452" s="1" t="n">
        <v>44448</v>
      </c>
      <c r="C452" s="1" t="n">
        <v>45337</v>
      </c>
      <c r="D452" t="inlineStr">
        <is>
          <t>VÄSTERBOTTENS LÄN</t>
        </is>
      </c>
      <c r="E452" t="inlineStr">
        <is>
          <t>LYCKSELE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47697-2021</t>
        </is>
      </c>
      <c r="B453" s="1" t="n">
        <v>44448</v>
      </c>
      <c r="C453" s="1" t="n">
        <v>45337</v>
      </c>
      <c r="D453" t="inlineStr">
        <is>
          <t>VÄSTERBOTTENS LÄN</t>
        </is>
      </c>
      <c r="E453" t="inlineStr">
        <is>
          <t>LYCKSELE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48086-2021</t>
        </is>
      </c>
      <c r="B454" s="1" t="n">
        <v>44449</v>
      </c>
      <c r="C454" s="1" t="n">
        <v>45337</v>
      </c>
      <c r="D454" t="inlineStr">
        <is>
          <t>VÄSTERBOTTENS LÄN</t>
        </is>
      </c>
      <c r="E454" t="inlineStr">
        <is>
          <t>LYCKSELE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48987-2021</t>
        </is>
      </c>
      <c r="B455" s="1" t="n">
        <v>44453</v>
      </c>
      <c r="C455" s="1" t="n">
        <v>45337</v>
      </c>
      <c r="D455" t="inlineStr">
        <is>
          <t>VÄSTERBOTTENS LÄN</t>
        </is>
      </c>
      <c r="E455" t="inlineStr">
        <is>
          <t>LYCKSELE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48997-2021</t>
        </is>
      </c>
      <c r="B456" s="1" t="n">
        <v>44453</v>
      </c>
      <c r="C456" s="1" t="n">
        <v>45337</v>
      </c>
      <c r="D456" t="inlineStr">
        <is>
          <t>VÄSTERBOTTENS LÄN</t>
        </is>
      </c>
      <c r="E456" t="inlineStr">
        <is>
          <t>LYCKSELE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49816-2021</t>
        </is>
      </c>
      <c r="B457" s="1" t="n">
        <v>44454</v>
      </c>
      <c r="C457" s="1" t="n">
        <v>45337</v>
      </c>
      <c r="D457" t="inlineStr">
        <is>
          <t>VÄSTERBOTTENS LÄN</t>
        </is>
      </c>
      <c r="E457" t="inlineStr">
        <is>
          <t>LYCKSELE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50048-2021</t>
        </is>
      </c>
      <c r="B458" s="1" t="n">
        <v>44456</v>
      </c>
      <c r="C458" s="1" t="n">
        <v>45337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50044-2021</t>
        </is>
      </c>
      <c r="B459" s="1" t="n">
        <v>44456</v>
      </c>
      <c r="C459" s="1" t="n">
        <v>45337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50279-2021</t>
        </is>
      </c>
      <c r="B460" s="1" t="n">
        <v>44459</v>
      </c>
      <c r="C460" s="1" t="n">
        <v>45337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50340-2021</t>
        </is>
      </c>
      <c r="B461" s="1" t="n">
        <v>44459</v>
      </c>
      <c r="C461" s="1" t="n">
        <v>45337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51580-2021</t>
        </is>
      </c>
      <c r="B462" s="1" t="n">
        <v>44462</v>
      </c>
      <c r="C462" s="1" t="n">
        <v>45337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51931-2021</t>
        </is>
      </c>
      <c r="B463" s="1" t="n">
        <v>44463</v>
      </c>
      <c r="C463" s="1" t="n">
        <v>45337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51932-2021</t>
        </is>
      </c>
      <c r="B464" s="1" t="n">
        <v>44462</v>
      </c>
      <c r="C464" s="1" t="n">
        <v>45337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52210-2021</t>
        </is>
      </c>
      <c r="B465" s="1" t="n">
        <v>44463</v>
      </c>
      <c r="C465" s="1" t="n">
        <v>45337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52699-2021</t>
        </is>
      </c>
      <c r="B466" s="1" t="n">
        <v>44466</v>
      </c>
      <c r="C466" s="1" t="n">
        <v>45337</v>
      </c>
      <c r="D466" t="inlineStr">
        <is>
          <t>VÄSTERBOTTENS LÄN</t>
        </is>
      </c>
      <c r="E466" t="inlineStr">
        <is>
          <t>LYCKSELE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53323-2021</t>
        </is>
      </c>
      <c r="B467" s="1" t="n">
        <v>44468</v>
      </c>
      <c r="C467" s="1" t="n">
        <v>45337</v>
      </c>
      <c r="D467" t="inlineStr">
        <is>
          <t>VÄSTERBOTTENS LÄN</t>
        </is>
      </c>
      <c r="E467" t="inlineStr">
        <is>
          <t>LYCKSELE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53320-2021</t>
        </is>
      </c>
      <c r="B468" s="1" t="n">
        <v>44468</v>
      </c>
      <c r="C468" s="1" t="n">
        <v>45337</v>
      </c>
      <c r="D468" t="inlineStr">
        <is>
          <t>VÄSTERBOTTENS LÄN</t>
        </is>
      </c>
      <c r="E468" t="inlineStr">
        <is>
          <t>LYCKSELE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53614-2021</t>
        </is>
      </c>
      <c r="B469" s="1" t="n">
        <v>44469</v>
      </c>
      <c r="C469" s="1" t="n">
        <v>45337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53974-2021</t>
        </is>
      </c>
      <c r="B470" s="1" t="n">
        <v>44469</v>
      </c>
      <c r="C470" s="1" t="n">
        <v>45337</v>
      </c>
      <c r="D470" t="inlineStr">
        <is>
          <t>VÄSTERBOTTENS LÄN</t>
        </is>
      </c>
      <c r="E470" t="inlineStr">
        <is>
          <t>LYCKSELE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53979-2021</t>
        </is>
      </c>
      <c r="B471" s="1" t="n">
        <v>44469</v>
      </c>
      <c r="C471" s="1" t="n">
        <v>45337</v>
      </c>
      <c r="D471" t="inlineStr">
        <is>
          <t>VÄSTERBOTTENS LÄN</t>
        </is>
      </c>
      <c r="E471" t="inlineStr">
        <is>
          <t>LYCKSELE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54249-2021</t>
        </is>
      </c>
      <c r="B472" s="1" t="n">
        <v>44470</v>
      </c>
      <c r="C472" s="1" t="n">
        <v>45337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54245-2021</t>
        </is>
      </c>
      <c r="B473" s="1" t="n">
        <v>44470</v>
      </c>
      <c r="C473" s="1" t="n">
        <v>45337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54790-2021</t>
        </is>
      </c>
      <c r="B474" s="1" t="n">
        <v>44473</v>
      </c>
      <c r="C474" s="1" t="n">
        <v>45337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SCA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54735-2021</t>
        </is>
      </c>
      <c r="B475" s="1" t="n">
        <v>44473</v>
      </c>
      <c r="C475" s="1" t="n">
        <v>45337</v>
      </c>
      <c r="D475" t="inlineStr">
        <is>
          <t>VÄSTERBOTTENS LÄN</t>
        </is>
      </c>
      <c r="E475" t="inlineStr">
        <is>
          <t>LYCKSELE</t>
        </is>
      </c>
      <c r="G475" t="n">
        <v>11.2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54771-2021</t>
        </is>
      </c>
      <c r="B476" s="1" t="n">
        <v>44474</v>
      </c>
      <c r="C476" s="1" t="n">
        <v>45337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54794-2021</t>
        </is>
      </c>
      <c r="B477" s="1" t="n">
        <v>44474</v>
      </c>
      <c r="C477" s="1" t="n">
        <v>45337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55565-2021</t>
        </is>
      </c>
      <c r="B478" s="1" t="n">
        <v>44475</v>
      </c>
      <c r="C478" s="1" t="n">
        <v>45337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55658-2021</t>
        </is>
      </c>
      <c r="B479" s="1" t="n">
        <v>44476</v>
      </c>
      <c r="C479" s="1" t="n">
        <v>45337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56206-2021</t>
        </is>
      </c>
      <c r="B480" s="1" t="n">
        <v>44477</v>
      </c>
      <c r="C480" s="1" t="n">
        <v>45337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56401-2021</t>
        </is>
      </c>
      <c r="B481" s="1" t="n">
        <v>44477</v>
      </c>
      <c r="C481" s="1" t="n">
        <v>45337</v>
      </c>
      <c r="D481" t="inlineStr">
        <is>
          <t>VÄSTERBOTTENS LÄN</t>
        </is>
      </c>
      <c r="E481" t="inlineStr">
        <is>
          <t>LYCKSELE</t>
        </is>
      </c>
      <c r="G481" t="n">
        <v>11.5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56898-2021</t>
        </is>
      </c>
      <c r="B482" s="1" t="n">
        <v>44481</v>
      </c>
      <c r="C482" s="1" t="n">
        <v>45337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Naturvårdsverket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57666-2021</t>
        </is>
      </c>
      <c r="B483" s="1" t="n">
        <v>44484</v>
      </c>
      <c r="C483" s="1" t="n">
        <v>45337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57848-2021</t>
        </is>
      </c>
      <c r="B484" s="1" t="n">
        <v>44484</v>
      </c>
      <c r="C484" s="1" t="n">
        <v>45337</v>
      </c>
      <c r="D484" t="inlineStr">
        <is>
          <t>VÄSTERBOTTENS LÄN</t>
        </is>
      </c>
      <c r="E484" t="inlineStr">
        <is>
          <t>LYCKSELE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57818-2021</t>
        </is>
      </c>
      <c r="B485" s="1" t="n">
        <v>44484</v>
      </c>
      <c r="C485" s="1" t="n">
        <v>45337</v>
      </c>
      <c r="D485" t="inlineStr">
        <is>
          <t>VÄSTERBOTTENS LÄN</t>
        </is>
      </c>
      <c r="E485" t="inlineStr">
        <is>
          <t>LYCKSELE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57898-2021</t>
        </is>
      </c>
      <c r="B486" s="1" t="n">
        <v>44486</v>
      </c>
      <c r="C486" s="1" t="n">
        <v>45337</v>
      </c>
      <c r="D486" t="inlineStr">
        <is>
          <t>VÄSTERBOTTENS LÄN</t>
        </is>
      </c>
      <c r="E486" t="inlineStr">
        <is>
          <t>LYCKSELE</t>
        </is>
      </c>
      <c r="G486" t="n">
        <v>14.7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58911-2021</t>
        </is>
      </c>
      <c r="B487" s="1" t="n">
        <v>44489</v>
      </c>
      <c r="C487" s="1" t="n">
        <v>45337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59074-2021</t>
        </is>
      </c>
      <c r="B488" s="1" t="n">
        <v>44489</v>
      </c>
      <c r="C488" s="1" t="n">
        <v>45337</v>
      </c>
      <c r="D488" t="inlineStr">
        <is>
          <t>VÄSTERBOTTENS LÄN</t>
        </is>
      </c>
      <c r="E488" t="inlineStr">
        <is>
          <t>LYCKSELE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58946-2021</t>
        </is>
      </c>
      <c r="B489" s="1" t="n">
        <v>44490</v>
      </c>
      <c r="C489" s="1" t="n">
        <v>45337</v>
      </c>
      <c r="D489" t="inlineStr">
        <is>
          <t>VÄSTERBOTTENS LÄN</t>
        </is>
      </c>
      <c r="E489" t="inlineStr">
        <is>
          <t>LYCKSELE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59445-2021</t>
        </is>
      </c>
      <c r="B490" s="1" t="n">
        <v>44490</v>
      </c>
      <c r="C490" s="1" t="n">
        <v>45337</v>
      </c>
      <c r="D490" t="inlineStr">
        <is>
          <t>VÄSTERBOTTENS LÄN</t>
        </is>
      </c>
      <c r="E490" t="inlineStr">
        <is>
          <t>LYCKSELE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59516-2021</t>
        </is>
      </c>
      <c r="B491" s="1" t="n">
        <v>44491</v>
      </c>
      <c r="C491" s="1" t="n">
        <v>45337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59555-2021</t>
        </is>
      </c>
      <c r="B492" s="1" t="n">
        <v>44491</v>
      </c>
      <c r="C492" s="1" t="n">
        <v>45337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59920-2021</t>
        </is>
      </c>
      <c r="B493" s="1" t="n">
        <v>44494</v>
      </c>
      <c r="C493" s="1" t="n">
        <v>45337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60116-2021</t>
        </is>
      </c>
      <c r="B494" s="1" t="n">
        <v>44495</v>
      </c>
      <c r="C494" s="1" t="n">
        <v>45337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60044-2021</t>
        </is>
      </c>
      <c r="B495" s="1" t="n">
        <v>44495</v>
      </c>
      <c r="C495" s="1" t="n">
        <v>45337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60203-2021</t>
        </is>
      </c>
      <c r="B496" s="1" t="n">
        <v>44495</v>
      </c>
      <c r="C496" s="1" t="n">
        <v>45337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60425-2021</t>
        </is>
      </c>
      <c r="B497" s="1" t="n">
        <v>44496</v>
      </c>
      <c r="C497" s="1" t="n">
        <v>45337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60437-2021</t>
        </is>
      </c>
      <c r="B498" s="1" t="n">
        <v>44496</v>
      </c>
      <c r="C498" s="1" t="n">
        <v>45337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60586-2021</t>
        </is>
      </c>
      <c r="B499" s="1" t="n">
        <v>44496</v>
      </c>
      <c r="C499" s="1" t="n">
        <v>45337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60440-2021</t>
        </is>
      </c>
      <c r="B500" s="1" t="n">
        <v>44496</v>
      </c>
      <c r="C500" s="1" t="n">
        <v>45337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61169-2021</t>
        </is>
      </c>
      <c r="B501" s="1" t="n">
        <v>44498</v>
      </c>
      <c r="C501" s="1" t="n">
        <v>45337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61432-2021</t>
        </is>
      </c>
      <c r="B502" s="1" t="n">
        <v>44500</v>
      </c>
      <c r="C502" s="1" t="n">
        <v>45337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61554-2021</t>
        </is>
      </c>
      <c r="B503" s="1" t="n">
        <v>44501</v>
      </c>
      <c r="C503" s="1" t="n">
        <v>45337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61511-2021</t>
        </is>
      </c>
      <c r="B504" s="1" t="n">
        <v>44501</v>
      </c>
      <c r="C504" s="1" t="n">
        <v>45337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61651-2021</t>
        </is>
      </c>
      <c r="B505" s="1" t="n">
        <v>44501</v>
      </c>
      <c r="C505" s="1" t="n">
        <v>45337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61573-2021</t>
        </is>
      </c>
      <c r="B506" s="1" t="n">
        <v>44501</v>
      </c>
      <c r="C506" s="1" t="n">
        <v>45337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61588-2021</t>
        </is>
      </c>
      <c r="B507" s="1" t="n">
        <v>44501</v>
      </c>
      <c r="C507" s="1" t="n">
        <v>45337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61506-2021</t>
        </is>
      </c>
      <c r="B508" s="1" t="n">
        <v>44501</v>
      </c>
      <c r="C508" s="1" t="n">
        <v>45337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61940-2021</t>
        </is>
      </c>
      <c r="B509" s="1" t="n">
        <v>44502</v>
      </c>
      <c r="C509" s="1" t="n">
        <v>45337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61900-2021</t>
        </is>
      </c>
      <c r="B510" s="1" t="n">
        <v>44502</v>
      </c>
      <c r="C510" s="1" t="n">
        <v>45337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61907-2021</t>
        </is>
      </c>
      <c r="B511" s="1" t="n">
        <v>44502</v>
      </c>
      <c r="C511" s="1" t="n">
        <v>45337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63172-2021</t>
        </is>
      </c>
      <c r="B512" s="1" t="n">
        <v>44506</v>
      </c>
      <c r="C512" s="1" t="n">
        <v>45337</v>
      </c>
      <c r="D512" t="inlineStr">
        <is>
          <t>VÄSTERBOTTENS LÄN</t>
        </is>
      </c>
      <c r="E512" t="inlineStr">
        <is>
          <t>LYCKSELE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63827-2021</t>
        </is>
      </c>
      <c r="B513" s="1" t="n">
        <v>44509</v>
      </c>
      <c r="C513" s="1" t="n">
        <v>45337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63977-2021</t>
        </is>
      </c>
      <c r="B514" s="1" t="n">
        <v>44509</v>
      </c>
      <c r="C514" s="1" t="n">
        <v>45337</v>
      </c>
      <c r="D514" t="inlineStr">
        <is>
          <t>VÄSTERBOTTENS LÄN</t>
        </is>
      </c>
      <c r="E514" t="inlineStr">
        <is>
          <t>LYCKSELE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63976-2021</t>
        </is>
      </c>
      <c r="B515" s="1" t="n">
        <v>44509</v>
      </c>
      <c r="C515" s="1" t="n">
        <v>45337</v>
      </c>
      <c r="D515" t="inlineStr">
        <is>
          <t>VÄSTERBOTTENS LÄN</t>
        </is>
      </c>
      <c r="E515" t="inlineStr">
        <is>
          <t>LYCKSELE</t>
        </is>
      </c>
      <c r="G515" t="n">
        <v>12.1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65019-2021</t>
        </is>
      </c>
      <c r="B516" s="1" t="n">
        <v>44512</v>
      </c>
      <c r="C516" s="1" t="n">
        <v>45337</v>
      </c>
      <c r="D516" t="inlineStr">
        <is>
          <t>VÄSTERBOTTENS LÄN</t>
        </is>
      </c>
      <c r="E516" t="inlineStr">
        <is>
          <t>LYCKSELE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64893-2021</t>
        </is>
      </c>
      <c r="B517" s="1" t="n">
        <v>44512</v>
      </c>
      <c r="C517" s="1" t="n">
        <v>45337</v>
      </c>
      <c r="D517" t="inlineStr">
        <is>
          <t>VÄSTERBOTTENS LÄN</t>
        </is>
      </c>
      <c r="E517" t="inlineStr">
        <is>
          <t>LYCKSELE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65231-2021</t>
        </is>
      </c>
      <c r="B518" s="1" t="n">
        <v>44513</v>
      </c>
      <c r="C518" s="1" t="n">
        <v>45337</v>
      </c>
      <c r="D518" t="inlineStr">
        <is>
          <t>VÄSTERBOTTENS LÄN</t>
        </is>
      </c>
      <c r="E518" t="inlineStr">
        <is>
          <t>LYCKSELE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65487-2021</t>
        </is>
      </c>
      <c r="B519" s="1" t="n">
        <v>44515</v>
      </c>
      <c r="C519" s="1" t="n">
        <v>45337</v>
      </c>
      <c r="D519" t="inlineStr">
        <is>
          <t>VÄSTERBOTTENS LÄN</t>
        </is>
      </c>
      <c r="E519" t="inlineStr">
        <is>
          <t>LYCKSELE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66249-2021</t>
        </is>
      </c>
      <c r="B520" s="1" t="n">
        <v>44518</v>
      </c>
      <c r="C520" s="1" t="n">
        <v>45337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66460-2021</t>
        </is>
      </c>
      <c r="B521" s="1" t="n">
        <v>44518</v>
      </c>
      <c r="C521" s="1" t="n">
        <v>45337</v>
      </c>
      <c r="D521" t="inlineStr">
        <is>
          <t>VÄSTERBOTTENS LÄN</t>
        </is>
      </c>
      <c r="E521" t="inlineStr">
        <is>
          <t>LYCKSELE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66459-2021</t>
        </is>
      </c>
      <c r="B522" s="1" t="n">
        <v>44518</v>
      </c>
      <c r="C522" s="1" t="n">
        <v>45337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66712-2021</t>
        </is>
      </c>
      <c r="B523" s="1" t="n">
        <v>44519</v>
      </c>
      <c r="C523" s="1" t="n">
        <v>45337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67092-2021</t>
        </is>
      </c>
      <c r="B524" s="1" t="n">
        <v>44522</v>
      </c>
      <c r="C524" s="1" t="n">
        <v>45337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68110-2021</t>
        </is>
      </c>
      <c r="B525" s="1" t="n">
        <v>44526</v>
      </c>
      <c r="C525" s="1" t="n">
        <v>45337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68169-2021</t>
        </is>
      </c>
      <c r="B526" s="1" t="n">
        <v>44526</v>
      </c>
      <c r="C526" s="1" t="n">
        <v>45337</v>
      </c>
      <c r="D526" t="inlineStr">
        <is>
          <t>VÄSTERBOTTENS LÄN</t>
        </is>
      </c>
      <c r="E526" t="inlineStr">
        <is>
          <t>LYCKSELE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68665-2021</t>
        </is>
      </c>
      <c r="B527" s="1" t="n">
        <v>44529</v>
      </c>
      <c r="C527" s="1" t="n">
        <v>45337</v>
      </c>
      <c r="D527" t="inlineStr">
        <is>
          <t>VÄSTERBOTTENS LÄN</t>
        </is>
      </c>
      <c r="E527" t="inlineStr">
        <is>
          <t>LYCKSELE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68790-2021</t>
        </is>
      </c>
      <c r="B528" s="1" t="n">
        <v>44529</v>
      </c>
      <c r="C528" s="1" t="n">
        <v>45337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69488-2021</t>
        </is>
      </c>
      <c r="B529" s="1" t="n">
        <v>44531</v>
      </c>
      <c r="C529" s="1" t="n">
        <v>45337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69674-2021</t>
        </is>
      </c>
      <c r="B530" s="1" t="n">
        <v>44531</v>
      </c>
      <c r="C530" s="1" t="n">
        <v>45337</v>
      </c>
      <c r="D530" t="inlineStr">
        <is>
          <t>VÄSTERBOTTENS LÄN</t>
        </is>
      </c>
      <c r="E530" t="inlineStr">
        <is>
          <t>LYCKSELE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69226-2021</t>
        </is>
      </c>
      <c r="B531" s="1" t="n">
        <v>44531</v>
      </c>
      <c r="C531" s="1" t="n">
        <v>45337</v>
      </c>
      <c r="D531" t="inlineStr">
        <is>
          <t>VÄSTERBOTTENS LÄN</t>
        </is>
      </c>
      <c r="E531" t="inlineStr">
        <is>
          <t>LYCKSELE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69481-2021</t>
        </is>
      </c>
      <c r="B532" s="1" t="n">
        <v>44531</v>
      </c>
      <c r="C532" s="1" t="n">
        <v>45337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69462-2021</t>
        </is>
      </c>
      <c r="B533" s="1" t="n">
        <v>44531</v>
      </c>
      <c r="C533" s="1" t="n">
        <v>45337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69705-2021</t>
        </is>
      </c>
      <c r="B534" s="1" t="n">
        <v>44531</v>
      </c>
      <c r="C534" s="1" t="n">
        <v>45337</v>
      </c>
      <c r="D534" t="inlineStr">
        <is>
          <t>VÄSTERBOTTENS LÄN</t>
        </is>
      </c>
      <c r="E534" t="inlineStr">
        <is>
          <t>LYCKSELE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69627-2021</t>
        </is>
      </c>
      <c r="B535" s="1" t="n">
        <v>44532</v>
      </c>
      <c r="C535" s="1" t="n">
        <v>45337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69837-2021</t>
        </is>
      </c>
      <c r="B536" s="1" t="n">
        <v>44532</v>
      </c>
      <c r="C536" s="1" t="n">
        <v>45337</v>
      </c>
      <c r="D536" t="inlineStr">
        <is>
          <t>VÄSTERBOTTENS LÄN</t>
        </is>
      </c>
      <c r="E536" t="inlineStr">
        <is>
          <t>LYCKSELE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70193-2021</t>
        </is>
      </c>
      <c r="B537" s="1" t="n">
        <v>44534</v>
      </c>
      <c r="C537" s="1" t="n">
        <v>45337</v>
      </c>
      <c r="D537" t="inlineStr">
        <is>
          <t>VÄSTERBOTTENS LÄN</t>
        </is>
      </c>
      <c r="E537" t="inlineStr">
        <is>
          <t>LYCKSELE</t>
        </is>
      </c>
      <c r="G537" t="n">
        <v>27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70197-2021</t>
        </is>
      </c>
      <c r="B538" s="1" t="n">
        <v>44534</v>
      </c>
      <c r="C538" s="1" t="n">
        <v>45337</v>
      </c>
      <c r="D538" t="inlineStr">
        <is>
          <t>VÄSTERBOTTENS LÄN</t>
        </is>
      </c>
      <c r="E538" t="inlineStr">
        <is>
          <t>LYCKSELE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70196-2021</t>
        </is>
      </c>
      <c r="B539" s="1" t="n">
        <v>44534</v>
      </c>
      <c r="C539" s="1" t="n">
        <v>45337</v>
      </c>
      <c r="D539" t="inlineStr">
        <is>
          <t>VÄSTERBOTTENS LÄN</t>
        </is>
      </c>
      <c r="E539" t="inlineStr">
        <is>
          <t>LYCKSELE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70195-2021</t>
        </is>
      </c>
      <c r="B540" s="1" t="n">
        <v>44534</v>
      </c>
      <c r="C540" s="1" t="n">
        <v>45337</v>
      </c>
      <c r="D540" t="inlineStr">
        <is>
          <t>VÄSTERBOTTENS LÄN</t>
        </is>
      </c>
      <c r="E540" t="inlineStr">
        <is>
          <t>LYCKSELE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70194-2021</t>
        </is>
      </c>
      <c r="B541" s="1" t="n">
        <v>44534</v>
      </c>
      <c r="C541" s="1" t="n">
        <v>45337</v>
      </c>
      <c r="D541" t="inlineStr">
        <is>
          <t>VÄSTERBOTTENS LÄN</t>
        </is>
      </c>
      <c r="E541" t="inlineStr">
        <is>
          <t>LYCKSELE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70210-2021</t>
        </is>
      </c>
      <c r="B542" s="1" t="n">
        <v>44535</v>
      </c>
      <c r="C542" s="1" t="n">
        <v>45337</v>
      </c>
      <c r="D542" t="inlineStr">
        <is>
          <t>VÄSTERBOTTENS LÄN</t>
        </is>
      </c>
      <c r="E542" t="inlineStr">
        <is>
          <t>LYCKSELE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70211-2021</t>
        </is>
      </c>
      <c r="B543" s="1" t="n">
        <v>44535</v>
      </c>
      <c r="C543" s="1" t="n">
        <v>45337</v>
      </c>
      <c r="D543" t="inlineStr">
        <is>
          <t>VÄSTERBOTTENS LÄN</t>
        </is>
      </c>
      <c r="E543" t="inlineStr">
        <is>
          <t>LYCKSELE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70208-2021</t>
        </is>
      </c>
      <c r="B544" s="1" t="n">
        <v>44535</v>
      </c>
      <c r="C544" s="1" t="n">
        <v>45337</v>
      </c>
      <c r="D544" t="inlineStr">
        <is>
          <t>VÄSTERBOTTENS LÄN</t>
        </is>
      </c>
      <c r="E544" t="inlineStr">
        <is>
          <t>LYCKSELE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70212-2021</t>
        </is>
      </c>
      <c r="B545" s="1" t="n">
        <v>44535</v>
      </c>
      <c r="C545" s="1" t="n">
        <v>45337</v>
      </c>
      <c r="D545" t="inlineStr">
        <is>
          <t>VÄSTERBOTTENS LÄN</t>
        </is>
      </c>
      <c r="E545" t="inlineStr">
        <is>
          <t>LYCKSELE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70209-2021</t>
        </is>
      </c>
      <c r="B546" s="1" t="n">
        <v>44535</v>
      </c>
      <c r="C546" s="1" t="n">
        <v>45337</v>
      </c>
      <c r="D546" t="inlineStr">
        <is>
          <t>VÄSTERBOTTENS LÄN</t>
        </is>
      </c>
      <c r="E546" t="inlineStr">
        <is>
          <t>LYCKSELE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70213-2021</t>
        </is>
      </c>
      <c r="B547" s="1" t="n">
        <v>44535</v>
      </c>
      <c r="C547" s="1" t="n">
        <v>45337</v>
      </c>
      <c r="D547" t="inlineStr">
        <is>
          <t>VÄSTERBOTTENS LÄN</t>
        </is>
      </c>
      <c r="E547" t="inlineStr">
        <is>
          <t>LYCKSELE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70817-2021</t>
        </is>
      </c>
      <c r="B548" s="1" t="n">
        <v>44537</v>
      </c>
      <c r="C548" s="1" t="n">
        <v>45337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Naturvårdsverket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71228-2021</t>
        </is>
      </c>
      <c r="B549" s="1" t="n">
        <v>44538</v>
      </c>
      <c r="C549" s="1" t="n">
        <v>45337</v>
      </c>
      <c r="D549" t="inlineStr">
        <is>
          <t>VÄSTERBOTTENS LÄN</t>
        </is>
      </c>
      <c r="E549" t="inlineStr">
        <is>
          <t>LYCKSELE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71412-2021</t>
        </is>
      </c>
      <c r="B550" s="1" t="n">
        <v>44540</v>
      </c>
      <c r="C550" s="1" t="n">
        <v>45337</v>
      </c>
      <c r="D550" t="inlineStr">
        <is>
          <t>VÄSTERBOTTENS LÄN</t>
        </is>
      </c>
      <c r="E550" t="inlineStr">
        <is>
          <t>LYCKSELE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71407-2021</t>
        </is>
      </c>
      <c r="B551" s="1" t="n">
        <v>44540</v>
      </c>
      <c r="C551" s="1" t="n">
        <v>45337</v>
      </c>
      <c r="D551" t="inlineStr">
        <is>
          <t>VÄSTERBOTTENS LÄN</t>
        </is>
      </c>
      <c r="E551" t="inlineStr">
        <is>
          <t>LYCKSELE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72131-2021</t>
        </is>
      </c>
      <c r="B552" s="1" t="n">
        <v>44543</v>
      </c>
      <c r="C552" s="1" t="n">
        <v>45337</v>
      </c>
      <c r="D552" t="inlineStr">
        <is>
          <t>VÄSTERBOTTENS LÄN</t>
        </is>
      </c>
      <c r="E552" t="inlineStr">
        <is>
          <t>LYCKSELE</t>
        </is>
      </c>
      <c r="G552" t="n">
        <v>19.1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72377-2021</t>
        </is>
      </c>
      <c r="B553" s="1" t="n">
        <v>44544</v>
      </c>
      <c r="C553" s="1" t="n">
        <v>45337</v>
      </c>
      <c r="D553" t="inlineStr">
        <is>
          <t>VÄSTERBOTTENS LÄN</t>
        </is>
      </c>
      <c r="E553" t="inlineStr">
        <is>
          <t>LYCKSELE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72332-2021</t>
        </is>
      </c>
      <c r="B554" s="1" t="n">
        <v>44545</v>
      </c>
      <c r="C554" s="1" t="n">
        <v>45337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72505-2021</t>
        </is>
      </c>
      <c r="B555" s="1" t="n">
        <v>44546</v>
      </c>
      <c r="C555" s="1" t="n">
        <v>45337</v>
      </c>
      <c r="D555" t="inlineStr">
        <is>
          <t>VÄSTERBOTTENS LÄN</t>
        </is>
      </c>
      <c r="E555" t="inlineStr">
        <is>
          <t>LYCKSELE</t>
        </is>
      </c>
      <c r="G555" t="n">
        <v>15.1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73113-2021</t>
        </is>
      </c>
      <c r="B556" s="1" t="n">
        <v>44550</v>
      </c>
      <c r="C556" s="1" t="n">
        <v>45337</v>
      </c>
      <c r="D556" t="inlineStr">
        <is>
          <t>VÄSTERBOTTENS LÄN</t>
        </is>
      </c>
      <c r="E556" t="inlineStr">
        <is>
          <t>LYCKSELE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73357-2021</t>
        </is>
      </c>
      <c r="B557" s="1" t="n">
        <v>44551</v>
      </c>
      <c r="C557" s="1" t="n">
        <v>45337</v>
      </c>
      <c r="D557" t="inlineStr">
        <is>
          <t>VÄSTERBOTTENS LÄN</t>
        </is>
      </c>
      <c r="E557" t="inlineStr">
        <is>
          <t>LYCKSELE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73596-2021</t>
        </is>
      </c>
      <c r="B558" s="1" t="n">
        <v>44551</v>
      </c>
      <c r="C558" s="1" t="n">
        <v>45337</v>
      </c>
      <c r="D558" t="inlineStr">
        <is>
          <t>VÄSTERBOTTENS LÄN</t>
        </is>
      </c>
      <c r="E558" t="inlineStr">
        <is>
          <t>LYCKSELE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73851-2021</t>
        </is>
      </c>
      <c r="B559" s="1" t="n">
        <v>44552</v>
      </c>
      <c r="C559" s="1" t="n">
        <v>45337</v>
      </c>
      <c r="D559" t="inlineStr">
        <is>
          <t>VÄSTERBOTTENS LÄN</t>
        </is>
      </c>
      <c r="E559" t="inlineStr">
        <is>
          <t>LYCKSELE</t>
        </is>
      </c>
      <c r="G559" t="n">
        <v>16.5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73881-2021</t>
        </is>
      </c>
      <c r="B560" s="1" t="n">
        <v>44553</v>
      </c>
      <c r="C560" s="1" t="n">
        <v>45337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74083-2021</t>
        </is>
      </c>
      <c r="B561" s="1" t="n">
        <v>44557</v>
      </c>
      <c r="C561" s="1" t="n">
        <v>45337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74179-2021</t>
        </is>
      </c>
      <c r="B562" s="1" t="n">
        <v>44558</v>
      </c>
      <c r="C562" s="1" t="n">
        <v>45337</v>
      </c>
      <c r="D562" t="inlineStr">
        <is>
          <t>VÄSTERBOTTENS LÄN</t>
        </is>
      </c>
      <c r="E562" t="inlineStr">
        <is>
          <t>LYCKSELE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151-2022</t>
        </is>
      </c>
      <c r="B563" s="1" t="n">
        <v>44560</v>
      </c>
      <c r="C563" s="1" t="n">
        <v>45337</v>
      </c>
      <c r="D563" t="inlineStr">
        <is>
          <t>VÄSTERBOTTENS LÄN</t>
        </is>
      </c>
      <c r="E563" t="inlineStr">
        <is>
          <t>LYCKSELE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116-2022</t>
        </is>
      </c>
      <c r="B564" s="1" t="n">
        <v>44564</v>
      </c>
      <c r="C564" s="1" t="n">
        <v>45337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325-2022</t>
        </is>
      </c>
      <c r="B565" s="1" t="n">
        <v>44564</v>
      </c>
      <c r="C565" s="1" t="n">
        <v>45337</v>
      </c>
      <c r="D565" t="inlineStr">
        <is>
          <t>VÄSTERBOTTENS LÄN</t>
        </is>
      </c>
      <c r="E565" t="inlineStr">
        <is>
          <t>LYCKSELE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229-2022</t>
        </is>
      </c>
      <c r="B566" s="1" t="n">
        <v>44564</v>
      </c>
      <c r="C566" s="1" t="n">
        <v>45337</v>
      </c>
      <c r="D566" t="inlineStr">
        <is>
          <t>VÄSTERBOTTENS LÄN</t>
        </is>
      </c>
      <c r="E566" t="inlineStr">
        <is>
          <t>LYCKSELE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578-2022</t>
        </is>
      </c>
      <c r="B567" s="1" t="n">
        <v>44566</v>
      </c>
      <c r="C567" s="1" t="n">
        <v>45337</v>
      </c>
      <c r="D567" t="inlineStr">
        <is>
          <t>VÄSTERBOTTENS LÄN</t>
        </is>
      </c>
      <c r="E567" t="inlineStr">
        <is>
          <t>LYCKSELE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526-2022</t>
        </is>
      </c>
      <c r="B568" s="1" t="n">
        <v>44566</v>
      </c>
      <c r="C568" s="1" t="n">
        <v>45337</v>
      </c>
      <c r="D568" t="inlineStr">
        <is>
          <t>VÄSTERBOTTENS LÄN</t>
        </is>
      </c>
      <c r="E568" t="inlineStr">
        <is>
          <t>LYCKSELE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615-2022</t>
        </is>
      </c>
      <c r="B569" s="1" t="n">
        <v>44567</v>
      </c>
      <c r="C569" s="1" t="n">
        <v>45337</v>
      </c>
      <c r="D569" t="inlineStr">
        <is>
          <t>VÄSTERBOTTENS LÄN</t>
        </is>
      </c>
      <c r="E569" t="inlineStr">
        <is>
          <t>LYCKSELE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932-2022</t>
        </is>
      </c>
      <c r="B570" s="1" t="n">
        <v>44571</v>
      </c>
      <c r="C570" s="1" t="n">
        <v>45337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1023-2022</t>
        </is>
      </c>
      <c r="B571" s="1" t="n">
        <v>44571</v>
      </c>
      <c r="C571" s="1" t="n">
        <v>45337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849-2022</t>
        </is>
      </c>
      <c r="B572" s="1" t="n">
        <v>44571</v>
      </c>
      <c r="C572" s="1" t="n">
        <v>45337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935-2022</t>
        </is>
      </c>
      <c r="B573" s="1" t="n">
        <v>44571</v>
      </c>
      <c r="C573" s="1" t="n">
        <v>45337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929-2022</t>
        </is>
      </c>
      <c r="B574" s="1" t="n">
        <v>44571</v>
      </c>
      <c r="C574" s="1" t="n">
        <v>45337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1025-2022</t>
        </is>
      </c>
      <c r="B575" s="1" t="n">
        <v>44571</v>
      </c>
      <c r="C575" s="1" t="n">
        <v>45337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1048-2022</t>
        </is>
      </c>
      <c r="B576" s="1" t="n">
        <v>44571</v>
      </c>
      <c r="C576" s="1" t="n">
        <v>45337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1161-2022</t>
        </is>
      </c>
      <c r="B577" s="1" t="n">
        <v>44571</v>
      </c>
      <c r="C577" s="1" t="n">
        <v>45337</v>
      </c>
      <c r="D577" t="inlineStr">
        <is>
          <t>VÄSTERBOTTENS LÄN</t>
        </is>
      </c>
      <c r="E577" t="inlineStr">
        <is>
          <t>LYCKSELE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1163-2022</t>
        </is>
      </c>
      <c r="B578" s="1" t="n">
        <v>44572</v>
      </c>
      <c r="C578" s="1" t="n">
        <v>45337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48.3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1289-2022</t>
        </is>
      </c>
      <c r="B579" s="1" t="n">
        <v>44572</v>
      </c>
      <c r="C579" s="1" t="n">
        <v>45337</v>
      </c>
      <c r="D579" t="inlineStr">
        <is>
          <t>VÄSTERBOTTENS LÄN</t>
        </is>
      </c>
      <c r="E579" t="inlineStr">
        <is>
          <t>LYCKSELE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2245-2022</t>
        </is>
      </c>
      <c r="B580" s="1" t="n">
        <v>44578</v>
      </c>
      <c r="C580" s="1" t="n">
        <v>45337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2432-2022</t>
        </is>
      </c>
      <c r="B581" s="1" t="n">
        <v>44579</v>
      </c>
      <c r="C581" s="1" t="n">
        <v>45337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2433-2022</t>
        </is>
      </c>
      <c r="B582" s="1" t="n">
        <v>44579</v>
      </c>
      <c r="C582" s="1" t="n">
        <v>45337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2386-2022</t>
        </is>
      </c>
      <c r="B583" s="1" t="n">
        <v>44579</v>
      </c>
      <c r="C583" s="1" t="n">
        <v>45337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2576-2022</t>
        </is>
      </c>
      <c r="B584" s="1" t="n">
        <v>44580</v>
      </c>
      <c r="C584" s="1" t="n">
        <v>45337</v>
      </c>
      <c r="D584" t="inlineStr">
        <is>
          <t>VÄSTERBOTTENS LÄN</t>
        </is>
      </c>
      <c r="E584" t="inlineStr">
        <is>
          <t>LYCKSELE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2758-2022</t>
        </is>
      </c>
      <c r="B585" s="1" t="n">
        <v>44580</v>
      </c>
      <c r="C585" s="1" t="n">
        <v>45337</v>
      </c>
      <c r="D585" t="inlineStr">
        <is>
          <t>VÄSTERBOTTENS LÄN</t>
        </is>
      </c>
      <c r="E585" t="inlineStr">
        <is>
          <t>LYCKSELE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2859-2022</t>
        </is>
      </c>
      <c r="B586" s="1" t="n">
        <v>44581</v>
      </c>
      <c r="C586" s="1" t="n">
        <v>45337</v>
      </c>
      <c r="D586" t="inlineStr">
        <is>
          <t>VÄSTERBOTTENS LÄN</t>
        </is>
      </c>
      <c r="E586" t="inlineStr">
        <is>
          <t>LYCKSELE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3368-2022</t>
        </is>
      </c>
      <c r="B587" s="1" t="n">
        <v>44585</v>
      </c>
      <c r="C587" s="1" t="n">
        <v>45337</v>
      </c>
      <c r="D587" t="inlineStr">
        <is>
          <t>VÄSTERBOTTENS LÄN</t>
        </is>
      </c>
      <c r="E587" t="inlineStr">
        <is>
          <t>LYCKSELE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3400-2022</t>
        </is>
      </c>
      <c r="B588" s="1" t="n">
        <v>44585</v>
      </c>
      <c r="C588" s="1" t="n">
        <v>45337</v>
      </c>
      <c r="D588" t="inlineStr">
        <is>
          <t>VÄSTERBOTTENS LÄN</t>
        </is>
      </c>
      <c r="E588" t="inlineStr">
        <is>
          <t>LYCKSELE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3669-2022</t>
        </is>
      </c>
      <c r="B589" s="1" t="n">
        <v>44586</v>
      </c>
      <c r="C589" s="1" t="n">
        <v>45337</v>
      </c>
      <c r="D589" t="inlineStr">
        <is>
          <t>VÄSTERBOTTENS LÄN</t>
        </is>
      </c>
      <c r="E589" t="inlineStr">
        <is>
          <t>LYCKSELE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4434-2022</t>
        </is>
      </c>
      <c r="B590" s="1" t="n">
        <v>44589</v>
      </c>
      <c r="C590" s="1" t="n">
        <v>45337</v>
      </c>
      <c r="D590" t="inlineStr">
        <is>
          <t>VÄSTERBOTTENS LÄN</t>
        </is>
      </c>
      <c r="E590" t="inlineStr">
        <is>
          <t>LYCKSELE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5162-2022</t>
        </is>
      </c>
      <c r="B591" s="1" t="n">
        <v>44594</v>
      </c>
      <c r="C591" s="1" t="n">
        <v>45337</v>
      </c>
      <c r="D591" t="inlineStr">
        <is>
          <t>VÄSTERBOTTENS LÄN</t>
        </is>
      </c>
      <c r="E591" t="inlineStr">
        <is>
          <t>LYCKSELE</t>
        </is>
      </c>
      <c r="G591" t="n">
        <v>17.4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6426-2022</t>
        </is>
      </c>
      <c r="B592" s="1" t="n">
        <v>44600</v>
      </c>
      <c r="C592" s="1" t="n">
        <v>45337</v>
      </c>
      <c r="D592" t="inlineStr">
        <is>
          <t>VÄSTERBOTTENS LÄN</t>
        </is>
      </c>
      <c r="E592" t="inlineStr">
        <is>
          <t>LYCKSELE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7063-2022</t>
        </is>
      </c>
      <c r="B593" s="1" t="n">
        <v>44603</v>
      </c>
      <c r="C593" s="1" t="n">
        <v>45337</v>
      </c>
      <c r="D593" t="inlineStr">
        <is>
          <t>VÄSTERBOTTENS LÄN</t>
        </is>
      </c>
      <c r="E593" t="inlineStr">
        <is>
          <t>LYCKSELE</t>
        </is>
      </c>
      <c r="G593" t="n">
        <v>14.2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7001-2022</t>
        </is>
      </c>
      <c r="B594" s="1" t="n">
        <v>44603</v>
      </c>
      <c r="C594" s="1" t="n">
        <v>45337</v>
      </c>
      <c r="D594" t="inlineStr">
        <is>
          <t>VÄSTERBOTTENS LÄN</t>
        </is>
      </c>
      <c r="E594" t="inlineStr">
        <is>
          <t>LYCKSELE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7397-2022</t>
        </is>
      </c>
      <c r="B595" s="1" t="n">
        <v>44606</v>
      </c>
      <c r="C595" s="1" t="n">
        <v>45337</v>
      </c>
      <c r="D595" t="inlineStr">
        <is>
          <t>VÄSTERBOTTENS LÄN</t>
        </is>
      </c>
      <c r="E595" t="inlineStr">
        <is>
          <t>LYCKSELE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7433-2022</t>
        </is>
      </c>
      <c r="B596" s="1" t="n">
        <v>44606</v>
      </c>
      <c r="C596" s="1" t="n">
        <v>45337</v>
      </c>
      <c r="D596" t="inlineStr">
        <is>
          <t>VÄSTERBOTTENS LÄN</t>
        </is>
      </c>
      <c r="E596" t="inlineStr">
        <is>
          <t>LYCKSELE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9327-2022</t>
        </is>
      </c>
      <c r="B597" s="1" t="n">
        <v>44616</v>
      </c>
      <c r="C597" s="1" t="n">
        <v>45337</v>
      </c>
      <c r="D597" t="inlineStr">
        <is>
          <t>VÄSTERBOTTENS LÄN</t>
        </is>
      </c>
      <c r="E597" t="inlineStr">
        <is>
          <t>LYCKSELE</t>
        </is>
      </c>
      <c r="G597" t="n">
        <v>10.1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9341-2022</t>
        </is>
      </c>
      <c r="B598" s="1" t="n">
        <v>44616</v>
      </c>
      <c r="C598" s="1" t="n">
        <v>45337</v>
      </c>
      <c r="D598" t="inlineStr">
        <is>
          <t>VÄSTERBOTTENS LÄN</t>
        </is>
      </c>
      <c r="E598" t="inlineStr">
        <is>
          <t>LYCKSELE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9879-2022</t>
        </is>
      </c>
      <c r="B599" s="1" t="n">
        <v>44620</v>
      </c>
      <c r="C599" s="1" t="n">
        <v>45337</v>
      </c>
      <c r="D599" t="inlineStr">
        <is>
          <t>VÄSTERBOTTENS LÄN</t>
        </is>
      </c>
      <c r="E599" t="inlineStr">
        <is>
          <t>LYCKSELE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9892-2022</t>
        </is>
      </c>
      <c r="B600" s="1" t="n">
        <v>44620</v>
      </c>
      <c r="C600" s="1" t="n">
        <v>45337</v>
      </c>
      <c r="D600" t="inlineStr">
        <is>
          <t>VÄSTERBOTTENS LÄN</t>
        </is>
      </c>
      <c r="E600" t="inlineStr">
        <is>
          <t>LYCKSELE</t>
        </is>
      </c>
      <c r="G600" t="n">
        <v>14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10221-2022</t>
        </is>
      </c>
      <c r="B601" s="1" t="n">
        <v>44622</v>
      </c>
      <c r="C601" s="1" t="n">
        <v>45337</v>
      </c>
      <c r="D601" t="inlineStr">
        <is>
          <t>VÄSTERBOTTENS LÄN</t>
        </is>
      </c>
      <c r="E601" t="inlineStr">
        <is>
          <t>LYCKSELE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10302-2022</t>
        </is>
      </c>
      <c r="B602" s="1" t="n">
        <v>44622</v>
      </c>
      <c r="C602" s="1" t="n">
        <v>45337</v>
      </c>
      <c r="D602" t="inlineStr">
        <is>
          <t>VÄSTERBOTTENS LÄN</t>
        </is>
      </c>
      <c r="E602" t="inlineStr">
        <is>
          <t>LYCKSELE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12261-2022</t>
        </is>
      </c>
      <c r="B603" s="1" t="n">
        <v>44637</v>
      </c>
      <c r="C603" s="1" t="n">
        <v>45337</v>
      </c>
      <c r="D603" t="inlineStr">
        <is>
          <t>VÄSTERBOTTENS LÄN</t>
        </is>
      </c>
      <c r="E603" t="inlineStr">
        <is>
          <t>LYCKSELE</t>
        </is>
      </c>
      <c r="G603" t="n">
        <v>30.8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12760-2022</t>
        </is>
      </c>
      <c r="B604" s="1" t="n">
        <v>44641</v>
      </c>
      <c r="C604" s="1" t="n">
        <v>45337</v>
      </c>
      <c r="D604" t="inlineStr">
        <is>
          <t>VÄSTERBOTTENS LÄN</t>
        </is>
      </c>
      <c r="E604" t="inlineStr">
        <is>
          <t>LYCKSELE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12839-2022</t>
        </is>
      </c>
      <c r="B605" s="1" t="n">
        <v>44642</v>
      </c>
      <c r="C605" s="1" t="n">
        <v>45337</v>
      </c>
      <c r="D605" t="inlineStr">
        <is>
          <t>VÄSTERBOTTENS LÄN</t>
        </is>
      </c>
      <c r="E605" t="inlineStr">
        <is>
          <t>LYCKSELE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13385-2022</t>
        </is>
      </c>
      <c r="B606" s="1" t="n">
        <v>44645</v>
      </c>
      <c r="C606" s="1" t="n">
        <v>45337</v>
      </c>
      <c r="D606" t="inlineStr">
        <is>
          <t>VÄSTERBOTTENS LÄN</t>
        </is>
      </c>
      <c r="E606" t="inlineStr">
        <is>
          <t>LYCKSELE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16274-2022</t>
        </is>
      </c>
      <c r="B607" s="1" t="n">
        <v>44670</v>
      </c>
      <c r="C607" s="1" t="n">
        <v>45337</v>
      </c>
      <c r="D607" t="inlineStr">
        <is>
          <t>VÄSTERBOTTENS LÄN</t>
        </is>
      </c>
      <c r="E607" t="inlineStr">
        <is>
          <t>LYCKSELE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16272-2022</t>
        </is>
      </c>
      <c r="B608" s="1" t="n">
        <v>44670</v>
      </c>
      <c r="C608" s="1" t="n">
        <v>45337</v>
      </c>
      <c r="D608" t="inlineStr">
        <is>
          <t>VÄSTERBOTTENS LÄN</t>
        </is>
      </c>
      <c r="E608" t="inlineStr">
        <is>
          <t>LYCKSELE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16669-2022</t>
        </is>
      </c>
      <c r="B609" s="1" t="n">
        <v>44673</v>
      </c>
      <c r="C609" s="1" t="n">
        <v>45337</v>
      </c>
      <c r="D609" t="inlineStr">
        <is>
          <t>VÄSTERBOTTENS LÄN</t>
        </is>
      </c>
      <c r="E609" t="inlineStr">
        <is>
          <t>LYCKSELE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16845-2022</t>
        </is>
      </c>
      <c r="B610" s="1" t="n">
        <v>44673</v>
      </c>
      <c r="C610" s="1" t="n">
        <v>45337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17831-2022</t>
        </is>
      </c>
      <c r="B611" s="1" t="n">
        <v>44683</v>
      </c>
      <c r="C611" s="1" t="n">
        <v>45337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18686-2022</t>
        </is>
      </c>
      <c r="B612" s="1" t="n">
        <v>44687</v>
      </c>
      <c r="C612" s="1" t="n">
        <v>45337</v>
      </c>
      <c r="D612" t="inlineStr">
        <is>
          <t>VÄSTERBOTTENS LÄN</t>
        </is>
      </c>
      <c r="E612" t="inlineStr">
        <is>
          <t>LYCKSELE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19769-2022</t>
        </is>
      </c>
      <c r="B613" s="1" t="n">
        <v>44694</v>
      </c>
      <c r="C613" s="1" t="n">
        <v>45337</v>
      </c>
      <c r="D613" t="inlineStr">
        <is>
          <t>VÄSTERBOTTENS LÄN</t>
        </is>
      </c>
      <c r="E613" t="inlineStr">
        <is>
          <t>LYCKSELE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20287-2022</t>
        </is>
      </c>
      <c r="B614" s="1" t="n">
        <v>44698</v>
      </c>
      <c r="C614" s="1" t="n">
        <v>45337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20466-2022</t>
        </is>
      </c>
      <c r="B615" s="1" t="n">
        <v>44699</v>
      </c>
      <c r="C615" s="1" t="n">
        <v>45337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21058-2022</t>
        </is>
      </c>
      <c r="B616" s="1" t="n">
        <v>44704</v>
      </c>
      <c r="C616" s="1" t="n">
        <v>45337</v>
      </c>
      <c r="D616" t="inlineStr">
        <is>
          <t>VÄSTERBOTTENS LÄN</t>
        </is>
      </c>
      <c r="E616" t="inlineStr">
        <is>
          <t>LYCKSELE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21681-2022</t>
        </is>
      </c>
      <c r="B617" s="1" t="n">
        <v>44707</v>
      </c>
      <c r="C617" s="1" t="n">
        <v>45337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21683-2022</t>
        </is>
      </c>
      <c r="B618" s="1" t="n">
        <v>44707</v>
      </c>
      <c r="C618" s="1" t="n">
        <v>45337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21900-2022</t>
        </is>
      </c>
      <c r="B619" s="1" t="n">
        <v>44711</v>
      </c>
      <c r="C619" s="1" t="n">
        <v>45337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22036-2022</t>
        </is>
      </c>
      <c r="B620" s="1" t="n">
        <v>44711</v>
      </c>
      <c r="C620" s="1" t="n">
        <v>45337</v>
      </c>
      <c r="D620" t="inlineStr">
        <is>
          <t>VÄSTERBOTTENS LÄN</t>
        </is>
      </c>
      <c r="E620" t="inlineStr">
        <is>
          <t>LYCKSELE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22076-2022</t>
        </is>
      </c>
      <c r="B621" s="1" t="n">
        <v>44711</v>
      </c>
      <c r="C621" s="1" t="n">
        <v>45337</v>
      </c>
      <c r="D621" t="inlineStr">
        <is>
          <t>VÄSTERBOTTENS LÄN</t>
        </is>
      </c>
      <c r="E621" t="inlineStr">
        <is>
          <t>LYCKSELE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22075-2022</t>
        </is>
      </c>
      <c r="B622" s="1" t="n">
        <v>44711</v>
      </c>
      <c r="C622" s="1" t="n">
        <v>45337</v>
      </c>
      <c r="D622" t="inlineStr">
        <is>
          <t>VÄSTERBOTTENS LÄN</t>
        </is>
      </c>
      <c r="E622" t="inlineStr">
        <is>
          <t>LYCKSELE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23164-2022</t>
        </is>
      </c>
      <c r="B623" s="1" t="n">
        <v>44719</v>
      </c>
      <c r="C623" s="1" t="n">
        <v>45337</v>
      </c>
      <c r="D623" t="inlineStr">
        <is>
          <t>VÄSTERBOTTENS LÄN</t>
        </is>
      </c>
      <c r="E623" t="inlineStr">
        <is>
          <t>LYCKSELE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24478-2022</t>
        </is>
      </c>
      <c r="B624" s="1" t="n">
        <v>44726</v>
      </c>
      <c r="C624" s="1" t="n">
        <v>45337</v>
      </c>
      <c r="D624" t="inlineStr">
        <is>
          <t>VÄSTERBOTTENS LÄN</t>
        </is>
      </c>
      <c r="E624" t="inlineStr">
        <is>
          <t>LYCKSELE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24556-2022</t>
        </is>
      </c>
      <c r="B625" s="1" t="n">
        <v>44727</v>
      </c>
      <c r="C625" s="1" t="n">
        <v>45337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25257-2022</t>
        </is>
      </c>
      <c r="B626" s="1" t="n">
        <v>44729</v>
      </c>
      <c r="C626" s="1" t="n">
        <v>45337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Naturvårdsverket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25308-2022</t>
        </is>
      </c>
      <c r="B627" s="1" t="n">
        <v>44731</v>
      </c>
      <c r="C627" s="1" t="n">
        <v>45337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25752-2022</t>
        </is>
      </c>
      <c r="B628" s="1" t="n">
        <v>44733</v>
      </c>
      <c r="C628" s="1" t="n">
        <v>45337</v>
      </c>
      <c r="D628" t="inlineStr">
        <is>
          <t>VÄSTERBOTTENS LÄN</t>
        </is>
      </c>
      <c r="E628" t="inlineStr">
        <is>
          <t>LYCKSELE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25902-2022</t>
        </is>
      </c>
      <c r="B629" s="1" t="n">
        <v>44733</v>
      </c>
      <c r="C629" s="1" t="n">
        <v>45337</v>
      </c>
      <c r="D629" t="inlineStr">
        <is>
          <t>VÄSTERBOTTENS LÄN</t>
        </is>
      </c>
      <c r="E629" t="inlineStr">
        <is>
          <t>LYCKSELE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26351-2022</t>
        </is>
      </c>
      <c r="B630" s="1" t="n">
        <v>44735</v>
      </c>
      <c r="C630" s="1" t="n">
        <v>45337</v>
      </c>
      <c r="D630" t="inlineStr">
        <is>
          <t>VÄSTERBOTTENS LÄN</t>
        </is>
      </c>
      <c r="E630" t="inlineStr">
        <is>
          <t>LYCKSELE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26396-2022</t>
        </is>
      </c>
      <c r="B631" s="1" t="n">
        <v>44735</v>
      </c>
      <c r="C631" s="1" t="n">
        <v>45337</v>
      </c>
      <c r="D631" t="inlineStr">
        <is>
          <t>VÄSTERBOTTENS LÄN</t>
        </is>
      </c>
      <c r="E631" t="inlineStr">
        <is>
          <t>LYCKSELE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26397-2022</t>
        </is>
      </c>
      <c r="B632" s="1" t="n">
        <v>44735</v>
      </c>
      <c r="C632" s="1" t="n">
        <v>45337</v>
      </c>
      <c r="D632" t="inlineStr">
        <is>
          <t>VÄSTERBOTTENS LÄN</t>
        </is>
      </c>
      <c r="E632" t="inlineStr">
        <is>
          <t>LYCKSELE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27548-2022</t>
        </is>
      </c>
      <c r="B633" s="1" t="n">
        <v>44742</v>
      </c>
      <c r="C633" s="1" t="n">
        <v>45337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27761-2022</t>
        </is>
      </c>
      <c r="B634" s="1" t="n">
        <v>44743</v>
      </c>
      <c r="C634" s="1" t="n">
        <v>45337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28699-2022</t>
        </is>
      </c>
      <c r="B635" s="1" t="n">
        <v>44748</v>
      </c>
      <c r="C635" s="1" t="n">
        <v>45337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28994-2022</t>
        </is>
      </c>
      <c r="B636" s="1" t="n">
        <v>44749</v>
      </c>
      <c r="C636" s="1" t="n">
        <v>45337</v>
      </c>
      <c r="D636" t="inlineStr">
        <is>
          <t>VÄSTERBOTTENS LÄN</t>
        </is>
      </c>
      <c r="E636" t="inlineStr">
        <is>
          <t>LYCKSELE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28993-2022</t>
        </is>
      </c>
      <c r="B637" s="1" t="n">
        <v>44749</v>
      </c>
      <c r="C637" s="1" t="n">
        <v>45337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28989-2022</t>
        </is>
      </c>
      <c r="B638" s="1" t="n">
        <v>44749</v>
      </c>
      <c r="C638" s="1" t="n">
        <v>45337</v>
      </c>
      <c r="D638" t="inlineStr">
        <is>
          <t>VÄSTERBOTTENS LÄN</t>
        </is>
      </c>
      <c r="E638" t="inlineStr">
        <is>
          <t>LYCKSELE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29185-2022</t>
        </is>
      </c>
      <c r="B639" s="1" t="n">
        <v>44750</v>
      </c>
      <c r="C639" s="1" t="n">
        <v>45337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29953-2022</t>
        </is>
      </c>
      <c r="B640" s="1" t="n">
        <v>44756</v>
      </c>
      <c r="C640" s="1" t="n">
        <v>45337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30026-2022</t>
        </is>
      </c>
      <c r="B641" s="1" t="n">
        <v>44756</v>
      </c>
      <c r="C641" s="1" t="n">
        <v>45337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30291-2022</t>
        </is>
      </c>
      <c r="B642" s="1" t="n">
        <v>44760</v>
      </c>
      <c r="C642" s="1" t="n">
        <v>45337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30298-2022</t>
        </is>
      </c>
      <c r="B643" s="1" t="n">
        <v>44760</v>
      </c>
      <c r="C643" s="1" t="n">
        <v>45337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30470-2022</t>
        </is>
      </c>
      <c r="B644" s="1" t="n">
        <v>44761</v>
      </c>
      <c r="C644" s="1" t="n">
        <v>45337</v>
      </c>
      <c r="D644" t="inlineStr">
        <is>
          <t>VÄSTERBOTTENS LÄN</t>
        </is>
      </c>
      <c r="E644" t="inlineStr">
        <is>
          <t>LYCKSELE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30474-2022</t>
        </is>
      </c>
      <c r="B645" s="1" t="n">
        <v>44761</v>
      </c>
      <c r="C645" s="1" t="n">
        <v>45337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30720-2022</t>
        </is>
      </c>
      <c r="B646" s="1" t="n">
        <v>44764</v>
      </c>
      <c r="C646" s="1" t="n">
        <v>45337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30742-2022</t>
        </is>
      </c>
      <c r="B647" s="1" t="n">
        <v>44764</v>
      </c>
      <c r="C647" s="1" t="n">
        <v>45337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31686-2022</t>
        </is>
      </c>
      <c r="B648" s="1" t="n">
        <v>44776</v>
      </c>
      <c r="C648" s="1" t="n">
        <v>45337</v>
      </c>
      <c r="D648" t="inlineStr">
        <is>
          <t>VÄSTERBOTTENS LÄN</t>
        </is>
      </c>
      <c r="E648" t="inlineStr">
        <is>
          <t>LYCKSELE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31913-2022</t>
        </is>
      </c>
      <c r="B649" s="1" t="n">
        <v>44777</v>
      </c>
      <c r="C649" s="1" t="n">
        <v>45337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31979-2022</t>
        </is>
      </c>
      <c r="B650" s="1" t="n">
        <v>44777</v>
      </c>
      <c r="C650" s="1" t="n">
        <v>45337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32546-2022</t>
        </is>
      </c>
      <c r="B651" s="1" t="n">
        <v>44783</v>
      </c>
      <c r="C651" s="1" t="n">
        <v>45337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32663-2022</t>
        </is>
      </c>
      <c r="B652" s="1" t="n">
        <v>44783</v>
      </c>
      <c r="C652" s="1" t="n">
        <v>45337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32555-2022</t>
        </is>
      </c>
      <c r="B653" s="1" t="n">
        <v>44783</v>
      </c>
      <c r="C653" s="1" t="n">
        <v>45337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32668-2022</t>
        </is>
      </c>
      <c r="B654" s="1" t="n">
        <v>44783</v>
      </c>
      <c r="C654" s="1" t="n">
        <v>45337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32552-2022</t>
        </is>
      </c>
      <c r="B655" s="1" t="n">
        <v>44783</v>
      </c>
      <c r="C655" s="1" t="n">
        <v>45337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32554-2022</t>
        </is>
      </c>
      <c r="B656" s="1" t="n">
        <v>44783</v>
      </c>
      <c r="C656" s="1" t="n">
        <v>45337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32998-2022</t>
        </is>
      </c>
      <c r="B657" s="1" t="n">
        <v>44784</v>
      </c>
      <c r="C657" s="1" t="n">
        <v>45337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33235-2022</t>
        </is>
      </c>
      <c r="B658" s="1" t="n">
        <v>44786</v>
      </c>
      <c r="C658" s="1" t="n">
        <v>45337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33478-2022</t>
        </is>
      </c>
      <c r="B659" s="1" t="n">
        <v>44788</v>
      </c>
      <c r="C659" s="1" t="n">
        <v>45337</v>
      </c>
      <c r="D659" t="inlineStr">
        <is>
          <t>VÄSTERBOTTENS LÄN</t>
        </is>
      </c>
      <c r="E659" t="inlineStr">
        <is>
          <t>LYCKSELE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33513-2022</t>
        </is>
      </c>
      <c r="B660" s="1" t="n">
        <v>44788</v>
      </c>
      <c r="C660" s="1" t="n">
        <v>45337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33726-2022</t>
        </is>
      </c>
      <c r="B661" s="1" t="n">
        <v>44789</v>
      </c>
      <c r="C661" s="1" t="n">
        <v>45337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34808-2022</t>
        </is>
      </c>
      <c r="B662" s="1" t="n">
        <v>44796</v>
      </c>
      <c r="C662" s="1" t="n">
        <v>45337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35485-2022</t>
        </is>
      </c>
      <c r="B663" s="1" t="n">
        <v>44799</v>
      </c>
      <c r="C663" s="1" t="n">
        <v>45337</v>
      </c>
      <c r="D663" t="inlineStr">
        <is>
          <t>VÄSTERBOTTENS LÄN</t>
        </is>
      </c>
      <c r="E663" t="inlineStr">
        <is>
          <t>LYCKSELE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35490-2022</t>
        </is>
      </c>
      <c r="B664" s="1" t="n">
        <v>44799</v>
      </c>
      <c r="C664" s="1" t="n">
        <v>45337</v>
      </c>
      <c r="D664" t="inlineStr">
        <is>
          <t>VÄSTERBOTTENS LÄN</t>
        </is>
      </c>
      <c r="E664" t="inlineStr">
        <is>
          <t>LYCKSELE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36054-2022</t>
        </is>
      </c>
      <c r="B665" s="1" t="n">
        <v>44802</v>
      </c>
      <c r="C665" s="1" t="n">
        <v>45337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36819-2022</t>
        </is>
      </c>
      <c r="B666" s="1" t="n">
        <v>44805</v>
      </c>
      <c r="C666" s="1" t="n">
        <v>45337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36846-2022</t>
        </is>
      </c>
      <c r="B667" s="1" t="n">
        <v>44805</v>
      </c>
      <c r="C667" s="1" t="n">
        <v>45337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36859-2022</t>
        </is>
      </c>
      <c r="B668" s="1" t="n">
        <v>44805</v>
      </c>
      <c r="C668" s="1" t="n">
        <v>45337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36869-2022</t>
        </is>
      </c>
      <c r="B669" s="1" t="n">
        <v>44805</v>
      </c>
      <c r="C669" s="1" t="n">
        <v>45337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37423-2022</t>
        </is>
      </c>
      <c r="B670" s="1" t="n">
        <v>44809</v>
      </c>
      <c r="C670" s="1" t="n">
        <v>45337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37976-2022</t>
        </is>
      </c>
      <c r="B671" s="1" t="n">
        <v>44811</v>
      </c>
      <c r="C671" s="1" t="n">
        <v>45337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38178-2022</t>
        </is>
      </c>
      <c r="B672" s="1" t="n">
        <v>44812</v>
      </c>
      <c r="C672" s="1" t="n">
        <v>45337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38456-2022</t>
        </is>
      </c>
      <c r="B673" s="1" t="n">
        <v>44813</v>
      </c>
      <c r="C673" s="1" t="n">
        <v>45337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38869-2022</t>
        </is>
      </c>
      <c r="B674" s="1" t="n">
        <v>44816</v>
      </c>
      <c r="C674" s="1" t="n">
        <v>45337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39404-2022</t>
        </is>
      </c>
      <c r="B675" s="1" t="n">
        <v>44818</v>
      </c>
      <c r="C675" s="1" t="n">
        <v>45337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40262-2022</t>
        </is>
      </c>
      <c r="B676" s="1" t="n">
        <v>44820</v>
      </c>
      <c r="C676" s="1" t="n">
        <v>45337</v>
      </c>
      <c r="D676" t="inlineStr">
        <is>
          <t>VÄSTERBOTTENS LÄN</t>
        </is>
      </c>
      <c r="E676" t="inlineStr">
        <is>
          <t>LYCKSELE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41101-2022</t>
        </is>
      </c>
      <c r="B677" s="1" t="n">
        <v>44820</v>
      </c>
      <c r="C677" s="1" t="n">
        <v>45337</v>
      </c>
      <c r="D677" t="inlineStr">
        <is>
          <t>VÄSTERBOTTENS LÄN</t>
        </is>
      </c>
      <c r="E677" t="inlineStr">
        <is>
          <t>LYCKSELE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40497-2022</t>
        </is>
      </c>
      <c r="B678" s="1" t="n">
        <v>44823</v>
      </c>
      <c r="C678" s="1" t="n">
        <v>45337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Naturvårdsverket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41256-2022</t>
        </is>
      </c>
      <c r="B679" s="1" t="n">
        <v>44826</v>
      </c>
      <c r="C679" s="1" t="n">
        <v>45337</v>
      </c>
      <c r="D679" t="inlineStr">
        <is>
          <t>VÄSTERBOTTENS LÄN</t>
        </is>
      </c>
      <c r="E679" t="inlineStr">
        <is>
          <t>LYCKSELE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41280-2022</t>
        </is>
      </c>
      <c r="B680" s="1" t="n">
        <v>44826</v>
      </c>
      <c r="C680" s="1" t="n">
        <v>45337</v>
      </c>
      <c r="D680" t="inlineStr">
        <is>
          <t>VÄSTERBOTTENS LÄN</t>
        </is>
      </c>
      <c r="E680" t="inlineStr">
        <is>
          <t>LYCKSELE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41358-2022</t>
        </is>
      </c>
      <c r="B681" s="1" t="n">
        <v>44826</v>
      </c>
      <c r="C681" s="1" t="n">
        <v>45337</v>
      </c>
      <c r="D681" t="inlineStr">
        <is>
          <t>VÄSTERBOTTENS LÄN</t>
        </is>
      </c>
      <c r="E681" t="inlineStr">
        <is>
          <t>LYCKSELE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41419-2022</t>
        </is>
      </c>
      <c r="B682" s="1" t="n">
        <v>44826</v>
      </c>
      <c r="C682" s="1" t="n">
        <v>45337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Naturvårdsverket</t>
        </is>
      </c>
      <c r="G682" t="n">
        <v>32.1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41992-2022</t>
        </is>
      </c>
      <c r="B683" s="1" t="n">
        <v>44830</v>
      </c>
      <c r="C683" s="1" t="n">
        <v>45337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42190-2022</t>
        </is>
      </c>
      <c r="B684" s="1" t="n">
        <v>44830</v>
      </c>
      <c r="C684" s="1" t="n">
        <v>45337</v>
      </c>
      <c r="D684" t="inlineStr">
        <is>
          <t>VÄSTERBOTTENS LÄN</t>
        </is>
      </c>
      <c r="E684" t="inlineStr">
        <is>
          <t>LYCKSELE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42208-2022</t>
        </is>
      </c>
      <c r="B685" s="1" t="n">
        <v>44830</v>
      </c>
      <c r="C685" s="1" t="n">
        <v>45337</v>
      </c>
      <c r="D685" t="inlineStr">
        <is>
          <t>VÄSTERBOTTENS LÄN</t>
        </is>
      </c>
      <c r="E685" t="inlineStr">
        <is>
          <t>LYCKSELE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42195-2022</t>
        </is>
      </c>
      <c r="B686" s="1" t="n">
        <v>44830</v>
      </c>
      <c r="C686" s="1" t="n">
        <v>45337</v>
      </c>
      <c r="D686" t="inlineStr">
        <is>
          <t>VÄSTERBOTTENS LÄN</t>
        </is>
      </c>
      <c r="E686" t="inlineStr">
        <is>
          <t>LYCKSELE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42216-2022</t>
        </is>
      </c>
      <c r="B687" s="1" t="n">
        <v>44830</v>
      </c>
      <c r="C687" s="1" t="n">
        <v>45337</v>
      </c>
      <c r="D687" t="inlineStr">
        <is>
          <t>VÄSTERBOTTENS LÄN</t>
        </is>
      </c>
      <c r="E687" t="inlineStr">
        <is>
          <t>LYCKSELE</t>
        </is>
      </c>
      <c r="G687" t="n">
        <v>15.9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43328-2022</t>
        </is>
      </c>
      <c r="B688" s="1" t="n">
        <v>44834</v>
      </c>
      <c r="C688" s="1" t="n">
        <v>45337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22.2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43556-2022</t>
        </is>
      </c>
      <c r="B689" s="1" t="n">
        <v>44837</v>
      </c>
      <c r="C689" s="1" t="n">
        <v>45337</v>
      </c>
      <c r="D689" t="inlineStr">
        <is>
          <t>VÄSTERBOTTENS LÄN</t>
        </is>
      </c>
      <c r="E689" t="inlineStr">
        <is>
          <t>LYCKSELE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44097-2022</t>
        </is>
      </c>
      <c r="B690" s="1" t="n">
        <v>44839</v>
      </c>
      <c r="C690" s="1" t="n">
        <v>45337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44139-2022</t>
        </is>
      </c>
      <c r="B691" s="1" t="n">
        <v>44839</v>
      </c>
      <c r="C691" s="1" t="n">
        <v>45337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Naturvårdsverket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44394-2022</t>
        </is>
      </c>
      <c r="B692" s="1" t="n">
        <v>44839</v>
      </c>
      <c r="C692" s="1" t="n">
        <v>45337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44581-2022</t>
        </is>
      </c>
      <c r="B693" s="1" t="n">
        <v>44840</v>
      </c>
      <c r="C693" s="1" t="n">
        <v>45337</v>
      </c>
      <c r="D693" t="inlineStr">
        <is>
          <t>VÄSTERBOTTENS LÄN</t>
        </is>
      </c>
      <c r="E693" t="inlineStr">
        <is>
          <t>LYCKSELE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44465-2022</t>
        </is>
      </c>
      <c r="B694" s="1" t="n">
        <v>44840</v>
      </c>
      <c r="C694" s="1" t="n">
        <v>45337</v>
      </c>
      <c r="D694" t="inlineStr">
        <is>
          <t>VÄSTERBOTTENS LÄN</t>
        </is>
      </c>
      <c r="E694" t="inlineStr">
        <is>
          <t>LYCKSELE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44479-2022</t>
        </is>
      </c>
      <c r="B695" s="1" t="n">
        <v>44840</v>
      </c>
      <c r="C695" s="1" t="n">
        <v>45337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44619-2022</t>
        </is>
      </c>
      <c r="B696" s="1" t="n">
        <v>44840</v>
      </c>
      <c r="C696" s="1" t="n">
        <v>45337</v>
      </c>
      <c r="D696" t="inlineStr">
        <is>
          <t>VÄSTERBOTTENS LÄN</t>
        </is>
      </c>
      <c r="E696" t="inlineStr">
        <is>
          <t>LYCKSELE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45180-2022</t>
        </is>
      </c>
      <c r="B697" s="1" t="n">
        <v>44844</v>
      </c>
      <c r="C697" s="1" t="n">
        <v>45337</v>
      </c>
      <c r="D697" t="inlineStr">
        <is>
          <t>VÄSTERBOTTENS LÄN</t>
        </is>
      </c>
      <c r="E697" t="inlineStr">
        <is>
          <t>LYCKSELE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45559-2022</t>
        </is>
      </c>
      <c r="B698" s="1" t="n">
        <v>44845</v>
      </c>
      <c r="C698" s="1" t="n">
        <v>45337</v>
      </c>
      <c r="D698" t="inlineStr">
        <is>
          <t>VÄSTERBOTTENS LÄN</t>
        </is>
      </c>
      <c r="E698" t="inlineStr">
        <is>
          <t>LYCKSELE</t>
        </is>
      </c>
      <c r="G698" t="n">
        <v>17.8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45661-2022</t>
        </is>
      </c>
      <c r="B699" s="1" t="n">
        <v>44845</v>
      </c>
      <c r="C699" s="1" t="n">
        <v>45337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45863-2022</t>
        </is>
      </c>
      <c r="B700" s="1" t="n">
        <v>44846</v>
      </c>
      <c r="C700" s="1" t="n">
        <v>45337</v>
      </c>
      <c r="D700" t="inlineStr">
        <is>
          <t>VÄSTERBOTTENS LÄN</t>
        </is>
      </c>
      <c r="E700" t="inlineStr">
        <is>
          <t>LYCKSELE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45964-2022</t>
        </is>
      </c>
      <c r="B701" s="1" t="n">
        <v>44846</v>
      </c>
      <c r="C701" s="1" t="n">
        <v>45337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45903-2022</t>
        </is>
      </c>
      <c r="B702" s="1" t="n">
        <v>44846</v>
      </c>
      <c r="C702" s="1" t="n">
        <v>45337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45906-2022</t>
        </is>
      </c>
      <c r="B703" s="1" t="n">
        <v>44846</v>
      </c>
      <c r="C703" s="1" t="n">
        <v>45337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46474-2022</t>
        </is>
      </c>
      <c r="B704" s="1" t="n">
        <v>44846</v>
      </c>
      <c r="C704" s="1" t="n">
        <v>45337</v>
      </c>
      <c r="D704" t="inlineStr">
        <is>
          <t>VÄSTERBOTTENS LÄN</t>
        </is>
      </c>
      <c r="E704" t="inlineStr">
        <is>
          <t>LYCKSELE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46541-2022</t>
        </is>
      </c>
      <c r="B705" s="1" t="n">
        <v>44847</v>
      </c>
      <c r="C705" s="1" t="n">
        <v>45337</v>
      </c>
      <c r="D705" t="inlineStr">
        <is>
          <t>VÄSTERBOTTENS LÄN</t>
        </is>
      </c>
      <c r="E705" t="inlineStr">
        <is>
          <t>LYCKSELE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47016-2022</t>
        </is>
      </c>
      <c r="B706" s="1" t="n">
        <v>44851</v>
      </c>
      <c r="C706" s="1" t="n">
        <v>45337</v>
      </c>
      <c r="D706" t="inlineStr">
        <is>
          <t>VÄSTERBOTTENS LÄN</t>
        </is>
      </c>
      <c r="E706" t="inlineStr">
        <is>
          <t>LYCKSELE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47712-2022</t>
        </is>
      </c>
      <c r="B707" s="1" t="n">
        <v>44854</v>
      </c>
      <c r="C707" s="1" t="n">
        <v>45337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47727-2022</t>
        </is>
      </c>
      <c r="B708" s="1" t="n">
        <v>44854</v>
      </c>
      <c r="C708" s="1" t="n">
        <v>45337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48071-2022</t>
        </is>
      </c>
      <c r="B709" s="1" t="n">
        <v>44856</v>
      </c>
      <c r="C709" s="1" t="n">
        <v>45337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48077-2022</t>
        </is>
      </c>
      <c r="B710" s="1" t="n">
        <v>44856</v>
      </c>
      <c r="C710" s="1" t="n">
        <v>45337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48678-2022</t>
        </is>
      </c>
      <c r="B711" s="1" t="n">
        <v>44859</v>
      </c>
      <c r="C711" s="1" t="n">
        <v>45337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48890-2022</t>
        </is>
      </c>
      <c r="B712" s="1" t="n">
        <v>44859</v>
      </c>
      <c r="C712" s="1" t="n">
        <v>45337</v>
      </c>
      <c r="D712" t="inlineStr">
        <is>
          <t>VÄSTERBOTTENS LÄN</t>
        </is>
      </c>
      <c r="E712" t="inlineStr">
        <is>
          <t>LYCKSELE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49514-2022</t>
        </is>
      </c>
      <c r="B713" s="1" t="n">
        <v>44861</v>
      </c>
      <c r="C713" s="1" t="n">
        <v>45337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49341-2022</t>
        </is>
      </c>
      <c r="B714" s="1" t="n">
        <v>44861</v>
      </c>
      <c r="C714" s="1" t="n">
        <v>45337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51392-2022</t>
        </is>
      </c>
      <c r="B715" s="1" t="n">
        <v>44866</v>
      </c>
      <c r="C715" s="1" t="n">
        <v>45337</v>
      </c>
      <c r="D715" t="inlineStr">
        <is>
          <t>VÄSTERBOTTENS LÄN</t>
        </is>
      </c>
      <c r="E715" t="inlineStr">
        <is>
          <t>LYCKSELE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51387-2022</t>
        </is>
      </c>
      <c r="B716" s="1" t="n">
        <v>44866</v>
      </c>
      <c r="C716" s="1" t="n">
        <v>45337</v>
      </c>
      <c r="D716" t="inlineStr">
        <is>
          <t>VÄSTERBOTTENS LÄN</t>
        </is>
      </c>
      <c r="E716" t="inlineStr">
        <is>
          <t>LYCKSELE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50779-2022</t>
        </is>
      </c>
      <c r="B717" s="1" t="n">
        <v>44867</v>
      </c>
      <c r="C717" s="1" t="n">
        <v>45337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50973-2022</t>
        </is>
      </c>
      <c r="B718" s="1" t="n">
        <v>44867</v>
      </c>
      <c r="C718" s="1" t="n">
        <v>45337</v>
      </c>
      <c r="D718" t="inlineStr">
        <is>
          <t>VÄSTERBOTTENS LÄN</t>
        </is>
      </c>
      <c r="E718" t="inlineStr">
        <is>
          <t>LYCKSELE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52186-2022</t>
        </is>
      </c>
      <c r="B719" s="1" t="n">
        <v>44873</v>
      </c>
      <c r="C719" s="1" t="n">
        <v>45337</v>
      </c>
      <c r="D719" t="inlineStr">
        <is>
          <t>VÄSTERBOTTENS LÄN</t>
        </is>
      </c>
      <c r="E719" t="inlineStr">
        <is>
          <t>LYCKSELE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52370-2022</t>
        </is>
      </c>
      <c r="B720" s="1" t="n">
        <v>44874</v>
      </c>
      <c r="C720" s="1" t="n">
        <v>45337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53389-2022</t>
        </is>
      </c>
      <c r="B721" s="1" t="n">
        <v>44874</v>
      </c>
      <c r="C721" s="1" t="n">
        <v>45337</v>
      </c>
      <c r="D721" t="inlineStr">
        <is>
          <t>VÄSTERBOTTENS LÄN</t>
        </is>
      </c>
      <c r="E721" t="inlineStr">
        <is>
          <t>LYCKSELE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52683-2022</t>
        </is>
      </c>
      <c r="B722" s="1" t="n">
        <v>44874</v>
      </c>
      <c r="C722" s="1" t="n">
        <v>45337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53369-2022</t>
        </is>
      </c>
      <c r="B723" s="1" t="n">
        <v>44874</v>
      </c>
      <c r="C723" s="1" t="n">
        <v>45337</v>
      </c>
      <c r="D723" t="inlineStr">
        <is>
          <t>VÄSTERBOTTENS LÄN</t>
        </is>
      </c>
      <c r="E723" t="inlineStr">
        <is>
          <t>LYCKSELE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52886-2022</t>
        </is>
      </c>
      <c r="B724" s="1" t="n">
        <v>44875</v>
      </c>
      <c r="C724" s="1" t="n">
        <v>45337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53027-2022</t>
        </is>
      </c>
      <c r="B725" s="1" t="n">
        <v>44875</v>
      </c>
      <c r="C725" s="1" t="n">
        <v>45337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52956-2022</t>
        </is>
      </c>
      <c r="B726" s="1" t="n">
        <v>44875</v>
      </c>
      <c r="C726" s="1" t="n">
        <v>45337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53226-2022</t>
        </is>
      </c>
      <c r="B727" s="1" t="n">
        <v>44876</v>
      </c>
      <c r="C727" s="1" t="n">
        <v>45337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53241-2022</t>
        </is>
      </c>
      <c r="B728" s="1" t="n">
        <v>44876</v>
      </c>
      <c r="C728" s="1" t="n">
        <v>45337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53740-2022</t>
        </is>
      </c>
      <c r="B729" s="1" t="n">
        <v>44880</v>
      </c>
      <c r="C729" s="1" t="n">
        <v>45337</v>
      </c>
      <c r="D729" t="inlineStr">
        <is>
          <t>VÄSTERBOTTENS LÄN</t>
        </is>
      </c>
      <c r="E729" t="inlineStr">
        <is>
          <t>LYCKSELE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53919-2022</t>
        </is>
      </c>
      <c r="B730" s="1" t="n">
        <v>44880</v>
      </c>
      <c r="C730" s="1" t="n">
        <v>45337</v>
      </c>
      <c r="D730" t="inlineStr">
        <is>
          <t>VÄSTERBOTTENS LÄN</t>
        </is>
      </c>
      <c r="E730" t="inlineStr">
        <is>
          <t>LYCKSELE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54135-2022</t>
        </is>
      </c>
      <c r="B731" s="1" t="n">
        <v>44881</v>
      </c>
      <c r="C731" s="1" t="n">
        <v>45337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54167-2022</t>
        </is>
      </c>
      <c r="B732" s="1" t="n">
        <v>44881</v>
      </c>
      <c r="C732" s="1" t="n">
        <v>45337</v>
      </c>
      <c r="D732" t="inlineStr">
        <is>
          <t>VÄSTERBOTTENS LÄN</t>
        </is>
      </c>
      <c r="E732" t="inlineStr">
        <is>
          <t>LYCKSELE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54288-2022</t>
        </is>
      </c>
      <c r="B733" s="1" t="n">
        <v>44882</v>
      </c>
      <c r="C733" s="1" t="n">
        <v>45337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55328-2022</t>
        </is>
      </c>
      <c r="B734" s="1" t="n">
        <v>44882</v>
      </c>
      <c r="C734" s="1" t="n">
        <v>45337</v>
      </c>
      <c r="D734" t="inlineStr">
        <is>
          <t>VÄSTERBOTTENS LÄN</t>
        </is>
      </c>
      <c r="E734" t="inlineStr">
        <is>
          <t>LYCKSELE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55334-2022</t>
        </is>
      </c>
      <c r="B735" s="1" t="n">
        <v>44882</v>
      </c>
      <c r="C735" s="1" t="n">
        <v>45337</v>
      </c>
      <c r="D735" t="inlineStr">
        <is>
          <t>VÄSTERBOTTENS LÄN</t>
        </is>
      </c>
      <c r="E735" t="inlineStr">
        <is>
          <t>LYCKSELE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54687-2022</t>
        </is>
      </c>
      <c r="B736" s="1" t="n">
        <v>44883</v>
      </c>
      <c r="C736" s="1" t="n">
        <v>45337</v>
      </c>
      <c r="D736" t="inlineStr">
        <is>
          <t>VÄSTERBOTTENS LÄN</t>
        </is>
      </c>
      <c r="E736" t="inlineStr">
        <is>
          <t>LYCKSELE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55170-2022</t>
        </is>
      </c>
      <c r="B737" s="1" t="n">
        <v>44886</v>
      </c>
      <c r="C737" s="1" t="n">
        <v>45337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55263-2022</t>
        </is>
      </c>
      <c r="B738" s="1" t="n">
        <v>44887</v>
      </c>
      <c r="C738" s="1" t="n">
        <v>45337</v>
      </c>
      <c r="D738" t="inlineStr">
        <is>
          <t>VÄSTERBOTTENS LÄN</t>
        </is>
      </c>
      <c r="E738" t="inlineStr">
        <is>
          <t>LYCKSELE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55456-2022</t>
        </is>
      </c>
      <c r="B739" s="1" t="n">
        <v>44887</v>
      </c>
      <c r="C739" s="1" t="n">
        <v>45337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55503-2022</t>
        </is>
      </c>
      <c r="B740" s="1" t="n">
        <v>44887</v>
      </c>
      <c r="C740" s="1" t="n">
        <v>45337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55582-2022</t>
        </is>
      </c>
      <c r="B741" s="1" t="n">
        <v>44888</v>
      </c>
      <c r="C741" s="1" t="n">
        <v>45337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55798-2022</t>
        </is>
      </c>
      <c r="B742" s="1" t="n">
        <v>44888</v>
      </c>
      <c r="C742" s="1" t="n">
        <v>45337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55641-2022</t>
        </is>
      </c>
      <c r="B743" s="1" t="n">
        <v>44888</v>
      </c>
      <c r="C743" s="1" t="n">
        <v>45337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56804-2022</t>
        </is>
      </c>
      <c r="B744" s="1" t="n">
        <v>44888</v>
      </c>
      <c r="C744" s="1" t="n">
        <v>45337</v>
      </c>
      <c r="D744" t="inlineStr">
        <is>
          <t>VÄSTERBOTTENS LÄN</t>
        </is>
      </c>
      <c r="E744" t="inlineStr">
        <is>
          <t>LYCKSELE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56046-2022</t>
        </is>
      </c>
      <c r="B745" s="1" t="n">
        <v>44889</v>
      </c>
      <c r="C745" s="1" t="n">
        <v>45337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56055-2022</t>
        </is>
      </c>
      <c r="B746" s="1" t="n">
        <v>44889</v>
      </c>
      <c r="C746" s="1" t="n">
        <v>45337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56343-2022</t>
        </is>
      </c>
      <c r="B747" s="1" t="n">
        <v>44890</v>
      </c>
      <c r="C747" s="1" t="n">
        <v>45337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56973-2022</t>
        </is>
      </c>
      <c r="B748" s="1" t="n">
        <v>44894</v>
      </c>
      <c r="C748" s="1" t="n">
        <v>45337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57198-2022</t>
        </is>
      </c>
      <c r="B749" s="1" t="n">
        <v>44895</v>
      </c>
      <c r="C749" s="1" t="n">
        <v>45337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57252-2022</t>
        </is>
      </c>
      <c r="B750" s="1" t="n">
        <v>44895</v>
      </c>
      <c r="C750" s="1" t="n">
        <v>45337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58915-2022</t>
        </is>
      </c>
      <c r="B751" s="1" t="n">
        <v>44896</v>
      </c>
      <c r="C751" s="1" t="n">
        <v>45337</v>
      </c>
      <c r="D751" t="inlineStr">
        <is>
          <t>VÄSTERBOTTENS LÄN</t>
        </is>
      </c>
      <c r="E751" t="inlineStr">
        <is>
          <t>LYCKSELE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58920-2022</t>
        </is>
      </c>
      <c r="B752" s="1" t="n">
        <v>44896</v>
      </c>
      <c r="C752" s="1" t="n">
        <v>45337</v>
      </c>
      <c r="D752" t="inlineStr">
        <is>
          <t>VÄSTERBOTTENS LÄN</t>
        </is>
      </c>
      <c r="E752" t="inlineStr">
        <is>
          <t>LYCKSELE</t>
        </is>
      </c>
      <c r="G752" t="n">
        <v>20.5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59554-2022</t>
        </is>
      </c>
      <c r="B753" s="1" t="n">
        <v>44900</v>
      </c>
      <c r="C753" s="1" t="n">
        <v>45337</v>
      </c>
      <c r="D753" t="inlineStr">
        <is>
          <t>VÄSTERBOTTENS LÄN</t>
        </is>
      </c>
      <c r="E753" t="inlineStr">
        <is>
          <t>LYCKSELE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59566-2022</t>
        </is>
      </c>
      <c r="B754" s="1" t="n">
        <v>44900</v>
      </c>
      <c r="C754" s="1" t="n">
        <v>45337</v>
      </c>
      <c r="D754" t="inlineStr">
        <is>
          <t>VÄSTERBOTTENS LÄN</t>
        </is>
      </c>
      <c r="E754" t="inlineStr">
        <is>
          <t>LYCKSELE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59559-2022</t>
        </is>
      </c>
      <c r="B755" s="1" t="n">
        <v>44900</v>
      </c>
      <c r="C755" s="1" t="n">
        <v>45337</v>
      </c>
      <c r="D755" t="inlineStr">
        <is>
          <t>VÄSTERBOTTENS LÄN</t>
        </is>
      </c>
      <c r="E755" t="inlineStr">
        <is>
          <t>LYCKSELE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58439-2022</t>
        </is>
      </c>
      <c r="B756" s="1" t="n">
        <v>44901</v>
      </c>
      <c r="C756" s="1" t="n">
        <v>45337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58440-2022</t>
        </is>
      </c>
      <c r="B757" s="1" t="n">
        <v>44901</v>
      </c>
      <c r="C757" s="1" t="n">
        <v>45337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58594-2022</t>
        </is>
      </c>
      <c r="B758" s="1" t="n">
        <v>44902</v>
      </c>
      <c r="C758" s="1" t="n">
        <v>45337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58872-2022</t>
        </is>
      </c>
      <c r="B759" s="1" t="n">
        <v>44903</v>
      </c>
      <c r="C759" s="1" t="n">
        <v>45337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58961-2022</t>
        </is>
      </c>
      <c r="B760" s="1" t="n">
        <v>44903</v>
      </c>
      <c r="C760" s="1" t="n">
        <v>45337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58975-2022</t>
        </is>
      </c>
      <c r="B761" s="1" t="n">
        <v>44903</v>
      </c>
      <c r="C761" s="1" t="n">
        <v>45337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58854-2022</t>
        </is>
      </c>
      <c r="B762" s="1" t="n">
        <v>44903</v>
      </c>
      <c r="C762" s="1" t="n">
        <v>45337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59031-2022</t>
        </is>
      </c>
      <c r="B763" s="1" t="n">
        <v>44903</v>
      </c>
      <c r="C763" s="1" t="n">
        <v>45337</v>
      </c>
      <c r="D763" t="inlineStr">
        <is>
          <t>VÄSTERBOTTENS LÄN</t>
        </is>
      </c>
      <c r="E763" t="inlineStr">
        <is>
          <t>LYCKSELE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59102-2022</t>
        </is>
      </c>
      <c r="B764" s="1" t="n">
        <v>44904</v>
      </c>
      <c r="C764" s="1" t="n">
        <v>45337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59272-2022</t>
        </is>
      </c>
      <c r="B765" s="1" t="n">
        <v>44904</v>
      </c>
      <c r="C765" s="1" t="n">
        <v>45337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59330-2022</t>
        </is>
      </c>
      <c r="B766" s="1" t="n">
        <v>44904</v>
      </c>
      <c r="C766" s="1" t="n">
        <v>45337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59287-2022</t>
        </is>
      </c>
      <c r="B767" s="1" t="n">
        <v>44904</v>
      </c>
      <c r="C767" s="1" t="n">
        <v>45337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59329-2022</t>
        </is>
      </c>
      <c r="B768" s="1" t="n">
        <v>44904</v>
      </c>
      <c r="C768" s="1" t="n">
        <v>45337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59653-2022</t>
        </is>
      </c>
      <c r="B769" s="1" t="n">
        <v>44907</v>
      </c>
      <c r="C769" s="1" t="n">
        <v>45337</v>
      </c>
      <c r="D769" t="inlineStr">
        <is>
          <t>VÄSTERBOTTENS LÄN</t>
        </is>
      </c>
      <c r="E769" t="inlineStr">
        <is>
          <t>LYCKSELE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60859-2022</t>
        </is>
      </c>
      <c r="B770" s="1" t="n">
        <v>44908</v>
      </c>
      <c r="C770" s="1" t="n">
        <v>45337</v>
      </c>
      <c r="D770" t="inlineStr">
        <is>
          <t>VÄSTERBOTTENS LÄN</t>
        </is>
      </c>
      <c r="E770" t="inlineStr">
        <is>
          <t>LYCKSELE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60857-2022</t>
        </is>
      </c>
      <c r="B771" s="1" t="n">
        <v>44908</v>
      </c>
      <c r="C771" s="1" t="n">
        <v>45337</v>
      </c>
      <c r="D771" t="inlineStr">
        <is>
          <t>VÄSTERBOTTENS LÄN</t>
        </is>
      </c>
      <c r="E771" t="inlineStr">
        <is>
          <t>LYCKSELE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60117-2022</t>
        </is>
      </c>
      <c r="B772" s="1" t="n">
        <v>44909</v>
      </c>
      <c r="C772" s="1" t="n">
        <v>45337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60122-2022</t>
        </is>
      </c>
      <c r="B773" s="1" t="n">
        <v>44909</v>
      </c>
      <c r="C773" s="1" t="n">
        <v>45337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60131-2022</t>
        </is>
      </c>
      <c r="B774" s="1" t="n">
        <v>44909</v>
      </c>
      <c r="C774" s="1" t="n">
        <v>45337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60143-2022</t>
        </is>
      </c>
      <c r="B775" s="1" t="n">
        <v>44909</v>
      </c>
      <c r="C775" s="1" t="n">
        <v>45337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61281-2022</t>
        </is>
      </c>
      <c r="B776" s="1" t="n">
        <v>44909</v>
      </c>
      <c r="C776" s="1" t="n">
        <v>45337</v>
      </c>
      <c r="D776" t="inlineStr">
        <is>
          <t>VÄSTERBOTTENS LÄN</t>
        </is>
      </c>
      <c r="E776" t="inlineStr">
        <is>
          <t>LYCKSELE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61277-2022</t>
        </is>
      </c>
      <c r="B777" s="1" t="n">
        <v>44909</v>
      </c>
      <c r="C777" s="1" t="n">
        <v>45337</v>
      </c>
      <c r="D777" t="inlineStr">
        <is>
          <t>VÄSTERBOTTENS LÄN</t>
        </is>
      </c>
      <c r="E777" t="inlineStr">
        <is>
          <t>LYCKSELE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60267-2022</t>
        </is>
      </c>
      <c r="B778" s="1" t="n">
        <v>44910</v>
      </c>
      <c r="C778" s="1" t="n">
        <v>45337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60226-2022</t>
        </is>
      </c>
      <c r="B779" s="1" t="n">
        <v>44910</v>
      </c>
      <c r="C779" s="1" t="n">
        <v>45337</v>
      </c>
      <c r="D779" t="inlineStr">
        <is>
          <t>VÄSTERBOTTENS LÄN</t>
        </is>
      </c>
      <c r="E779" t="inlineStr">
        <is>
          <t>LYCKSELE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60330-2022</t>
        </is>
      </c>
      <c r="B780" s="1" t="n">
        <v>44910</v>
      </c>
      <c r="C780" s="1" t="n">
        <v>45337</v>
      </c>
      <c r="D780" t="inlineStr">
        <is>
          <t>VÄSTERBOTTENS LÄN</t>
        </is>
      </c>
      <c r="E780" t="inlineStr">
        <is>
          <t>LYCKSELE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60387-2022</t>
        </is>
      </c>
      <c r="B781" s="1" t="n">
        <v>44910</v>
      </c>
      <c r="C781" s="1" t="n">
        <v>45337</v>
      </c>
      <c r="D781" t="inlineStr">
        <is>
          <t>VÄSTERBOTTENS LÄN</t>
        </is>
      </c>
      <c r="E781" t="inlineStr">
        <is>
          <t>LYCKSELE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60272-2022</t>
        </is>
      </c>
      <c r="B782" s="1" t="n">
        <v>44910</v>
      </c>
      <c r="C782" s="1" t="n">
        <v>45337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60685-2022</t>
        </is>
      </c>
      <c r="B783" s="1" t="n">
        <v>44911</v>
      </c>
      <c r="C783" s="1" t="n">
        <v>45337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60570-2022</t>
        </is>
      </c>
      <c r="B784" s="1" t="n">
        <v>44911</v>
      </c>
      <c r="C784" s="1" t="n">
        <v>45337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61799-2022</t>
        </is>
      </c>
      <c r="B785" s="1" t="n">
        <v>44911</v>
      </c>
      <c r="C785" s="1" t="n">
        <v>45337</v>
      </c>
      <c r="D785" t="inlineStr">
        <is>
          <t>VÄSTERBOTTENS LÄN</t>
        </is>
      </c>
      <c r="E785" t="inlineStr">
        <is>
          <t>LYCKSELE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60714-2022</t>
        </is>
      </c>
      <c r="B786" s="1" t="n">
        <v>44912</v>
      </c>
      <c r="C786" s="1" t="n">
        <v>45337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60723-2022</t>
        </is>
      </c>
      <c r="B787" s="1" t="n">
        <v>44913</v>
      </c>
      <c r="C787" s="1" t="n">
        <v>45337</v>
      </c>
      <c r="D787" t="inlineStr">
        <is>
          <t>VÄSTERBOTTENS LÄN</t>
        </is>
      </c>
      <c r="E787" t="inlineStr">
        <is>
          <t>LYCKSELE</t>
        </is>
      </c>
      <c r="G787" t="n">
        <v>14.9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61131-2022</t>
        </is>
      </c>
      <c r="B788" s="1" t="n">
        <v>44915</v>
      </c>
      <c r="C788" s="1" t="n">
        <v>45337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61390-2022</t>
        </is>
      </c>
      <c r="B789" s="1" t="n">
        <v>44915</v>
      </c>
      <c r="C789" s="1" t="n">
        <v>45337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61651-2022</t>
        </is>
      </c>
      <c r="B790" s="1" t="n">
        <v>44916</v>
      </c>
      <c r="C790" s="1" t="n">
        <v>45337</v>
      </c>
      <c r="D790" t="inlineStr">
        <is>
          <t>VÄSTERBOTTENS LÄN</t>
        </is>
      </c>
      <c r="E790" t="inlineStr">
        <is>
          <t>LYCKSELE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61829-2022</t>
        </is>
      </c>
      <c r="B791" s="1" t="n">
        <v>44917</v>
      </c>
      <c r="C791" s="1" t="n">
        <v>45337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61837-2022</t>
        </is>
      </c>
      <c r="B792" s="1" t="n">
        <v>44917</v>
      </c>
      <c r="C792" s="1" t="n">
        <v>45337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62678-2022</t>
        </is>
      </c>
      <c r="B793" s="1" t="n">
        <v>44917</v>
      </c>
      <c r="C793" s="1" t="n">
        <v>45337</v>
      </c>
      <c r="D793" t="inlineStr">
        <is>
          <t>VÄSTERBOTTENS LÄN</t>
        </is>
      </c>
      <c r="E793" t="inlineStr">
        <is>
          <t>LYCKSELE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155-2023</t>
        </is>
      </c>
      <c r="B794" s="1" t="n">
        <v>44921</v>
      </c>
      <c r="C794" s="1" t="n">
        <v>45337</v>
      </c>
      <c r="D794" t="inlineStr">
        <is>
          <t>VÄSTERBOTTENS LÄN</t>
        </is>
      </c>
      <c r="E794" t="inlineStr">
        <is>
          <t>LYCKSELE</t>
        </is>
      </c>
      <c r="G794" t="n">
        <v>27.3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161-2023</t>
        </is>
      </c>
      <c r="B795" s="1" t="n">
        <v>44921</v>
      </c>
      <c r="C795" s="1" t="n">
        <v>45337</v>
      </c>
      <c r="D795" t="inlineStr">
        <is>
          <t>VÄSTERBOTTENS LÄN</t>
        </is>
      </c>
      <c r="E795" t="inlineStr">
        <is>
          <t>LYCKSELE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62547-2022</t>
        </is>
      </c>
      <c r="B796" s="1" t="n">
        <v>44924</v>
      </c>
      <c r="C796" s="1" t="n">
        <v>45337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408-2023</t>
        </is>
      </c>
      <c r="B797" s="1" t="n">
        <v>44924</v>
      </c>
      <c r="C797" s="1" t="n">
        <v>45337</v>
      </c>
      <c r="D797" t="inlineStr">
        <is>
          <t>VÄSTERBOTTENS LÄN</t>
        </is>
      </c>
      <c r="E797" t="inlineStr">
        <is>
          <t>LYCKSELE</t>
        </is>
      </c>
      <c r="G797" t="n">
        <v>11.9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62584-2022</t>
        </is>
      </c>
      <c r="B798" s="1" t="n">
        <v>44924</v>
      </c>
      <c r="C798" s="1" t="n">
        <v>45337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62586-2022</t>
        </is>
      </c>
      <c r="B799" s="1" t="n">
        <v>44924</v>
      </c>
      <c r="C799" s="1" t="n">
        <v>45337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62715-2022</t>
        </is>
      </c>
      <c r="B800" s="1" t="n">
        <v>44925</v>
      </c>
      <c r="C800" s="1" t="n">
        <v>45337</v>
      </c>
      <c r="D800" t="inlineStr">
        <is>
          <t>VÄSTERBOTTENS LÄN</t>
        </is>
      </c>
      <c r="E800" t="inlineStr">
        <is>
          <t>LYCKSELE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326-2023</t>
        </is>
      </c>
      <c r="B801" s="1" t="n">
        <v>44929</v>
      </c>
      <c r="C801" s="1" t="n">
        <v>45337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705-2023</t>
        </is>
      </c>
      <c r="B802" s="1" t="n">
        <v>44930</v>
      </c>
      <c r="C802" s="1" t="n">
        <v>45337</v>
      </c>
      <c r="D802" t="inlineStr">
        <is>
          <t>VÄSTERBOTTENS LÄN</t>
        </is>
      </c>
      <c r="E802" t="inlineStr">
        <is>
          <t>LYCKSELE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542-2023</t>
        </is>
      </c>
      <c r="B803" s="1" t="n">
        <v>44930</v>
      </c>
      <c r="C803" s="1" t="n">
        <v>45337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605-2023</t>
        </is>
      </c>
      <c r="B804" s="1" t="n">
        <v>44930</v>
      </c>
      <c r="C804" s="1" t="n">
        <v>45337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778-2023</t>
        </is>
      </c>
      <c r="B805" s="1" t="n">
        <v>44931</v>
      </c>
      <c r="C805" s="1" t="n">
        <v>45337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936-2023</t>
        </is>
      </c>
      <c r="B806" s="1" t="n">
        <v>44933</v>
      </c>
      <c r="C806" s="1" t="n">
        <v>45337</v>
      </c>
      <c r="D806" t="inlineStr">
        <is>
          <t>VÄSTERBOTTENS LÄN</t>
        </is>
      </c>
      <c r="E806" t="inlineStr">
        <is>
          <t>LYCKSELE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960-2023</t>
        </is>
      </c>
      <c r="B807" s="1" t="n">
        <v>44934</v>
      </c>
      <c r="C807" s="1" t="n">
        <v>45337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957-2023</t>
        </is>
      </c>
      <c r="B808" s="1" t="n">
        <v>44934</v>
      </c>
      <c r="C808" s="1" t="n">
        <v>45337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1276-2023</t>
        </is>
      </c>
      <c r="B809" s="1" t="n">
        <v>44936</v>
      </c>
      <c r="C809" s="1" t="n">
        <v>45337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1317-2023</t>
        </is>
      </c>
      <c r="B810" s="1" t="n">
        <v>44936</v>
      </c>
      <c r="C810" s="1" t="n">
        <v>45337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2191-2023</t>
        </is>
      </c>
      <c r="B811" s="1" t="n">
        <v>44942</v>
      </c>
      <c r="C811" s="1" t="n">
        <v>45337</v>
      </c>
      <c r="D811" t="inlineStr">
        <is>
          <t>VÄSTERBOTTENS LÄN</t>
        </is>
      </c>
      <c r="E811" t="inlineStr">
        <is>
          <t>LYCKSELE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2193-2023</t>
        </is>
      </c>
      <c r="B812" s="1" t="n">
        <v>44942</v>
      </c>
      <c r="C812" s="1" t="n">
        <v>45337</v>
      </c>
      <c r="D812" t="inlineStr">
        <is>
          <t>VÄSTERBOTTENS LÄN</t>
        </is>
      </c>
      <c r="E812" t="inlineStr">
        <is>
          <t>LYCKSELE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2758-2023</t>
        </is>
      </c>
      <c r="B813" s="1" t="n">
        <v>44943</v>
      </c>
      <c r="C813" s="1" t="n">
        <v>45337</v>
      </c>
      <c r="D813" t="inlineStr">
        <is>
          <t>VÄSTERBOTTENS LÄN</t>
        </is>
      </c>
      <c r="E813" t="inlineStr">
        <is>
          <t>LYCKSELE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2610-2023</t>
        </is>
      </c>
      <c r="B814" s="1" t="n">
        <v>44944</v>
      </c>
      <c r="C814" s="1" t="n">
        <v>45337</v>
      </c>
      <c r="D814" t="inlineStr">
        <is>
          <t>VÄSTERBOTTENS LÄN</t>
        </is>
      </c>
      <c r="E814" t="inlineStr">
        <is>
          <t>LYCKSELE</t>
        </is>
      </c>
      <c r="G814" t="n">
        <v>18.6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2859-2023</t>
        </is>
      </c>
      <c r="B815" s="1" t="n">
        <v>44945</v>
      </c>
      <c r="C815" s="1" t="n">
        <v>45337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Kyrkan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3614-2023</t>
        </is>
      </c>
      <c r="B816" s="1" t="n">
        <v>44950</v>
      </c>
      <c r="C816" s="1" t="n">
        <v>45337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3540-2023</t>
        </is>
      </c>
      <c r="B817" s="1" t="n">
        <v>44950</v>
      </c>
      <c r="C817" s="1" t="n">
        <v>45337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4179-2023</t>
        </is>
      </c>
      <c r="B818" s="1" t="n">
        <v>44951</v>
      </c>
      <c r="C818" s="1" t="n">
        <v>45337</v>
      </c>
      <c r="D818" t="inlineStr">
        <is>
          <t>VÄSTERBOTTENS LÄN</t>
        </is>
      </c>
      <c r="E818" t="inlineStr">
        <is>
          <t>LYCKSELE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3947-2023</t>
        </is>
      </c>
      <c r="B819" s="1" t="n">
        <v>44952</v>
      </c>
      <c r="C819" s="1" t="n">
        <v>45337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4664-2023</t>
        </is>
      </c>
      <c r="B820" s="1" t="n">
        <v>44952</v>
      </c>
      <c r="C820" s="1" t="n">
        <v>45337</v>
      </c>
      <c r="D820" t="inlineStr">
        <is>
          <t>VÄSTERBOTTENS LÄN</t>
        </is>
      </c>
      <c r="E820" t="inlineStr">
        <is>
          <t>LYCKSELE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4056-2023</t>
        </is>
      </c>
      <c r="B821" s="1" t="n">
        <v>44952</v>
      </c>
      <c r="C821" s="1" t="n">
        <v>45337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4673-2023</t>
        </is>
      </c>
      <c r="B822" s="1" t="n">
        <v>44952</v>
      </c>
      <c r="C822" s="1" t="n">
        <v>45337</v>
      </c>
      <c r="D822" t="inlineStr">
        <is>
          <t>VÄSTERBOTTENS LÄN</t>
        </is>
      </c>
      <c r="E822" t="inlineStr">
        <is>
          <t>LYCKSELE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4666-2023</t>
        </is>
      </c>
      <c r="B823" s="1" t="n">
        <v>44953</v>
      </c>
      <c r="C823" s="1" t="n">
        <v>45337</v>
      </c>
      <c r="D823" t="inlineStr">
        <is>
          <t>VÄSTERBOTTENS LÄN</t>
        </is>
      </c>
      <c r="E823" t="inlineStr">
        <is>
          <t>LYCKSELE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5204-2023</t>
        </is>
      </c>
      <c r="B824" s="1" t="n">
        <v>44956</v>
      </c>
      <c r="C824" s="1" t="n">
        <v>45337</v>
      </c>
      <c r="D824" t="inlineStr">
        <is>
          <t>VÄSTERBOTTENS LÄN</t>
        </is>
      </c>
      <c r="E824" t="inlineStr">
        <is>
          <t>LYCKSELE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5361-2023</t>
        </is>
      </c>
      <c r="B825" s="1" t="n">
        <v>44956</v>
      </c>
      <c r="C825" s="1" t="n">
        <v>45337</v>
      </c>
      <c r="D825" t="inlineStr">
        <is>
          <t>VÄSTERBOTTENS LÄN</t>
        </is>
      </c>
      <c r="E825" t="inlineStr">
        <is>
          <t>LYCKSELE</t>
        </is>
      </c>
      <c r="G825" t="n">
        <v>21.1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4745-2023</t>
        </is>
      </c>
      <c r="B826" s="1" t="n">
        <v>44957</v>
      </c>
      <c r="C826" s="1" t="n">
        <v>45337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5094-2023</t>
        </is>
      </c>
      <c r="B827" s="1" t="n">
        <v>44958</v>
      </c>
      <c r="C827" s="1" t="n">
        <v>45337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5638-2023</t>
        </is>
      </c>
      <c r="B828" s="1" t="n">
        <v>44960</v>
      </c>
      <c r="C828" s="1" t="n">
        <v>45337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6684-2023</t>
        </is>
      </c>
      <c r="B829" s="1" t="n">
        <v>44963</v>
      </c>
      <c r="C829" s="1" t="n">
        <v>45337</v>
      </c>
      <c r="D829" t="inlineStr">
        <is>
          <t>VÄSTERBOTTENS LÄN</t>
        </is>
      </c>
      <c r="E829" t="inlineStr">
        <is>
          <t>LYCKSELE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6044-2023</t>
        </is>
      </c>
      <c r="B830" s="1" t="n">
        <v>44964</v>
      </c>
      <c r="C830" s="1" t="n">
        <v>45337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6906-2023</t>
        </is>
      </c>
      <c r="B831" s="1" t="n">
        <v>44967</v>
      </c>
      <c r="C831" s="1" t="n">
        <v>45337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7318-2023</t>
        </is>
      </c>
      <c r="B832" s="1" t="n">
        <v>44970</v>
      </c>
      <c r="C832" s="1" t="n">
        <v>45337</v>
      </c>
      <c r="D832" t="inlineStr">
        <is>
          <t>VÄSTERBOTTENS LÄN</t>
        </is>
      </c>
      <c r="E832" t="inlineStr">
        <is>
          <t>LYCKSELE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7768-2023</t>
        </is>
      </c>
      <c r="B833" s="1" t="n">
        <v>44973</v>
      </c>
      <c r="C833" s="1" t="n">
        <v>45337</v>
      </c>
      <c r="D833" t="inlineStr">
        <is>
          <t>VÄSTERBOTTENS LÄN</t>
        </is>
      </c>
      <c r="E833" t="inlineStr">
        <is>
          <t>LYCKSELE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7822-2023</t>
        </is>
      </c>
      <c r="B834" s="1" t="n">
        <v>44973</v>
      </c>
      <c r="C834" s="1" t="n">
        <v>45337</v>
      </c>
      <c r="D834" t="inlineStr">
        <is>
          <t>VÄSTERBOTTENS LÄN</t>
        </is>
      </c>
      <c r="E834" t="inlineStr">
        <is>
          <t>LYCKSELE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7829-2023</t>
        </is>
      </c>
      <c r="B835" s="1" t="n">
        <v>44973</v>
      </c>
      <c r="C835" s="1" t="n">
        <v>45337</v>
      </c>
      <c r="D835" t="inlineStr">
        <is>
          <t>VÄSTERBOTTENS LÄN</t>
        </is>
      </c>
      <c r="E835" t="inlineStr">
        <is>
          <t>LYCKSELE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7818-2023</t>
        </is>
      </c>
      <c r="B836" s="1" t="n">
        <v>44973</v>
      </c>
      <c r="C836" s="1" t="n">
        <v>45337</v>
      </c>
      <c r="D836" t="inlineStr">
        <is>
          <t>VÄSTERBOTTENS LÄN</t>
        </is>
      </c>
      <c r="E836" t="inlineStr">
        <is>
          <t>LYCKSELE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7825-2023</t>
        </is>
      </c>
      <c r="B837" s="1" t="n">
        <v>44973</v>
      </c>
      <c r="C837" s="1" t="n">
        <v>45337</v>
      </c>
      <c r="D837" t="inlineStr">
        <is>
          <t>VÄSTERBOTTENS LÄN</t>
        </is>
      </c>
      <c r="E837" t="inlineStr">
        <is>
          <t>LYCKSELE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7834-2023</t>
        </is>
      </c>
      <c r="B838" s="1" t="n">
        <v>44973</v>
      </c>
      <c r="C838" s="1" t="n">
        <v>45337</v>
      </c>
      <c r="D838" t="inlineStr">
        <is>
          <t>VÄSTERBOTTENS LÄN</t>
        </is>
      </c>
      <c r="E838" t="inlineStr">
        <is>
          <t>LYCKSELE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7837-2023</t>
        </is>
      </c>
      <c r="B839" s="1" t="n">
        <v>44973</v>
      </c>
      <c r="C839" s="1" t="n">
        <v>45337</v>
      </c>
      <c r="D839" t="inlineStr">
        <is>
          <t>VÄSTERBOTTENS LÄN</t>
        </is>
      </c>
      <c r="E839" t="inlineStr">
        <is>
          <t>LYCKSELE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8359-2023</t>
        </is>
      </c>
      <c r="B840" s="1" t="n">
        <v>44977</v>
      </c>
      <c r="C840" s="1" t="n">
        <v>45337</v>
      </c>
      <c r="D840" t="inlineStr">
        <is>
          <t>VÄSTERBOTTENS LÄN</t>
        </is>
      </c>
      <c r="E840" t="inlineStr">
        <is>
          <t>LYCKSELE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8364-2023</t>
        </is>
      </c>
      <c r="B841" s="1" t="n">
        <v>44977</v>
      </c>
      <c r="C841" s="1" t="n">
        <v>45337</v>
      </c>
      <c r="D841" t="inlineStr">
        <is>
          <t>VÄSTERBOTTENS LÄN</t>
        </is>
      </c>
      <c r="E841" t="inlineStr">
        <is>
          <t>LYCKSELE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8917-2023</t>
        </is>
      </c>
      <c r="B842" s="1" t="n">
        <v>44979</v>
      </c>
      <c r="C842" s="1" t="n">
        <v>45337</v>
      </c>
      <c r="D842" t="inlineStr">
        <is>
          <t>VÄSTERBOTTENS LÄN</t>
        </is>
      </c>
      <c r="E842" t="inlineStr">
        <is>
          <t>LYCKSELE</t>
        </is>
      </c>
      <c r="G842" t="n">
        <v>12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9090-2023</t>
        </is>
      </c>
      <c r="B843" s="1" t="n">
        <v>44979</v>
      </c>
      <c r="C843" s="1" t="n">
        <v>45337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10331-2023</t>
        </is>
      </c>
      <c r="B844" s="1" t="n">
        <v>44980</v>
      </c>
      <c r="C844" s="1" t="n">
        <v>45337</v>
      </c>
      <c r="D844" t="inlineStr">
        <is>
          <t>VÄSTERBOTTENS LÄN</t>
        </is>
      </c>
      <c r="E844" t="inlineStr">
        <is>
          <t>LYCKSELE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10345-2023</t>
        </is>
      </c>
      <c r="B845" s="1" t="n">
        <v>44980</v>
      </c>
      <c r="C845" s="1" t="n">
        <v>45337</v>
      </c>
      <c r="D845" t="inlineStr">
        <is>
          <t>VÄSTERBOTTENS LÄN</t>
        </is>
      </c>
      <c r="E845" t="inlineStr">
        <is>
          <t>LYCKSELE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10341-2023</t>
        </is>
      </c>
      <c r="B846" s="1" t="n">
        <v>44980</v>
      </c>
      <c r="C846" s="1" t="n">
        <v>45337</v>
      </c>
      <c r="D846" t="inlineStr">
        <is>
          <t>VÄSTERBOTTENS LÄN</t>
        </is>
      </c>
      <c r="E846" t="inlineStr">
        <is>
          <t>LYCKSELE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10386-2023</t>
        </is>
      </c>
      <c r="B847" s="1" t="n">
        <v>44981</v>
      </c>
      <c r="C847" s="1" t="n">
        <v>45337</v>
      </c>
      <c r="D847" t="inlineStr">
        <is>
          <t>VÄSTERBOTTENS LÄN</t>
        </is>
      </c>
      <c r="E847" t="inlineStr">
        <is>
          <t>LYCKSELE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10485-2023</t>
        </is>
      </c>
      <c r="B848" s="1" t="n">
        <v>44981</v>
      </c>
      <c r="C848" s="1" t="n">
        <v>45337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10953-2023</t>
        </is>
      </c>
      <c r="B849" s="1" t="n">
        <v>44985</v>
      </c>
      <c r="C849" s="1" t="n">
        <v>45337</v>
      </c>
      <c r="D849" t="inlineStr">
        <is>
          <t>VÄSTERBOTTENS LÄN</t>
        </is>
      </c>
      <c r="E849" t="inlineStr">
        <is>
          <t>LYCKSELE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10976-2023</t>
        </is>
      </c>
      <c r="B850" s="1" t="n">
        <v>44985</v>
      </c>
      <c r="C850" s="1" t="n">
        <v>45337</v>
      </c>
      <c r="D850" t="inlineStr">
        <is>
          <t>VÄSTERBOTTENS LÄN</t>
        </is>
      </c>
      <c r="E850" t="inlineStr">
        <is>
          <t>LYCKSELE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11189-2023</t>
        </is>
      </c>
      <c r="B851" s="1" t="n">
        <v>44987</v>
      </c>
      <c r="C851" s="1" t="n">
        <v>45337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10767-2023</t>
        </is>
      </c>
      <c r="B852" s="1" t="n">
        <v>44988</v>
      </c>
      <c r="C852" s="1" t="n">
        <v>45337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11049-2023</t>
        </is>
      </c>
      <c r="B853" s="1" t="n">
        <v>44991</v>
      </c>
      <c r="C853" s="1" t="n">
        <v>45337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11298-2023</t>
        </is>
      </c>
      <c r="B854" s="1" t="n">
        <v>44992</v>
      </c>
      <c r="C854" s="1" t="n">
        <v>45337</v>
      </c>
      <c r="D854" t="inlineStr">
        <is>
          <t>VÄSTERBOTTENS LÄN</t>
        </is>
      </c>
      <c r="E854" t="inlineStr">
        <is>
          <t>LYCKSELE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11297-2023</t>
        </is>
      </c>
      <c r="B855" s="1" t="n">
        <v>44992</v>
      </c>
      <c r="C855" s="1" t="n">
        <v>45337</v>
      </c>
      <c r="D855" t="inlineStr">
        <is>
          <t>VÄSTERBOTTENS LÄN</t>
        </is>
      </c>
      <c r="E855" t="inlineStr">
        <is>
          <t>LYCKSELE</t>
        </is>
      </c>
      <c r="G855" t="n">
        <v>10.3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11314-2023</t>
        </is>
      </c>
      <c r="B856" s="1" t="n">
        <v>44993</v>
      </c>
      <c r="C856" s="1" t="n">
        <v>45337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11604-2023</t>
        </is>
      </c>
      <c r="B857" s="1" t="n">
        <v>44994</v>
      </c>
      <c r="C857" s="1" t="n">
        <v>45337</v>
      </c>
      <c r="D857" t="inlineStr">
        <is>
          <t>VÄSTERBOTTENS LÄN</t>
        </is>
      </c>
      <c r="E857" t="inlineStr">
        <is>
          <t>LYCKSELE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11743-2023</t>
        </is>
      </c>
      <c r="B858" s="1" t="n">
        <v>44994</v>
      </c>
      <c r="C858" s="1" t="n">
        <v>45337</v>
      </c>
      <c r="D858" t="inlineStr">
        <is>
          <t>VÄSTERBOTTENS LÄN</t>
        </is>
      </c>
      <c r="E858" t="inlineStr">
        <is>
          <t>LYCKSELE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11822-2023</t>
        </is>
      </c>
      <c r="B859" s="1" t="n">
        <v>44994</v>
      </c>
      <c r="C859" s="1" t="n">
        <v>45337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12052-2023</t>
        </is>
      </c>
      <c r="B860" s="1" t="n">
        <v>44995</v>
      </c>
      <c r="C860" s="1" t="n">
        <v>45337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12368-2023</t>
        </is>
      </c>
      <c r="B861" s="1" t="n">
        <v>44998</v>
      </c>
      <c r="C861" s="1" t="n">
        <v>45337</v>
      </c>
      <c r="D861" t="inlineStr">
        <is>
          <t>VÄSTERBOTTENS LÄN</t>
        </is>
      </c>
      <c r="E861" t="inlineStr">
        <is>
          <t>LYCKSELE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12337-2023</t>
        </is>
      </c>
      <c r="B862" s="1" t="n">
        <v>44999</v>
      </c>
      <c r="C862" s="1" t="n">
        <v>45337</v>
      </c>
      <c r="D862" t="inlineStr">
        <is>
          <t>VÄSTERBOTTENS LÄN</t>
        </is>
      </c>
      <c r="E862" t="inlineStr">
        <is>
          <t>LYCKSELE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12582-2023</t>
        </is>
      </c>
      <c r="B863" s="1" t="n">
        <v>44999</v>
      </c>
      <c r="C863" s="1" t="n">
        <v>45337</v>
      </c>
      <c r="D863" t="inlineStr">
        <is>
          <t>VÄSTERBOTTENS LÄN</t>
        </is>
      </c>
      <c r="E863" t="inlineStr">
        <is>
          <t>LYCKSELE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13661-2023</t>
        </is>
      </c>
      <c r="B864" s="1" t="n">
        <v>45006</v>
      </c>
      <c r="C864" s="1" t="n">
        <v>45337</v>
      </c>
      <c r="D864" t="inlineStr">
        <is>
          <t>VÄSTERBOTTENS LÄN</t>
        </is>
      </c>
      <c r="E864" t="inlineStr">
        <is>
          <t>LYCKSELE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13566-2023</t>
        </is>
      </c>
      <c r="B865" s="1" t="n">
        <v>45006</v>
      </c>
      <c r="C865" s="1" t="n">
        <v>45337</v>
      </c>
      <c r="D865" t="inlineStr">
        <is>
          <t>VÄSTERBOTTENS LÄN</t>
        </is>
      </c>
      <c r="E865" t="inlineStr">
        <is>
          <t>LYCKSELE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13563-2023</t>
        </is>
      </c>
      <c r="B866" s="1" t="n">
        <v>45006</v>
      </c>
      <c r="C866" s="1" t="n">
        <v>45337</v>
      </c>
      <c r="D866" t="inlineStr">
        <is>
          <t>VÄSTERBOTTENS LÄN</t>
        </is>
      </c>
      <c r="E866" t="inlineStr">
        <is>
          <t>LYCKSELE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14652-2023</t>
        </is>
      </c>
      <c r="B867" s="1" t="n">
        <v>45013</v>
      </c>
      <c r="C867" s="1" t="n">
        <v>45337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14857-2023</t>
        </is>
      </c>
      <c r="B868" s="1" t="n">
        <v>45014</v>
      </c>
      <c r="C868" s="1" t="n">
        <v>45337</v>
      </c>
      <c r="D868" t="inlineStr">
        <is>
          <t>VÄSTERBOTTENS LÄN</t>
        </is>
      </c>
      <c r="E868" t="inlineStr">
        <is>
          <t>LYCKSELE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14854-2023</t>
        </is>
      </c>
      <c r="B869" s="1" t="n">
        <v>45014</v>
      </c>
      <c r="C869" s="1" t="n">
        <v>45337</v>
      </c>
      <c r="D869" t="inlineStr">
        <is>
          <t>VÄSTERBOTTENS LÄN</t>
        </is>
      </c>
      <c r="E869" t="inlineStr">
        <is>
          <t>LYCKSELE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14877-2023</t>
        </is>
      </c>
      <c r="B870" s="1" t="n">
        <v>45015</v>
      </c>
      <c r="C870" s="1" t="n">
        <v>45337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15075-2023</t>
        </is>
      </c>
      <c r="B871" s="1" t="n">
        <v>45015</v>
      </c>
      <c r="C871" s="1" t="n">
        <v>45337</v>
      </c>
      <c r="D871" t="inlineStr">
        <is>
          <t>VÄSTERBOTTENS LÄN</t>
        </is>
      </c>
      <c r="E871" t="inlineStr">
        <is>
          <t>LYCKSELE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15046-2023</t>
        </is>
      </c>
      <c r="B872" s="1" t="n">
        <v>45015</v>
      </c>
      <c r="C872" s="1" t="n">
        <v>45337</v>
      </c>
      <c r="D872" t="inlineStr">
        <is>
          <t>VÄSTERBOTTENS LÄN</t>
        </is>
      </c>
      <c r="E872" t="inlineStr">
        <is>
          <t>LYCKSELE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15114-2023</t>
        </is>
      </c>
      <c r="B873" s="1" t="n">
        <v>45015</v>
      </c>
      <c r="C873" s="1" t="n">
        <v>45337</v>
      </c>
      <c r="D873" t="inlineStr">
        <is>
          <t>VÄSTERBOTTENS LÄN</t>
        </is>
      </c>
      <c r="E873" t="inlineStr">
        <is>
          <t>LYCKSELE</t>
        </is>
      </c>
      <c r="G873" t="n">
        <v>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15564-2023</t>
        </is>
      </c>
      <c r="B874" s="1" t="n">
        <v>45020</v>
      </c>
      <c r="C874" s="1" t="n">
        <v>45337</v>
      </c>
      <c r="D874" t="inlineStr">
        <is>
          <t>VÄSTERBOTTENS LÄN</t>
        </is>
      </c>
      <c r="E874" t="inlineStr">
        <is>
          <t>LYCKSELE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15621-2023</t>
        </is>
      </c>
      <c r="B875" s="1" t="n">
        <v>45020</v>
      </c>
      <c r="C875" s="1" t="n">
        <v>45337</v>
      </c>
      <c r="D875" t="inlineStr">
        <is>
          <t>VÄSTERBOTTENS LÄN</t>
        </is>
      </c>
      <c r="E875" t="inlineStr">
        <is>
          <t>LYCKSELE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15622-2023</t>
        </is>
      </c>
      <c r="B876" s="1" t="n">
        <v>45020</v>
      </c>
      <c r="C876" s="1" t="n">
        <v>45337</v>
      </c>
      <c r="D876" t="inlineStr">
        <is>
          <t>VÄSTERBOTTENS LÄN</t>
        </is>
      </c>
      <c r="E876" t="inlineStr">
        <is>
          <t>LYCKSELE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15888-2023</t>
        </is>
      </c>
      <c r="B877" s="1" t="n">
        <v>45021</v>
      </c>
      <c r="C877" s="1" t="n">
        <v>45337</v>
      </c>
      <c r="D877" t="inlineStr">
        <is>
          <t>VÄSTERBOTTENS LÄN</t>
        </is>
      </c>
      <c r="E877" t="inlineStr">
        <is>
          <t>LYCKSELE</t>
        </is>
      </c>
      <c r="G877" t="n">
        <v>20.5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15890-2023</t>
        </is>
      </c>
      <c r="B878" s="1" t="n">
        <v>45021</v>
      </c>
      <c r="C878" s="1" t="n">
        <v>45337</v>
      </c>
      <c r="D878" t="inlineStr">
        <is>
          <t>VÄSTERBOTTENS LÄN</t>
        </is>
      </c>
      <c r="E878" t="inlineStr">
        <is>
          <t>LYCKSELE</t>
        </is>
      </c>
      <c r="G878" t="n">
        <v>17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15809-2023</t>
        </is>
      </c>
      <c r="B879" s="1" t="n">
        <v>45021</v>
      </c>
      <c r="C879" s="1" t="n">
        <v>45337</v>
      </c>
      <c r="D879" t="inlineStr">
        <is>
          <t>VÄSTERBOTTENS LÄN</t>
        </is>
      </c>
      <c r="E879" t="inlineStr">
        <is>
          <t>LYCKSELE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15893-2023</t>
        </is>
      </c>
      <c r="B880" s="1" t="n">
        <v>45021</v>
      </c>
      <c r="C880" s="1" t="n">
        <v>45337</v>
      </c>
      <c r="D880" t="inlineStr">
        <is>
          <t>VÄSTERBOTTENS LÄN</t>
        </is>
      </c>
      <c r="E880" t="inlineStr">
        <is>
          <t>LYCKSELE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17396-2023</t>
        </is>
      </c>
      <c r="B881" s="1" t="n">
        <v>45035</v>
      </c>
      <c r="C881" s="1" t="n">
        <v>45337</v>
      </c>
      <c r="D881" t="inlineStr">
        <is>
          <t>VÄSTERBOTTENS LÄN</t>
        </is>
      </c>
      <c r="E881" t="inlineStr">
        <is>
          <t>LYCKSELE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17391-2023</t>
        </is>
      </c>
      <c r="B882" s="1" t="n">
        <v>45035</v>
      </c>
      <c r="C882" s="1" t="n">
        <v>45337</v>
      </c>
      <c r="D882" t="inlineStr">
        <is>
          <t>VÄSTERBOTTENS LÄN</t>
        </is>
      </c>
      <c r="E882" t="inlineStr">
        <is>
          <t>LYCKSELE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17397-2023</t>
        </is>
      </c>
      <c r="B883" s="1" t="n">
        <v>45035</v>
      </c>
      <c r="C883" s="1" t="n">
        <v>45337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17393-2023</t>
        </is>
      </c>
      <c r="B884" s="1" t="n">
        <v>45035</v>
      </c>
      <c r="C884" s="1" t="n">
        <v>45337</v>
      </c>
      <c r="D884" t="inlineStr">
        <is>
          <t>VÄSTERBOTTENS LÄN</t>
        </is>
      </c>
      <c r="E884" t="inlineStr">
        <is>
          <t>LYCKSELE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17690-2023</t>
        </is>
      </c>
      <c r="B885" s="1" t="n">
        <v>45035</v>
      </c>
      <c r="C885" s="1" t="n">
        <v>45337</v>
      </c>
      <c r="D885" t="inlineStr">
        <is>
          <t>VÄSTERBOTTENS LÄN</t>
        </is>
      </c>
      <c r="E885" t="inlineStr">
        <is>
          <t>LYCKSELE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18156-2023</t>
        </is>
      </c>
      <c r="B886" s="1" t="n">
        <v>45040</v>
      </c>
      <c r="C886" s="1" t="n">
        <v>45337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22.9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18365-2023</t>
        </is>
      </c>
      <c r="B887" s="1" t="n">
        <v>45041</v>
      </c>
      <c r="C887" s="1" t="n">
        <v>45337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22.4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18342-2023</t>
        </is>
      </c>
      <c r="B888" s="1" t="n">
        <v>45041</v>
      </c>
      <c r="C888" s="1" t="n">
        <v>45337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16.2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18587-2023</t>
        </is>
      </c>
      <c r="B889" s="1" t="n">
        <v>45041</v>
      </c>
      <c r="C889" s="1" t="n">
        <v>45337</v>
      </c>
      <c r="D889" t="inlineStr">
        <is>
          <t>VÄSTERBOTTENS LÄN</t>
        </is>
      </c>
      <c r="E889" t="inlineStr">
        <is>
          <t>LYCKSELE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18595-2023</t>
        </is>
      </c>
      <c r="B890" s="1" t="n">
        <v>45041</v>
      </c>
      <c r="C890" s="1" t="n">
        <v>45337</v>
      </c>
      <c r="D890" t="inlineStr">
        <is>
          <t>VÄSTERBOTTENS LÄN</t>
        </is>
      </c>
      <c r="E890" t="inlineStr">
        <is>
          <t>LYCKSELE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18610-2023</t>
        </is>
      </c>
      <c r="B891" s="1" t="n">
        <v>45041</v>
      </c>
      <c r="C891" s="1" t="n">
        <v>45337</v>
      </c>
      <c r="D891" t="inlineStr">
        <is>
          <t>VÄSTERBOTTENS LÄN</t>
        </is>
      </c>
      <c r="E891" t="inlineStr">
        <is>
          <t>LYCKSELE</t>
        </is>
      </c>
      <c r="G891" t="n">
        <v>14.5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18486-2023</t>
        </is>
      </c>
      <c r="B892" s="1" t="n">
        <v>45042</v>
      </c>
      <c r="C892" s="1" t="n">
        <v>45337</v>
      </c>
      <c r="D892" t="inlineStr">
        <is>
          <t>VÄSTERBOTTENS LÄN</t>
        </is>
      </c>
      <c r="E892" t="inlineStr">
        <is>
          <t>LYCKSELE</t>
        </is>
      </c>
      <c r="G892" t="n">
        <v>16.7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18899-2023</t>
        </is>
      </c>
      <c r="B893" s="1" t="n">
        <v>45043</v>
      </c>
      <c r="C893" s="1" t="n">
        <v>45337</v>
      </c>
      <c r="D893" t="inlineStr">
        <is>
          <t>VÄSTERBOTTENS LÄN</t>
        </is>
      </c>
      <c r="E893" t="inlineStr">
        <is>
          <t>LYCKSELE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19229-2023</t>
        </is>
      </c>
      <c r="B894" s="1" t="n">
        <v>45049</v>
      </c>
      <c r="C894" s="1" t="n">
        <v>45337</v>
      </c>
      <c r="D894" t="inlineStr">
        <is>
          <t>VÄSTERBOTTENS LÄN</t>
        </is>
      </c>
      <c r="E894" t="inlineStr">
        <is>
          <t>LYCKSELE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19233-2023</t>
        </is>
      </c>
      <c r="B895" s="1" t="n">
        <v>45049</v>
      </c>
      <c r="C895" s="1" t="n">
        <v>45337</v>
      </c>
      <c r="D895" t="inlineStr">
        <is>
          <t>VÄSTERBOTTENS LÄN</t>
        </is>
      </c>
      <c r="E895" t="inlineStr">
        <is>
          <t>LYCKSELE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19460-2023</t>
        </is>
      </c>
      <c r="B896" s="1" t="n">
        <v>45050</v>
      </c>
      <c r="C896" s="1" t="n">
        <v>45337</v>
      </c>
      <c r="D896" t="inlineStr">
        <is>
          <t>VÄSTERBOTTENS LÄN</t>
        </is>
      </c>
      <c r="E896" t="inlineStr">
        <is>
          <t>LYCKSELE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19882-2023</t>
        </is>
      </c>
      <c r="B897" s="1" t="n">
        <v>45054</v>
      </c>
      <c r="C897" s="1" t="n">
        <v>45337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21068-2023</t>
        </is>
      </c>
      <c r="B898" s="1" t="n">
        <v>45057</v>
      </c>
      <c r="C898" s="1" t="n">
        <v>45337</v>
      </c>
      <c r="D898" t="inlineStr">
        <is>
          <t>VÄSTERBOTTENS LÄN</t>
        </is>
      </c>
      <c r="E898" t="inlineStr">
        <is>
          <t>LYCKSELE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21073-2023</t>
        </is>
      </c>
      <c r="B899" s="1" t="n">
        <v>45057</v>
      </c>
      <c r="C899" s="1" t="n">
        <v>45337</v>
      </c>
      <c r="D899" t="inlineStr">
        <is>
          <t>VÄSTERBOTTENS LÄN</t>
        </is>
      </c>
      <c r="E899" t="inlineStr">
        <is>
          <t>LYCKSELE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21210-2023</t>
        </is>
      </c>
      <c r="B900" s="1" t="n">
        <v>45058</v>
      </c>
      <c r="C900" s="1" t="n">
        <v>45337</v>
      </c>
      <c r="D900" t="inlineStr">
        <is>
          <t>VÄSTERBOTTENS LÄN</t>
        </is>
      </c>
      <c r="E900" t="inlineStr">
        <is>
          <t>LYCKSELE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21213-2023</t>
        </is>
      </c>
      <c r="B901" s="1" t="n">
        <v>45058</v>
      </c>
      <c r="C901" s="1" t="n">
        <v>45337</v>
      </c>
      <c r="D901" t="inlineStr">
        <is>
          <t>VÄSTERBOTTENS LÄN</t>
        </is>
      </c>
      <c r="E901" t="inlineStr">
        <is>
          <t>LYCKSELE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21186-2023</t>
        </is>
      </c>
      <c r="B902" s="1" t="n">
        <v>45058</v>
      </c>
      <c r="C902" s="1" t="n">
        <v>45337</v>
      </c>
      <c r="D902" t="inlineStr">
        <is>
          <t>VÄSTERBOTTENS LÄN</t>
        </is>
      </c>
      <c r="E902" t="inlineStr">
        <is>
          <t>LYCKSELE</t>
        </is>
      </c>
      <c r="G902" t="n">
        <v>23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20992-2023</t>
        </is>
      </c>
      <c r="B903" s="1" t="n">
        <v>45061</v>
      </c>
      <c r="C903" s="1" t="n">
        <v>45337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21105-2023</t>
        </is>
      </c>
      <c r="B904" s="1" t="n">
        <v>45062</v>
      </c>
      <c r="C904" s="1" t="n">
        <v>45337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21109-2023</t>
        </is>
      </c>
      <c r="B905" s="1" t="n">
        <v>45062</v>
      </c>
      <c r="C905" s="1" t="n">
        <v>45337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21368-2023</t>
        </is>
      </c>
      <c r="B906" s="1" t="n">
        <v>45063</v>
      </c>
      <c r="C906" s="1" t="n">
        <v>45337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Naturvårdsverket</t>
        </is>
      </c>
      <c r="G906" t="n">
        <v>27.9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21502-2023</t>
        </is>
      </c>
      <c r="B907" s="1" t="n">
        <v>45063</v>
      </c>
      <c r="C907" s="1" t="n">
        <v>45337</v>
      </c>
      <c r="D907" t="inlineStr">
        <is>
          <t>VÄSTERBOTTENS LÄN</t>
        </is>
      </c>
      <c r="E907" t="inlineStr">
        <is>
          <t>LYCKSELE</t>
        </is>
      </c>
      <c r="G907" t="n">
        <v>11.4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21660-2023</t>
        </is>
      </c>
      <c r="B908" s="1" t="n">
        <v>45063</v>
      </c>
      <c r="C908" s="1" t="n">
        <v>45337</v>
      </c>
      <c r="D908" t="inlineStr">
        <is>
          <t>VÄSTERBOTTENS LÄN</t>
        </is>
      </c>
      <c r="E908" t="inlineStr">
        <is>
          <t>LYCKSELE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21664-2023</t>
        </is>
      </c>
      <c r="B909" s="1" t="n">
        <v>45064</v>
      </c>
      <c r="C909" s="1" t="n">
        <v>45337</v>
      </c>
      <c r="D909" t="inlineStr">
        <is>
          <t>VÄSTERBOTTENS LÄN</t>
        </is>
      </c>
      <c r="E909" t="inlineStr">
        <is>
          <t>LYCKSELE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22114-2023</t>
        </is>
      </c>
      <c r="B910" s="1" t="n">
        <v>45069</v>
      </c>
      <c r="C910" s="1" t="n">
        <v>45337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23.9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22112-2023</t>
        </is>
      </c>
      <c r="B911" s="1" t="n">
        <v>45069</v>
      </c>
      <c r="C911" s="1" t="n">
        <v>45337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22419-2023</t>
        </is>
      </c>
      <c r="B912" s="1" t="n">
        <v>45070</v>
      </c>
      <c r="C912" s="1" t="n">
        <v>45337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Naturvårdsverket</t>
        </is>
      </c>
      <c r="G912" t="n">
        <v>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22936-2023</t>
        </is>
      </c>
      <c r="B913" s="1" t="n">
        <v>45072</v>
      </c>
      <c r="C913" s="1" t="n">
        <v>45337</v>
      </c>
      <c r="D913" t="inlineStr">
        <is>
          <t>VÄSTERBOTTENS LÄN</t>
        </is>
      </c>
      <c r="E913" t="inlineStr">
        <is>
          <t>LYCKSELE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23296-2023</t>
        </is>
      </c>
      <c r="B914" s="1" t="n">
        <v>45075</v>
      </c>
      <c r="C914" s="1" t="n">
        <v>45337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23295-2023</t>
        </is>
      </c>
      <c r="B915" s="1" t="n">
        <v>45075</v>
      </c>
      <c r="C915" s="1" t="n">
        <v>45337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23297-2023</t>
        </is>
      </c>
      <c r="B916" s="1" t="n">
        <v>45075</v>
      </c>
      <c r="C916" s="1" t="n">
        <v>45337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23411-2023</t>
        </is>
      </c>
      <c r="B917" s="1" t="n">
        <v>45076</v>
      </c>
      <c r="C917" s="1" t="n">
        <v>45337</v>
      </c>
      <c r="D917" t="inlineStr">
        <is>
          <t>VÄSTERBOTTENS LÄN</t>
        </is>
      </c>
      <c r="E917" t="inlineStr">
        <is>
          <t>LYCKSELE</t>
        </is>
      </c>
      <c r="G917" t="n">
        <v>11.4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23769-2023</t>
        </is>
      </c>
      <c r="B918" s="1" t="n">
        <v>45078</v>
      </c>
      <c r="C918" s="1" t="n">
        <v>45337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23768-2023</t>
        </is>
      </c>
      <c r="B919" s="1" t="n">
        <v>45078</v>
      </c>
      <c r="C919" s="1" t="n">
        <v>45337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24460-2023</t>
        </is>
      </c>
      <c r="B920" s="1" t="n">
        <v>45077</v>
      </c>
      <c r="C920" s="1" t="n">
        <v>45337</v>
      </c>
      <c r="D920" t="inlineStr">
        <is>
          <t>VÄSTERBOTTENS LÄN</t>
        </is>
      </c>
      <c r="E920" t="inlineStr">
        <is>
          <t>LYCKSELE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24041-2023</t>
        </is>
      </c>
      <c r="B921" s="1" t="n">
        <v>45078</v>
      </c>
      <c r="C921" s="1" t="n">
        <v>45337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24234-2023</t>
        </is>
      </c>
      <c r="B922" s="1" t="n">
        <v>45079</v>
      </c>
      <c r="C922" s="1" t="n">
        <v>45337</v>
      </c>
      <c r="D922" t="inlineStr">
        <is>
          <t>VÄSTERBOTTENS LÄN</t>
        </is>
      </c>
      <c r="E922" t="inlineStr">
        <is>
          <t>LYCKSELE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24289-2023</t>
        </is>
      </c>
      <c r="B923" s="1" t="n">
        <v>45080</v>
      </c>
      <c r="C923" s="1" t="n">
        <v>45337</v>
      </c>
      <c r="D923" t="inlineStr">
        <is>
          <t>VÄSTERBOTTENS LÄN</t>
        </is>
      </c>
      <c r="E923" t="inlineStr">
        <is>
          <t>LYCKSELE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24547-2023</t>
        </is>
      </c>
      <c r="B924" s="1" t="n">
        <v>45082</v>
      </c>
      <c r="C924" s="1" t="n">
        <v>45337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24818-2023</t>
        </is>
      </c>
      <c r="B925" s="1" t="n">
        <v>45085</v>
      </c>
      <c r="C925" s="1" t="n">
        <v>45337</v>
      </c>
      <c r="D925" t="inlineStr">
        <is>
          <t>VÄSTERBOTTENS LÄN</t>
        </is>
      </c>
      <c r="E925" t="inlineStr">
        <is>
          <t>LYCKSELE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25768-2023</t>
        </is>
      </c>
      <c r="B926" s="1" t="n">
        <v>45085</v>
      </c>
      <c r="C926" s="1" t="n">
        <v>45337</v>
      </c>
      <c r="D926" t="inlineStr">
        <is>
          <t>VÄSTERBOTTENS LÄN</t>
        </is>
      </c>
      <c r="E926" t="inlineStr">
        <is>
          <t>LYCKSELE</t>
        </is>
      </c>
      <c r="G926" t="n">
        <v>16.1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25765-2023</t>
        </is>
      </c>
      <c r="B927" s="1" t="n">
        <v>45085</v>
      </c>
      <c r="C927" s="1" t="n">
        <v>45337</v>
      </c>
      <c r="D927" t="inlineStr">
        <is>
          <t>VÄSTERBOTTENS LÄN</t>
        </is>
      </c>
      <c r="E927" t="inlineStr">
        <is>
          <t>LYCKSELE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25145-2023</t>
        </is>
      </c>
      <c r="B928" s="1" t="n">
        <v>45086</v>
      </c>
      <c r="C928" s="1" t="n">
        <v>45337</v>
      </c>
      <c r="D928" t="inlineStr">
        <is>
          <t>VÄSTERBOTTENS LÄN</t>
        </is>
      </c>
      <c r="E928" t="inlineStr">
        <is>
          <t>LYCKSELE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26329-2023</t>
        </is>
      </c>
      <c r="B929" s="1" t="n">
        <v>45086</v>
      </c>
      <c r="C929" s="1" t="n">
        <v>45337</v>
      </c>
      <c r="D929" t="inlineStr">
        <is>
          <t>VÄSTERBOTTENS LÄN</t>
        </is>
      </c>
      <c r="E929" t="inlineStr">
        <is>
          <t>LYCKSELE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26328-2023</t>
        </is>
      </c>
      <c r="B930" s="1" t="n">
        <v>45086</v>
      </c>
      <c r="C930" s="1" t="n">
        <v>45337</v>
      </c>
      <c r="D930" t="inlineStr">
        <is>
          <t>VÄSTERBOTTENS LÄN</t>
        </is>
      </c>
      <c r="E930" t="inlineStr">
        <is>
          <t>LYCKSELE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25451-2023</t>
        </is>
      </c>
      <c r="B931" s="1" t="n">
        <v>45089</v>
      </c>
      <c r="C931" s="1" t="n">
        <v>45337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9.4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25476-2023</t>
        </is>
      </c>
      <c r="B932" s="1" t="n">
        <v>45089</v>
      </c>
      <c r="C932" s="1" t="n">
        <v>45337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25413-2023</t>
        </is>
      </c>
      <c r="B933" s="1" t="n">
        <v>45089</v>
      </c>
      <c r="C933" s="1" t="n">
        <v>45337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7.9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25473-2023</t>
        </is>
      </c>
      <c r="B934" s="1" t="n">
        <v>45089</v>
      </c>
      <c r="C934" s="1" t="n">
        <v>45337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25478-2023</t>
        </is>
      </c>
      <c r="B935" s="1" t="n">
        <v>45089</v>
      </c>
      <c r="C935" s="1" t="n">
        <v>45337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25679-2023</t>
        </is>
      </c>
      <c r="B936" s="1" t="n">
        <v>45090</v>
      </c>
      <c r="C936" s="1" t="n">
        <v>45337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25899-2023</t>
        </is>
      </c>
      <c r="B937" s="1" t="n">
        <v>45090</v>
      </c>
      <c r="C937" s="1" t="n">
        <v>45337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26218-2023</t>
        </is>
      </c>
      <c r="B938" s="1" t="n">
        <v>45091</v>
      </c>
      <c r="C938" s="1" t="n">
        <v>45337</v>
      </c>
      <c r="D938" t="inlineStr">
        <is>
          <t>VÄSTERBOTTENS LÄN</t>
        </is>
      </c>
      <c r="E938" t="inlineStr">
        <is>
          <t>LYCKSELE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26355-2023</t>
        </is>
      </c>
      <c r="B939" s="1" t="n">
        <v>45092</v>
      </c>
      <c r="C939" s="1" t="n">
        <v>45337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26358-2023</t>
        </is>
      </c>
      <c r="B940" s="1" t="n">
        <v>45091</v>
      </c>
      <c r="C940" s="1" t="n">
        <v>45337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26354-2023</t>
        </is>
      </c>
      <c r="B941" s="1" t="n">
        <v>45092</v>
      </c>
      <c r="C941" s="1" t="n">
        <v>45337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26357-2023</t>
        </is>
      </c>
      <c r="B942" s="1" t="n">
        <v>45091</v>
      </c>
      <c r="C942" s="1" t="n">
        <v>45337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26356-2023</t>
        </is>
      </c>
      <c r="B943" s="1" t="n">
        <v>45091</v>
      </c>
      <c r="C943" s="1" t="n">
        <v>45337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26420-2023</t>
        </is>
      </c>
      <c r="B944" s="1" t="n">
        <v>45092</v>
      </c>
      <c r="C944" s="1" t="n">
        <v>45337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14.2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26848-2023</t>
        </is>
      </c>
      <c r="B945" s="1" t="n">
        <v>45093</v>
      </c>
      <c r="C945" s="1" t="n">
        <v>45337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26856-2023</t>
        </is>
      </c>
      <c r="B946" s="1" t="n">
        <v>45093</v>
      </c>
      <c r="C946" s="1" t="n">
        <v>45337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26864-2023</t>
        </is>
      </c>
      <c r="B947" s="1" t="n">
        <v>45093</v>
      </c>
      <c r="C947" s="1" t="n">
        <v>45337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26868-2023</t>
        </is>
      </c>
      <c r="B948" s="1" t="n">
        <v>45093</v>
      </c>
      <c r="C948" s="1" t="n">
        <v>45337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26999-2023</t>
        </is>
      </c>
      <c r="B949" s="1" t="n">
        <v>45093</v>
      </c>
      <c r="C949" s="1" t="n">
        <v>45337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27043-2023</t>
        </is>
      </c>
      <c r="B950" s="1" t="n">
        <v>45095</v>
      </c>
      <c r="C950" s="1" t="n">
        <v>45337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20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27185-2023</t>
        </is>
      </c>
      <c r="B951" s="1" t="n">
        <v>45096</v>
      </c>
      <c r="C951" s="1" t="n">
        <v>45337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27609-2023</t>
        </is>
      </c>
      <c r="B952" s="1" t="n">
        <v>45097</v>
      </c>
      <c r="C952" s="1" t="n">
        <v>45337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8.6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27595-2023</t>
        </is>
      </c>
      <c r="B953" s="1" t="n">
        <v>45097</v>
      </c>
      <c r="C953" s="1" t="n">
        <v>45337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27800-2023</t>
        </is>
      </c>
      <c r="B954" s="1" t="n">
        <v>45098</v>
      </c>
      <c r="C954" s="1" t="n">
        <v>45337</v>
      </c>
      <c r="D954" t="inlineStr">
        <is>
          <t>VÄSTERBOTTENS LÄN</t>
        </is>
      </c>
      <c r="E954" t="inlineStr">
        <is>
          <t>LYCKSELE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27878-2023</t>
        </is>
      </c>
      <c r="B955" s="1" t="n">
        <v>45098</v>
      </c>
      <c r="C955" s="1" t="n">
        <v>45337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19.3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27869-2023</t>
        </is>
      </c>
      <c r="B956" s="1" t="n">
        <v>45098</v>
      </c>
      <c r="C956" s="1" t="n">
        <v>45337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27881-2023</t>
        </is>
      </c>
      <c r="B957" s="1" t="n">
        <v>45098</v>
      </c>
      <c r="C957" s="1" t="n">
        <v>45337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27884-2023</t>
        </is>
      </c>
      <c r="B958" s="1" t="n">
        <v>45098</v>
      </c>
      <c r="C958" s="1" t="n">
        <v>45337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31.1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27964-2023</t>
        </is>
      </c>
      <c r="B959" s="1" t="n">
        <v>45098</v>
      </c>
      <c r="C959" s="1" t="n">
        <v>45337</v>
      </c>
      <c r="D959" t="inlineStr">
        <is>
          <t>VÄSTERBOTTENS LÄN</t>
        </is>
      </c>
      <c r="E959" t="inlineStr">
        <is>
          <t>LYCKSELE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28408-2023</t>
        </is>
      </c>
      <c r="B960" s="1" t="n">
        <v>45101</v>
      </c>
      <c r="C960" s="1" t="n">
        <v>45337</v>
      </c>
      <c r="D960" t="inlineStr">
        <is>
          <t>VÄSTERBOTTENS LÄN</t>
        </is>
      </c>
      <c r="E960" t="inlineStr">
        <is>
          <t>LYCKSELE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28409-2023</t>
        </is>
      </c>
      <c r="B961" s="1" t="n">
        <v>45101</v>
      </c>
      <c r="C961" s="1" t="n">
        <v>45337</v>
      </c>
      <c r="D961" t="inlineStr">
        <is>
          <t>VÄSTERBOTTENS LÄN</t>
        </is>
      </c>
      <c r="E961" t="inlineStr">
        <is>
          <t>LYCKSELE</t>
        </is>
      </c>
      <c r="G961" t="n">
        <v>12.9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28540-2023</t>
        </is>
      </c>
      <c r="B962" s="1" t="n">
        <v>45103</v>
      </c>
      <c r="C962" s="1" t="n">
        <v>45337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28552-2023</t>
        </is>
      </c>
      <c r="B963" s="1" t="n">
        <v>45103</v>
      </c>
      <c r="C963" s="1" t="n">
        <v>45337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28528-2023</t>
        </is>
      </c>
      <c r="B964" s="1" t="n">
        <v>45103</v>
      </c>
      <c r="C964" s="1" t="n">
        <v>45337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28536-2023</t>
        </is>
      </c>
      <c r="B965" s="1" t="n">
        <v>45103</v>
      </c>
      <c r="C965" s="1" t="n">
        <v>45337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28545-2023</t>
        </is>
      </c>
      <c r="B966" s="1" t="n">
        <v>45103</v>
      </c>
      <c r="C966" s="1" t="n">
        <v>45337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28737-2023</t>
        </is>
      </c>
      <c r="B967" s="1" t="n">
        <v>45104</v>
      </c>
      <c r="C967" s="1" t="n">
        <v>45337</v>
      </c>
      <c r="D967" t="inlineStr">
        <is>
          <t>VÄSTERBOTTENS LÄN</t>
        </is>
      </c>
      <c r="E967" t="inlineStr">
        <is>
          <t>LYCKSELE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30401-2023</t>
        </is>
      </c>
      <c r="B968" s="1" t="n">
        <v>45103</v>
      </c>
      <c r="C968" s="1" t="n">
        <v>45337</v>
      </c>
      <c r="D968" t="inlineStr">
        <is>
          <t>VÄSTERBOTTENS LÄN</t>
        </is>
      </c>
      <c r="E968" t="inlineStr">
        <is>
          <t>LYCKSELE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28525-2023</t>
        </is>
      </c>
      <c r="B969" s="1" t="n">
        <v>45103</v>
      </c>
      <c r="C969" s="1" t="n">
        <v>45337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28537-2023</t>
        </is>
      </c>
      <c r="B970" s="1" t="n">
        <v>45103</v>
      </c>
      <c r="C970" s="1" t="n">
        <v>45337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28550-2023</t>
        </is>
      </c>
      <c r="B971" s="1" t="n">
        <v>45103</v>
      </c>
      <c r="C971" s="1" t="n">
        <v>45337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8.300000000000001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30409-2023</t>
        </is>
      </c>
      <c r="B972" s="1" t="n">
        <v>45103</v>
      </c>
      <c r="C972" s="1" t="n">
        <v>45337</v>
      </c>
      <c r="D972" t="inlineStr">
        <is>
          <t>VÄSTERBOTTENS LÄN</t>
        </is>
      </c>
      <c r="E972" t="inlineStr">
        <is>
          <t>LYCKSELE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31425-2023</t>
        </is>
      </c>
      <c r="B973" s="1" t="n">
        <v>45104</v>
      </c>
      <c r="C973" s="1" t="n">
        <v>45337</v>
      </c>
      <c r="D973" t="inlineStr">
        <is>
          <t>VÄSTERBOTTENS LÄN</t>
        </is>
      </c>
      <c r="E973" t="inlineStr">
        <is>
          <t>LYCKSELE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29277-2023</t>
        </is>
      </c>
      <c r="B974" s="1" t="n">
        <v>45105</v>
      </c>
      <c r="C974" s="1" t="n">
        <v>45337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Naturvårdsverket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29522-2023</t>
        </is>
      </c>
      <c r="B975" s="1" t="n">
        <v>45106</v>
      </c>
      <c r="C975" s="1" t="n">
        <v>45337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29526-2023</t>
        </is>
      </c>
      <c r="B976" s="1" t="n">
        <v>45106</v>
      </c>
      <c r="C976" s="1" t="n">
        <v>45337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29530-2023</t>
        </is>
      </c>
      <c r="B977" s="1" t="n">
        <v>45106</v>
      </c>
      <c r="C977" s="1" t="n">
        <v>45337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29543-2023</t>
        </is>
      </c>
      <c r="B978" s="1" t="n">
        <v>45106</v>
      </c>
      <c r="C978" s="1" t="n">
        <v>45337</v>
      </c>
      <c r="D978" t="inlineStr">
        <is>
          <t>VÄSTERBOTTENS LÄN</t>
        </is>
      </c>
      <c r="E978" t="inlineStr">
        <is>
          <t>LYCKSELE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29521-2023</t>
        </is>
      </c>
      <c r="B979" s="1" t="n">
        <v>45106</v>
      </c>
      <c r="C979" s="1" t="n">
        <v>45337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29516-2023</t>
        </is>
      </c>
      <c r="B980" s="1" t="n">
        <v>45106</v>
      </c>
      <c r="C980" s="1" t="n">
        <v>45337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29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29524-2023</t>
        </is>
      </c>
      <c r="B981" s="1" t="n">
        <v>45106</v>
      </c>
      <c r="C981" s="1" t="n">
        <v>45337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29546-2023</t>
        </is>
      </c>
      <c r="B982" s="1" t="n">
        <v>45106</v>
      </c>
      <c r="C982" s="1" t="n">
        <v>45337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29523-2023</t>
        </is>
      </c>
      <c r="B983" s="1" t="n">
        <v>45106</v>
      </c>
      <c r="C983" s="1" t="n">
        <v>45337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29538-2023</t>
        </is>
      </c>
      <c r="B984" s="1" t="n">
        <v>45106</v>
      </c>
      <c r="C984" s="1" t="n">
        <v>45337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9.1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29675-2023</t>
        </is>
      </c>
      <c r="B985" s="1" t="n">
        <v>45107</v>
      </c>
      <c r="C985" s="1" t="n">
        <v>45337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29861-2023</t>
        </is>
      </c>
      <c r="B986" s="1" t="n">
        <v>45107</v>
      </c>
      <c r="C986" s="1" t="n">
        <v>45337</v>
      </c>
      <c r="D986" t="inlineStr">
        <is>
          <t>VÄSTERBOTTENS LÄN</t>
        </is>
      </c>
      <c r="E986" t="inlineStr">
        <is>
          <t>LYCKSELE</t>
        </is>
      </c>
      <c r="G986" t="n">
        <v>10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29835-2023</t>
        </is>
      </c>
      <c r="B987" s="1" t="n">
        <v>45107</v>
      </c>
      <c r="C987" s="1" t="n">
        <v>45337</v>
      </c>
      <c r="D987" t="inlineStr">
        <is>
          <t>VÄSTERBOTTENS LÄN</t>
        </is>
      </c>
      <c r="E987" t="inlineStr">
        <is>
          <t>LYCKSELE</t>
        </is>
      </c>
      <c r="G987" t="n">
        <v>17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29844-2023</t>
        </is>
      </c>
      <c r="B988" s="1" t="n">
        <v>45107</v>
      </c>
      <c r="C988" s="1" t="n">
        <v>45337</v>
      </c>
      <c r="D988" t="inlineStr">
        <is>
          <t>VÄSTERBOTTENS LÄN</t>
        </is>
      </c>
      <c r="E988" t="inlineStr">
        <is>
          <t>LYCKSELE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30271-2023</t>
        </is>
      </c>
      <c r="B989" s="1" t="n">
        <v>45110</v>
      </c>
      <c r="C989" s="1" t="n">
        <v>45337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30270-2023</t>
        </is>
      </c>
      <c r="B990" s="1" t="n">
        <v>45110</v>
      </c>
      <c r="C990" s="1" t="n">
        <v>45337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30804-2023</t>
        </is>
      </c>
      <c r="B991" s="1" t="n">
        <v>45112</v>
      </c>
      <c r="C991" s="1" t="n">
        <v>45337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30803-2023</t>
        </is>
      </c>
      <c r="B992" s="1" t="n">
        <v>45112</v>
      </c>
      <c r="C992" s="1" t="n">
        <v>45337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30805-2023</t>
        </is>
      </c>
      <c r="B993" s="1" t="n">
        <v>45112</v>
      </c>
      <c r="C993" s="1" t="n">
        <v>45337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33019-2023</t>
        </is>
      </c>
      <c r="B994" s="1" t="n">
        <v>45113</v>
      </c>
      <c r="C994" s="1" t="n">
        <v>45337</v>
      </c>
      <c r="D994" t="inlineStr">
        <is>
          <t>VÄSTERBOTTENS LÄN</t>
        </is>
      </c>
      <c r="E994" t="inlineStr">
        <is>
          <t>LYCKSELE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31410-2023</t>
        </is>
      </c>
      <c r="B995" s="1" t="n">
        <v>45114</v>
      </c>
      <c r="C995" s="1" t="n">
        <v>45337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31413-2023</t>
        </is>
      </c>
      <c r="B996" s="1" t="n">
        <v>45114</v>
      </c>
      <c r="C996" s="1" t="n">
        <v>45337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31412-2023</t>
        </is>
      </c>
      <c r="B997" s="1" t="n">
        <v>45114</v>
      </c>
      <c r="C997" s="1" t="n">
        <v>45337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31448-2023</t>
        </is>
      </c>
      <c r="B998" s="1" t="n">
        <v>45114</v>
      </c>
      <c r="C998" s="1" t="n">
        <v>45337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31683-2023</t>
        </is>
      </c>
      <c r="B999" s="1" t="n">
        <v>45117</v>
      </c>
      <c r="C999" s="1" t="n">
        <v>45337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31689-2023</t>
        </is>
      </c>
      <c r="B1000" s="1" t="n">
        <v>45117</v>
      </c>
      <c r="C1000" s="1" t="n">
        <v>45337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31698-2023</t>
        </is>
      </c>
      <c r="B1001" s="1" t="n">
        <v>45117</v>
      </c>
      <c r="C1001" s="1" t="n">
        <v>45337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6.1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31840-2023</t>
        </is>
      </c>
      <c r="B1002" s="1" t="n">
        <v>45118</v>
      </c>
      <c r="C1002" s="1" t="n">
        <v>45337</v>
      </c>
      <c r="D1002" t="inlineStr">
        <is>
          <t>VÄSTERBOTTENS LÄN</t>
        </is>
      </c>
      <c r="E1002" t="inlineStr">
        <is>
          <t>LYCKSELE</t>
        </is>
      </c>
      <c r="G1002" t="n">
        <v>15.6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32861-2023</t>
        </is>
      </c>
      <c r="B1003" s="1" t="n">
        <v>45124</v>
      </c>
      <c r="C1003" s="1" t="n">
        <v>45337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22.5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32863-2023</t>
        </is>
      </c>
      <c r="B1004" s="1" t="n">
        <v>45124</v>
      </c>
      <c r="C1004" s="1" t="n">
        <v>45337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32802-2023</t>
        </is>
      </c>
      <c r="B1005" s="1" t="n">
        <v>45124</v>
      </c>
      <c r="C1005" s="1" t="n">
        <v>45337</v>
      </c>
      <c r="D1005" t="inlineStr">
        <is>
          <t>VÄSTERBOTTENS LÄN</t>
        </is>
      </c>
      <c r="E1005" t="inlineStr">
        <is>
          <t>LYCKSELE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33156-2023</t>
        </is>
      </c>
      <c r="B1006" s="1" t="n">
        <v>45126</v>
      </c>
      <c r="C1006" s="1" t="n">
        <v>45337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33160-2023</t>
        </is>
      </c>
      <c r="B1007" s="1" t="n">
        <v>45126</v>
      </c>
      <c r="C1007" s="1" t="n">
        <v>45337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33153-2023</t>
        </is>
      </c>
      <c r="B1008" s="1" t="n">
        <v>45126</v>
      </c>
      <c r="C1008" s="1" t="n">
        <v>45337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33157-2023</t>
        </is>
      </c>
      <c r="B1009" s="1" t="n">
        <v>45126</v>
      </c>
      <c r="C1009" s="1" t="n">
        <v>45337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33155-2023</t>
        </is>
      </c>
      <c r="B1010" s="1" t="n">
        <v>45126</v>
      </c>
      <c r="C1010" s="1" t="n">
        <v>45337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33159-2023</t>
        </is>
      </c>
      <c r="B1011" s="1" t="n">
        <v>45126</v>
      </c>
      <c r="C1011" s="1" t="n">
        <v>45337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34214-2023</t>
        </is>
      </c>
      <c r="B1012" s="1" t="n">
        <v>45126</v>
      </c>
      <c r="C1012" s="1" t="n">
        <v>45337</v>
      </c>
      <c r="D1012" t="inlineStr">
        <is>
          <t>VÄSTERBOTTENS LÄN</t>
        </is>
      </c>
      <c r="E1012" t="inlineStr">
        <is>
          <t>LYCKSELE</t>
        </is>
      </c>
      <c r="G1012" t="n">
        <v>23.6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33332-2023</t>
        </is>
      </c>
      <c r="B1013" s="1" t="n">
        <v>45127</v>
      </c>
      <c r="C1013" s="1" t="n">
        <v>45337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33331-2023</t>
        </is>
      </c>
      <c r="B1014" s="1" t="n">
        <v>45127</v>
      </c>
      <c r="C1014" s="1" t="n">
        <v>45337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33400-2023</t>
        </is>
      </c>
      <c r="B1015" s="1" t="n">
        <v>45128</v>
      </c>
      <c r="C1015" s="1" t="n">
        <v>45337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34060-2023</t>
        </is>
      </c>
      <c r="B1016" s="1" t="n">
        <v>45135</v>
      </c>
      <c r="C1016" s="1" t="n">
        <v>45337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34066-2023</t>
        </is>
      </c>
      <c r="B1017" s="1" t="n">
        <v>45135</v>
      </c>
      <c r="C1017" s="1" t="n">
        <v>45337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34043-2023</t>
        </is>
      </c>
      <c r="B1018" s="1" t="n">
        <v>45135</v>
      </c>
      <c r="C1018" s="1" t="n">
        <v>45337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34191-2023</t>
        </is>
      </c>
      <c r="B1019" s="1" t="n">
        <v>45138</v>
      </c>
      <c r="C1019" s="1" t="n">
        <v>45337</v>
      </c>
      <c r="D1019" t="inlineStr">
        <is>
          <t>VÄSTERBOTTENS LÄN</t>
        </is>
      </c>
      <c r="E1019" t="inlineStr">
        <is>
          <t>LYCKSELE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34590-2023</t>
        </is>
      </c>
      <c r="B1020" s="1" t="n">
        <v>45140</v>
      </c>
      <c r="C1020" s="1" t="n">
        <v>45337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34567-2023</t>
        </is>
      </c>
      <c r="B1021" s="1" t="n">
        <v>45140</v>
      </c>
      <c r="C1021" s="1" t="n">
        <v>45337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34577-2023</t>
        </is>
      </c>
      <c r="B1022" s="1" t="n">
        <v>45140</v>
      </c>
      <c r="C1022" s="1" t="n">
        <v>45337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34584-2023</t>
        </is>
      </c>
      <c r="B1023" s="1" t="n">
        <v>45140</v>
      </c>
      <c r="C1023" s="1" t="n">
        <v>45337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34639-2023</t>
        </is>
      </c>
      <c r="B1024" s="1" t="n">
        <v>45140</v>
      </c>
      <c r="C1024" s="1" t="n">
        <v>45337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34527-2023</t>
        </is>
      </c>
      <c r="B1025" s="1" t="n">
        <v>45140</v>
      </c>
      <c r="C1025" s="1" t="n">
        <v>45337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34701-2023</t>
        </is>
      </c>
      <c r="B1026" s="1" t="n">
        <v>45141</v>
      </c>
      <c r="C1026" s="1" t="n">
        <v>45337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34849-2023</t>
        </is>
      </c>
      <c r="B1027" s="1" t="n">
        <v>45142</v>
      </c>
      <c r="C1027" s="1" t="n">
        <v>45337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34903-2023</t>
        </is>
      </c>
      <c r="B1028" s="1" t="n">
        <v>45142</v>
      </c>
      <c r="C1028" s="1" t="n">
        <v>45337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34929-2023</t>
        </is>
      </c>
      <c r="B1029" s="1" t="n">
        <v>45142</v>
      </c>
      <c r="C1029" s="1" t="n">
        <v>45337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34933-2023</t>
        </is>
      </c>
      <c r="B1030" s="1" t="n">
        <v>45142</v>
      </c>
      <c r="C1030" s="1" t="n">
        <v>45337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35227-2023</t>
        </is>
      </c>
      <c r="B1031" s="1" t="n">
        <v>45145</v>
      </c>
      <c r="C1031" s="1" t="n">
        <v>45337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35284-2023</t>
        </is>
      </c>
      <c r="B1032" s="1" t="n">
        <v>45145</v>
      </c>
      <c r="C1032" s="1" t="n">
        <v>45337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35283-2023</t>
        </is>
      </c>
      <c r="B1033" s="1" t="n">
        <v>45145</v>
      </c>
      <c r="C1033" s="1" t="n">
        <v>45337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35285-2023</t>
        </is>
      </c>
      <c r="B1034" s="1" t="n">
        <v>45145</v>
      </c>
      <c r="C1034" s="1" t="n">
        <v>45337</v>
      </c>
      <c r="D1034" t="inlineStr">
        <is>
          <t>VÄSTERBOTTENS LÄN</t>
        </is>
      </c>
      <c r="E1034" t="inlineStr">
        <is>
          <t>LYCKSELE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35633-2023</t>
        </is>
      </c>
      <c r="B1035" s="1" t="n">
        <v>45146</v>
      </c>
      <c r="C1035" s="1" t="n">
        <v>45337</v>
      </c>
      <c r="D1035" t="inlineStr">
        <is>
          <t>VÄSTERBOTTENS LÄN</t>
        </is>
      </c>
      <c r="E1035" t="inlineStr">
        <is>
          <t>LYCKSELE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35559-2023</t>
        </is>
      </c>
      <c r="B1036" s="1" t="n">
        <v>45147</v>
      </c>
      <c r="C1036" s="1" t="n">
        <v>45337</v>
      </c>
      <c r="D1036" t="inlineStr">
        <is>
          <t>VÄSTERBOTTENS LÄN</t>
        </is>
      </c>
      <c r="E1036" t="inlineStr">
        <is>
          <t>LYCKSELE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35561-2023</t>
        </is>
      </c>
      <c r="B1037" s="1" t="n">
        <v>45147</v>
      </c>
      <c r="C1037" s="1" t="n">
        <v>45337</v>
      </c>
      <c r="D1037" t="inlineStr">
        <is>
          <t>VÄSTERBOTTENS LÄN</t>
        </is>
      </c>
      <c r="E1037" t="inlineStr">
        <is>
          <t>LYCKSELE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35765-2023</t>
        </is>
      </c>
      <c r="B1038" s="1" t="n">
        <v>45148</v>
      </c>
      <c r="C1038" s="1" t="n">
        <v>45337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36132-2023</t>
        </is>
      </c>
      <c r="B1039" s="1" t="n">
        <v>45149</v>
      </c>
      <c r="C1039" s="1" t="n">
        <v>45337</v>
      </c>
      <c r="D1039" t="inlineStr">
        <is>
          <t>VÄSTERBOTTENS LÄN</t>
        </is>
      </c>
      <c r="E1039" t="inlineStr">
        <is>
          <t>LYCKSELE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36146-2023</t>
        </is>
      </c>
      <c r="B1040" s="1" t="n">
        <v>45149</v>
      </c>
      <c r="C1040" s="1" t="n">
        <v>45337</v>
      </c>
      <c r="D1040" t="inlineStr">
        <is>
          <t>VÄSTERBOTTENS LÄN</t>
        </is>
      </c>
      <c r="E1040" t="inlineStr">
        <is>
          <t>LYCKSELE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36267-2023</t>
        </is>
      </c>
      <c r="B1041" s="1" t="n">
        <v>45152</v>
      </c>
      <c r="C1041" s="1" t="n">
        <v>45337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36375-2023</t>
        </is>
      </c>
      <c r="B1042" s="1" t="n">
        <v>45152</v>
      </c>
      <c r="C1042" s="1" t="n">
        <v>45337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36335-2023</t>
        </is>
      </c>
      <c r="B1043" s="1" t="n">
        <v>45152</v>
      </c>
      <c r="C1043" s="1" t="n">
        <v>45337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36611-2023</t>
        </is>
      </c>
      <c r="B1044" s="1" t="n">
        <v>45152</v>
      </c>
      <c r="C1044" s="1" t="n">
        <v>45337</v>
      </c>
      <c r="D1044" t="inlineStr">
        <is>
          <t>VÄSTERBOTTENS LÄN</t>
        </is>
      </c>
      <c r="E1044" t="inlineStr">
        <is>
          <t>LYCKSELE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36636-2023</t>
        </is>
      </c>
      <c r="B1045" s="1" t="n">
        <v>45152</v>
      </c>
      <c r="C1045" s="1" t="n">
        <v>45337</v>
      </c>
      <c r="D1045" t="inlineStr">
        <is>
          <t>VÄSTERBOTTENS LÄN</t>
        </is>
      </c>
      <c r="E1045" t="inlineStr">
        <is>
          <t>LYCKSELE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36650-2023</t>
        </is>
      </c>
      <c r="B1046" s="1" t="n">
        <v>45152</v>
      </c>
      <c r="C1046" s="1" t="n">
        <v>45337</v>
      </c>
      <c r="D1046" t="inlineStr">
        <is>
          <t>VÄSTERBOTTENS LÄN</t>
        </is>
      </c>
      <c r="E1046" t="inlineStr">
        <is>
          <t>LYCKSELE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36604-2023</t>
        </is>
      </c>
      <c r="B1047" s="1" t="n">
        <v>45152</v>
      </c>
      <c r="C1047" s="1" t="n">
        <v>45337</v>
      </c>
      <c r="D1047" t="inlineStr">
        <is>
          <t>VÄSTERBOTTENS LÄN</t>
        </is>
      </c>
      <c r="E1047" t="inlineStr">
        <is>
          <t>LYCKSELE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36619-2023</t>
        </is>
      </c>
      <c r="B1048" s="1" t="n">
        <v>45152</v>
      </c>
      <c r="C1048" s="1" t="n">
        <v>45337</v>
      </c>
      <c r="D1048" t="inlineStr">
        <is>
          <t>VÄSTERBOTTENS LÄN</t>
        </is>
      </c>
      <c r="E1048" t="inlineStr">
        <is>
          <t>LYCKSELE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36867-2023</t>
        </is>
      </c>
      <c r="B1049" s="1" t="n">
        <v>45154</v>
      </c>
      <c r="C1049" s="1" t="n">
        <v>45337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36875-2023</t>
        </is>
      </c>
      <c r="B1050" s="1" t="n">
        <v>45154</v>
      </c>
      <c r="C1050" s="1" t="n">
        <v>45337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36900-2023</t>
        </is>
      </c>
      <c r="B1051" s="1" t="n">
        <v>45154</v>
      </c>
      <c r="C1051" s="1" t="n">
        <v>45337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36851-2023</t>
        </is>
      </c>
      <c r="B1052" s="1" t="n">
        <v>45154</v>
      </c>
      <c r="C1052" s="1" t="n">
        <v>45337</v>
      </c>
      <c r="D1052" t="inlineStr">
        <is>
          <t>VÄSTERBOTTENS LÄN</t>
        </is>
      </c>
      <c r="E1052" t="inlineStr">
        <is>
          <t>LYCKSELE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37262-2023</t>
        </is>
      </c>
      <c r="B1053" s="1" t="n">
        <v>45155</v>
      </c>
      <c r="C1053" s="1" t="n">
        <v>45337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37271-2023</t>
        </is>
      </c>
      <c r="B1054" s="1" t="n">
        <v>45155</v>
      </c>
      <c r="C1054" s="1" t="n">
        <v>45337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37491-2023</t>
        </is>
      </c>
      <c r="B1055" s="1" t="n">
        <v>45156</v>
      </c>
      <c r="C1055" s="1" t="n">
        <v>45337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37840-2023</t>
        </is>
      </c>
      <c r="B1056" s="1" t="n">
        <v>45156</v>
      </c>
      <c r="C1056" s="1" t="n">
        <v>45337</v>
      </c>
      <c r="D1056" t="inlineStr">
        <is>
          <t>VÄSTERBOTTENS LÄN</t>
        </is>
      </c>
      <c r="E1056" t="inlineStr">
        <is>
          <t>LYCKSELE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37842-2023</t>
        </is>
      </c>
      <c r="B1057" s="1" t="n">
        <v>45156</v>
      </c>
      <c r="C1057" s="1" t="n">
        <v>45337</v>
      </c>
      <c r="D1057" t="inlineStr">
        <is>
          <t>VÄSTERBOTTENS LÄN</t>
        </is>
      </c>
      <c r="E1057" t="inlineStr">
        <is>
          <t>LYCKSELE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37607-2023</t>
        </is>
      </c>
      <c r="B1058" s="1" t="n">
        <v>45159</v>
      </c>
      <c r="C1058" s="1" t="n">
        <v>45337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38183-2023</t>
        </is>
      </c>
      <c r="B1059" s="1" t="n">
        <v>45161</v>
      </c>
      <c r="C1059" s="1" t="n">
        <v>45337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38250-2023</t>
        </is>
      </c>
      <c r="B1060" s="1" t="n">
        <v>45161</v>
      </c>
      <c r="C1060" s="1" t="n">
        <v>45337</v>
      </c>
      <c r="D1060" t="inlineStr">
        <is>
          <t>VÄSTERBOTTENS LÄN</t>
        </is>
      </c>
      <c r="E1060" t="inlineStr">
        <is>
          <t>LYCKSELE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38157-2023</t>
        </is>
      </c>
      <c r="B1061" s="1" t="n">
        <v>45161</v>
      </c>
      <c r="C1061" s="1" t="n">
        <v>45337</v>
      </c>
      <c r="D1061" t="inlineStr">
        <is>
          <t>VÄSTERBOTTENS LÄN</t>
        </is>
      </c>
      <c r="E1061" t="inlineStr">
        <is>
          <t>LYCKSELE</t>
        </is>
      </c>
      <c r="G1061" t="n">
        <v>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38236-2023</t>
        </is>
      </c>
      <c r="B1062" s="1" t="n">
        <v>45161</v>
      </c>
      <c r="C1062" s="1" t="n">
        <v>45337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9.5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38164-2023</t>
        </is>
      </c>
      <c r="B1063" s="1" t="n">
        <v>45161</v>
      </c>
      <c r="C1063" s="1" t="n">
        <v>45337</v>
      </c>
      <c r="D1063" t="inlineStr">
        <is>
          <t>VÄSTERBOTTENS LÄN</t>
        </is>
      </c>
      <c r="E1063" t="inlineStr">
        <is>
          <t>LYCKSELE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39047-2023</t>
        </is>
      </c>
      <c r="B1064" s="1" t="n">
        <v>45164</v>
      </c>
      <c r="C1064" s="1" t="n">
        <v>45337</v>
      </c>
      <c r="D1064" t="inlineStr">
        <is>
          <t>VÄSTERBOTTENS LÄN</t>
        </is>
      </c>
      <c r="E1064" t="inlineStr">
        <is>
          <t>LYCKSELE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39250-2023</t>
        </is>
      </c>
      <c r="B1065" s="1" t="n">
        <v>45166</v>
      </c>
      <c r="C1065" s="1" t="n">
        <v>45337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13.9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39409-2023</t>
        </is>
      </c>
      <c r="B1066" s="1" t="n">
        <v>45166</v>
      </c>
      <c r="C1066" s="1" t="n">
        <v>45337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39410-2023</t>
        </is>
      </c>
      <c r="B1067" s="1" t="n">
        <v>45166</v>
      </c>
      <c r="C1067" s="1" t="n">
        <v>45337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39393-2023</t>
        </is>
      </c>
      <c r="B1068" s="1" t="n">
        <v>45166</v>
      </c>
      <c r="C1068" s="1" t="n">
        <v>45337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39397-2023</t>
        </is>
      </c>
      <c r="B1069" s="1" t="n">
        <v>45166</v>
      </c>
      <c r="C1069" s="1" t="n">
        <v>45337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39402-2023</t>
        </is>
      </c>
      <c r="B1070" s="1" t="n">
        <v>45166</v>
      </c>
      <c r="C1070" s="1" t="n">
        <v>45337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39767-2023</t>
        </is>
      </c>
      <c r="B1071" s="1" t="n">
        <v>45167</v>
      </c>
      <c r="C1071" s="1" t="n">
        <v>45337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39965-2023</t>
        </is>
      </c>
      <c r="B1072" s="1" t="n">
        <v>45168</v>
      </c>
      <c r="C1072" s="1" t="n">
        <v>45337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40594-2023</t>
        </is>
      </c>
      <c r="B1073" s="1" t="n">
        <v>45170</v>
      </c>
      <c r="C1073" s="1" t="n">
        <v>45337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40524-2023</t>
        </is>
      </c>
      <c r="B1074" s="1" t="n">
        <v>45170</v>
      </c>
      <c r="C1074" s="1" t="n">
        <v>45337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45.7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40930-2023</t>
        </is>
      </c>
      <c r="B1075" s="1" t="n">
        <v>45173</v>
      </c>
      <c r="C1075" s="1" t="n">
        <v>45337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41361-2023</t>
        </is>
      </c>
      <c r="B1076" s="1" t="n">
        <v>45174</v>
      </c>
      <c r="C1076" s="1" t="n">
        <v>45337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41358-2023</t>
        </is>
      </c>
      <c r="B1077" s="1" t="n">
        <v>45174</v>
      </c>
      <c r="C1077" s="1" t="n">
        <v>45337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41356-2023</t>
        </is>
      </c>
      <c r="B1078" s="1" t="n">
        <v>45174</v>
      </c>
      <c r="C1078" s="1" t="n">
        <v>45337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42024-2023</t>
        </is>
      </c>
      <c r="B1079" s="1" t="n">
        <v>45174</v>
      </c>
      <c r="C1079" s="1" t="n">
        <v>45337</v>
      </c>
      <c r="D1079" t="inlineStr">
        <is>
          <t>VÄSTERBOTTENS LÄN</t>
        </is>
      </c>
      <c r="E1079" t="inlineStr">
        <is>
          <t>LYCKSELE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41465-2023</t>
        </is>
      </c>
      <c r="B1080" s="1" t="n">
        <v>45175</v>
      </c>
      <c r="C1080" s="1" t="n">
        <v>45337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41419-2023</t>
        </is>
      </c>
      <c r="B1081" s="1" t="n">
        <v>45175</v>
      </c>
      <c r="C1081" s="1" t="n">
        <v>45337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41423-2023</t>
        </is>
      </c>
      <c r="B1082" s="1" t="n">
        <v>45175</v>
      </c>
      <c r="C1082" s="1" t="n">
        <v>45337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41728-2023</t>
        </is>
      </c>
      <c r="B1083" s="1" t="n">
        <v>45176</v>
      </c>
      <c r="C1083" s="1" t="n">
        <v>45337</v>
      </c>
      <c r="D1083" t="inlineStr">
        <is>
          <t>VÄSTERBOTTENS LÄN</t>
        </is>
      </c>
      <c r="E1083" t="inlineStr">
        <is>
          <t>LYCKSELE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41703-2023</t>
        </is>
      </c>
      <c r="B1084" s="1" t="n">
        <v>45176</v>
      </c>
      <c r="C1084" s="1" t="n">
        <v>45337</v>
      </c>
      <c r="D1084" t="inlineStr">
        <is>
          <t>VÄSTERBOTTENS LÄN</t>
        </is>
      </c>
      <c r="E1084" t="inlineStr">
        <is>
          <t>LYCKSELE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41707-2023</t>
        </is>
      </c>
      <c r="B1085" s="1" t="n">
        <v>45176</v>
      </c>
      <c r="C1085" s="1" t="n">
        <v>45337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41711-2023</t>
        </is>
      </c>
      <c r="B1086" s="1" t="n">
        <v>45176</v>
      </c>
      <c r="C1086" s="1" t="n">
        <v>45337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42457-2023</t>
        </is>
      </c>
      <c r="B1087" s="1" t="n">
        <v>45180</v>
      </c>
      <c r="C1087" s="1" t="n">
        <v>45337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42466-2023</t>
        </is>
      </c>
      <c r="B1088" s="1" t="n">
        <v>45180</v>
      </c>
      <c r="C1088" s="1" t="n">
        <v>45337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42475-2023</t>
        </is>
      </c>
      <c r="B1089" s="1" t="n">
        <v>45180</v>
      </c>
      <c r="C1089" s="1" t="n">
        <v>45337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42747-2023</t>
        </is>
      </c>
      <c r="B1090" s="1" t="n">
        <v>45181</v>
      </c>
      <c r="C1090" s="1" t="n">
        <v>45337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9.199999999999999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42814-2023</t>
        </is>
      </c>
      <c r="B1091" s="1" t="n">
        <v>45182</v>
      </c>
      <c r="C1091" s="1" t="n">
        <v>45337</v>
      </c>
      <c r="D1091" t="inlineStr">
        <is>
          <t>VÄSTERBOTTENS LÄN</t>
        </is>
      </c>
      <c r="E1091" t="inlineStr">
        <is>
          <t>LYCKSELE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43134-2023</t>
        </is>
      </c>
      <c r="B1092" s="1" t="n">
        <v>45182</v>
      </c>
      <c r="C1092" s="1" t="n">
        <v>45337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43298-2023</t>
        </is>
      </c>
      <c r="B1093" s="1" t="n">
        <v>45183</v>
      </c>
      <c r="C1093" s="1" t="n">
        <v>45337</v>
      </c>
      <c r="D1093" t="inlineStr">
        <is>
          <t>VÄSTERBOTTENS LÄN</t>
        </is>
      </c>
      <c r="E1093" t="inlineStr">
        <is>
          <t>LYCKSELE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43496-2023</t>
        </is>
      </c>
      <c r="B1094" s="1" t="n">
        <v>45184</v>
      </c>
      <c r="C1094" s="1" t="n">
        <v>45337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43614-2023</t>
        </is>
      </c>
      <c r="B1095" s="1" t="n">
        <v>45184</v>
      </c>
      <c r="C1095" s="1" t="n">
        <v>45337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43561-2023</t>
        </is>
      </c>
      <c r="B1096" s="1" t="n">
        <v>45184</v>
      </c>
      <c r="C1096" s="1" t="n">
        <v>45337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43636-2023</t>
        </is>
      </c>
      <c r="B1097" s="1" t="n">
        <v>45186</v>
      </c>
      <c r="C1097" s="1" t="n">
        <v>45337</v>
      </c>
      <c r="D1097" t="inlineStr">
        <is>
          <t>VÄSTERBOTTENS LÄN</t>
        </is>
      </c>
      <c r="E1097" t="inlineStr">
        <is>
          <t>LYCKSELE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43671-2023</t>
        </is>
      </c>
      <c r="B1098" s="1" t="n">
        <v>45187</v>
      </c>
      <c r="C1098" s="1" t="n">
        <v>45337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43878-2023</t>
        </is>
      </c>
      <c r="B1099" s="1" t="n">
        <v>45187</v>
      </c>
      <c r="C1099" s="1" t="n">
        <v>45337</v>
      </c>
      <c r="D1099" t="inlineStr">
        <is>
          <t>VÄSTERBOTTENS LÄN</t>
        </is>
      </c>
      <c r="E1099" t="inlineStr">
        <is>
          <t>LYCKSELE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43727-2023</t>
        </is>
      </c>
      <c r="B1100" s="1" t="n">
        <v>45187</v>
      </c>
      <c r="C1100" s="1" t="n">
        <v>45337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43702-2023</t>
        </is>
      </c>
      <c r="B1101" s="1" t="n">
        <v>45187</v>
      </c>
      <c r="C1101" s="1" t="n">
        <v>45337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9.6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43875-2023</t>
        </is>
      </c>
      <c r="B1102" s="1" t="n">
        <v>45187</v>
      </c>
      <c r="C1102" s="1" t="n">
        <v>45337</v>
      </c>
      <c r="D1102" t="inlineStr">
        <is>
          <t>VÄSTERBOTTENS LÄN</t>
        </is>
      </c>
      <c r="E1102" t="inlineStr">
        <is>
          <t>LYCKSELE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43973-2023</t>
        </is>
      </c>
      <c r="B1103" s="1" t="n">
        <v>45187</v>
      </c>
      <c r="C1103" s="1" t="n">
        <v>45337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44332-2023</t>
        </is>
      </c>
      <c r="B1104" s="1" t="n">
        <v>45188</v>
      </c>
      <c r="C1104" s="1" t="n">
        <v>45337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44375-2023</t>
        </is>
      </c>
      <c r="B1105" s="1" t="n">
        <v>45189</v>
      </c>
      <c r="C1105" s="1" t="n">
        <v>45337</v>
      </c>
      <c r="D1105" t="inlineStr">
        <is>
          <t>VÄSTERBOTTENS LÄN</t>
        </is>
      </c>
      <c r="E1105" t="inlineStr">
        <is>
          <t>LYCKSELE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44755-2023</t>
        </is>
      </c>
      <c r="B1106" s="1" t="n">
        <v>45190</v>
      </c>
      <c r="C1106" s="1" t="n">
        <v>45337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44851-2023</t>
        </is>
      </c>
      <c r="B1107" s="1" t="n">
        <v>45190</v>
      </c>
      <c r="C1107" s="1" t="n">
        <v>45337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44892-2023</t>
        </is>
      </c>
      <c r="B1108" s="1" t="n">
        <v>45190</v>
      </c>
      <c r="C1108" s="1" t="n">
        <v>45337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46072-2023</t>
        </is>
      </c>
      <c r="B1109" s="1" t="n">
        <v>45190</v>
      </c>
      <c r="C1109" s="1" t="n">
        <v>45337</v>
      </c>
      <c r="D1109" t="inlineStr">
        <is>
          <t>VÄSTERBOTTENS LÄN</t>
        </is>
      </c>
      <c r="E1109" t="inlineStr">
        <is>
          <t>LYCKSELE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45130-2023</t>
        </is>
      </c>
      <c r="B1110" s="1" t="n">
        <v>45191</v>
      </c>
      <c r="C1110" s="1" t="n">
        <v>45337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46132-2023</t>
        </is>
      </c>
      <c r="B1111" s="1" t="n">
        <v>45196</v>
      </c>
      <c r="C1111" s="1" t="n">
        <v>45337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46176-2023</t>
        </is>
      </c>
      <c r="B1112" s="1" t="n">
        <v>45196</v>
      </c>
      <c r="C1112" s="1" t="n">
        <v>45337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46183-2023</t>
        </is>
      </c>
      <c r="B1113" s="1" t="n">
        <v>45196</v>
      </c>
      <c r="C1113" s="1" t="n">
        <v>45337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46638-2023</t>
        </is>
      </c>
      <c r="B1114" s="1" t="n">
        <v>45198</v>
      </c>
      <c r="C1114" s="1" t="n">
        <v>45337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46826-2023</t>
        </is>
      </c>
      <c r="B1115" s="1" t="n">
        <v>45199</v>
      </c>
      <c r="C1115" s="1" t="n">
        <v>45337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46897-2023</t>
        </is>
      </c>
      <c r="B1116" s="1" t="n">
        <v>45201</v>
      </c>
      <c r="C1116" s="1" t="n">
        <v>45337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46896-2023</t>
        </is>
      </c>
      <c r="B1117" s="1" t="n">
        <v>45201</v>
      </c>
      <c r="C1117" s="1" t="n">
        <v>45337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47117-2023</t>
        </is>
      </c>
      <c r="B1118" s="1" t="n">
        <v>45201</v>
      </c>
      <c r="C1118" s="1" t="n">
        <v>45337</v>
      </c>
      <c r="D1118" t="inlineStr">
        <is>
          <t>VÄSTERBOTTENS LÄN</t>
        </is>
      </c>
      <c r="E1118" t="inlineStr">
        <is>
          <t>LYCKSELE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47096-2023</t>
        </is>
      </c>
      <c r="B1119" s="1" t="n">
        <v>45201</v>
      </c>
      <c r="C1119" s="1" t="n">
        <v>45337</v>
      </c>
      <c r="D1119" t="inlineStr">
        <is>
          <t>VÄSTERBOTTENS LÄN</t>
        </is>
      </c>
      <c r="E1119" t="inlineStr">
        <is>
          <t>LYCKSELE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48876-2023</t>
        </is>
      </c>
      <c r="B1120" s="1" t="n">
        <v>45203</v>
      </c>
      <c r="C1120" s="1" t="n">
        <v>45337</v>
      </c>
      <c r="D1120" t="inlineStr">
        <is>
          <t>VÄSTERBOTTENS LÄN</t>
        </is>
      </c>
      <c r="E1120" t="inlineStr">
        <is>
          <t>LYCKSELE</t>
        </is>
      </c>
      <c r="G1120" t="n">
        <v>9.9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47982-2023</t>
        </is>
      </c>
      <c r="B1121" s="1" t="n">
        <v>45204</v>
      </c>
      <c r="C1121" s="1" t="n">
        <v>45337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48008-2023</t>
        </is>
      </c>
      <c r="B1122" s="1" t="n">
        <v>45204</v>
      </c>
      <c r="C1122" s="1" t="n">
        <v>45337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48230-2023</t>
        </is>
      </c>
      <c r="B1123" s="1" t="n">
        <v>45205</v>
      </c>
      <c r="C1123" s="1" t="n">
        <v>45337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48534-2023</t>
        </is>
      </c>
      <c r="B1124" s="1" t="n">
        <v>45208</v>
      </c>
      <c r="C1124" s="1" t="n">
        <v>45337</v>
      </c>
      <c r="D1124" t="inlineStr">
        <is>
          <t>VÄSTERBOTTENS LÄN</t>
        </is>
      </c>
      <c r="E1124" t="inlineStr">
        <is>
          <t>LYCKSELE</t>
        </is>
      </c>
      <c r="G1124" t="n">
        <v>7.1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48542-2023</t>
        </is>
      </c>
      <c r="B1125" s="1" t="n">
        <v>45208</v>
      </c>
      <c r="C1125" s="1" t="n">
        <v>45337</v>
      </c>
      <c r="D1125" t="inlineStr">
        <is>
          <t>VÄSTERBOTTENS LÄN</t>
        </is>
      </c>
      <c r="E1125" t="inlineStr">
        <is>
          <t>LYCKSELE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48992-2023</t>
        </is>
      </c>
      <c r="B1126" s="1" t="n">
        <v>45209</v>
      </c>
      <c r="C1126" s="1" t="n">
        <v>45337</v>
      </c>
      <c r="D1126" t="inlineStr">
        <is>
          <t>VÄSTERBOTTENS LÄN</t>
        </is>
      </c>
      <c r="E1126" t="inlineStr">
        <is>
          <t>LYCKSELE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49175-2023</t>
        </is>
      </c>
      <c r="B1127" s="1" t="n">
        <v>45210</v>
      </c>
      <c r="C1127" s="1" t="n">
        <v>45337</v>
      </c>
      <c r="D1127" t="inlineStr">
        <is>
          <t>VÄSTERBOTTENS LÄN</t>
        </is>
      </c>
      <c r="E1127" t="inlineStr">
        <is>
          <t>LYCKSELE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49335-2023</t>
        </is>
      </c>
      <c r="B1128" s="1" t="n">
        <v>45211</v>
      </c>
      <c r="C1128" s="1" t="n">
        <v>45337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49407-2023</t>
        </is>
      </c>
      <c r="B1129" s="1" t="n">
        <v>45211</v>
      </c>
      <c r="C1129" s="1" t="n">
        <v>45337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49492-2023</t>
        </is>
      </c>
      <c r="B1130" s="1" t="n">
        <v>45211</v>
      </c>
      <c r="C1130" s="1" t="n">
        <v>45337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49631-2023</t>
        </is>
      </c>
      <c r="B1131" s="1" t="n">
        <v>45211</v>
      </c>
      <c r="C1131" s="1" t="n">
        <v>45337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Kommuner</t>
        </is>
      </c>
      <c r="G1131" t="n">
        <v>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50004-2023</t>
        </is>
      </c>
      <c r="B1132" s="1" t="n">
        <v>45215</v>
      </c>
      <c r="C1132" s="1" t="n">
        <v>45337</v>
      </c>
      <c r="D1132" t="inlineStr">
        <is>
          <t>VÄSTERBOTTENS LÄN</t>
        </is>
      </c>
      <c r="E1132" t="inlineStr">
        <is>
          <t>LYCKSELE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50545-2023</t>
        </is>
      </c>
      <c r="B1133" s="1" t="n">
        <v>45217</v>
      </c>
      <c r="C1133" s="1" t="n">
        <v>45337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50555-2023</t>
        </is>
      </c>
      <c r="B1134" s="1" t="n">
        <v>45217</v>
      </c>
      <c r="C1134" s="1" t="n">
        <v>45337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50560-2023</t>
        </is>
      </c>
      <c r="B1135" s="1" t="n">
        <v>45217</v>
      </c>
      <c r="C1135" s="1" t="n">
        <v>45337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50600-2023</t>
        </is>
      </c>
      <c r="B1136" s="1" t="n">
        <v>45217</v>
      </c>
      <c r="C1136" s="1" t="n">
        <v>45337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50814-2023</t>
        </is>
      </c>
      <c r="B1137" s="1" t="n">
        <v>45217</v>
      </c>
      <c r="C1137" s="1" t="n">
        <v>45337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10.2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50565-2023</t>
        </is>
      </c>
      <c r="B1138" s="1" t="n">
        <v>45217</v>
      </c>
      <c r="C1138" s="1" t="n">
        <v>45337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50573-2023</t>
        </is>
      </c>
      <c r="B1139" s="1" t="n">
        <v>45217</v>
      </c>
      <c r="C1139" s="1" t="n">
        <v>45337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50578-2023</t>
        </is>
      </c>
      <c r="B1140" s="1" t="n">
        <v>45217</v>
      </c>
      <c r="C1140" s="1" t="n">
        <v>45337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50583-2023</t>
        </is>
      </c>
      <c r="B1141" s="1" t="n">
        <v>45217</v>
      </c>
      <c r="C1141" s="1" t="n">
        <v>45337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9.5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51048-2023</t>
        </is>
      </c>
      <c r="B1142" s="1" t="n">
        <v>45218</v>
      </c>
      <c r="C1142" s="1" t="n">
        <v>45337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51038-2023</t>
        </is>
      </c>
      <c r="B1143" s="1" t="n">
        <v>45218</v>
      </c>
      <c r="C1143" s="1" t="n">
        <v>45337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51368-2023</t>
        </is>
      </c>
      <c r="B1144" s="1" t="n">
        <v>45219</v>
      </c>
      <c r="C1144" s="1" t="n">
        <v>45337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51953-2023</t>
        </is>
      </c>
      <c r="B1145" s="1" t="n">
        <v>45223</v>
      </c>
      <c r="C1145" s="1" t="n">
        <v>45337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51957-2023</t>
        </is>
      </c>
      <c r="B1146" s="1" t="n">
        <v>45223</v>
      </c>
      <c r="C1146" s="1" t="n">
        <v>45337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52002-2023</t>
        </is>
      </c>
      <c r="B1147" s="1" t="n">
        <v>45223</v>
      </c>
      <c r="C1147" s="1" t="n">
        <v>45337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52019-2023</t>
        </is>
      </c>
      <c r="B1148" s="1" t="n">
        <v>45223</v>
      </c>
      <c r="C1148" s="1" t="n">
        <v>45337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52132-2023</t>
        </is>
      </c>
      <c r="B1149" s="1" t="n">
        <v>45224</v>
      </c>
      <c r="C1149" s="1" t="n">
        <v>45337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52039-2023</t>
        </is>
      </c>
      <c r="B1150" s="1" t="n">
        <v>45223</v>
      </c>
      <c r="C1150" s="1" t="n">
        <v>45337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53496-2023</t>
        </is>
      </c>
      <c r="B1151" s="1" t="n">
        <v>45223</v>
      </c>
      <c r="C1151" s="1" t="n">
        <v>45337</v>
      </c>
      <c r="D1151" t="inlineStr">
        <is>
          <t>VÄSTERBOTTENS LÄN</t>
        </is>
      </c>
      <c r="E1151" t="inlineStr">
        <is>
          <t>LYCKSELE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53501-2023</t>
        </is>
      </c>
      <c r="B1152" s="1" t="n">
        <v>45223</v>
      </c>
      <c r="C1152" s="1" t="n">
        <v>45337</v>
      </c>
      <c r="D1152" t="inlineStr">
        <is>
          <t>VÄSTERBOTTENS LÄN</t>
        </is>
      </c>
      <c r="E1152" t="inlineStr">
        <is>
          <t>LYCKSELE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52205-2023</t>
        </is>
      </c>
      <c r="B1153" s="1" t="n">
        <v>45224</v>
      </c>
      <c r="C1153" s="1" t="n">
        <v>45337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52547-2023</t>
        </is>
      </c>
      <c r="B1154" s="1" t="n">
        <v>45225</v>
      </c>
      <c r="C1154" s="1" t="n">
        <v>45337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52727-2023</t>
        </is>
      </c>
      <c r="B1155" s="1" t="n">
        <v>45226</v>
      </c>
      <c r="C1155" s="1" t="n">
        <v>45337</v>
      </c>
      <c r="D1155" t="inlineStr">
        <is>
          <t>VÄSTERBOTTENS LÄN</t>
        </is>
      </c>
      <c r="E1155" t="inlineStr">
        <is>
          <t>LYCKSELE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54370-2023</t>
        </is>
      </c>
      <c r="B1156" s="1" t="n">
        <v>45225</v>
      </c>
      <c r="C1156" s="1" t="n">
        <v>45337</v>
      </c>
      <c r="D1156" t="inlineStr">
        <is>
          <t>VÄSTERBOTTENS LÄN</t>
        </is>
      </c>
      <c r="E1156" t="inlineStr">
        <is>
          <t>LYCKSELE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52755-2023</t>
        </is>
      </c>
      <c r="B1157" s="1" t="n">
        <v>45226</v>
      </c>
      <c r="C1157" s="1" t="n">
        <v>45337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54378-2023</t>
        </is>
      </c>
      <c r="B1158" s="1" t="n">
        <v>45225</v>
      </c>
      <c r="C1158" s="1" t="n">
        <v>45337</v>
      </c>
      <c r="D1158" t="inlineStr">
        <is>
          <t>VÄSTERBOTTENS LÄN</t>
        </is>
      </c>
      <c r="E1158" t="inlineStr">
        <is>
          <t>LYCKSELE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52896-2023</t>
        </is>
      </c>
      <c r="B1159" s="1" t="n">
        <v>45226</v>
      </c>
      <c r="C1159" s="1" t="n">
        <v>45337</v>
      </c>
      <c r="D1159" t="inlineStr">
        <is>
          <t>VÄSTERBOTTENS LÄN</t>
        </is>
      </c>
      <c r="E1159" t="inlineStr">
        <is>
          <t>LYCKSELE</t>
        </is>
      </c>
      <c r="G1159" t="n">
        <v>14.2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54539-2023</t>
        </is>
      </c>
      <c r="B1160" s="1" t="n">
        <v>45226</v>
      </c>
      <c r="C1160" s="1" t="n">
        <v>45337</v>
      </c>
      <c r="D1160" t="inlineStr">
        <is>
          <t>VÄSTERBOTTENS LÄN</t>
        </is>
      </c>
      <c r="E1160" t="inlineStr">
        <is>
          <t>LYCKSELE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52990-2023</t>
        </is>
      </c>
      <c r="B1161" s="1" t="n">
        <v>45226</v>
      </c>
      <c r="C1161" s="1" t="n">
        <v>45337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52927-2023</t>
        </is>
      </c>
      <c r="B1162" s="1" t="n">
        <v>45226</v>
      </c>
      <c r="C1162" s="1" t="n">
        <v>45337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53035-2023</t>
        </is>
      </c>
      <c r="B1163" s="1" t="n">
        <v>45227</v>
      </c>
      <c r="C1163" s="1" t="n">
        <v>45337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53037-2023</t>
        </is>
      </c>
      <c r="B1164" s="1" t="n">
        <v>45226</v>
      </c>
      <c r="C1164" s="1" t="n">
        <v>45337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7.4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53036-2023</t>
        </is>
      </c>
      <c r="B1165" s="1" t="n">
        <v>45227</v>
      </c>
      <c r="C1165" s="1" t="n">
        <v>45337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54840-2023</t>
        </is>
      </c>
      <c r="B1166" s="1" t="n">
        <v>45229</v>
      </c>
      <c r="C1166" s="1" t="n">
        <v>45337</v>
      </c>
      <c r="D1166" t="inlineStr">
        <is>
          <t>VÄSTERBOTTENS LÄN</t>
        </is>
      </c>
      <c r="E1166" t="inlineStr">
        <is>
          <t>LYCKSELE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53571-2023</t>
        </is>
      </c>
      <c r="B1167" s="1" t="n">
        <v>45230</v>
      </c>
      <c r="C1167" s="1" t="n">
        <v>45337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53582-2023</t>
        </is>
      </c>
      <c r="B1168" s="1" t="n">
        <v>45230</v>
      </c>
      <c r="C1168" s="1" t="n">
        <v>45337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53813-2023</t>
        </is>
      </c>
      <c r="B1169" s="1" t="n">
        <v>45231</v>
      </c>
      <c r="C1169" s="1" t="n">
        <v>45337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7.9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53839-2023</t>
        </is>
      </c>
      <c r="B1170" s="1" t="n">
        <v>45231</v>
      </c>
      <c r="C1170" s="1" t="n">
        <v>45337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54226-2023</t>
        </is>
      </c>
      <c r="B1171" s="1" t="n">
        <v>45232</v>
      </c>
      <c r="C1171" s="1" t="n">
        <v>45337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54234-2023</t>
        </is>
      </c>
      <c r="B1172" s="1" t="n">
        <v>45232</v>
      </c>
      <c r="C1172" s="1" t="n">
        <v>45337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54242-2023</t>
        </is>
      </c>
      <c r="B1173" s="1" t="n">
        <v>45232</v>
      </c>
      <c r="C1173" s="1" t="n">
        <v>45337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54227-2023</t>
        </is>
      </c>
      <c r="B1174" s="1" t="n">
        <v>45232</v>
      </c>
      <c r="C1174" s="1" t="n">
        <v>45337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54446-2023</t>
        </is>
      </c>
      <c r="B1175" s="1" t="n">
        <v>45233</v>
      </c>
      <c r="C1175" s="1" t="n">
        <v>45337</v>
      </c>
      <c r="D1175" t="inlineStr">
        <is>
          <t>VÄSTERBOTTENS LÄN</t>
        </is>
      </c>
      <c r="E1175" t="inlineStr">
        <is>
          <t>LYCKSELE</t>
        </is>
      </c>
      <c r="G1175" t="n">
        <v>21.4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54893-2023</t>
        </is>
      </c>
      <c r="B1176" s="1" t="n">
        <v>45236</v>
      </c>
      <c r="C1176" s="1" t="n">
        <v>45337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54891-2023</t>
        </is>
      </c>
      <c r="B1177" s="1" t="n">
        <v>45236</v>
      </c>
      <c r="C1177" s="1" t="n">
        <v>45337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55094-2023</t>
        </is>
      </c>
      <c r="B1178" s="1" t="n">
        <v>45237</v>
      </c>
      <c r="C1178" s="1" t="n">
        <v>45337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55142-2023</t>
        </is>
      </c>
      <c r="B1179" s="1" t="n">
        <v>45237</v>
      </c>
      <c r="C1179" s="1" t="n">
        <v>45337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55080-2023</t>
        </is>
      </c>
      <c r="B1180" s="1" t="n">
        <v>45237</v>
      </c>
      <c r="C1180" s="1" t="n">
        <v>45337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55239-2023</t>
        </is>
      </c>
      <c r="B1181" s="1" t="n">
        <v>45237</v>
      </c>
      <c r="C1181" s="1" t="n">
        <v>45337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55371-2023</t>
        </is>
      </c>
      <c r="B1182" s="1" t="n">
        <v>45238</v>
      </c>
      <c r="C1182" s="1" t="n">
        <v>45337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55388-2023</t>
        </is>
      </c>
      <c r="B1183" s="1" t="n">
        <v>45238</v>
      </c>
      <c r="C1183" s="1" t="n">
        <v>45337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55432-2023</t>
        </is>
      </c>
      <c r="B1184" s="1" t="n">
        <v>45238</v>
      </c>
      <c r="C1184" s="1" t="n">
        <v>45337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56518-2023</t>
        </is>
      </c>
      <c r="B1185" s="1" t="n">
        <v>45238</v>
      </c>
      <c r="C1185" s="1" t="n">
        <v>45337</v>
      </c>
      <c r="D1185" t="inlineStr">
        <is>
          <t>VÄSTERBOTTENS LÄN</t>
        </is>
      </c>
      <c r="E1185" t="inlineStr">
        <is>
          <t>LYCKSELE</t>
        </is>
      </c>
      <c r="G1185" t="n">
        <v>21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56543-2023</t>
        </is>
      </c>
      <c r="B1186" s="1" t="n">
        <v>45238</v>
      </c>
      <c r="C1186" s="1" t="n">
        <v>45337</v>
      </c>
      <c r="D1186" t="inlineStr">
        <is>
          <t>VÄSTERBOTTENS LÄN</t>
        </is>
      </c>
      <c r="E1186" t="inlineStr">
        <is>
          <t>LYCKSELE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55377-2023</t>
        </is>
      </c>
      <c r="B1187" s="1" t="n">
        <v>45238</v>
      </c>
      <c r="C1187" s="1" t="n">
        <v>45337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56550-2023</t>
        </is>
      </c>
      <c r="B1188" s="1" t="n">
        <v>45238</v>
      </c>
      <c r="C1188" s="1" t="n">
        <v>45337</v>
      </c>
      <c r="D1188" t="inlineStr">
        <is>
          <t>VÄSTERBOTTENS LÄN</t>
        </is>
      </c>
      <c r="E1188" t="inlineStr">
        <is>
          <t>LYCKSELE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55923-2023</t>
        </is>
      </c>
      <c r="B1189" s="1" t="n">
        <v>45240</v>
      </c>
      <c r="C1189" s="1" t="n">
        <v>45337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57224-2023</t>
        </is>
      </c>
      <c r="B1190" s="1" t="n">
        <v>45239</v>
      </c>
      <c r="C1190" s="1" t="n">
        <v>45337</v>
      </c>
      <c r="D1190" t="inlineStr">
        <is>
          <t>VÄSTERBOTTENS LÄN</t>
        </is>
      </c>
      <c r="E1190" t="inlineStr">
        <is>
          <t>LYCKSELE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56027-2023</t>
        </is>
      </c>
      <c r="B1191" s="1" t="n">
        <v>45240</v>
      </c>
      <c r="C1191" s="1" t="n">
        <v>45337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55938-2023</t>
        </is>
      </c>
      <c r="B1192" s="1" t="n">
        <v>45240</v>
      </c>
      <c r="C1192" s="1" t="n">
        <v>45337</v>
      </c>
      <c r="D1192" t="inlineStr">
        <is>
          <t>VÄSTERBOTTENS LÄN</t>
        </is>
      </c>
      <c r="E1192" t="inlineStr">
        <is>
          <t>LYCKSELE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56494-2023</t>
        </is>
      </c>
      <c r="B1193" s="1" t="n">
        <v>45243</v>
      </c>
      <c r="C1193" s="1" t="n">
        <v>45337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57881-2023</t>
        </is>
      </c>
      <c r="B1194" s="1" t="n">
        <v>45244</v>
      </c>
      <c r="C1194" s="1" t="n">
        <v>45337</v>
      </c>
      <c r="D1194" t="inlineStr">
        <is>
          <t>VÄSTERBOTTENS LÄN</t>
        </is>
      </c>
      <c r="E1194" t="inlineStr">
        <is>
          <t>LYCKSELE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57873-2023</t>
        </is>
      </c>
      <c r="B1195" s="1" t="n">
        <v>45244</v>
      </c>
      <c r="C1195" s="1" t="n">
        <v>45337</v>
      </c>
      <c r="D1195" t="inlineStr">
        <is>
          <t>VÄSTERBOTTENS LÄN</t>
        </is>
      </c>
      <c r="E1195" t="inlineStr">
        <is>
          <t>LYCKSELE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57214-2023</t>
        </is>
      </c>
      <c r="B1196" s="1" t="n">
        <v>45245</v>
      </c>
      <c r="C1196" s="1" t="n">
        <v>45337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58192-2023</t>
        </is>
      </c>
      <c r="B1197" s="1" t="n">
        <v>45245</v>
      </c>
      <c r="C1197" s="1" t="n">
        <v>45337</v>
      </c>
      <c r="D1197" t="inlineStr">
        <is>
          <t>VÄSTERBOTTENS LÄN</t>
        </is>
      </c>
      <c r="E1197" t="inlineStr">
        <is>
          <t>LYCKSELE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57462-2023</t>
        </is>
      </c>
      <c r="B1198" s="1" t="n">
        <v>45246</v>
      </c>
      <c r="C1198" s="1" t="n">
        <v>45337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8.800000000000001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57443-2023</t>
        </is>
      </c>
      <c r="B1199" s="1" t="n">
        <v>45246</v>
      </c>
      <c r="C1199" s="1" t="n">
        <v>45337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57460-2023</t>
        </is>
      </c>
      <c r="B1200" s="1" t="n">
        <v>45246</v>
      </c>
      <c r="C1200" s="1" t="n">
        <v>45337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57441-2023</t>
        </is>
      </c>
      <c r="B1201" s="1" t="n">
        <v>45246</v>
      </c>
      <c r="C1201" s="1" t="n">
        <v>45337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18.6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57456-2023</t>
        </is>
      </c>
      <c r="B1202" s="1" t="n">
        <v>45246</v>
      </c>
      <c r="C1202" s="1" t="n">
        <v>45337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57767-2023</t>
        </is>
      </c>
      <c r="B1203" s="1" t="n">
        <v>45246</v>
      </c>
      <c r="C1203" s="1" t="n">
        <v>45337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Kommuner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57848-2023</t>
        </is>
      </c>
      <c r="B1204" s="1" t="n">
        <v>45247</v>
      </c>
      <c r="C1204" s="1" t="n">
        <v>45337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58040-2023</t>
        </is>
      </c>
      <c r="B1205" s="1" t="n">
        <v>45247</v>
      </c>
      <c r="C1205" s="1" t="n">
        <v>45337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57845-2023</t>
        </is>
      </c>
      <c r="B1206" s="1" t="n">
        <v>45247</v>
      </c>
      <c r="C1206" s="1" t="n">
        <v>45337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58211-2023</t>
        </is>
      </c>
      <c r="B1207" s="1" t="n">
        <v>45250</v>
      </c>
      <c r="C1207" s="1" t="n">
        <v>45337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58460-2023</t>
        </is>
      </c>
      <c r="B1208" s="1" t="n">
        <v>45251</v>
      </c>
      <c r="C1208" s="1" t="n">
        <v>45337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58249-2023</t>
        </is>
      </c>
      <c r="B1209" s="1" t="n">
        <v>45250</v>
      </c>
      <c r="C1209" s="1" t="n">
        <v>45337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58553-2023</t>
        </is>
      </c>
      <c r="B1210" s="1" t="n">
        <v>45251</v>
      </c>
      <c r="C1210" s="1" t="n">
        <v>45337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58598-2023</t>
        </is>
      </c>
      <c r="B1211" s="1" t="n">
        <v>45251</v>
      </c>
      <c r="C1211" s="1" t="n">
        <v>45337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59153-2023</t>
        </is>
      </c>
      <c r="B1212" s="1" t="n">
        <v>45253</v>
      </c>
      <c r="C1212" s="1" t="n">
        <v>45337</v>
      </c>
      <c r="D1212" t="inlineStr">
        <is>
          <t>VÄSTERBOTTENS LÄN</t>
        </is>
      </c>
      <c r="E1212" t="inlineStr">
        <is>
          <t>LYCKSELE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59150-2023</t>
        </is>
      </c>
      <c r="B1213" s="1" t="n">
        <v>45253</v>
      </c>
      <c r="C1213" s="1" t="n">
        <v>45337</v>
      </c>
      <c r="D1213" t="inlineStr">
        <is>
          <t>VÄSTERBOTTENS LÄN</t>
        </is>
      </c>
      <c r="E1213" t="inlineStr">
        <is>
          <t>LYCKSELE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59295-2023</t>
        </is>
      </c>
      <c r="B1214" s="1" t="n">
        <v>45253</v>
      </c>
      <c r="C1214" s="1" t="n">
        <v>45337</v>
      </c>
      <c r="D1214" t="inlineStr">
        <is>
          <t>VÄSTERBOTTENS LÄN</t>
        </is>
      </c>
      <c r="E1214" t="inlineStr">
        <is>
          <t>LYCKSELE</t>
        </is>
      </c>
      <c r="G1214" t="n">
        <v>17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59833-2023</t>
        </is>
      </c>
      <c r="B1215" s="1" t="n">
        <v>45253</v>
      </c>
      <c r="C1215" s="1" t="n">
        <v>45337</v>
      </c>
      <c r="D1215" t="inlineStr">
        <is>
          <t>VÄSTERBOTTENS LÄN</t>
        </is>
      </c>
      <c r="E1215" t="inlineStr">
        <is>
          <t>LYCKSELE</t>
        </is>
      </c>
      <c r="G1215" t="n">
        <v>6.9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60061-2023</t>
        </is>
      </c>
      <c r="B1216" s="1" t="n">
        <v>45258</v>
      </c>
      <c r="C1216" s="1" t="n">
        <v>45337</v>
      </c>
      <c r="D1216" t="inlineStr">
        <is>
          <t>VÄSTERBOTTENS LÄN</t>
        </is>
      </c>
      <c r="E1216" t="inlineStr">
        <is>
          <t>LYCKSELE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61094-2023</t>
        </is>
      </c>
      <c r="B1217" s="1" t="n">
        <v>45261</v>
      </c>
      <c r="C1217" s="1" t="n">
        <v>45337</v>
      </c>
      <c r="D1217" t="inlineStr">
        <is>
          <t>VÄSTERBOTTENS LÄN</t>
        </is>
      </c>
      <c r="E1217" t="inlineStr">
        <is>
          <t>LYCKSELE</t>
        </is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61496-2023</t>
        </is>
      </c>
      <c r="B1218" s="1" t="n">
        <v>45264</v>
      </c>
      <c r="C1218" s="1" t="n">
        <v>45337</v>
      </c>
      <c r="D1218" t="inlineStr">
        <is>
          <t>VÄSTERBOTTENS LÄN</t>
        </is>
      </c>
      <c r="E1218" t="inlineStr">
        <is>
          <t>LYCKSELE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61495-2023</t>
        </is>
      </c>
      <c r="B1219" s="1" t="n">
        <v>45264</v>
      </c>
      <c r="C1219" s="1" t="n">
        <v>45337</v>
      </c>
      <c r="D1219" t="inlineStr">
        <is>
          <t>VÄSTERBOTTENS LÄN</t>
        </is>
      </c>
      <c r="E1219" t="inlineStr">
        <is>
          <t>LYCKSELE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61693-2023</t>
        </is>
      </c>
      <c r="B1220" s="1" t="n">
        <v>45265</v>
      </c>
      <c r="C1220" s="1" t="n">
        <v>45337</v>
      </c>
      <c r="D1220" t="inlineStr">
        <is>
          <t>VÄSTERBOTTENS LÄN</t>
        </is>
      </c>
      <c r="E1220" t="inlineStr">
        <is>
          <t>LYCKSELE</t>
        </is>
      </c>
      <c r="G1220" t="n">
        <v>13.4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61688-2023</t>
        </is>
      </c>
      <c r="B1221" s="1" t="n">
        <v>45265</v>
      </c>
      <c r="C1221" s="1" t="n">
        <v>45337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61699-2023</t>
        </is>
      </c>
      <c r="B1222" s="1" t="n">
        <v>45265</v>
      </c>
      <c r="C1222" s="1" t="n">
        <v>45337</v>
      </c>
      <c r="D1222" t="inlineStr">
        <is>
          <t>VÄSTERBOTTENS LÄN</t>
        </is>
      </c>
      <c r="E1222" t="inlineStr">
        <is>
          <t>LYCKSELE</t>
        </is>
      </c>
      <c r="G1222" t="n">
        <v>28.4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61798-2023</t>
        </is>
      </c>
      <c r="B1223" s="1" t="n">
        <v>45266</v>
      </c>
      <c r="C1223" s="1" t="n">
        <v>45337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61799-2023</t>
        </is>
      </c>
      <c r="B1224" s="1" t="n">
        <v>45266</v>
      </c>
      <c r="C1224" s="1" t="n">
        <v>45337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62094-2023</t>
        </is>
      </c>
      <c r="B1225" s="1" t="n">
        <v>45266</v>
      </c>
      <c r="C1225" s="1" t="n">
        <v>45337</v>
      </c>
      <c r="D1225" t="inlineStr">
        <is>
          <t>VÄSTERBOTTENS LÄN</t>
        </is>
      </c>
      <c r="E1225" t="inlineStr">
        <is>
          <t>LYCKSELE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62508-2023</t>
        </is>
      </c>
      <c r="B1226" s="1" t="n">
        <v>45268</v>
      </c>
      <c r="C1226" s="1" t="n">
        <v>45337</v>
      </c>
      <c r="D1226" t="inlineStr">
        <is>
          <t>VÄSTERBOTTENS LÄN</t>
        </is>
      </c>
      <c r="E1226" t="inlineStr">
        <is>
          <t>LYCKSELE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62877-2023</t>
        </is>
      </c>
      <c r="B1227" s="1" t="n">
        <v>45271</v>
      </c>
      <c r="C1227" s="1" t="n">
        <v>45337</v>
      </c>
      <c r="D1227" t="inlineStr">
        <is>
          <t>VÄSTERBOTTENS LÄN</t>
        </is>
      </c>
      <c r="E1227" t="inlineStr">
        <is>
          <t>LYCKSELE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62874-2023</t>
        </is>
      </c>
      <c r="B1228" s="1" t="n">
        <v>45271</v>
      </c>
      <c r="C1228" s="1" t="n">
        <v>45337</v>
      </c>
      <c r="D1228" t="inlineStr">
        <is>
          <t>VÄSTERBOTTENS LÄN</t>
        </is>
      </c>
      <c r="E1228" t="inlineStr">
        <is>
          <t>LYCKSELE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62879-2023</t>
        </is>
      </c>
      <c r="B1229" s="1" t="n">
        <v>45271</v>
      </c>
      <c r="C1229" s="1" t="n">
        <v>45337</v>
      </c>
      <c r="D1229" t="inlineStr">
        <is>
          <t>VÄSTERBOTTENS LÄN</t>
        </is>
      </c>
      <c r="E1229" t="inlineStr">
        <is>
          <t>LYCKSELE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62870-2023</t>
        </is>
      </c>
      <c r="B1230" s="1" t="n">
        <v>45271</v>
      </c>
      <c r="C1230" s="1" t="n">
        <v>45337</v>
      </c>
      <c r="D1230" t="inlineStr">
        <is>
          <t>VÄSTERBOTTENS LÄN</t>
        </is>
      </c>
      <c r="E1230" t="inlineStr">
        <is>
          <t>LYCKSELE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62882-2023</t>
        </is>
      </c>
      <c r="B1231" s="1" t="n">
        <v>45271</v>
      </c>
      <c r="C1231" s="1" t="n">
        <v>45337</v>
      </c>
      <c r="D1231" t="inlineStr">
        <is>
          <t>VÄSTERBOTTENS LÄN</t>
        </is>
      </c>
      <c r="E1231" t="inlineStr">
        <is>
          <t>LYCKSELE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62984-2023</t>
        </is>
      </c>
      <c r="B1232" s="1" t="n">
        <v>45272</v>
      </c>
      <c r="C1232" s="1" t="n">
        <v>45337</v>
      </c>
      <c r="D1232" t="inlineStr">
        <is>
          <t>VÄSTERBOTTENS LÄN</t>
        </is>
      </c>
      <c r="E1232" t="inlineStr">
        <is>
          <t>LYCKSELE</t>
        </is>
      </c>
      <c r="G1232" t="n">
        <v>9.4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63696-2023</t>
        </is>
      </c>
      <c r="B1233" s="1" t="n">
        <v>45275</v>
      </c>
      <c r="C1233" s="1" t="n">
        <v>45337</v>
      </c>
      <c r="D1233" t="inlineStr">
        <is>
          <t>VÄSTERBOTTENS LÄN</t>
        </is>
      </c>
      <c r="E1233" t="inlineStr">
        <is>
          <t>LYCKSELE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64215-2023</t>
        </is>
      </c>
      <c r="B1234" s="1" t="n">
        <v>45279</v>
      </c>
      <c r="C1234" s="1" t="n">
        <v>45337</v>
      </c>
      <c r="D1234" t="inlineStr">
        <is>
          <t>VÄSTERBOTTENS LÄN</t>
        </is>
      </c>
      <c r="E1234" t="inlineStr">
        <is>
          <t>LYCKSELE</t>
        </is>
      </c>
      <c r="G1234" t="n">
        <v>10.6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64281-2023</t>
        </is>
      </c>
      <c r="B1235" s="1" t="n">
        <v>45279</v>
      </c>
      <c r="C1235" s="1" t="n">
        <v>45337</v>
      </c>
      <c r="D1235" t="inlineStr">
        <is>
          <t>VÄSTERBOTTENS LÄN</t>
        </is>
      </c>
      <c r="E1235" t="inlineStr">
        <is>
          <t>LYCKSELE</t>
        </is>
      </c>
      <c r="G1235" t="n">
        <v>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64336-2023</t>
        </is>
      </c>
      <c r="B1236" s="1" t="n">
        <v>45279</v>
      </c>
      <c r="C1236" s="1" t="n">
        <v>45337</v>
      </c>
      <c r="D1236" t="inlineStr">
        <is>
          <t>VÄSTERBOTTENS LÄN</t>
        </is>
      </c>
      <c r="E1236" t="inlineStr">
        <is>
          <t>LYCKSELE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64346-2023</t>
        </is>
      </c>
      <c r="B1237" s="1" t="n">
        <v>45279</v>
      </c>
      <c r="C1237" s="1" t="n">
        <v>45337</v>
      </c>
      <c r="D1237" t="inlineStr">
        <is>
          <t>VÄSTERBOTTENS LÄN</t>
        </is>
      </c>
      <c r="E1237" t="inlineStr">
        <is>
          <t>LYCKSELE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64334-2023</t>
        </is>
      </c>
      <c r="B1238" s="1" t="n">
        <v>45279</v>
      </c>
      <c r="C1238" s="1" t="n">
        <v>45337</v>
      </c>
      <c r="D1238" t="inlineStr">
        <is>
          <t>VÄSTERBOTTENS LÄN</t>
        </is>
      </c>
      <c r="E1238" t="inlineStr">
        <is>
          <t>LYCKSELE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64391-2023</t>
        </is>
      </c>
      <c r="B1239" s="1" t="n">
        <v>45280</v>
      </c>
      <c r="C1239" s="1" t="n">
        <v>45337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64656-2023</t>
        </is>
      </c>
      <c r="B1240" s="1" t="n">
        <v>45281</v>
      </c>
      <c r="C1240" s="1" t="n">
        <v>45337</v>
      </c>
      <c r="D1240" t="inlineStr">
        <is>
          <t>VÄSTERBOTTENS LÄN</t>
        </is>
      </c>
      <c r="E1240" t="inlineStr">
        <is>
          <t>LYCKSELE</t>
        </is>
      </c>
      <c r="G1240" t="n">
        <v>12.3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64663-2023</t>
        </is>
      </c>
      <c r="B1241" s="1" t="n">
        <v>45281</v>
      </c>
      <c r="C1241" s="1" t="n">
        <v>45337</v>
      </c>
      <c r="D1241" t="inlineStr">
        <is>
          <t>VÄSTERBOTTENS LÄN</t>
        </is>
      </c>
      <c r="E1241" t="inlineStr">
        <is>
          <t>LYCKSELE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64668-2023</t>
        </is>
      </c>
      <c r="B1242" s="1" t="n">
        <v>45281</v>
      </c>
      <c r="C1242" s="1" t="n">
        <v>45337</v>
      </c>
      <c r="D1242" t="inlineStr">
        <is>
          <t>VÄSTERBOTTENS LÄN</t>
        </is>
      </c>
      <c r="E1242" t="inlineStr">
        <is>
          <t>LYCKSELE</t>
        </is>
      </c>
      <c r="G1242" t="n">
        <v>5.5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175-2024</t>
        </is>
      </c>
      <c r="B1243" s="1" t="n">
        <v>45294</v>
      </c>
      <c r="C1243" s="1" t="n">
        <v>45337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171-2024</t>
        </is>
      </c>
      <c r="B1244" s="1" t="n">
        <v>45294</v>
      </c>
      <c r="C1244" s="1" t="n">
        <v>45337</v>
      </c>
      <c r="D1244" t="inlineStr">
        <is>
          <t>VÄSTERBOTTENS LÄN</t>
        </is>
      </c>
      <c r="E1244" t="inlineStr">
        <is>
          <t>LYCKSELE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134-2024</t>
        </is>
      </c>
      <c r="B1245" s="1" t="n">
        <v>45294</v>
      </c>
      <c r="C1245" s="1" t="n">
        <v>45337</v>
      </c>
      <c r="D1245" t="inlineStr">
        <is>
          <t>VÄSTERBOTTENS LÄN</t>
        </is>
      </c>
      <c r="E1245" t="inlineStr">
        <is>
          <t>LYCKSELE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122-2024</t>
        </is>
      </c>
      <c r="B1246" s="1" t="n">
        <v>45294</v>
      </c>
      <c r="C1246" s="1" t="n">
        <v>45337</v>
      </c>
      <c r="D1246" t="inlineStr">
        <is>
          <t>VÄSTERBOTTENS LÄN</t>
        </is>
      </c>
      <c r="E1246" t="inlineStr">
        <is>
          <t>LYCKSELE</t>
        </is>
      </c>
      <c r="G1246" t="n">
        <v>6.8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169-2024</t>
        </is>
      </c>
      <c r="B1247" s="1" t="n">
        <v>45294</v>
      </c>
      <c r="C1247" s="1" t="n">
        <v>45337</v>
      </c>
      <c r="D1247" t="inlineStr">
        <is>
          <t>VÄSTERBOTTENS LÄN</t>
        </is>
      </c>
      <c r="E1247" t="inlineStr">
        <is>
          <t>LYCKSELE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395-2024</t>
        </is>
      </c>
      <c r="B1248" s="1" t="n">
        <v>45296</v>
      </c>
      <c r="C1248" s="1" t="n">
        <v>45337</v>
      </c>
      <c r="D1248" t="inlineStr">
        <is>
          <t>VÄSTERBOTTENS LÄN</t>
        </is>
      </c>
      <c r="E1248" t="inlineStr">
        <is>
          <t>LYCKSELE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496-2024</t>
        </is>
      </c>
      <c r="B1249" s="1" t="n">
        <v>45299</v>
      </c>
      <c r="C1249" s="1" t="n">
        <v>45337</v>
      </c>
      <c r="D1249" t="inlineStr">
        <is>
          <t>VÄSTERBOTTENS LÄN</t>
        </is>
      </c>
      <c r="E1249" t="inlineStr">
        <is>
          <t>LYCKSELE</t>
        </is>
      </c>
      <c r="G1249" t="n">
        <v>5.2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1009-2024</t>
        </is>
      </c>
      <c r="B1250" s="1" t="n">
        <v>45301</v>
      </c>
      <c r="C1250" s="1" t="n">
        <v>45337</v>
      </c>
      <c r="D1250" t="inlineStr">
        <is>
          <t>VÄSTERBOTTENS LÄN</t>
        </is>
      </c>
      <c r="E1250" t="inlineStr">
        <is>
          <t>LYCKSELE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995-2024</t>
        </is>
      </c>
      <c r="B1251" s="1" t="n">
        <v>45301</v>
      </c>
      <c r="C1251" s="1" t="n">
        <v>45337</v>
      </c>
      <c r="D1251" t="inlineStr">
        <is>
          <t>VÄSTERBOTTENS LÄN</t>
        </is>
      </c>
      <c r="E1251" t="inlineStr">
        <is>
          <t>LYCKSELE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1812-2024</t>
        </is>
      </c>
      <c r="B1252" s="1" t="n">
        <v>45307</v>
      </c>
      <c r="C1252" s="1" t="n">
        <v>45337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1962-2024</t>
        </is>
      </c>
      <c r="B1253" s="1" t="n">
        <v>45308</v>
      </c>
      <c r="C1253" s="1" t="n">
        <v>45337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9.300000000000001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2552-2024</t>
        </is>
      </c>
      <c r="B1254" s="1" t="n">
        <v>45313</v>
      </c>
      <c r="C1254" s="1" t="n">
        <v>45337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Naturvårdsverket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3303-2024</t>
        </is>
      </c>
      <c r="B1255" s="1" t="n">
        <v>45316</v>
      </c>
      <c r="C1255" s="1" t="n">
        <v>45337</v>
      </c>
      <c r="D1255" t="inlineStr">
        <is>
          <t>VÄSTERBOTTENS LÄN</t>
        </is>
      </c>
      <c r="E1255" t="inlineStr">
        <is>
          <t>LYCKSELE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3546-2024</t>
        </is>
      </c>
      <c r="B1256" s="1" t="n">
        <v>45320</v>
      </c>
      <c r="C1256" s="1" t="n">
        <v>45337</v>
      </c>
      <c r="D1256" t="inlineStr">
        <is>
          <t>VÄSTERBOTTENS LÄN</t>
        </is>
      </c>
      <c r="E1256" t="inlineStr">
        <is>
          <t>LYCKSELE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3632-2024</t>
        </is>
      </c>
      <c r="B1257" s="1" t="n">
        <v>45320</v>
      </c>
      <c r="C1257" s="1" t="n">
        <v>45337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4390-2024</t>
        </is>
      </c>
      <c r="B1258" s="1" t="n">
        <v>45327</v>
      </c>
      <c r="C1258" s="1" t="n">
        <v>45337</v>
      </c>
      <c r="D1258" t="inlineStr">
        <is>
          <t>VÄSTERBOTTENS LÄN</t>
        </is>
      </c>
      <c r="E1258" t="inlineStr">
        <is>
          <t>LYCKSELE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4625-2024</t>
        </is>
      </c>
      <c r="B1259" s="1" t="n">
        <v>45328</v>
      </c>
      <c r="C1259" s="1" t="n">
        <v>45337</v>
      </c>
      <c r="D1259" t="inlineStr">
        <is>
          <t>VÄSTERBOTTENS LÄN</t>
        </is>
      </c>
      <c r="E1259" t="inlineStr">
        <is>
          <t>LYCKSELE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5323-2024</t>
        </is>
      </c>
      <c r="B1260" s="1" t="n">
        <v>45331</v>
      </c>
      <c r="C1260" s="1" t="n">
        <v>45337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5322-2024</t>
        </is>
      </c>
      <c r="B1261" s="1" t="n">
        <v>45331</v>
      </c>
      <c r="C1261" s="1" t="n">
        <v>45337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2024-02-15T10:54:24Z</dcterms:created>
  <dcterms:modified xmlns:dcterms="http://purl.org/dc/terms/" xmlns:xsi="http://www.w3.org/2001/XMLSchema-instance" xsi:type="dcterms:W3CDTF">2024-02-15T10:54:25Z</dcterms:modified>
</cp:coreProperties>
</file>