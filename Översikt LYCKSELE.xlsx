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46295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46295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46295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46295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46295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46295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46295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46295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46295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46295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46295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46295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46295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46295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46295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46295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46295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46295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46295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46295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46295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46295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46295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46295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46295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46295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46295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46295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46295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46295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46295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46295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46295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46295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46295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46295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46295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46295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46295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46295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46295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46295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46295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46295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46295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46295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58624-2022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46295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Blanksvart spiklav
Vedflamlav</t>
        </is>
      </c>
      <c r="W56">
        <f>HYPERLINK("https://klasma.github.io/Logging_2481/artfynd/A 58624-2022 artfynd.xlsx", "A 58624-2022")</f>
        <v/>
      </c>
      <c r="X56">
        <f>HYPERLINK("https://klasma.github.io/Logging_2481/kartor/A 58624-2022 karta.png", "A 58624-2022")</f>
        <v/>
      </c>
      <c r="Y56">
        <f>HYPERLINK("https://klasma.github.io/Logging_2481/kartor_geotiff/A 58624-2022 georefererad karta.tif", "A 58624-2022")</f>
        <v/>
      </c>
      <c r="AA56">
        <f>HYPERLINK("https://klasma.github.io/Logging_2481/klagomål/A 58624-2022 FSC-klagomål.docx", "A 58624-2022")</f>
        <v/>
      </c>
      <c r="AB56">
        <f>HYPERLINK("https://klasma.github.io/Logging_2481/klagomålsmail/A 58624-2022 FSC-klagomål mail.docx", "A 58624-2022")</f>
        <v/>
      </c>
      <c r="AC56">
        <f>HYPERLINK("https://klasma.github.io/Logging_2481/tillsyn/A 58624-2022 tillsynsbegäran.docx", "A 58624-2022")</f>
        <v/>
      </c>
      <c r="AD56">
        <f>HYPERLINK("https://klasma.github.io/Logging_2481/tillsynsmail/A 58624-2022 tillsynsbegäran mail.docx", "A 58624-2022")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46295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56566-2025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45974</v>
      </c>
      <c r="E58" s="1" t="n">
        <v>46295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3.4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4</v>
      </c>
      <c r="U58" t="n">
        <v>1</v>
      </c>
      <c r="V58" s="2" t="inlineStr">
        <is>
          <t>Knärot
Källmossa
Lopplummer (aggregat)</t>
        </is>
      </c>
      <c r="W58">
        <f>HYPERLINK("https://klasma.github.io/Logging_2481/artfynd/A 56566-2025 artfynd.xlsx", "A 56566-2025")</f>
        <v/>
      </c>
      <c r="X58">
        <f>HYPERLINK("https://klasma.github.io/Logging_2481/kartor/A 56566-2025 karta.png", "A 56566-2025")</f>
        <v/>
      </c>
      <c r="Y58">
        <f>HYPERLINK("https://klasma.github.io/Logging_2481/kartor_geotiff/A 56566-2025 georefererad karta.tif", "A 56566-2025")</f>
        <v/>
      </c>
      <c r="Z58">
        <f>HYPERLINK("https://klasma.github.io/Logging_2481/knärot/A 56566-2025 karta knärot.png", "A 56566-2025")</f>
        <v/>
      </c>
      <c r="AA58">
        <f>HYPERLINK("https://klasma.github.io/Logging_2481/klagomål/A 56566-2025 FSC-klagomål.docx", "A 56566-2025")</f>
        <v/>
      </c>
      <c r="AB58">
        <f>HYPERLINK("https://klasma.github.io/Logging_2481/klagomålsmail/A 56566-2025 FSC-klagomål mail.docx", "A 56566-2025")</f>
        <v/>
      </c>
      <c r="AC58">
        <f>HYPERLINK("https://klasma.github.io/Logging_2481/tillsyn/A 56566-2025 tillsynsbegäran.docx", "A 56566-2025")</f>
        <v/>
      </c>
      <c r="AD58">
        <f>HYPERLINK("https://klasma.github.io/Logging_2481/tillsynsmail/A 56566-2025 tillsynsbegäran mail.docx", "A 56566-2025")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30608-2025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46295</v>
      </c>
      <c r="F60" t="inlineStr">
        <is>
          <t>VÄSTERBOTTENS LÄN</t>
        </is>
      </c>
      <c r="G60" t="inlineStr">
        <is>
          <t>LYCKSELE</t>
        </is>
      </c>
      <c r="H60" t="inlineStr">
        <is>
          <t>Holmen skog AB</t>
        </is>
      </c>
      <c r="I60" t="n">
        <v>3.2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Myrstarr
Lunglav
Fläcknycklar</t>
        </is>
      </c>
      <c r="W60">
        <f>HYPERLINK("https://klasma.github.io/Logging_2481/artfynd/A 30608-2025 artfynd.xlsx", "A 30608-2025")</f>
        <v/>
      </c>
      <c r="X60">
        <f>HYPERLINK("https://klasma.github.io/Logging_2481/kartor/A 30608-2025 karta.png", "A 30608-2025")</f>
        <v/>
      </c>
      <c r="Y60">
        <f>HYPERLINK("https://klasma.github.io/Logging_2481/kartor_geotiff/A 30608-2025 georefererad karta.tif", "A 30608-2025")</f>
        <v/>
      </c>
      <c r="AA60">
        <f>HYPERLINK("https://klasma.github.io/Logging_2481/klagomål/A 30608-2025 FSC-klagomål.docx", "A 30608-2025")</f>
        <v/>
      </c>
      <c r="AB60">
        <f>HYPERLINK("https://klasma.github.io/Logging_2481/klagomålsmail/A 30608-2025 FSC-klagomål mail.docx", "A 30608-2025")</f>
        <v/>
      </c>
      <c r="AC60">
        <f>HYPERLINK("https://klasma.github.io/Logging_2481/tillsyn/A 30608-2025 tillsynsbegäran.docx", "A 30608-2025")</f>
        <v/>
      </c>
      <c r="AD60">
        <f>HYPERLINK("https://klasma.github.io/Logging_2481/tillsynsmail/A 30608-2025 tillsynsbegäran mail.docx", "A 30608-2025")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46295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46295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12980-2026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46092</v>
      </c>
      <c r="E63" s="1" t="n">
        <v>46295</v>
      </c>
      <c r="F63" t="inlineStr">
        <is>
          <t>VÄSTERBOTTENS LÄN</t>
        </is>
      </c>
      <c r="G63" t="inlineStr">
        <is>
          <t>LYCKSELE</t>
        </is>
      </c>
      <c r="H63" t="inlineStr">
        <is>
          <t>SCA</t>
        </is>
      </c>
      <c r="I63" t="n">
        <v>7.2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Lunglav
Sälg
Videsparv</t>
        </is>
      </c>
      <c r="W63">
        <f>HYPERLINK("https://klasma.github.io/Logging_2481/artfynd/A 12980-2026 artfynd.xlsx", "A 12980-2026")</f>
        <v/>
      </c>
      <c r="X63">
        <f>HYPERLINK("https://klasma.github.io/Logging_2481/kartor/A 12980-2026 karta.png", "A 12980-2026")</f>
        <v/>
      </c>
      <c r="Y63">
        <f>HYPERLINK("https://klasma.github.io/Logging_2481/kartor_geotiff/A 12980-2026 georefererad karta.tif", "A 12980-2026")</f>
        <v/>
      </c>
      <c r="AA63">
        <f>HYPERLINK("https://klasma.github.io/Logging_2481/klagomål/A 12980-2026 FSC-klagomål.docx", "A 12980-2026")</f>
        <v/>
      </c>
      <c r="AB63">
        <f>HYPERLINK("https://klasma.github.io/Logging_2481/klagomålsmail/A 12980-2026 FSC-klagomål mail.docx", "A 12980-2026")</f>
        <v/>
      </c>
      <c r="AC63">
        <f>HYPERLINK("https://klasma.github.io/Logging_2481/tillsyn/A 12980-2026 tillsynsbegäran.docx", "A 12980-2026")</f>
        <v/>
      </c>
      <c r="AD63">
        <f>HYPERLINK("https://klasma.github.io/Logging_2481/tillsynsmail/A 12980-2026 tillsynsbegäran mail.docx", "A 12980-2026")</f>
        <v/>
      </c>
      <c r="AE63">
        <f>HYPERLINK("https://klasma.github.io/Logging_2481/fåglar/A 12980-2026 prioriterade fågelarter.docx", "A 12980-2026")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46295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46295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46295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46295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46295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46295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46295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46295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46295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46295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46295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46295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46295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46295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30691-2025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46295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Mörk kolflarnlav
Tretåig hackspett</t>
        </is>
      </c>
      <c r="W85">
        <f>HYPERLINK("https://klasma.github.io/Logging_2481/artfynd/A 30691-2025 artfynd.xlsx", "A 30691-2025")</f>
        <v/>
      </c>
      <c r="X85">
        <f>HYPERLINK("https://klasma.github.io/Logging_2481/kartor/A 30691-2025 karta.png", "A 30691-2025")</f>
        <v/>
      </c>
      <c r="Y85">
        <f>HYPERLINK("https://klasma.github.io/Logging_2481/kartor_geotiff/A 30691-2025 georefererad karta.tif", "A 30691-2025")</f>
        <v/>
      </c>
      <c r="AA85">
        <f>HYPERLINK("https://klasma.github.io/Logging_2481/klagomål/A 30691-2025 FSC-klagomål.docx", "A 30691-2025")</f>
        <v/>
      </c>
      <c r="AB85">
        <f>HYPERLINK("https://klasma.github.io/Logging_2481/klagomålsmail/A 30691-2025 FSC-klagomål mail.docx", "A 30691-2025")</f>
        <v/>
      </c>
      <c r="AC85">
        <f>HYPERLINK("https://klasma.github.io/Logging_2481/tillsyn/A 30691-2025 tillsynsbegäran.docx", "A 30691-2025")</f>
        <v/>
      </c>
      <c r="AD85">
        <f>HYPERLINK("https://klasma.github.io/Logging_2481/tillsynsmail/A 30691-2025 tillsynsbegäran mail.docx", "A 30691-2025")</f>
        <v/>
      </c>
      <c r="AE85">
        <f>HYPERLINK("https://klasma.github.io/Logging_2481/fåglar/A 30691-2025 prioriterade fågelarter.docx", "A 30691-2025")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46295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46295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46295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46295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46295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46295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37458-2025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46295</v>
      </c>
      <c r="F94" t="inlineStr">
        <is>
          <t>VÄSTERBOTTENS LÄN</t>
        </is>
      </c>
      <c r="G94" t="inlineStr">
        <is>
          <t>LYCKSELE</t>
        </is>
      </c>
      <c r="H94" t="inlineStr">
        <is>
          <t>Holmen skog AB</t>
        </is>
      </c>
      <c r="I94" t="n">
        <v>5.1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Lavskrika</t>
        </is>
      </c>
      <c r="W94">
        <f>HYPERLINK("https://klasma.github.io/Logging_2481/artfynd/A 37458-2025 artfynd.xlsx", "A 37458-2025")</f>
        <v/>
      </c>
      <c r="X94">
        <f>HYPERLINK("https://klasma.github.io/Logging_2481/kartor/A 37458-2025 karta.png", "A 37458-2025")</f>
        <v/>
      </c>
      <c r="Y94">
        <f>HYPERLINK("https://klasma.github.io/Logging_2481/kartor_geotiff/A 37458-2025 georefererad karta.tif", "A 37458-2025")</f>
        <v/>
      </c>
      <c r="AA94">
        <f>HYPERLINK("https://klasma.github.io/Logging_2481/klagomål/A 37458-2025 FSC-klagomål.docx", "A 37458-2025")</f>
        <v/>
      </c>
      <c r="AB94">
        <f>HYPERLINK("https://klasma.github.io/Logging_2481/klagomålsmail/A 37458-2025 FSC-klagomål mail.docx", "A 37458-2025")</f>
        <v/>
      </c>
      <c r="AC94">
        <f>HYPERLINK("https://klasma.github.io/Logging_2481/tillsyn/A 37458-2025 tillsynsbegäran.docx", "A 37458-2025")</f>
        <v/>
      </c>
      <c r="AD94">
        <f>HYPERLINK("https://klasma.github.io/Logging_2481/tillsynsmail/A 37458-2025 tillsynsbegäran mail.docx", "A 37458-2025")</f>
        <v/>
      </c>
      <c r="AE94">
        <f>HYPERLINK("https://klasma.github.io/Logging_2481/fåglar/A 37458-2025 prioriterade fågelarter.docx", "A 37458-2025")</f>
        <v/>
      </c>
    </row>
    <row r="95" ht="15" customHeight="1">
      <c r="A95" t="inlineStr">
        <is>
          <t>A 55508-2025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46295</v>
      </c>
      <c r="F95" t="inlineStr">
        <is>
          <t>VÄSTERBOTTENS LÄN</t>
        </is>
      </c>
      <c r="G95" t="inlineStr">
        <is>
          <t>LYCKSELE</t>
        </is>
      </c>
      <c r="I95" t="n">
        <v>10.5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Stuplav</t>
        </is>
      </c>
      <c r="W95">
        <f>HYPERLINK("https://klasma.github.io/Logging_2481/artfynd/A 55508-2025 artfynd.xlsx", "A 55508-2025")</f>
        <v/>
      </c>
      <c r="X95">
        <f>HYPERLINK("https://klasma.github.io/Logging_2481/kartor/A 55508-2025 karta.png", "A 55508-2025")</f>
        <v/>
      </c>
      <c r="Y95">
        <f>HYPERLINK("https://klasma.github.io/Logging_2481/kartor_geotiff/A 55508-2025 georefererad karta.tif", "A 55508-2025")</f>
        <v/>
      </c>
      <c r="AA95">
        <f>HYPERLINK("https://klasma.github.io/Logging_2481/klagomål/A 55508-2025 FSC-klagomål.docx", "A 55508-2025")</f>
        <v/>
      </c>
      <c r="AB95">
        <f>HYPERLINK("https://klasma.github.io/Logging_2481/klagomålsmail/A 55508-2025 FSC-klagomål mail.docx", "A 55508-2025")</f>
        <v/>
      </c>
      <c r="AC95">
        <f>HYPERLINK("https://klasma.github.io/Logging_2481/tillsyn/A 55508-2025 tillsynsbegäran.docx", "A 55508-2025")</f>
        <v/>
      </c>
      <c r="AD95">
        <f>HYPERLINK("https://klasma.github.io/Logging_2481/tillsynsmail/A 55508-2025 tillsynsbegäran mail.docx", "A 55508-2025")</f>
        <v/>
      </c>
    </row>
    <row r="96" ht="15" customHeight="1">
      <c r="A96" t="inlineStr">
        <is>
          <t>A 52234-2024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46295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Dropptaggsvamp
Lavskrika</t>
        </is>
      </c>
      <c r="W96">
        <f>HYPERLINK("https://klasma.github.io/Logging_2481/artfynd/A 52234-2024 artfynd.xlsx", "A 52234-2024")</f>
        <v/>
      </c>
      <c r="X96">
        <f>HYPERLINK("https://klasma.github.io/Logging_2481/kartor/A 52234-2024 karta.png", "A 52234-2024")</f>
        <v/>
      </c>
      <c r="Y96">
        <f>HYPERLINK("https://klasma.github.io/Logging_2481/kartor_geotiff/A 52234-2024 georefererad karta.tif", "A 52234-2024")</f>
        <v/>
      </c>
      <c r="AA96">
        <f>HYPERLINK("https://klasma.github.io/Logging_2481/klagomål/A 52234-2024 FSC-klagomål.docx", "A 52234-2024")</f>
        <v/>
      </c>
      <c r="AB96">
        <f>HYPERLINK("https://klasma.github.io/Logging_2481/klagomålsmail/A 52234-2024 FSC-klagomål mail.docx", "A 52234-2024")</f>
        <v/>
      </c>
      <c r="AC96">
        <f>HYPERLINK("https://klasma.github.io/Logging_2481/tillsyn/A 52234-2024 tillsynsbegäran.docx", "A 52234-2024")</f>
        <v/>
      </c>
      <c r="AD96">
        <f>HYPERLINK("https://klasma.github.io/Logging_2481/tillsynsmail/A 52234-2024 tillsynsbegäran mail.docx", "A 52234-2024")</f>
        <v/>
      </c>
      <c r="AE96">
        <f>HYPERLINK("https://klasma.github.io/Logging_2481/fåglar/A 52234-2024 prioriterade fågelarter.docx", "A 52234-2024")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46295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45935-2024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45580</v>
      </c>
      <c r="E98" s="1" t="n">
        <v>46295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Lunglav
Orange taggsvamp</t>
        </is>
      </c>
      <c r="W98">
        <f>HYPERLINK("https://klasma.github.io/Logging_2481/artfynd/A 45935-2024 artfynd.xlsx", "A 45935-2024")</f>
        <v/>
      </c>
      <c r="X98">
        <f>HYPERLINK("https://klasma.github.io/Logging_2481/kartor/A 45935-2024 karta.png", "A 45935-2024")</f>
        <v/>
      </c>
      <c r="Y98">
        <f>HYPERLINK("https://klasma.github.io/Logging_2481/kartor_geotiff/A 45935-2024 georefererad karta.tif", "A 45935-2024")</f>
        <v/>
      </c>
      <c r="AA98">
        <f>HYPERLINK("https://klasma.github.io/Logging_2481/klagomål/A 45935-2024 FSC-klagomål.docx", "A 45935-2024")</f>
        <v/>
      </c>
      <c r="AB98">
        <f>HYPERLINK("https://klasma.github.io/Logging_2481/klagomålsmail/A 45935-2024 FSC-klagomål mail.docx", "A 45935-2024")</f>
        <v/>
      </c>
      <c r="AC98">
        <f>HYPERLINK("https://klasma.github.io/Logging_2481/tillsyn/A 45935-2024 tillsynsbegäran.docx", "A 45935-2024")</f>
        <v/>
      </c>
      <c r="AD98">
        <f>HYPERLINK("https://klasma.github.io/Logging_2481/tillsynsmail/A 45935-2024 tillsynsbegäran mail.docx", "A 45935-2024")</f>
        <v/>
      </c>
    </row>
    <row r="99" ht="15" customHeight="1">
      <c r="A99" t="inlineStr">
        <is>
          <t>A 16914-2024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46295</v>
      </c>
      <c r="F99" t="inlineStr">
        <is>
          <t>VÄSTERBOTTENS LÄN</t>
        </is>
      </c>
      <c r="G99" t="inlineStr">
        <is>
          <t>LYCKSELE</t>
        </is>
      </c>
      <c r="I99" t="n">
        <v>24.6</v>
      </c>
      <c r="J99" t="n">
        <v>2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Lavskrika
Tretåig hackspett</t>
        </is>
      </c>
      <c r="W99">
        <f>HYPERLINK("https://klasma.github.io/Logging_2481/artfynd/A 16914-2024 artfynd.xlsx", "A 16914-2024")</f>
        <v/>
      </c>
      <c r="X99">
        <f>HYPERLINK("https://klasma.github.io/Logging_2481/kartor/A 16914-2024 karta.png", "A 16914-2024")</f>
        <v/>
      </c>
      <c r="Y99">
        <f>HYPERLINK("https://klasma.github.io/Logging_2481/kartor_geotiff/A 16914-2024 georefererad karta.tif", "A 16914-2024")</f>
        <v/>
      </c>
      <c r="AA99">
        <f>HYPERLINK("https://klasma.github.io/Logging_2481/klagomål/A 16914-2024 FSC-klagomål.docx", "A 16914-2024")</f>
        <v/>
      </c>
      <c r="AB99">
        <f>HYPERLINK("https://klasma.github.io/Logging_2481/klagomålsmail/A 16914-2024 FSC-klagomål mail.docx", "A 16914-2024")</f>
        <v/>
      </c>
      <c r="AC99">
        <f>HYPERLINK("https://klasma.github.io/Logging_2481/tillsyn/A 16914-2024 tillsynsbegäran.docx", "A 16914-2024")</f>
        <v/>
      </c>
      <c r="AD99">
        <f>HYPERLINK("https://klasma.github.io/Logging_2481/tillsynsmail/A 16914-2024 tillsynsbegäran mail.docx", "A 16914-2024")</f>
        <v/>
      </c>
      <c r="AE99">
        <f>HYPERLINK("https://klasma.github.io/Logging_2481/fåglar/A 16914-2024 prioriterade fågelarter.docx", "A 16914-2024")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46295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Harticka
Ullticka</t>
        </is>
      </c>
      <c r="W100">
        <f>HYPERLINK("https://klasma.github.io/Logging_2481/artfynd/A 55566-2024 artfynd.xlsx", "A 55566-2024")</f>
        <v/>
      </c>
      <c r="X100">
        <f>HYPERLINK("https://klasma.github.io/Logging_2481/kartor/A 55566-2024 karta.png", "A 55566-2024")</f>
        <v/>
      </c>
      <c r="Y100">
        <f>HYPERLINK("https://klasma.github.io/Logging_2481/kartor_geotiff/A 55566-2024 georefererad karta.tif", "A 55566-2024")</f>
        <v/>
      </c>
      <c r="AA100">
        <f>HYPERLINK("https://klasma.github.io/Logging_2481/klagomål/A 55566-2024 FSC-klagomål.docx", "A 55566-2024")</f>
        <v/>
      </c>
      <c r="AB100">
        <f>HYPERLINK("https://klasma.github.io/Logging_2481/klagomålsmail/A 55566-2024 FSC-klagomål mail.docx", "A 55566-2024")</f>
        <v/>
      </c>
      <c r="AC100">
        <f>HYPERLINK("https://klasma.github.io/Logging_2481/tillsyn/A 55566-2024 tillsynsbegäran.docx", "A 55566-2024")</f>
        <v/>
      </c>
      <c r="AD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46295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46295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46295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46295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46295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46295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46295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58657-2023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46295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14.4</v>
      </c>
      <c r="J108" t="n">
        <v>1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Bollvitmossa</t>
        </is>
      </c>
      <c r="W108">
        <f>HYPERLINK("https://klasma.github.io/Logging_2481/artfynd/A 58657-2023 artfynd.xlsx", "A 58657-2023")</f>
        <v/>
      </c>
      <c r="X108">
        <f>HYPERLINK("https://klasma.github.io/Logging_2481/kartor/A 58657-2023 karta.png", "A 58657-2023")</f>
        <v/>
      </c>
      <c r="Y108">
        <f>HYPERLINK("https://klasma.github.io/Logging_2481/kartor_geotiff/A 58657-2023 georefererad karta.tif", "A 58657-2023")</f>
        <v/>
      </c>
      <c r="AA108">
        <f>HYPERLINK("https://klasma.github.io/Logging_2481/klagomål/A 58657-2023 FSC-klagomål.docx", "A 58657-2023")</f>
        <v/>
      </c>
      <c r="AB108">
        <f>HYPERLINK("https://klasma.github.io/Logging_2481/klagomålsmail/A 58657-2023 FSC-klagomål mail.docx", "A 58657-2023")</f>
        <v/>
      </c>
      <c r="AC108">
        <f>HYPERLINK("https://klasma.github.io/Logging_2481/tillsyn/A 58657-2023 tillsynsbegäran.docx", "A 58657-2023")</f>
        <v/>
      </c>
      <c r="AD108">
        <f>HYPERLINK("https://klasma.github.io/Logging_2481/tillsynsmail/A 58657-2023 tillsynsbegäran mail.docx", "A 58657-2023")</f>
        <v/>
      </c>
      <c r="AE108">
        <f>HYPERLINK("https://klasma.github.io/Logging_2481/fåglar/A 58657-2023 prioriterade fågelarter.docx", "A 58657-2023")</f>
        <v/>
      </c>
    </row>
    <row r="109" ht="15" customHeight="1">
      <c r="A109" t="inlineStr">
        <is>
          <t>A 41776-2024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46295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Kolflarnlav
Koralltaggsvamp</t>
        </is>
      </c>
      <c r="W109">
        <f>HYPERLINK("https://klasma.github.io/Logging_2481/artfynd/A 41776-2024 artfynd.xlsx", "A 41776-2024")</f>
        <v/>
      </c>
      <c r="X109">
        <f>HYPERLINK("https://klasma.github.io/Logging_2481/kartor/A 41776-2024 karta.png", "A 41776-2024")</f>
        <v/>
      </c>
      <c r="Y109">
        <f>HYPERLINK("https://klasma.github.io/Logging_2481/kartor_geotiff/A 41776-2024 georefererad karta.tif", "A 41776-2024")</f>
        <v/>
      </c>
      <c r="AA109">
        <f>HYPERLINK("https://klasma.github.io/Logging_2481/klagomål/A 41776-2024 FSC-klagomål.docx", "A 41776-2024")</f>
        <v/>
      </c>
      <c r="AB109">
        <f>HYPERLINK("https://klasma.github.io/Logging_2481/klagomålsmail/A 41776-2024 FSC-klagomål mail.docx", "A 41776-2024")</f>
        <v/>
      </c>
      <c r="AC109">
        <f>HYPERLINK("https://klasma.github.io/Logging_2481/tillsyn/A 41776-2024 tillsynsbegäran.docx", "A 41776-2024")</f>
        <v/>
      </c>
      <c r="AD109">
        <f>HYPERLINK("https://klasma.github.io/Logging_2481/tillsynsmail/A 41776-2024 tillsynsbegäran mail.docx", "A 41776-2024")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46295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A 15197-2023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46295</v>
      </c>
      <c r="F111" t="inlineStr">
        <is>
          <t>VÄSTERBOTTENS LÄN</t>
        </is>
      </c>
      <c r="G111" t="inlineStr">
        <is>
          <t>LYCKSELE</t>
        </is>
      </c>
      <c r="I111" t="n">
        <v>11.2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Vaddporing</t>
        </is>
      </c>
      <c r="W111">
        <f>HYPERLINK("https://klasma.github.io/Logging_2481/artfynd/A 15197-2023 artfynd.xlsx", "A 15197-2023")</f>
        <v/>
      </c>
      <c r="X111">
        <f>HYPERLINK("https://klasma.github.io/Logging_2481/kartor/A 15197-2023 karta.png", "A 15197-2023")</f>
        <v/>
      </c>
      <c r="Y111">
        <f>HYPERLINK("https://klasma.github.io/Logging_2481/kartor_geotiff/A 15197-2023 georefererad karta.tif", "A 15197-2023")</f>
        <v/>
      </c>
      <c r="AA111">
        <f>HYPERLINK("https://klasma.github.io/Logging_2481/klagomål/A 15197-2023 FSC-klagomål.docx", "A 15197-2023")</f>
        <v/>
      </c>
      <c r="AB111">
        <f>HYPERLINK("https://klasma.github.io/Logging_2481/klagomålsmail/A 15197-2023 FSC-klagomål mail.docx", "A 15197-2023")</f>
        <v/>
      </c>
      <c r="AC111">
        <f>HYPERLINK("https://klasma.github.io/Logging_2481/tillsyn/A 15197-2023 tillsynsbegäran.docx", "A 15197-2023")</f>
        <v/>
      </c>
      <c r="AD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742-2025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Fläcknycklar</t>
        </is>
      </c>
      <c r="W112">
        <f>HYPERLINK("https://klasma.github.io/Logging_2481/artfynd/A 742-2025 artfynd.xlsx", "A 742-2025")</f>
        <v/>
      </c>
      <c r="X112">
        <f>HYPERLINK("https://klasma.github.io/Logging_2481/kartor/A 742-2025 karta.png", "A 742-2025")</f>
        <v/>
      </c>
      <c r="Y112">
        <f>HYPERLINK("https://klasma.github.io/Logging_2481/kartor_geotiff/A 742-2025 georefererad karta.tif", "A 742-2025")</f>
        <v/>
      </c>
      <c r="AA112">
        <f>HYPERLINK("https://klasma.github.io/Logging_2481/klagomål/A 742-2025 FSC-klagomål.docx", "A 742-2025")</f>
        <v/>
      </c>
      <c r="AB112">
        <f>HYPERLINK("https://klasma.github.io/Logging_2481/klagomålsmail/A 742-2025 FSC-klagomål mail.docx", "A 742-2025")</f>
        <v/>
      </c>
      <c r="AC112">
        <f>HYPERLINK("https://klasma.github.io/Logging_2481/tillsyn/A 742-2025 tillsynsbegäran.docx", "A 742-2025")</f>
        <v/>
      </c>
      <c r="AD112">
        <f>HYPERLINK("https://klasma.github.io/Logging_2481/tillsynsmail/A 742-2025 tillsynsbegäran mail.docx", "A 742-2025")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46295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46295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46295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46295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46295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46295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9341-2022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46295</v>
      </c>
      <c r="F123" t="inlineStr">
        <is>
          <t>VÄSTERBOTTENS LÄN</t>
        </is>
      </c>
      <c r="G123" t="inlineStr">
        <is>
          <t>LYCKSELE</t>
        </is>
      </c>
      <c r="I123" t="n">
        <v>6.9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HYPERLINK("https://klasma.github.io/Logging_2481/artfynd/A 9341-2022 artfynd.xlsx", "A 9341-2022")</f>
        <v/>
      </c>
      <c r="X123">
        <f>HYPERLINK("https://klasma.github.io/Logging_2481/kartor/A 9341-2022 karta.png", "A 9341-2022")</f>
        <v/>
      </c>
      <c r="Y123">
        <f>HYPERLINK("https://klasma.github.io/Logging_2481/kartor_geotiff/A 9341-2022 georefererad karta.tif", "A 9341-2022")</f>
        <v/>
      </c>
      <c r="AA123">
        <f>HYPERLINK("https://klasma.github.io/Logging_2481/klagomål/A 9341-2022 FSC-klagomål.docx", "A 9341-2022")</f>
        <v/>
      </c>
      <c r="AB123">
        <f>HYPERLINK("https://klasma.github.io/Logging_2481/klagomålsmail/A 9341-2022 FSC-klagomål mail.docx", "A 9341-2022")</f>
        <v/>
      </c>
      <c r="AC123">
        <f>HYPERLINK("https://klasma.github.io/Logging_2481/tillsyn/A 9341-2022 tillsynsbegäran.docx", "A 9341-2022")</f>
        <v/>
      </c>
      <c r="AD123">
        <f>HYPERLINK("https://klasma.github.io/Logging_2481/tillsynsmail/A 9341-2022 tillsynsbegäran mail.docx", "A 9341-2022")</f>
        <v/>
      </c>
    </row>
    <row r="124" ht="15" customHeight="1">
      <c r="A124" t="inlineStr">
        <is>
          <t>A 34809-2022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46295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Gammelgransskål</t>
        </is>
      </c>
      <c r="W124">
        <f>HYPERLINK("https://klasma.github.io/Logging_2481/artfynd/A 34809-2022 artfynd.xlsx", "A 34809-2022")</f>
        <v/>
      </c>
      <c r="X124">
        <f>HYPERLINK("https://klasma.github.io/Logging_2481/kartor/A 34809-2022 karta.png", "A 34809-2022")</f>
        <v/>
      </c>
      <c r="Y124">
        <f>HYPERLINK("https://klasma.github.io/Logging_2481/kartor_geotiff/A 34809-2022 georefererad karta.tif", "A 34809-2022")</f>
        <v/>
      </c>
      <c r="AA124">
        <f>HYPERLINK("https://klasma.github.io/Logging_2481/klagomål/A 34809-2022 FSC-klagomål.docx", "A 34809-2022")</f>
        <v/>
      </c>
      <c r="AB124">
        <f>HYPERLINK("https://klasma.github.io/Logging_2481/klagomålsmail/A 34809-2022 FSC-klagomål mail.docx", "A 34809-2022")</f>
        <v/>
      </c>
      <c r="AC124">
        <f>HYPERLINK("https://klasma.github.io/Logging_2481/tillsyn/A 34809-2022 tillsynsbegäran.docx", "A 34809-2022")</f>
        <v/>
      </c>
      <c r="AD124">
        <f>HYPERLINK("https://klasma.github.io/Logging_2481/tillsynsmail/A 34809-2022 tillsynsbegäran mail.docx", "A 34809-2022")</f>
        <v/>
      </c>
    </row>
    <row r="125" ht="15" customHeight="1">
      <c r="A125" t="inlineStr">
        <is>
          <t>A 53226-2022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44876</v>
      </c>
      <c r="E125" s="1" t="n">
        <v>46295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10.5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Ängsmetallvinge</t>
        </is>
      </c>
      <c r="W125">
        <f>HYPERLINK("https://klasma.github.io/Logging_2481/artfynd/A 53226-2022 artfynd.xlsx", "A 53226-2022")</f>
        <v/>
      </c>
      <c r="X125">
        <f>HYPERLINK("https://klasma.github.io/Logging_2481/kartor/A 53226-2022 karta.png", "A 53226-2022")</f>
        <v/>
      </c>
      <c r="Y125">
        <f>HYPERLINK("https://klasma.github.io/Logging_2481/kartor_geotiff/A 53226-2022 georefererad karta.tif", "A 53226-2022")</f>
        <v/>
      </c>
      <c r="AA125">
        <f>HYPERLINK("https://klasma.github.io/Logging_2481/klagomål/A 53226-2022 FSC-klagomål.docx", "A 53226-2022")</f>
        <v/>
      </c>
      <c r="AB125">
        <f>HYPERLINK("https://klasma.github.io/Logging_2481/klagomålsmail/A 53226-2022 FSC-klagomål mail.docx", "A 53226-2022")</f>
        <v/>
      </c>
      <c r="AC125">
        <f>HYPERLINK("https://klasma.github.io/Logging_2481/tillsyn/A 53226-2022 tillsynsbegäran.docx", "A 53226-2022")</f>
        <v/>
      </c>
      <c r="AD125">
        <f>HYPERLINK("https://klasma.github.io/Logging_2481/tillsynsmail/A 53226-2022 tillsynsbegäran mail.docx", "A 53226-2022")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46295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37823-2025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46295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Plattlummer</t>
        </is>
      </c>
      <c r="W127">
        <f>HYPERLINK("https://klasma.github.io/Logging_2481/artfynd/A 37823-2025 artfynd.xlsx", "A 37823-2025")</f>
        <v/>
      </c>
      <c r="X127">
        <f>HYPERLINK("https://klasma.github.io/Logging_2481/kartor/A 37823-2025 karta.png", "A 37823-2025")</f>
        <v/>
      </c>
      <c r="Y127">
        <f>HYPERLINK("https://klasma.github.io/Logging_2481/kartor_geotiff/A 37823-2025 georefererad karta.tif", "A 37823-2025")</f>
        <v/>
      </c>
      <c r="AA127">
        <f>HYPERLINK("https://klasma.github.io/Logging_2481/klagomål/A 37823-2025 FSC-klagomål.docx", "A 37823-2025")</f>
        <v/>
      </c>
      <c r="AB127">
        <f>HYPERLINK("https://klasma.github.io/Logging_2481/klagomålsmail/A 37823-2025 FSC-klagomål mail.docx", "A 37823-2025")</f>
        <v/>
      </c>
      <c r="AC127">
        <f>HYPERLINK("https://klasma.github.io/Logging_2481/tillsyn/A 37823-2025 tillsynsbegäran.docx", "A 37823-2025")</f>
        <v/>
      </c>
      <c r="AD127">
        <f>HYPERLINK("https://klasma.github.io/Logging_2481/tillsynsmail/A 37823-2025 tillsynsbegäran mail.docx", "A 37823-2025")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46295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46295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7768-2023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46295</v>
      </c>
      <c r="F130" t="inlineStr">
        <is>
          <t>VÄSTERBOTTENS LÄN</t>
        </is>
      </c>
      <c r="G130" t="inlineStr">
        <is>
          <t>LYCKSELE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HYPERLINK("https://klasma.github.io/Logging_2481/artfynd/A 7768-2023 artfynd.xlsx", "A 7768-2023")</f>
        <v/>
      </c>
      <c r="X130">
        <f>HYPERLINK("https://klasma.github.io/Logging_2481/kartor/A 7768-2023 karta.png", "A 7768-2023")</f>
        <v/>
      </c>
      <c r="Y130">
        <f>HYPERLINK("https://klasma.github.io/Logging_2481/kartor_geotiff/A 7768-2023 georefererad karta.tif", "A 7768-2023")</f>
        <v/>
      </c>
      <c r="Z130">
        <f>HYPERLINK("https://klasma.github.io/Logging_2481/knärot/A 7768-2023 karta knärot.png", "A 7768-2023")</f>
        <v/>
      </c>
      <c r="AA130">
        <f>HYPERLINK("https://klasma.github.io/Logging_2481/klagomål/A 7768-2023 FSC-klagomål.docx", "A 7768-2023")</f>
        <v/>
      </c>
      <c r="AB130">
        <f>HYPERLINK("https://klasma.github.io/Logging_2481/klagomålsmail/A 7768-2023 FSC-klagomål mail.docx", "A 7768-2023")</f>
        <v/>
      </c>
      <c r="AC130">
        <f>HYPERLINK("https://klasma.github.io/Logging_2481/tillsyn/A 7768-2023 tillsynsbegäran.docx", "A 7768-2023")</f>
        <v/>
      </c>
      <c r="AD130">
        <f>HYPERLINK("https://klasma.github.io/Logging_2481/tillsynsmail/A 7768-2023 tillsynsbegäran mail.docx", "A 7768-2023")</f>
        <v/>
      </c>
    </row>
    <row r="131" ht="15" customHeight="1">
      <c r="A131" t="inlineStr">
        <is>
          <t>A 2499-2026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46295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19.3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HYPERLINK("https://klasma.github.io/Logging_2481/artfynd/A 2499-2026 artfynd.xlsx", "A 2499-2026")</f>
        <v/>
      </c>
      <c r="X131">
        <f>HYPERLINK("https://klasma.github.io/Logging_2481/kartor/A 2499-2026 karta.png", "A 2499-2026")</f>
        <v/>
      </c>
      <c r="Y131">
        <f>HYPERLINK("https://klasma.github.io/Logging_2481/kartor_geotiff/A 2499-2026 georefererad karta.tif", "A 2499-2026")</f>
        <v/>
      </c>
      <c r="AA131">
        <f>HYPERLINK("https://klasma.github.io/Logging_2481/klagomål/A 2499-2026 FSC-klagomål.docx", "A 2499-2026")</f>
        <v/>
      </c>
      <c r="AB131">
        <f>HYPERLINK("https://klasma.github.io/Logging_2481/klagomålsmail/A 2499-2026 FSC-klagomål mail.docx", "A 2499-2026")</f>
        <v/>
      </c>
      <c r="AC131">
        <f>HYPERLINK("https://klasma.github.io/Logging_2481/tillsyn/A 2499-2026 tillsynsbegäran.docx", "A 2499-2026")</f>
        <v/>
      </c>
      <c r="AD131">
        <f>HYPERLINK("https://klasma.github.io/Logging_2481/tillsynsmail/A 2499-2026 tillsynsbegäran mail.docx", "A 2499-2026")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46295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46295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46295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30515-2025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46295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8.1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HYPERLINK("https://klasma.github.io/Logging_2481/artfynd/A 30515-2025 artfynd.xlsx", "A 30515-2025")</f>
        <v/>
      </c>
      <c r="X135">
        <f>HYPERLINK("https://klasma.github.io/Logging_2481/kartor/A 30515-2025 karta.png", "A 30515-2025")</f>
        <v/>
      </c>
      <c r="Y135">
        <f>HYPERLINK("https://klasma.github.io/Logging_2481/kartor_geotiff/A 30515-2025 georefererad karta.tif", "A 30515-2025")</f>
        <v/>
      </c>
      <c r="AA135">
        <f>HYPERLINK("https://klasma.github.io/Logging_2481/klagomål/A 30515-2025 FSC-klagomål.docx", "A 30515-2025")</f>
        <v/>
      </c>
      <c r="AB135">
        <f>HYPERLINK("https://klasma.github.io/Logging_2481/klagomålsmail/A 30515-2025 FSC-klagomål mail.docx", "A 30515-2025")</f>
        <v/>
      </c>
      <c r="AC135">
        <f>HYPERLINK("https://klasma.github.io/Logging_2481/tillsyn/A 30515-2025 tillsynsbegäran.docx", "A 30515-2025")</f>
        <v/>
      </c>
      <c r="AD135">
        <f>HYPERLINK("https://klasma.github.io/Logging_2481/tillsynsmail/A 30515-2025 tillsynsbegäran mail.docx", "A 30515-2025")</f>
        <v/>
      </c>
    </row>
    <row r="136" ht="15" customHeight="1">
      <c r="A136" t="inlineStr">
        <is>
          <t>A 61910-2024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46295</v>
      </c>
      <c r="F136" t="inlineStr">
        <is>
          <t>VÄSTERBOTTENS LÄN</t>
        </is>
      </c>
      <c r="G136" t="inlineStr">
        <is>
          <t>LYCKSELE</t>
        </is>
      </c>
      <c r="I136" t="n">
        <v>5.8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7</v>
      </c>
      <c r="U136" t="n">
        <v>3</v>
      </c>
      <c r="V136" s="2" t="inlineStr">
        <is>
          <t>Norna</t>
        </is>
      </c>
      <c r="W136">
        <f>HYPERLINK("https://klasma.github.io/Logging_2481/artfynd/A 61910-2024 artfynd.xlsx", "A 61910-2024")</f>
        <v/>
      </c>
      <c r="X136">
        <f>HYPERLINK("https://klasma.github.io/Logging_2481/kartor/A 61910-2024 karta.png", "A 61910-2024")</f>
        <v/>
      </c>
      <c r="Y136">
        <f>HYPERLINK("https://klasma.github.io/Logging_2481/kartor_geotiff/A 61910-2024 georefererad karta.tif", "A 61910-2024")</f>
        <v/>
      </c>
      <c r="AA136">
        <f>HYPERLINK("https://klasma.github.io/Logging_2481/klagomål/A 61910-2024 FSC-klagomål.docx", "A 61910-2024")</f>
        <v/>
      </c>
      <c r="AB136">
        <f>HYPERLINK("https://klasma.github.io/Logging_2481/klagomålsmail/A 61910-2024 FSC-klagomål mail.docx", "A 61910-2024")</f>
        <v/>
      </c>
      <c r="AC136">
        <f>HYPERLINK("https://klasma.github.io/Logging_2481/tillsyn/A 61910-2024 tillsynsbegäran.docx", "A 61910-2024")</f>
        <v/>
      </c>
      <c r="AD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46295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33346-2025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46295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Doftskinn</t>
        </is>
      </c>
      <c r="W138">
        <f>HYPERLINK("https://klasma.github.io/Logging_2481/artfynd/A 33346-2025 artfynd.xlsx", "A 33346-2025")</f>
        <v/>
      </c>
      <c r="X138">
        <f>HYPERLINK("https://klasma.github.io/Logging_2481/kartor/A 33346-2025 karta.png", "A 33346-2025")</f>
        <v/>
      </c>
      <c r="Y138">
        <f>HYPERLINK("https://klasma.github.io/Logging_2481/kartor_geotiff/A 33346-2025 georefererad karta.tif", "A 33346-2025")</f>
        <v/>
      </c>
      <c r="AA138">
        <f>HYPERLINK("https://klasma.github.io/Logging_2481/klagomål/A 33346-2025 FSC-klagomål.docx", "A 33346-2025")</f>
        <v/>
      </c>
      <c r="AB138">
        <f>HYPERLINK("https://klasma.github.io/Logging_2481/klagomålsmail/A 33346-2025 FSC-klagomål mail.docx", "A 33346-2025")</f>
        <v/>
      </c>
      <c r="AC138">
        <f>HYPERLINK("https://klasma.github.io/Logging_2481/tillsyn/A 33346-2025 tillsynsbegäran.docx", "A 33346-2025")</f>
        <v/>
      </c>
      <c r="AD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37669-2024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46295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Dropptaggsvamp</t>
        </is>
      </c>
      <c r="W139">
        <f>HYPERLINK("https://klasma.github.io/Logging_2481/artfynd/A 37669-2024 artfynd.xlsx", "A 37669-2024")</f>
        <v/>
      </c>
      <c r="X139">
        <f>HYPERLINK("https://klasma.github.io/Logging_2481/kartor/A 37669-2024 karta.png", "A 37669-2024")</f>
        <v/>
      </c>
      <c r="Y139">
        <f>HYPERLINK("https://klasma.github.io/Logging_2481/kartor_geotiff/A 37669-2024 georefererad karta.tif", "A 37669-2024")</f>
        <v/>
      </c>
      <c r="AA139">
        <f>HYPERLINK("https://klasma.github.io/Logging_2481/klagomål/A 37669-2024 FSC-klagomål.docx", "A 37669-2024")</f>
        <v/>
      </c>
      <c r="AB139">
        <f>HYPERLINK("https://klasma.github.io/Logging_2481/klagomålsmail/A 37669-2024 FSC-klagomål mail.docx", "A 37669-2024")</f>
        <v/>
      </c>
      <c r="AC139">
        <f>HYPERLINK("https://klasma.github.io/Logging_2481/tillsyn/A 37669-2024 tillsynsbegäran.docx", "A 37669-2024")</f>
        <v/>
      </c>
      <c r="AD139">
        <f>HYPERLINK("https://klasma.github.io/Logging_2481/tillsynsmail/A 37669-2024 tillsynsbegäran mail.docx", "A 37669-2024")</f>
        <v/>
      </c>
    </row>
    <row r="140" ht="15" customHeight="1">
      <c r="A140" t="inlineStr">
        <is>
          <t>A 34958-2025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46295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Spillkråka</t>
        </is>
      </c>
      <c r="W140">
        <f>HYPERLINK("https://klasma.github.io/Logging_2481/artfynd/A 34958-2025 artfynd.xlsx", "A 34958-2025")</f>
        <v/>
      </c>
      <c r="X140">
        <f>HYPERLINK("https://klasma.github.io/Logging_2481/kartor/A 34958-2025 karta.png", "A 34958-2025")</f>
        <v/>
      </c>
      <c r="Y140">
        <f>HYPERLINK("https://klasma.github.io/Logging_2481/kartor_geotiff/A 34958-2025 georefererad karta.tif", "A 34958-2025")</f>
        <v/>
      </c>
      <c r="AA140">
        <f>HYPERLINK("https://klasma.github.io/Logging_2481/klagomål/A 34958-2025 FSC-klagomål.docx", "A 34958-2025")</f>
        <v/>
      </c>
      <c r="AB140">
        <f>HYPERLINK("https://klasma.github.io/Logging_2481/klagomålsmail/A 34958-2025 FSC-klagomål mail.docx", "A 34958-2025")</f>
        <v/>
      </c>
      <c r="AC140">
        <f>HYPERLINK("https://klasma.github.io/Logging_2481/tillsyn/A 34958-2025 tillsynsbegäran.docx", "A 34958-2025")</f>
        <v/>
      </c>
      <c r="AD140">
        <f>HYPERLINK("https://klasma.github.io/Logging_2481/tillsynsmail/A 34958-2025 tillsynsbegäran mail.docx", "A 34958-2025")</f>
        <v/>
      </c>
      <c r="AE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46295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14.7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Tretåig hackspett</t>
        </is>
      </c>
      <c r="W141">
        <f>HYPERLINK("https://klasma.github.io/Logging_2481/artfynd/A 35226-2025 artfynd.xlsx", "A 35226-2025")</f>
        <v/>
      </c>
      <c r="X141">
        <f>HYPERLINK("https://klasma.github.io/Logging_2481/kartor/A 35226-2025 karta.png", "A 35226-2025")</f>
        <v/>
      </c>
      <c r="Y141">
        <f>HYPERLINK("https://klasma.github.io/Logging_2481/kartor_geotiff/A 35226-2025 georefererad karta.tif", "A 35226-2025")</f>
        <v/>
      </c>
      <c r="AA141">
        <f>HYPERLINK("https://klasma.github.io/Logging_2481/klagomål/A 35226-2025 FSC-klagomål.docx", "A 35226-2025")</f>
        <v/>
      </c>
      <c r="AB141">
        <f>HYPERLINK("https://klasma.github.io/Logging_2481/klagomålsmail/A 35226-2025 FSC-klagomål mail.docx", "A 35226-2025")</f>
        <v/>
      </c>
      <c r="AC141">
        <f>HYPERLINK("https://klasma.github.io/Logging_2481/tillsyn/A 35226-2025 tillsynsbegäran.docx", "A 35226-2025")</f>
        <v/>
      </c>
      <c r="AD141">
        <f>HYPERLINK("https://klasma.github.io/Logging_2481/tillsynsmail/A 35226-2025 tillsynsbegäran mail.docx", "A 35226-2025")</f>
        <v/>
      </c>
      <c r="AE141">
        <f>HYPERLINK("https://klasma.github.io/Logging_2481/fåglar/A 35226-2025 prioriterade fågelarter.docx", "A 35226-2025")</f>
        <v/>
      </c>
    </row>
    <row r="142" ht="15" customHeight="1">
      <c r="A142" t="inlineStr">
        <is>
          <t>A 7398-2025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46295</v>
      </c>
      <c r="F142" t="inlineStr">
        <is>
          <t>VÄSTERBOTTENS LÄN</t>
        </is>
      </c>
      <c r="G142" t="inlineStr">
        <is>
          <t>LYCKSELE</t>
        </is>
      </c>
      <c r="I142" t="n">
        <v>2.4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Gråspett</t>
        </is>
      </c>
      <c r="W142">
        <f>HYPERLINK("https://klasma.github.io/Logging_2481/artfynd/A 7398-2025 artfynd.xlsx", "A 7398-2025")</f>
        <v/>
      </c>
      <c r="X142">
        <f>HYPERLINK("https://klasma.github.io/Logging_2481/kartor/A 7398-2025 karta.png", "A 7398-2025")</f>
        <v/>
      </c>
      <c r="Y142">
        <f>HYPERLINK("https://klasma.github.io/Logging_2481/kartor_geotiff/A 7398-2025 georefererad karta.tif", "A 7398-2025")</f>
        <v/>
      </c>
      <c r="AA142">
        <f>HYPERLINK("https://klasma.github.io/Logging_2481/klagomål/A 7398-2025 FSC-klagomål.docx", "A 7398-2025")</f>
        <v/>
      </c>
      <c r="AB142">
        <f>HYPERLINK("https://klasma.github.io/Logging_2481/klagomålsmail/A 7398-2025 FSC-klagomål mail.docx", "A 7398-2025")</f>
        <v/>
      </c>
      <c r="AC142">
        <f>HYPERLINK("https://klasma.github.io/Logging_2481/tillsyn/A 7398-2025 tillsynsbegäran.docx", "A 7398-2025")</f>
        <v/>
      </c>
      <c r="AD142">
        <f>HYPERLINK("https://klasma.github.io/Logging_2481/tillsynsmail/A 7398-2025 tillsynsbegäran mail.docx", "A 7398-2025")</f>
        <v/>
      </c>
      <c r="AE142">
        <f>HYPERLINK("https://klasma.github.io/Logging_2481/fåglar/A 7398-2025 prioriterade fågelarter.docx", "A 7398-2025")</f>
        <v/>
      </c>
    </row>
    <row r="143" ht="15" customHeight="1">
      <c r="A143" t="inlineStr">
        <is>
          <t>A 35239-2025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45853</v>
      </c>
      <c r="E143" s="1" t="n">
        <v>46295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8.699999999999999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Gammelgransskål</t>
        </is>
      </c>
      <c r="W143">
        <f>HYPERLINK("https://klasma.github.io/Logging_2481/artfynd/A 35239-2025 artfynd.xlsx", "A 35239-2025")</f>
        <v/>
      </c>
      <c r="X143">
        <f>HYPERLINK("https://klasma.github.io/Logging_2481/kartor/A 35239-2025 karta.png", "A 35239-2025")</f>
        <v/>
      </c>
      <c r="Y143">
        <f>HYPERLINK("https://klasma.github.io/Logging_2481/kartor_geotiff/A 35239-2025 georefererad karta.tif", "A 35239-2025")</f>
        <v/>
      </c>
      <c r="AA143">
        <f>HYPERLINK("https://klasma.github.io/Logging_2481/klagomål/A 35239-2025 FSC-klagomål.docx", "A 35239-2025")</f>
        <v/>
      </c>
      <c r="AB143">
        <f>HYPERLINK("https://klasma.github.io/Logging_2481/klagomålsmail/A 35239-2025 FSC-klagomål mail.docx", "A 35239-2025")</f>
        <v/>
      </c>
      <c r="AC143">
        <f>HYPERLINK("https://klasma.github.io/Logging_2481/tillsyn/A 35239-2025 tillsynsbegäran.docx", "A 35239-2025")</f>
        <v/>
      </c>
      <c r="AD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35981-2025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46295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35981-2025 artfynd.xlsx", "A 35981-2025")</f>
        <v/>
      </c>
      <c r="X144">
        <f>HYPERLINK("https://klasma.github.io/Logging_2481/kartor/A 35981-2025 karta.png", "A 35981-2025")</f>
        <v/>
      </c>
      <c r="Y144">
        <f>HYPERLINK("https://klasma.github.io/Logging_2481/kartor_geotiff/A 35981-2025 georefererad karta.tif", "A 35981-2025")</f>
        <v/>
      </c>
      <c r="AA144">
        <f>HYPERLINK("https://klasma.github.io/Logging_2481/klagomål/A 35981-2025 FSC-klagomål.docx", "A 35981-2025")</f>
        <v/>
      </c>
      <c r="AB144">
        <f>HYPERLINK("https://klasma.github.io/Logging_2481/klagomålsmail/A 35981-2025 FSC-klagomål mail.docx", "A 35981-2025")</f>
        <v/>
      </c>
      <c r="AC144">
        <f>HYPERLINK("https://klasma.github.io/Logging_2481/tillsyn/A 35981-2025 tillsynsbegäran.docx", "A 35981-2025")</f>
        <v/>
      </c>
      <c r="AD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50463-2025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46295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50463-2025 artfynd.xlsx", "A 50463-2025")</f>
        <v/>
      </c>
      <c r="X145">
        <f>HYPERLINK("https://klasma.github.io/Logging_2481/kartor/A 50463-2025 karta.png", "A 50463-2025")</f>
        <v/>
      </c>
      <c r="Y145">
        <f>HYPERLINK("https://klasma.github.io/Logging_2481/kartor_geotiff/A 50463-2025 georefererad karta.tif", "A 50463-2025")</f>
        <v/>
      </c>
      <c r="AA145">
        <f>HYPERLINK("https://klasma.github.io/Logging_2481/klagomål/A 50463-2025 FSC-klagomål.docx", "A 50463-2025")</f>
        <v/>
      </c>
      <c r="AB145">
        <f>HYPERLINK("https://klasma.github.io/Logging_2481/klagomålsmail/A 50463-2025 FSC-klagomål mail.docx", "A 50463-2025")</f>
        <v/>
      </c>
      <c r="AC145">
        <f>HYPERLINK("https://klasma.github.io/Logging_2481/tillsyn/A 50463-2025 tillsynsbegäran.docx", "A 50463-2025")</f>
        <v/>
      </c>
      <c r="AD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36687-2025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46295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36687-2025 artfynd.xlsx", "A 36687-2025")</f>
        <v/>
      </c>
      <c r="X146">
        <f>HYPERLINK("https://klasma.github.io/Logging_2481/kartor/A 36687-2025 karta.png", "A 36687-2025")</f>
        <v/>
      </c>
      <c r="Y146">
        <f>HYPERLINK("https://klasma.github.io/Logging_2481/kartor_geotiff/A 36687-2025 georefererad karta.tif", "A 36687-2025")</f>
        <v/>
      </c>
      <c r="AA146">
        <f>HYPERLINK("https://klasma.github.io/Logging_2481/klagomål/A 36687-2025 FSC-klagomål.docx", "A 36687-2025")</f>
        <v/>
      </c>
      <c r="AB146">
        <f>HYPERLINK("https://klasma.github.io/Logging_2481/klagomålsmail/A 36687-2025 FSC-klagomål mail.docx", "A 36687-2025")</f>
        <v/>
      </c>
      <c r="AC146">
        <f>HYPERLINK("https://klasma.github.io/Logging_2481/tillsyn/A 36687-2025 tillsynsbegäran.docx", "A 36687-2025")</f>
        <v/>
      </c>
      <c r="AD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9924-2024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46295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HYPERLINK("https://klasma.github.io/Logging_2481/artfynd/A 9924-2024 artfynd.xlsx", "A 9924-2024")</f>
        <v/>
      </c>
      <c r="X147">
        <f>HYPERLINK("https://klasma.github.io/Logging_2481/kartor/A 9924-2024 karta.png", "A 9924-2024")</f>
        <v/>
      </c>
      <c r="Y147">
        <f>HYPERLINK("https://klasma.github.io/Logging_2481/kartor_geotiff/A 9924-2024 georefererad karta.tif", "A 9924-2024")</f>
        <v/>
      </c>
      <c r="AA147">
        <f>HYPERLINK("https://klasma.github.io/Logging_2481/klagomål/A 9924-2024 FSC-klagomål.docx", "A 9924-2024")</f>
        <v/>
      </c>
      <c r="AB147">
        <f>HYPERLINK("https://klasma.github.io/Logging_2481/klagomålsmail/A 9924-2024 FSC-klagomål mail.docx", "A 9924-2024")</f>
        <v/>
      </c>
      <c r="AC147">
        <f>HYPERLINK("https://klasma.github.io/Logging_2481/tillsyn/A 9924-2024 tillsynsbegäran.docx", "A 9924-2024")</f>
        <v/>
      </c>
      <c r="AD147">
        <f>HYPERLINK("https://klasma.github.io/Logging_2481/tillsynsmail/A 9924-2024 tillsynsbegäran mail.docx", "A 9924-2024")</f>
        <v/>
      </c>
    </row>
    <row r="148" ht="15" customHeight="1">
      <c r="A148" t="inlineStr">
        <is>
          <t>A 53108-2025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46295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Bårdlav</t>
        </is>
      </c>
      <c r="W148">
        <f>HYPERLINK("https://klasma.github.io/Logging_2481/artfynd/A 53108-2025 artfynd.xlsx", "A 53108-2025")</f>
        <v/>
      </c>
      <c r="X148">
        <f>HYPERLINK("https://klasma.github.io/Logging_2481/kartor/A 53108-2025 karta.png", "A 53108-2025")</f>
        <v/>
      </c>
      <c r="Y148">
        <f>HYPERLINK("https://klasma.github.io/Logging_2481/kartor_geotiff/A 53108-2025 georefererad karta.tif", "A 53108-2025")</f>
        <v/>
      </c>
      <c r="AA148">
        <f>HYPERLINK("https://klasma.github.io/Logging_2481/klagomål/A 53108-2025 FSC-klagomål.docx", "A 53108-2025")</f>
        <v/>
      </c>
      <c r="AB148">
        <f>HYPERLINK("https://klasma.github.io/Logging_2481/klagomålsmail/A 53108-2025 FSC-klagomål mail.docx", "A 53108-2025")</f>
        <v/>
      </c>
      <c r="AC148">
        <f>HYPERLINK("https://klasma.github.io/Logging_2481/tillsyn/A 53108-2025 tillsynsbegäran.docx", "A 53108-2025")</f>
        <v/>
      </c>
      <c r="AD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46295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8491-2026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46065</v>
      </c>
      <c r="E151" s="1" t="n">
        <v>46295</v>
      </c>
      <c r="F151" t="inlineStr">
        <is>
          <t>VÄSTERBOTTENS LÄN</t>
        </is>
      </c>
      <c r="G151" t="inlineStr">
        <is>
          <t>LYCKSELE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8491-2026 artfynd.xlsx", "A 8491-2026")</f>
        <v/>
      </c>
      <c r="X151">
        <f>HYPERLINK("https://klasma.github.io/Logging_2481/kartor/A 8491-2026 karta.png", "A 8491-2026")</f>
        <v/>
      </c>
      <c r="Y151">
        <f>HYPERLINK("https://klasma.github.io/Logging_2481/kartor_geotiff/A 8491-2026 georefererad karta.tif", "A 8491-2026")</f>
        <v/>
      </c>
      <c r="AA151">
        <f>HYPERLINK("https://klasma.github.io/Logging_2481/klagomål/A 8491-2026 FSC-klagomål.docx", "A 8491-2026")</f>
        <v/>
      </c>
      <c r="AB151">
        <f>HYPERLINK("https://klasma.github.io/Logging_2481/klagomålsmail/A 8491-2026 FSC-klagomål mail.docx", "A 8491-2026")</f>
        <v/>
      </c>
      <c r="AC151">
        <f>HYPERLINK("https://klasma.github.io/Logging_2481/tillsyn/A 8491-2026 tillsynsbegäran.docx", "A 8491-2026")</f>
        <v/>
      </c>
      <c r="AD151">
        <f>HYPERLINK("https://klasma.github.io/Logging_2481/tillsynsmail/A 8491-2026 tillsynsbegäran mail.docx", "A 8491-2026")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46295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9722-2026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46072</v>
      </c>
      <c r="E153" s="1" t="n">
        <v>46295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HYPERLINK("https://klasma.github.io/Logging_2481/artfynd/A 9722-2026 artfynd.xlsx", "A 9722-2026")</f>
        <v/>
      </c>
      <c r="X153">
        <f>HYPERLINK("https://klasma.github.io/Logging_2481/kartor/A 9722-2026 karta.png", "A 9722-2026")</f>
        <v/>
      </c>
      <c r="Y153">
        <f>HYPERLINK("https://klasma.github.io/Logging_2481/kartor_geotiff/A 9722-2026 georefererad karta.tif", "A 9722-2026")</f>
        <v/>
      </c>
      <c r="AA153">
        <f>HYPERLINK("https://klasma.github.io/Logging_2481/klagomål/A 9722-2026 FSC-klagomål.docx", "A 9722-2026")</f>
        <v/>
      </c>
      <c r="AB153">
        <f>HYPERLINK("https://klasma.github.io/Logging_2481/klagomålsmail/A 9722-2026 FSC-klagomål mail.docx", "A 9722-2026")</f>
        <v/>
      </c>
      <c r="AC153">
        <f>HYPERLINK("https://klasma.github.io/Logging_2481/tillsyn/A 9722-2026 tillsynsbegäran.docx", "A 9722-2026")</f>
        <v/>
      </c>
      <c r="AD153">
        <f>HYPERLINK("https://klasma.github.io/Logging_2481/tillsynsmail/A 9722-2026 tillsynsbegäran mail.docx", "A 9722-2026")</f>
        <v/>
      </c>
    </row>
    <row r="154" ht="15" customHeight="1">
      <c r="A154" t="inlineStr">
        <is>
          <t>A 58390-2025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46295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58390-2025 artfynd.xlsx", "A 58390-2025")</f>
        <v/>
      </c>
      <c r="X154">
        <f>HYPERLINK("https://klasma.github.io/Logging_2481/kartor/A 58390-2025 karta.png", "A 58390-2025")</f>
        <v/>
      </c>
      <c r="Y154">
        <f>HYPERLINK("https://klasma.github.io/Logging_2481/kartor_geotiff/A 58390-2025 georefererad karta.tif", "A 58390-2025")</f>
        <v/>
      </c>
      <c r="AA154">
        <f>HYPERLINK("https://klasma.github.io/Logging_2481/klagomål/A 58390-2025 FSC-klagomål.docx", "A 58390-2025")</f>
        <v/>
      </c>
      <c r="AB154">
        <f>HYPERLINK("https://klasma.github.io/Logging_2481/klagomålsmail/A 58390-2025 FSC-klagomål mail.docx", "A 58390-2025")</f>
        <v/>
      </c>
      <c r="AC154">
        <f>HYPERLINK("https://klasma.github.io/Logging_2481/tillsyn/A 58390-2025 tillsynsbegäran.docx", "A 58390-2025")</f>
        <v/>
      </c>
      <c r="AD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46295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62317-2025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46295</v>
      </c>
      <c r="F156" t="inlineStr">
        <is>
          <t>VÄSTERBOTTENS LÄN</t>
        </is>
      </c>
      <c r="G156" t="inlineStr">
        <is>
          <t>LYCKSELE</t>
        </is>
      </c>
      <c r="I156" t="n">
        <v>0.9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Plattlummer</t>
        </is>
      </c>
      <c r="W156">
        <f>HYPERLINK("https://klasma.github.io/Logging_2481/artfynd/A 62317-2025 artfynd.xlsx", "A 62317-2025")</f>
        <v/>
      </c>
      <c r="X156">
        <f>HYPERLINK("https://klasma.github.io/Logging_2481/kartor/A 62317-2025 karta.png", "A 62317-2025")</f>
        <v/>
      </c>
      <c r="Y156">
        <f>HYPERLINK("https://klasma.github.io/Logging_2481/kartor_geotiff/A 62317-2025 georefererad karta.tif", "A 62317-2025")</f>
        <v/>
      </c>
      <c r="AA156">
        <f>HYPERLINK("https://klasma.github.io/Logging_2481/klagomål/A 62317-2025 FSC-klagomål.docx", "A 62317-2025")</f>
        <v/>
      </c>
      <c r="AB156">
        <f>HYPERLINK("https://klasma.github.io/Logging_2481/klagomålsmail/A 62317-2025 FSC-klagomål mail.docx", "A 62317-2025")</f>
        <v/>
      </c>
      <c r="AC156">
        <f>HYPERLINK("https://klasma.github.io/Logging_2481/tillsyn/A 62317-2025 tillsynsbegäran.docx", "A 62317-2025")</f>
        <v/>
      </c>
      <c r="AD156">
        <f>HYPERLINK("https://klasma.github.io/Logging_2481/tillsynsmail/A 62317-2025 tillsynsbegäran mail.docx", "A 62317-2025")</f>
        <v/>
      </c>
    </row>
    <row r="157" ht="15" customHeight="1">
      <c r="A157" t="inlineStr">
        <is>
          <t>A 28408-2023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45101</v>
      </c>
      <c r="E157" s="1" t="n">
        <v>46295</v>
      </c>
      <c r="F157" t="inlineStr">
        <is>
          <t>VÄSTERBOTTENS LÄN</t>
        </is>
      </c>
      <c r="G157" t="inlineStr">
        <is>
          <t>LYCKSELE</t>
        </is>
      </c>
      <c r="I157" t="n">
        <v>5.7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HYPERLINK("https://klasma.github.io/Logging_2481/artfynd/A 28408-2023 artfynd.xlsx", "A 28408-2023")</f>
        <v/>
      </c>
      <c r="X157">
        <f>HYPERLINK("https://klasma.github.io/Logging_2481/kartor/A 28408-2023 karta.png", "A 28408-2023")</f>
        <v/>
      </c>
      <c r="Y157">
        <f>HYPERLINK("https://klasma.github.io/Logging_2481/kartor_geotiff/A 28408-2023 georefererad karta.tif", "A 28408-2023")</f>
        <v/>
      </c>
      <c r="AA157">
        <f>HYPERLINK("https://klasma.github.io/Logging_2481/klagomål/A 28408-2023 FSC-klagomål.docx", "A 28408-2023")</f>
        <v/>
      </c>
      <c r="AB157">
        <f>HYPERLINK("https://klasma.github.io/Logging_2481/klagomålsmail/A 28408-2023 FSC-klagomål mail.docx", "A 28408-2023")</f>
        <v/>
      </c>
      <c r="AC157">
        <f>HYPERLINK("https://klasma.github.io/Logging_2481/tillsyn/A 28408-2023 tillsynsbegäran.docx", "A 28408-2023")</f>
        <v/>
      </c>
      <c r="AD157">
        <f>HYPERLINK("https://klasma.github.io/Logging_2481/tillsynsmail/A 28408-2023 tillsynsbegäran mail.docx", "A 28408-2023")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46295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20404-2026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46295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20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Utter</t>
        </is>
      </c>
      <c r="W159">
        <f>HYPERLINK("https://klasma.github.io/Logging_2481/artfynd/A 20404-2026 artfynd.xlsx", "A 20404-2026")</f>
        <v/>
      </c>
      <c r="X159">
        <f>HYPERLINK("https://klasma.github.io/Logging_2481/kartor/A 20404-2026 karta.png", "A 20404-2026")</f>
        <v/>
      </c>
      <c r="Y159">
        <f>HYPERLINK("https://klasma.github.io/Logging_2481/kartor_geotiff/A 20404-2026 georefererad karta.tif", "A 20404-2026")</f>
        <v/>
      </c>
      <c r="AA159">
        <f>HYPERLINK("https://klasma.github.io/Logging_2481/klagomål/A 20404-2026 FSC-klagomål.docx", "A 20404-2026")</f>
        <v/>
      </c>
      <c r="AB159">
        <f>HYPERLINK("https://klasma.github.io/Logging_2481/klagomålsmail/A 20404-2026 FSC-klagomål mail.docx", "A 20404-2026")</f>
        <v/>
      </c>
      <c r="AC159">
        <f>HYPERLINK("https://klasma.github.io/Logging_2481/tillsyn/A 20404-2026 tillsynsbegäran.docx", "A 20404-2026")</f>
        <v/>
      </c>
      <c r="AD159">
        <f>HYPERLINK("https://klasma.github.io/Logging_2481/tillsynsmail/A 20404-2026 tillsynsbegäran mail.docx", "A 20404-2026")</f>
        <v/>
      </c>
    </row>
    <row r="160" ht="15" customHeight="1">
      <c r="A160" t="inlineStr">
        <is>
          <t>A 55938-2023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46295</v>
      </c>
      <c r="F160" t="inlineStr">
        <is>
          <t>VÄSTERBOTTENS LÄN</t>
        </is>
      </c>
      <c r="G160" t="inlineStr">
        <is>
          <t>LYCKSELE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Järpe</t>
        </is>
      </c>
      <c r="W160">
        <f>HYPERLINK("https://klasma.github.io/Logging_2481/artfynd/A 55938-2023 artfynd.xlsx", "A 55938-2023")</f>
        <v/>
      </c>
      <c r="X160">
        <f>HYPERLINK("https://klasma.github.io/Logging_2481/kartor/A 55938-2023 karta.png", "A 55938-2023")</f>
        <v/>
      </c>
      <c r="Y160">
        <f>HYPERLINK("https://klasma.github.io/Logging_2481/kartor_geotiff/A 55938-2023 georefererad karta.tif", "A 55938-2023")</f>
        <v/>
      </c>
      <c r="AA160">
        <f>HYPERLINK("https://klasma.github.io/Logging_2481/klagomål/A 55938-2023 FSC-klagomål.docx", "A 55938-2023")</f>
        <v/>
      </c>
      <c r="AB160">
        <f>HYPERLINK("https://klasma.github.io/Logging_2481/klagomålsmail/A 55938-2023 FSC-klagomål mail.docx", "A 55938-2023")</f>
        <v/>
      </c>
      <c r="AC160">
        <f>HYPERLINK("https://klasma.github.io/Logging_2481/tillsyn/A 55938-2023 tillsynsbegäran.docx", "A 55938-2023")</f>
        <v/>
      </c>
      <c r="AD160">
        <f>HYPERLINK("https://klasma.github.io/Logging_2481/tillsynsmail/A 55938-2023 tillsynsbegäran mail.docx", "A 55938-2023")</f>
        <v/>
      </c>
      <c r="AE160">
        <f>HYPERLINK("https://klasma.github.io/Logging_2481/fåglar/A 55938-2023 prioriterade fågelarter.docx", "A 55938-2023")</f>
        <v/>
      </c>
    </row>
    <row r="161" ht="15" customHeight="1">
      <c r="A161" t="inlineStr">
        <is>
          <t>A 28838-2024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46295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28838-2024 artfynd.xlsx", "A 28838-2024")</f>
        <v/>
      </c>
      <c r="X161">
        <f>HYPERLINK("https://klasma.github.io/Logging_2481/kartor/A 28838-2024 karta.png", "A 28838-2024")</f>
        <v/>
      </c>
      <c r="Y161">
        <f>HYPERLINK("https://klasma.github.io/Logging_2481/kartor_geotiff/A 28838-2024 georefererad karta.tif", "A 28838-2024")</f>
        <v/>
      </c>
      <c r="AA161">
        <f>HYPERLINK("https://klasma.github.io/Logging_2481/klagomål/A 28838-2024 FSC-klagomål.docx", "A 28838-2024")</f>
        <v/>
      </c>
      <c r="AB161">
        <f>HYPERLINK("https://klasma.github.io/Logging_2481/klagomålsmail/A 28838-2024 FSC-klagomål mail.docx", "A 28838-2024")</f>
        <v/>
      </c>
      <c r="AC161">
        <f>HYPERLINK("https://klasma.github.io/Logging_2481/tillsyn/A 28838-2024 tillsynsbegäran.docx", "A 28838-2024")</f>
        <v/>
      </c>
      <c r="AD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22120-2026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46295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22120-2026 artfynd.xlsx", "A 22120-2026")</f>
        <v/>
      </c>
      <c r="X162">
        <f>HYPERLINK("https://klasma.github.io/Logging_2481/kartor/A 22120-2026 karta.png", "A 22120-2026")</f>
        <v/>
      </c>
      <c r="Y162">
        <f>HYPERLINK("https://klasma.github.io/Logging_2481/kartor_geotiff/A 22120-2026 georefererad karta.tif", "A 22120-2026")</f>
        <v/>
      </c>
      <c r="AA162">
        <f>HYPERLINK("https://klasma.github.io/Logging_2481/klagomål/A 22120-2026 FSC-klagomål.docx", "A 22120-2026")</f>
        <v/>
      </c>
      <c r="AB162">
        <f>HYPERLINK("https://klasma.github.io/Logging_2481/klagomålsmail/A 22120-2026 FSC-klagomål mail.docx", "A 22120-2026")</f>
        <v/>
      </c>
      <c r="AC162">
        <f>HYPERLINK("https://klasma.github.io/Logging_2481/tillsyn/A 22120-2026 tillsynsbegäran.docx", "A 22120-2026")</f>
        <v/>
      </c>
      <c r="AD162">
        <f>HYPERLINK("https://klasma.github.io/Logging_2481/tillsynsmail/A 22120-2026 tillsynsbegäran mail.docx", "A 22120-2026")</f>
        <v/>
      </c>
    </row>
    <row r="163" ht="15" customHeight="1">
      <c r="A163" t="inlineStr">
        <is>
          <t>A 35559-2023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46295</v>
      </c>
      <c r="F163" t="inlineStr">
        <is>
          <t>VÄSTERBOTTENS LÄN</t>
        </is>
      </c>
      <c r="G163" t="inlineStr">
        <is>
          <t>LYCKSELE</t>
        </is>
      </c>
      <c r="I163" t="n">
        <v>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Stjärntagging</t>
        </is>
      </c>
      <c r="W163">
        <f>HYPERLINK("https://klasma.github.io/Logging_2481/artfynd/A 35559-2023 artfynd.xlsx", "A 35559-2023")</f>
        <v/>
      </c>
      <c r="X163">
        <f>HYPERLINK("https://klasma.github.io/Logging_2481/kartor/A 35559-2023 karta.png", "A 35559-2023")</f>
        <v/>
      </c>
      <c r="Y163">
        <f>HYPERLINK("https://klasma.github.io/Logging_2481/kartor_geotiff/A 35559-2023 georefererad karta.tif", "A 35559-2023")</f>
        <v/>
      </c>
      <c r="AA163">
        <f>HYPERLINK("https://klasma.github.io/Logging_2481/klagomål/A 35559-2023 FSC-klagomål.docx", "A 35559-2023")</f>
        <v/>
      </c>
      <c r="AB163">
        <f>HYPERLINK("https://klasma.github.io/Logging_2481/klagomålsmail/A 35559-2023 FSC-klagomål mail.docx", "A 35559-2023")</f>
        <v/>
      </c>
      <c r="AC163">
        <f>HYPERLINK("https://klasma.github.io/Logging_2481/tillsyn/A 35559-2023 tillsynsbegäran.docx", "A 35559-2023")</f>
        <v/>
      </c>
      <c r="AD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46295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57243-2025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46295</v>
      </c>
      <c r="F165" t="inlineStr">
        <is>
          <t>VÄSTERBOTTENS LÄN</t>
        </is>
      </c>
      <c r="G165" t="inlineStr">
        <is>
          <t>LYCKSELE</t>
        </is>
      </c>
      <c r="I165" t="n">
        <v>2.1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57243-2025 artfynd.xlsx", "A 57243-2025")</f>
        <v/>
      </c>
      <c r="X165">
        <f>HYPERLINK("https://klasma.github.io/Logging_2481/kartor/A 57243-2025 karta.png", "A 57243-2025")</f>
        <v/>
      </c>
      <c r="Y165">
        <f>HYPERLINK("https://klasma.github.io/Logging_2481/kartor_geotiff/A 57243-2025 georefererad karta.tif", "A 57243-2025")</f>
        <v/>
      </c>
      <c r="AA165">
        <f>HYPERLINK("https://klasma.github.io/Logging_2481/klagomål/A 57243-2025 FSC-klagomål.docx", "A 57243-2025")</f>
        <v/>
      </c>
      <c r="AB165">
        <f>HYPERLINK("https://klasma.github.io/Logging_2481/klagomålsmail/A 57243-2025 FSC-klagomål mail.docx", "A 57243-2025")</f>
        <v/>
      </c>
      <c r="AC165">
        <f>HYPERLINK("https://klasma.github.io/Logging_2481/tillsyn/A 57243-2025 tillsynsbegäran.docx", "A 57243-2025")</f>
        <v/>
      </c>
      <c r="AD165">
        <f>HYPERLINK("https://klasma.github.io/Logging_2481/tillsynsmail/A 57243-2025 tillsynsbegäran mail.docx", "A 57243-2025")</f>
        <v/>
      </c>
    </row>
    <row r="166" ht="15" customHeight="1">
      <c r="A166" t="inlineStr">
        <is>
          <t>A 23396-2026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46295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6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Källpraktmossa</t>
        </is>
      </c>
      <c r="W166">
        <f>HYPERLINK("https://klasma.github.io/Logging_2481/artfynd/A 23396-2026 artfynd.xlsx", "A 23396-2026")</f>
        <v/>
      </c>
      <c r="X166">
        <f>HYPERLINK("https://klasma.github.io/Logging_2481/kartor/A 23396-2026 karta.png", "A 23396-2026")</f>
        <v/>
      </c>
      <c r="Y166">
        <f>HYPERLINK("https://klasma.github.io/Logging_2481/kartor_geotiff/A 23396-2026 georefererad karta.tif", "A 23396-2026")</f>
        <v/>
      </c>
      <c r="AA166">
        <f>HYPERLINK("https://klasma.github.io/Logging_2481/klagomål/A 23396-2026 FSC-klagomål.docx", "A 23396-2026")</f>
        <v/>
      </c>
      <c r="AB166">
        <f>HYPERLINK("https://klasma.github.io/Logging_2481/klagomålsmail/A 23396-2026 FSC-klagomål mail.docx", "A 23396-2026")</f>
        <v/>
      </c>
      <c r="AC166">
        <f>HYPERLINK("https://klasma.github.io/Logging_2481/tillsyn/A 23396-2026 tillsynsbegäran.docx", "A 23396-2026")</f>
        <v/>
      </c>
      <c r="AD166">
        <f>HYPERLINK("https://klasma.github.io/Logging_2481/tillsynsmail/A 23396-2026 tillsynsbegäran mail.docx", "A 23396-2026")</f>
        <v/>
      </c>
    </row>
    <row r="167" ht="15" customHeight="1">
      <c r="A167" t="inlineStr">
        <is>
          <t>A 33726-2022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46295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12.7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Pärluggla</t>
        </is>
      </c>
      <c r="W167">
        <f>HYPERLINK("https://klasma.github.io/Logging_2481/artfynd/A 33726-2022 artfynd.xlsx", "A 33726-2022")</f>
        <v/>
      </c>
      <c r="X167">
        <f>HYPERLINK("https://klasma.github.io/Logging_2481/kartor/A 33726-2022 karta.png", "A 33726-2022")</f>
        <v/>
      </c>
      <c r="Y167">
        <f>HYPERLINK("https://klasma.github.io/Logging_2481/kartor_geotiff/A 33726-2022 georefererad karta.tif", "A 33726-2022")</f>
        <v/>
      </c>
      <c r="AA167">
        <f>HYPERLINK("https://klasma.github.io/Logging_2481/klagomål/A 33726-2022 FSC-klagomål.docx", "A 33726-2022")</f>
        <v/>
      </c>
      <c r="AB167">
        <f>HYPERLINK("https://klasma.github.io/Logging_2481/klagomålsmail/A 33726-2022 FSC-klagomål mail.docx", "A 33726-2022")</f>
        <v/>
      </c>
      <c r="AC167">
        <f>HYPERLINK("https://klasma.github.io/Logging_2481/tillsyn/A 33726-2022 tillsynsbegäran.docx", "A 33726-2022")</f>
        <v/>
      </c>
      <c r="AD167">
        <f>HYPERLINK("https://klasma.github.io/Logging_2481/tillsynsmail/A 33726-2022 tillsynsbegäran mail.docx", "A 33726-2022")</f>
        <v/>
      </c>
      <c r="AE167">
        <f>HYPERLINK("https://klasma.github.io/Logging_2481/fåglar/A 33726-2022 prioriterade fågelarter.docx", "A 33726-2022")</f>
        <v/>
      </c>
    </row>
    <row r="168" ht="15" customHeight="1">
      <c r="A168" t="inlineStr">
        <is>
          <t>A 53869-2023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46295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Dropptaggsvamp</t>
        </is>
      </c>
      <c r="W168">
        <f>HYPERLINK("https://klasma.github.io/Logging_2481/artfynd/A 53869-2023 artfynd.xlsx", "A 53869-2023")</f>
        <v/>
      </c>
      <c r="X168">
        <f>HYPERLINK("https://klasma.github.io/Logging_2481/kartor/A 53869-2023 karta.png", "A 53869-2023")</f>
        <v/>
      </c>
      <c r="Y168">
        <f>HYPERLINK("https://klasma.github.io/Logging_2481/kartor_geotiff/A 53869-2023 georefererad karta.tif", "A 53869-2023")</f>
        <v/>
      </c>
      <c r="AA168">
        <f>HYPERLINK("https://klasma.github.io/Logging_2481/klagomål/A 53869-2023 FSC-klagomål.docx", "A 53869-2023")</f>
        <v/>
      </c>
      <c r="AB168">
        <f>HYPERLINK("https://klasma.github.io/Logging_2481/klagomålsmail/A 53869-2023 FSC-klagomål mail.docx", "A 53869-2023")</f>
        <v/>
      </c>
      <c r="AC168">
        <f>HYPERLINK("https://klasma.github.io/Logging_2481/tillsyn/A 53869-2023 tillsynsbegäran.docx", "A 53869-2023")</f>
        <v/>
      </c>
      <c r="AD168">
        <f>HYPERLINK("https://klasma.github.io/Logging_2481/tillsynsmail/A 53869-2023 tillsynsbegäran mail.docx", "A 53869-2023")</f>
        <v/>
      </c>
    </row>
    <row r="169" ht="15" customHeight="1">
      <c r="A169" t="inlineStr">
        <is>
          <t>A 59283-2024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46295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HYPERLINK("https://klasma.github.io/Logging_2481/artfynd/A 59283-2024 artfynd.xlsx", "A 59283-2024")</f>
        <v/>
      </c>
      <c r="X169">
        <f>HYPERLINK("https://klasma.github.io/Logging_2481/kartor/A 59283-2024 karta.png", "A 59283-2024")</f>
        <v/>
      </c>
      <c r="Y169">
        <f>HYPERLINK("https://klasma.github.io/Logging_2481/kartor_geotiff/A 59283-2024 georefererad karta.tif", "A 59283-2024")</f>
        <v/>
      </c>
      <c r="AA169">
        <f>HYPERLINK("https://klasma.github.io/Logging_2481/klagomål/A 59283-2024 FSC-klagomål.docx", "A 59283-2024")</f>
        <v/>
      </c>
      <c r="AB169">
        <f>HYPERLINK("https://klasma.github.io/Logging_2481/klagomålsmail/A 59283-2024 FSC-klagomål mail.docx", "A 59283-2024")</f>
        <v/>
      </c>
      <c r="AC169">
        <f>HYPERLINK("https://klasma.github.io/Logging_2481/tillsyn/A 59283-2024 tillsynsbegäran.docx", "A 59283-2024")</f>
        <v/>
      </c>
      <c r="AD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25591-2026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46295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Gränsticka</t>
        </is>
      </c>
      <c r="W170">
        <f>HYPERLINK("https://klasma.github.io/Logging_2481/artfynd/A 25591-2026 artfynd.xlsx", "A 25591-2026")</f>
        <v/>
      </c>
      <c r="X170">
        <f>HYPERLINK("https://klasma.github.io/Logging_2481/kartor/A 25591-2026 karta.png", "A 25591-2026")</f>
        <v/>
      </c>
      <c r="Y170">
        <f>HYPERLINK("https://klasma.github.io/Logging_2481/kartor_geotiff/A 25591-2026 georefererad karta.tif", "A 25591-2026")</f>
        <v/>
      </c>
      <c r="AA170">
        <f>HYPERLINK("https://klasma.github.io/Logging_2481/klagomål/A 25591-2026 FSC-klagomål.docx", "A 25591-2026")</f>
        <v/>
      </c>
      <c r="AB170">
        <f>HYPERLINK("https://klasma.github.io/Logging_2481/klagomålsmail/A 25591-2026 FSC-klagomål mail.docx", "A 25591-2026")</f>
        <v/>
      </c>
      <c r="AC170">
        <f>HYPERLINK("https://klasma.github.io/Logging_2481/tillsyn/A 25591-2026 tillsynsbegäran.docx", "A 25591-2026")</f>
        <v/>
      </c>
      <c r="AD170">
        <f>HYPERLINK("https://klasma.github.io/Logging_2481/tillsynsmail/A 25591-2026 tillsynsbegäran mail.docx", "A 25591-2026")</f>
        <v/>
      </c>
    </row>
    <row r="171" ht="15" customHeight="1">
      <c r="A171" t="inlineStr">
        <is>
          <t>A 38507-2023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46295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38507-2023 artfynd.xlsx", "A 38507-2023")</f>
        <v/>
      </c>
      <c r="X171">
        <f>HYPERLINK("https://klasma.github.io/Logging_2481/kartor/A 38507-2023 karta.png", "A 38507-2023")</f>
        <v/>
      </c>
      <c r="Y171">
        <f>HYPERLINK("https://klasma.github.io/Logging_2481/kartor_geotiff/A 38507-2023 georefererad karta.tif", "A 38507-2023")</f>
        <v/>
      </c>
      <c r="AA171">
        <f>HYPERLINK("https://klasma.github.io/Logging_2481/klagomål/A 38507-2023 FSC-klagomål.docx", "A 38507-2023")</f>
        <v/>
      </c>
      <c r="AB171">
        <f>HYPERLINK("https://klasma.github.io/Logging_2481/klagomålsmail/A 38507-2023 FSC-klagomål mail.docx", "A 38507-2023")</f>
        <v/>
      </c>
      <c r="AC171">
        <f>HYPERLINK("https://klasma.github.io/Logging_2481/tillsyn/A 38507-2023 tillsynsbegäran.docx", "A 38507-2023")</f>
        <v/>
      </c>
      <c r="AD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25720-2026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46295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Orange taggsvamp</t>
        </is>
      </c>
      <c r="W172">
        <f>HYPERLINK("https://klasma.github.io/Logging_2481/artfynd/A 25720-2026 artfynd.xlsx", "A 25720-2026")</f>
        <v/>
      </c>
      <c r="X172">
        <f>HYPERLINK("https://klasma.github.io/Logging_2481/kartor/A 25720-2026 karta.png", "A 25720-2026")</f>
        <v/>
      </c>
      <c r="Y172">
        <f>HYPERLINK("https://klasma.github.io/Logging_2481/kartor_geotiff/A 25720-2026 georefererad karta.tif", "A 25720-2026")</f>
        <v/>
      </c>
      <c r="AA172">
        <f>HYPERLINK("https://klasma.github.io/Logging_2481/klagomål/A 25720-2026 FSC-klagomål.docx", "A 25720-2026")</f>
        <v/>
      </c>
      <c r="AB172">
        <f>HYPERLINK("https://klasma.github.io/Logging_2481/klagomålsmail/A 25720-2026 FSC-klagomål mail.docx", "A 25720-2026")</f>
        <v/>
      </c>
      <c r="AC172">
        <f>HYPERLINK("https://klasma.github.io/Logging_2481/tillsyn/A 25720-2026 tillsynsbegäran.docx", "A 25720-2026")</f>
        <v/>
      </c>
      <c r="AD172">
        <f>HYPERLINK("https://klasma.github.io/Logging_2481/tillsynsmail/A 25720-2026 tillsynsbegäran mail.docx", "A 25720-2026")</f>
        <v/>
      </c>
    </row>
    <row r="173" ht="15" customHeight="1">
      <c r="A173" t="inlineStr">
        <is>
          <t>A 25706-2026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25706-2026 artfynd.xlsx", "A 25706-2026")</f>
        <v/>
      </c>
      <c r="X173">
        <f>HYPERLINK("https://klasma.github.io/Logging_2481/kartor/A 25706-2026 karta.png", "A 25706-2026")</f>
        <v/>
      </c>
      <c r="Y173">
        <f>HYPERLINK("https://klasma.github.io/Logging_2481/kartor_geotiff/A 25706-2026 georefererad karta.tif", "A 25706-2026")</f>
        <v/>
      </c>
      <c r="AA173">
        <f>HYPERLINK("https://klasma.github.io/Logging_2481/klagomål/A 25706-2026 FSC-klagomål.docx", "A 25706-2026")</f>
        <v/>
      </c>
      <c r="AB173">
        <f>HYPERLINK("https://klasma.github.io/Logging_2481/klagomålsmail/A 25706-2026 FSC-klagomål mail.docx", "A 25706-2026")</f>
        <v/>
      </c>
      <c r="AC173">
        <f>HYPERLINK("https://klasma.github.io/Logging_2481/tillsyn/A 25706-2026 tillsynsbegäran.docx", "A 25706-2026")</f>
        <v/>
      </c>
      <c r="AD173">
        <f>HYPERLINK("https://klasma.github.io/Logging_2481/tillsynsmail/A 25706-2026 tillsynsbegäran mail.docx", "A 25706-2026")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46295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49394-2024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46295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10.6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49394-2024 artfynd.xlsx", "A 49394-2024")</f>
        <v/>
      </c>
      <c r="X175">
        <f>HYPERLINK("https://klasma.github.io/Logging_2481/kartor/A 49394-2024 karta.png", "A 49394-2024")</f>
        <v/>
      </c>
      <c r="Y175">
        <f>HYPERLINK("https://klasma.github.io/Logging_2481/kartor_geotiff/A 49394-2024 georefererad karta.tif", "A 49394-2024")</f>
        <v/>
      </c>
      <c r="AA175">
        <f>HYPERLINK("https://klasma.github.io/Logging_2481/klagomål/A 49394-2024 FSC-klagomål.docx", "A 49394-2024")</f>
        <v/>
      </c>
      <c r="AB175">
        <f>HYPERLINK("https://klasma.github.io/Logging_2481/klagomålsmail/A 49394-2024 FSC-klagomål mail.docx", "A 49394-2024")</f>
        <v/>
      </c>
      <c r="AC175">
        <f>HYPERLINK("https://klasma.github.io/Logging_2481/tillsyn/A 49394-2024 tillsynsbegäran.docx", "A 49394-2024")</f>
        <v/>
      </c>
      <c r="AD175">
        <f>HYPERLINK("https://klasma.github.io/Logging_2481/tillsynsmail/A 49394-2024 tillsynsbegäran mail.docx", "A 49394-2024")</f>
        <v/>
      </c>
    </row>
    <row r="176" ht="15" customHeight="1">
      <c r="A176" t="inlineStr">
        <is>
          <t>A 28459-2026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46295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Fläcknycklar</t>
        </is>
      </c>
      <c r="W176">
        <f>HYPERLINK("https://klasma.github.io/Logging_2481/artfynd/A 28459-2026 artfynd.xlsx", "A 28459-2026")</f>
        <v/>
      </c>
      <c r="X176">
        <f>HYPERLINK("https://klasma.github.io/Logging_2481/kartor/A 28459-2026 karta.png", "A 28459-2026")</f>
        <v/>
      </c>
      <c r="Y176">
        <f>HYPERLINK("https://klasma.github.io/Logging_2481/kartor_geotiff/A 28459-2026 georefererad karta.tif", "A 28459-2026")</f>
        <v/>
      </c>
      <c r="AA176">
        <f>HYPERLINK("https://klasma.github.io/Logging_2481/klagomål/A 28459-2026 FSC-klagomål.docx", "A 28459-2026")</f>
        <v/>
      </c>
      <c r="AB176">
        <f>HYPERLINK("https://klasma.github.io/Logging_2481/klagomålsmail/A 28459-2026 FSC-klagomål mail.docx", "A 28459-2026")</f>
        <v/>
      </c>
      <c r="AC176">
        <f>HYPERLINK("https://klasma.github.io/Logging_2481/tillsyn/A 28459-2026 tillsynsbegäran.docx", "A 28459-2026")</f>
        <v/>
      </c>
      <c r="AD176">
        <f>HYPERLINK("https://klasma.github.io/Logging_2481/tillsynsmail/A 28459-2026 tillsynsbegäran mail.docx", "A 28459-2026")</f>
        <v/>
      </c>
    </row>
    <row r="177" ht="15" customHeight="1">
      <c r="A177" t="inlineStr">
        <is>
          <t>A 50826-2024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46295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50826-2024 artfynd.xlsx", "A 50826-2024")</f>
        <v/>
      </c>
      <c r="X177">
        <f>HYPERLINK("https://klasma.github.io/Logging_2481/kartor/A 50826-2024 karta.png", "A 50826-2024")</f>
        <v/>
      </c>
      <c r="Y177">
        <f>HYPERLINK("https://klasma.github.io/Logging_2481/kartor_geotiff/A 50826-2024 georefererad karta.tif", "A 50826-2024")</f>
        <v/>
      </c>
      <c r="AA177">
        <f>HYPERLINK("https://klasma.github.io/Logging_2481/klagomål/A 50826-2024 FSC-klagomål.docx", "A 50826-2024")</f>
        <v/>
      </c>
      <c r="AB177">
        <f>HYPERLINK("https://klasma.github.io/Logging_2481/klagomålsmail/A 50826-2024 FSC-klagomål mail.docx", "A 50826-2024")</f>
        <v/>
      </c>
      <c r="AC177">
        <f>HYPERLINK("https://klasma.github.io/Logging_2481/tillsyn/A 50826-2024 tillsynsbegäran.docx", "A 50826-2024")</f>
        <v/>
      </c>
      <c r="AD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28716-2026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28716-2026 artfynd.xlsx", "A 28716-2026")</f>
        <v/>
      </c>
      <c r="X178">
        <f>HYPERLINK("https://klasma.github.io/Logging_2481/kartor/A 28716-2026 karta.png", "A 28716-2026")</f>
        <v/>
      </c>
      <c r="Y178">
        <f>HYPERLINK("https://klasma.github.io/Logging_2481/kartor_geotiff/A 28716-2026 georefererad karta.tif", "A 28716-2026")</f>
        <v/>
      </c>
      <c r="AA178">
        <f>HYPERLINK("https://klasma.github.io/Logging_2481/klagomål/A 28716-2026 FSC-klagomål.docx", "A 28716-2026")</f>
        <v/>
      </c>
      <c r="AB178">
        <f>HYPERLINK("https://klasma.github.io/Logging_2481/klagomålsmail/A 28716-2026 FSC-klagomål mail.docx", "A 28716-2026")</f>
        <v/>
      </c>
      <c r="AC178">
        <f>HYPERLINK("https://klasma.github.io/Logging_2481/tillsyn/A 28716-2026 tillsynsbegäran.docx", "A 28716-2026")</f>
        <v/>
      </c>
      <c r="AD178">
        <f>HYPERLINK("https://klasma.github.io/Logging_2481/tillsynsmail/A 28716-2026 tillsynsbegäran mail.docx", "A 28716-2026")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46295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46295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HYPERLINK("https://klasma.github.io/Logging_2481/artfynd/A 29828-2026 artfynd.xlsx", "A 29828-2026")</f>
        <v/>
      </c>
      <c r="X180">
        <f>HYPERLINK("https://klasma.github.io/Logging_2481/kartor/A 29828-2026 karta.png", "A 29828-2026")</f>
        <v/>
      </c>
      <c r="Y180">
        <f>HYPERLINK("https://klasma.github.io/Logging_2481/kartor_geotiff/A 29828-2026 georefererad karta.tif", "A 29828-2026")</f>
        <v/>
      </c>
      <c r="AA180">
        <f>HYPERLINK("https://klasma.github.io/Logging_2481/klagomål/A 29828-2026 FSC-klagomål.docx", "A 29828-2026")</f>
        <v/>
      </c>
      <c r="AB180">
        <f>HYPERLINK("https://klasma.github.io/Logging_2481/klagomålsmail/A 29828-2026 FSC-klagomål mail.docx", "A 29828-2026")</f>
        <v/>
      </c>
      <c r="AC180">
        <f>HYPERLINK("https://klasma.github.io/Logging_2481/tillsyn/A 29828-2026 tillsynsbegäran.docx", "A 29828-2026")</f>
        <v/>
      </c>
      <c r="AD180">
        <f>HYPERLINK("https://klasma.github.io/Logging_2481/tillsynsmail/A 29828-2026 tillsynsbegäran mail.docx", "A 29828-2026")</f>
        <v/>
      </c>
    </row>
    <row r="181" ht="15" customHeight="1">
      <c r="A181" t="inlineStr">
        <is>
          <t>A 45774-2024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46295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4.3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Barkticka</t>
        </is>
      </c>
      <c r="W181">
        <f>HYPERLINK("https://klasma.github.io/Logging_2481/artfynd/A 45774-2024 artfynd.xlsx", "A 45774-2024")</f>
        <v/>
      </c>
      <c r="X181">
        <f>HYPERLINK("https://klasma.github.io/Logging_2481/kartor/A 45774-2024 karta.png", "A 45774-2024")</f>
        <v/>
      </c>
      <c r="Y181">
        <f>HYPERLINK("https://klasma.github.io/Logging_2481/kartor_geotiff/A 45774-2024 georefererad karta.tif", "A 45774-2024")</f>
        <v/>
      </c>
      <c r="AA181">
        <f>HYPERLINK("https://klasma.github.io/Logging_2481/klagomål/A 45774-2024 FSC-klagomål.docx", "A 45774-2024")</f>
        <v/>
      </c>
      <c r="AB181">
        <f>HYPERLINK("https://klasma.github.io/Logging_2481/klagomålsmail/A 45774-2024 FSC-klagomål mail.docx", "A 45774-2024")</f>
        <v/>
      </c>
      <c r="AC181">
        <f>HYPERLINK("https://klasma.github.io/Logging_2481/tillsyn/A 45774-2024 tillsynsbegäran.docx", "A 45774-2024")</f>
        <v/>
      </c>
      <c r="AD181">
        <f>HYPERLINK("https://klasma.github.io/Logging_2481/tillsynsmail/A 45774-2024 tillsynsbegäran mail.docx", "A 45774-2024")</f>
        <v/>
      </c>
    </row>
    <row r="182" ht="15" customHeight="1">
      <c r="A182" t="inlineStr">
        <is>
          <t>A 34789-2026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46295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7.7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HYPERLINK("https://klasma.github.io/Logging_2481/artfynd/A 34789-2026 artfynd.xlsx", "A 34789-2026")</f>
        <v/>
      </c>
      <c r="X182">
        <f>HYPERLINK("https://klasma.github.io/Logging_2481/kartor/A 34789-2026 karta.png", "A 34789-2026")</f>
        <v/>
      </c>
      <c r="Y182">
        <f>HYPERLINK("https://klasma.github.io/Logging_2481/kartor_geotiff/A 34789-2026 georefererad karta.tif", "A 34789-2026")</f>
        <v/>
      </c>
      <c r="Z182">
        <f>HYPERLINK("https://klasma.github.io/Logging_2481/knärot/A 34789-2026 karta knärot.png", "A 34789-2026")</f>
        <v/>
      </c>
      <c r="AA182">
        <f>HYPERLINK("https://klasma.github.io/Logging_2481/klagomål/A 34789-2026 FSC-klagomål.docx", "A 34789-2026")</f>
        <v/>
      </c>
      <c r="AB182">
        <f>HYPERLINK("https://klasma.github.io/Logging_2481/klagomålsmail/A 34789-2026 FSC-klagomål mail.docx", "A 34789-2026")</f>
        <v/>
      </c>
      <c r="AC182">
        <f>HYPERLINK("https://klasma.github.io/Logging_2481/tillsyn/A 34789-2026 tillsynsbegäran.docx", "A 34789-2026")</f>
        <v/>
      </c>
      <c r="AD182">
        <f>HYPERLINK("https://klasma.github.io/Logging_2481/tillsynsmail/A 34789-2026 tillsynsbegäran mail.docx", "A 34789-2026")</f>
        <v/>
      </c>
    </row>
    <row r="183" ht="15" customHeight="1">
      <c r="A183" t="inlineStr">
        <is>
          <t>A 30994-2026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46295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Violettgrå tagellav</t>
        </is>
      </c>
      <c r="W183">
        <f>HYPERLINK("https://klasma.github.io/Logging_2481/artfynd/A 30994-2026 artfynd.xlsx", "A 30994-2026")</f>
        <v/>
      </c>
      <c r="X183">
        <f>HYPERLINK("https://klasma.github.io/Logging_2481/kartor/A 30994-2026 karta.png", "A 30994-2026")</f>
        <v/>
      </c>
      <c r="Y183">
        <f>HYPERLINK("https://klasma.github.io/Logging_2481/kartor_geotiff/A 30994-2026 georefererad karta.tif", "A 30994-2026")</f>
        <v/>
      </c>
      <c r="AA183">
        <f>HYPERLINK("https://klasma.github.io/Logging_2481/klagomål/A 30994-2026 FSC-klagomål.docx", "A 30994-2026")</f>
        <v/>
      </c>
      <c r="AB183">
        <f>HYPERLINK("https://klasma.github.io/Logging_2481/klagomålsmail/A 30994-2026 FSC-klagomål mail.docx", "A 30994-2026")</f>
        <v/>
      </c>
      <c r="AC183">
        <f>HYPERLINK("https://klasma.github.io/Logging_2481/tillsyn/A 30994-2026 tillsynsbegäran.docx", "A 30994-2026")</f>
        <v/>
      </c>
      <c r="AD183">
        <f>HYPERLINK("https://klasma.github.io/Logging_2481/tillsynsmail/A 30994-2026 tillsynsbegäran mail.docx", "A 30994-2026")</f>
        <v/>
      </c>
    </row>
    <row r="184" ht="15" customHeight="1">
      <c r="A184" t="inlineStr">
        <is>
          <t>A 35509-2026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46262</v>
      </c>
      <c r="E184" s="1" t="n">
        <v>46295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19.1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Orange taggsvamp</t>
        </is>
      </c>
      <c r="W184">
        <f>HYPERLINK("https://klasma.github.io/Logging_2481/artfynd/A 35509-2026 artfynd.xlsx", "A 35509-2026")</f>
        <v/>
      </c>
      <c r="X184">
        <f>HYPERLINK("https://klasma.github.io/Logging_2481/kartor/A 35509-2026 karta.png", "A 35509-2026")</f>
        <v/>
      </c>
      <c r="Y184">
        <f>HYPERLINK("https://klasma.github.io/Logging_2481/kartor_geotiff/A 35509-2026 georefererad karta.tif", "A 35509-2026")</f>
        <v/>
      </c>
      <c r="AA184">
        <f>HYPERLINK("https://klasma.github.io/Logging_2481/klagomål/A 35509-2026 FSC-klagomål.docx", "A 35509-2026")</f>
        <v/>
      </c>
      <c r="AB184">
        <f>HYPERLINK("https://klasma.github.io/Logging_2481/klagomålsmail/A 35509-2026 FSC-klagomål mail.docx", "A 35509-2026")</f>
        <v/>
      </c>
      <c r="AC184">
        <f>HYPERLINK("https://klasma.github.io/Logging_2481/tillsyn/A 35509-2026 tillsynsbegäran.docx", "A 35509-2026")</f>
        <v/>
      </c>
      <c r="AD184">
        <f>HYPERLINK("https://klasma.github.io/Logging_2481/tillsynsmail/A 35509-2026 tillsynsbegäran mail.docx", "A 35509-2026")</f>
        <v/>
      </c>
    </row>
    <row r="185" ht="15" customHeight="1">
      <c r="A185" t="inlineStr">
        <is>
          <t>A 50018-2024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45599</v>
      </c>
      <c r="E185" s="1" t="n">
        <v>46295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50018-2024 artfynd.xlsx", "A 50018-2024")</f>
        <v/>
      </c>
      <c r="X185">
        <f>HYPERLINK("https://klasma.github.io/Logging_2481/kartor/A 50018-2024 karta.png", "A 50018-2024")</f>
        <v/>
      </c>
      <c r="Y185">
        <f>HYPERLINK("https://klasma.github.io/Logging_2481/kartor_geotiff/A 50018-2024 georefererad karta.tif", "A 50018-2024")</f>
        <v/>
      </c>
      <c r="AA185">
        <f>HYPERLINK("https://klasma.github.io/Logging_2481/klagomål/A 50018-2024 FSC-klagomål.docx", "A 50018-2024")</f>
        <v/>
      </c>
      <c r="AB185">
        <f>HYPERLINK("https://klasma.github.io/Logging_2481/klagomålsmail/A 50018-2024 FSC-klagomål mail.docx", "A 50018-2024")</f>
        <v/>
      </c>
      <c r="AC185">
        <f>HYPERLINK("https://klasma.github.io/Logging_2481/tillsyn/A 50018-2024 tillsynsbegäran.docx", "A 50018-2024")</f>
        <v/>
      </c>
      <c r="AD185">
        <f>HYPERLINK("https://klasma.github.io/Logging_2481/tillsynsmail/A 50018-2024 tillsynsbegäran mail.docx", "A 50018-2024")</f>
        <v/>
      </c>
    </row>
    <row r="186" ht="15" customHeight="1">
      <c r="A186" t="inlineStr">
        <is>
          <t>A 24824-2024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45461</v>
      </c>
      <c r="E186" s="1" t="n">
        <v>46295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Kungsörn</t>
        </is>
      </c>
      <c r="W186">
        <f>HYPERLINK("https://klasma.github.io/Logging_2481/artfynd/A 24824-2024 artfynd.xlsx", "A 24824-2024")</f>
        <v/>
      </c>
      <c r="X186">
        <f>HYPERLINK("https://klasma.github.io/Logging_2481/kartor/A 24824-2024 karta.png", "A 24824-2024")</f>
        <v/>
      </c>
      <c r="Y186">
        <f>HYPERLINK("https://klasma.github.io/Logging_2481/kartor_geotiff/A 24824-2024 georefererad karta.tif", "A 24824-2024")</f>
        <v/>
      </c>
      <c r="AA186">
        <f>HYPERLINK("https://klasma.github.io/Logging_2481/klagomål/A 24824-2024 FSC-klagomål.docx", "A 24824-2024")</f>
        <v/>
      </c>
      <c r="AB186">
        <f>HYPERLINK("https://klasma.github.io/Logging_2481/klagomålsmail/A 24824-2024 FSC-klagomål mail.docx", "A 24824-2024")</f>
        <v/>
      </c>
      <c r="AC186">
        <f>HYPERLINK("https://klasma.github.io/Logging_2481/tillsyn/A 24824-2024 tillsynsbegäran.docx", "A 24824-2024")</f>
        <v/>
      </c>
      <c r="AD186">
        <f>HYPERLINK("https://klasma.github.io/Logging_2481/tillsynsmail/A 24824-2024 tillsynsbegäran mail.docx", "A 24824-2024")</f>
        <v/>
      </c>
      <c r="AE186">
        <f>HYPERLINK("https://klasma.github.io/Logging_2481/fåglar/A 24824-2024 prioriterade fågelarter.docx", "A 24824-2024")</f>
        <v/>
      </c>
    </row>
    <row r="187" ht="15" customHeight="1">
      <c r="A187" t="inlineStr">
        <is>
          <t>A 31290-2026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46218</v>
      </c>
      <c r="E187" s="1" t="n">
        <v>46295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10.8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31290-2026 artfynd.xlsx", "A 31290-2026")</f>
        <v/>
      </c>
      <c r="X187">
        <f>HYPERLINK("https://klasma.github.io/Logging_2481/kartor/A 31290-2026 karta.png", "A 31290-2026")</f>
        <v/>
      </c>
      <c r="Y187">
        <f>HYPERLINK("https://klasma.github.io/Logging_2481/kartor_geotiff/A 31290-2026 georefererad karta.tif", "A 31290-2026")</f>
        <v/>
      </c>
      <c r="AA187">
        <f>HYPERLINK("https://klasma.github.io/Logging_2481/klagomål/A 31290-2026 FSC-klagomål.docx", "A 31290-2026")</f>
        <v/>
      </c>
      <c r="AB187">
        <f>HYPERLINK("https://klasma.github.io/Logging_2481/klagomålsmail/A 31290-2026 FSC-klagomål mail.docx", "A 31290-2026")</f>
        <v/>
      </c>
      <c r="AC187">
        <f>HYPERLINK("https://klasma.github.io/Logging_2481/tillsyn/A 31290-2026 tillsynsbegäran.docx", "A 31290-2026")</f>
        <v/>
      </c>
      <c r="AD187">
        <f>HYPERLINK("https://klasma.github.io/Logging_2481/tillsynsmail/A 31290-2026 tillsynsbegäran mail.docx", "A 31290-2026")</f>
        <v/>
      </c>
    </row>
    <row r="188" ht="15" customHeight="1">
      <c r="A188" t="inlineStr">
        <is>
          <t>A 35751-2026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46295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Skarp dropptaggsvamp</t>
        </is>
      </c>
      <c r="W188">
        <f>HYPERLINK("https://klasma.github.io/Logging_2481/artfynd/A 35751-2026 artfynd.xlsx", "A 35751-2026")</f>
        <v/>
      </c>
      <c r="X188">
        <f>HYPERLINK("https://klasma.github.io/Logging_2481/kartor/A 35751-2026 karta.png", "A 35751-2026")</f>
        <v/>
      </c>
      <c r="Y188">
        <f>HYPERLINK("https://klasma.github.io/Logging_2481/kartor_geotiff/A 35751-2026 georefererad karta.tif", "A 35751-2026")</f>
        <v/>
      </c>
      <c r="AA188">
        <f>HYPERLINK("https://klasma.github.io/Logging_2481/klagomål/A 35751-2026 FSC-klagomål.docx", "A 35751-2026")</f>
        <v/>
      </c>
      <c r="AB188">
        <f>HYPERLINK("https://klasma.github.io/Logging_2481/klagomålsmail/A 35751-2026 FSC-klagomål mail.docx", "A 35751-2026")</f>
        <v/>
      </c>
      <c r="AC188">
        <f>HYPERLINK("https://klasma.github.io/Logging_2481/tillsyn/A 35751-2026 tillsynsbegäran.docx", "A 35751-2026")</f>
        <v/>
      </c>
      <c r="AD188">
        <f>HYPERLINK("https://klasma.github.io/Logging_2481/tillsynsmail/A 35751-2026 tillsynsbegäran mail.docx", "A 35751-2026")</f>
        <v/>
      </c>
    </row>
    <row r="189" ht="15" customHeight="1">
      <c r="A189" t="inlineStr">
        <is>
          <t>A 41793-2024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46295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7.1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Lunglav</t>
        </is>
      </c>
      <c r="W189">
        <f>HYPERLINK("https://klasma.github.io/Logging_2481/artfynd/A 41793-2024 artfynd.xlsx", "A 41793-2024")</f>
        <v/>
      </c>
      <c r="X189">
        <f>HYPERLINK("https://klasma.github.io/Logging_2481/kartor/A 41793-2024 karta.png", "A 41793-2024")</f>
        <v/>
      </c>
      <c r="Y189">
        <f>HYPERLINK("https://klasma.github.io/Logging_2481/kartor_geotiff/A 41793-2024 georefererad karta.tif", "A 41793-2024")</f>
        <v/>
      </c>
      <c r="AA189">
        <f>HYPERLINK("https://klasma.github.io/Logging_2481/klagomål/A 41793-2024 FSC-klagomål.docx", "A 41793-2024")</f>
        <v/>
      </c>
      <c r="AB189">
        <f>HYPERLINK("https://klasma.github.io/Logging_2481/klagomålsmail/A 41793-2024 FSC-klagomål mail.docx", "A 41793-2024")</f>
        <v/>
      </c>
      <c r="AC189">
        <f>HYPERLINK("https://klasma.github.io/Logging_2481/tillsyn/A 41793-2024 tillsynsbegäran.docx", "A 41793-2024")</f>
        <v/>
      </c>
      <c r="AD189">
        <f>HYPERLINK("https://klasma.github.io/Logging_2481/tillsynsmail/A 41793-2024 tillsynsbegäran mail.docx", "A 41793-2024")</f>
        <v/>
      </c>
    </row>
    <row r="190" ht="15" customHeight="1">
      <c r="A190" t="inlineStr">
        <is>
          <t>A 37214-2026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46295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1.6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Utter</t>
        </is>
      </c>
      <c r="W190">
        <f>HYPERLINK("https://klasma.github.io/Logging_2481/artfynd/A 37214-2026 artfynd.xlsx", "A 37214-2026")</f>
        <v/>
      </c>
      <c r="X190">
        <f>HYPERLINK("https://klasma.github.io/Logging_2481/kartor/A 37214-2026 karta.png", "A 37214-2026")</f>
        <v/>
      </c>
      <c r="Y190">
        <f>HYPERLINK("https://klasma.github.io/Logging_2481/kartor_geotiff/A 37214-2026 georefererad karta.tif", "A 37214-2026")</f>
        <v/>
      </c>
      <c r="AA190">
        <f>HYPERLINK("https://klasma.github.io/Logging_2481/klagomål/A 37214-2026 FSC-klagomål.docx", "A 37214-2026")</f>
        <v/>
      </c>
      <c r="AB190">
        <f>HYPERLINK("https://klasma.github.io/Logging_2481/klagomålsmail/A 37214-2026 FSC-klagomål mail.docx", "A 37214-2026")</f>
        <v/>
      </c>
      <c r="AC190">
        <f>HYPERLINK("https://klasma.github.io/Logging_2481/tillsyn/A 37214-2026 tillsynsbegäran.docx", "A 37214-2026")</f>
        <v/>
      </c>
      <c r="AD190">
        <f>HYPERLINK("https://klasma.github.io/Logging_2481/tillsynsmail/A 37214-2026 tillsynsbegäran mail.docx", "A 37214-2026")</f>
        <v/>
      </c>
    </row>
    <row r="191" ht="15" customHeight="1">
      <c r="A191" t="inlineStr">
        <is>
          <t>A 37163-2026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46295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37163-2026 artfynd.xlsx", "A 37163-2026")</f>
        <v/>
      </c>
      <c r="X191">
        <f>HYPERLINK("https://klasma.github.io/Logging_2481/kartor/A 37163-2026 karta.png", "A 37163-2026")</f>
        <v/>
      </c>
      <c r="Y191">
        <f>HYPERLINK("https://klasma.github.io/Logging_2481/kartor_geotiff/A 37163-2026 georefererad karta.tif", "A 37163-2026")</f>
        <v/>
      </c>
      <c r="AA191">
        <f>HYPERLINK("https://klasma.github.io/Logging_2481/klagomål/A 37163-2026 FSC-klagomål.docx", "A 37163-2026")</f>
        <v/>
      </c>
      <c r="AB191">
        <f>HYPERLINK("https://klasma.github.io/Logging_2481/klagomålsmail/A 37163-2026 FSC-klagomål mail.docx", "A 37163-2026")</f>
        <v/>
      </c>
      <c r="AC191">
        <f>HYPERLINK("https://klasma.github.io/Logging_2481/tillsyn/A 37163-2026 tillsynsbegäran.docx", "A 37163-2026")</f>
        <v/>
      </c>
      <c r="AD191">
        <f>HYPERLINK("https://klasma.github.io/Logging_2481/tillsynsmail/A 37163-2026 tillsynsbegäran mail.docx", "A 37163-2026")</f>
        <v/>
      </c>
    </row>
    <row r="192" ht="15" customHeight="1">
      <c r="A192" t="inlineStr">
        <is>
          <t>A 32246-2026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46237</v>
      </c>
      <c r="E192" s="1" t="n">
        <v>46295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Skrovellav</t>
        </is>
      </c>
      <c r="W192">
        <f>HYPERLINK("https://klasma.github.io/Logging_2481/artfynd/A 32246-2026 artfynd.xlsx", "A 32246-2026")</f>
        <v/>
      </c>
      <c r="X192">
        <f>HYPERLINK("https://klasma.github.io/Logging_2481/kartor/A 32246-2026 karta.png", "A 32246-2026")</f>
        <v/>
      </c>
      <c r="Y192">
        <f>HYPERLINK("https://klasma.github.io/Logging_2481/kartor_geotiff/A 32246-2026 georefererad karta.tif", "A 32246-2026")</f>
        <v/>
      </c>
      <c r="AA192">
        <f>HYPERLINK("https://klasma.github.io/Logging_2481/klagomål/A 32246-2026 FSC-klagomål.docx", "A 32246-2026")</f>
        <v/>
      </c>
      <c r="AB192">
        <f>HYPERLINK("https://klasma.github.io/Logging_2481/klagomålsmail/A 32246-2026 FSC-klagomål mail.docx", "A 32246-2026")</f>
        <v/>
      </c>
      <c r="AC192">
        <f>HYPERLINK("https://klasma.github.io/Logging_2481/tillsyn/A 32246-2026 tillsynsbegäran.docx", "A 32246-2026")</f>
        <v/>
      </c>
      <c r="AD192">
        <f>HYPERLINK("https://klasma.github.io/Logging_2481/tillsynsmail/A 32246-2026 tillsynsbegäran mail.docx", "A 32246-2026")</f>
        <v/>
      </c>
    </row>
    <row r="193" ht="15" customHeight="1">
      <c r="A193" t="inlineStr">
        <is>
          <t>A 37951-2026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46295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15.9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HYPERLINK("https://klasma.github.io/Logging_2481/artfynd/A 37951-2026 artfynd.xlsx", "A 37951-2026")</f>
        <v/>
      </c>
      <c r="X193">
        <f>HYPERLINK("https://klasma.github.io/Logging_2481/kartor/A 37951-2026 karta.png", "A 37951-2026")</f>
        <v/>
      </c>
      <c r="Y193">
        <f>HYPERLINK("https://klasma.github.io/Logging_2481/kartor_geotiff/A 37951-2026 georefererad karta.tif", "A 37951-2026")</f>
        <v/>
      </c>
      <c r="AA193">
        <f>HYPERLINK("https://klasma.github.io/Logging_2481/klagomål/A 37951-2026 FSC-klagomål.docx", "A 37951-2026")</f>
        <v/>
      </c>
      <c r="AB193">
        <f>HYPERLINK("https://klasma.github.io/Logging_2481/klagomålsmail/A 37951-2026 FSC-klagomål mail.docx", "A 37951-2026")</f>
        <v/>
      </c>
      <c r="AC193">
        <f>HYPERLINK("https://klasma.github.io/Logging_2481/tillsyn/A 37951-2026 tillsynsbegäran.docx", "A 37951-2026")</f>
        <v/>
      </c>
      <c r="AD193">
        <f>HYPERLINK("https://klasma.github.io/Logging_2481/tillsynsmail/A 37951-2026 tillsynsbegäran mail.docx", "A 37951-2026")</f>
        <v/>
      </c>
    </row>
    <row r="194" ht="15" customHeight="1">
      <c r="A194" t="inlineStr">
        <is>
          <t>A 38263-2026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46295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13.1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Dropptaggsvamp</t>
        </is>
      </c>
      <c r="W194">
        <f>HYPERLINK("https://klasma.github.io/Logging_2481/artfynd/A 38263-2026 artfynd.xlsx", "A 38263-2026")</f>
        <v/>
      </c>
      <c r="X194">
        <f>HYPERLINK("https://klasma.github.io/Logging_2481/kartor/A 38263-2026 karta.png", "A 38263-2026")</f>
        <v/>
      </c>
      <c r="Y194">
        <f>HYPERLINK("https://klasma.github.io/Logging_2481/kartor_geotiff/A 38263-2026 georefererad karta.tif", "A 38263-2026")</f>
        <v/>
      </c>
      <c r="AA194">
        <f>HYPERLINK("https://klasma.github.io/Logging_2481/klagomål/A 38263-2026 FSC-klagomål.docx", "A 38263-2026")</f>
        <v/>
      </c>
      <c r="AB194">
        <f>HYPERLINK("https://klasma.github.io/Logging_2481/klagomålsmail/A 38263-2026 FSC-klagomål mail.docx", "A 38263-2026")</f>
        <v/>
      </c>
      <c r="AC194">
        <f>HYPERLINK("https://klasma.github.io/Logging_2481/tillsyn/A 38263-2026 tillsynsbegäran.docx", "A 38263-2026")</f>
        <v/>
      </c>
      <c r="AD194">
        <f>HYPERLINK("https://klasma.github.io/Logging_2481/tillsynsmail/A 38263-2026 tillsynsbegäran mail.docx", "A 38263-2026")</f>
        <v/>
      </c>
    </row>
    <row r="195" ht="15" customHeight="1">
      <c r="A195" t="inlineStr">
        <is>
          <t>A 38104-2026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46281</v>
      </c>
      <c r="E195" s="1" t="n">
        <v>46295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16.3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Skrovellav</t>
        </is>
      </c>
      <c r="W195">
        <f>HYPERLINK("https://klasma.github.io/Logging_2481/artfynd/A 38104-2026 artfynd.xlsx", "A 38104-2026")</f>
        <v/>
      </c>
      <c r="X195">
        <f>HYPERLINK("https://klasma.github.io/Logging_2481/kartor/A 38104-2026 karta.png", "A 38104-2026")</f>
        <v/>
      </c>
      <c r="Y195">
        <f>HYPERLINK("https://klasma.github.io/Logging_2481/kartor_geotiff/A 38104-2026 georefererad karta.tif", "A 38104-2026")</f>
        <v/>
      </c>
      <c r="AA195">
        <f>HYPERLINK("https://klasma.github.io/Logging_2481/klagomål/A 38104-2026 FSC-klagomål.docx", "A 38104-2026")</f>
        <v/>
      </c>
      <c r="AB195">
        <f>HYPERLINK("https://klasma.github.io/Logging_2481/klagomålsmail/A 38104-2026 FSC-klagomål mail.docx", "A 38104-2026")</f>
        <v/>
      </c>
      <c r="AC195">
        <f>HYPERLINK("https://klasma.github.io/Logging_2481/tillsyn/A 38104-2026 tillsynsbegäran.docx", "A 38104-2026")</f>
        <v/>
      </c>
      <c r="AD195">
        <f>HYPERLINK("https://klasma.github.io/Logging_2481/tillsynsmail/A 38104-2026 tillsynsbegäran mail.docx", "A 38104-2026")</f>
        <v/>
      </c>
    </row>
    <row r="196" ht="15" customHeight="1">
      <c r="A196" t="inlineStr">
        <is>
          <t>A 32612-2026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46240</v>
      </c>
      <c r="E196" s="1" t="n">
        <v>46295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32612-2026 artfynd.xlsx", "A 32612-2026")</f>
        <v/>
      </c>
      <c r="X196">
        <f>HYPERLINK("https://klasma.github.io/Logging_2481/kartor/A 32612-2026 karta.png", "A 32612-2026")</f>
        <v/>
      </c>
      <c r="Y196">
        <f>HYPERLINK("https://klasma.github.io/Logging_2481/kartor_geotiff/A 32612-2026 georefererad karta.tif", "A 32612-2026")</f>
        <v/>
      </c>
      <c r="AA196">
        <f>HYPERLINK("https://klasma.github.io/Logging_2481/klagomål/A 32612-2026 FSC-klagomål.docx", "A 32612-2026")</f>
        <v/>
      </c>
      <c r="AB196">
        <f>HYPERLINK("https://klasma.github.io/Logging_2481/klagomålsmail/A 32612-2026 FSC-klagomål mail.docx", "A 32612-2026")</f>
        <v/>
      </c>
      <c r="AC196">
        <f>HYPERLINK("https://klasma.github.io/Logging_2481/tillsyn/A 32612-2026 tillsynsbegäran.docx", "A 32612-2026")</f>
        <v/>
      </c>
      <c r="AD196">
        <f>HYPERLINK("https://klasma.github.io/Logging_2481/tillsynsmail/A 32612-2026 tillsynsbegäran mail.docx", "A 32612-2026")</f>
        <v/>
      </c>
    </row>
    <row r="197" ht="15" customHeight="1">
      <c r="A197" t="inlineStr">
        <is>
          <t>A 32686-2026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46240</v>
      </c>
      <c r="E197" s="1" t="n">
        <v>46295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17.4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Doftticka</t>
        </is>
      </c>
      <c r="W197">
        <f>HYPERLINK("https://klasma.github.io/Logging_2481/artfynd/A 32686-2026 artfynd.xlsx", "A 32686-2026")</f>
        <v/>
      </c>
      <c r="X197">
        <f>HYPERLINK("https://klasma.github.io/Logging_2481/kartor/A 32686-2026 karta.png", "A 32686-2026")</f>
        <v/>
      </c>
      <c r="Y197">
        <f>HYPERLINK("https://klasma.github.io/Logging_2481/kartor_geotiff/A 32686-2026 georefererad karta.tif", "A 32686-2026")</f>
        <v/>
      </c>
      <c r="AA197">
        <f>HYPERLINK("https://klasma.github.io/Logging_2481/klagomål/A 32686-2026 FSC-klagomål.docx", "A 32686-2026")</f>
        <v/>
      </c>
      <c r="AB197">
        <f>HYPERLINK("https://klasma.github.io/Logging_2481/klagomålsmail/A 32686-2026 FSC-klagomål mail.docx", "A 32686-2026")</f>
        <v/>
      </c>
      <c r="AC197">
        <f>HYPERLINK("https://klasma.github.io/Logging_2481/tillsyn/A 32686-2026 tillsynsbegäran.docx", "A 32686-2026")</f>
        <v/>
      </c>
      <c r="AD197">
        <f>HYPERLINK("https://klasma.github.io/Logging_2481/tillsynsmail/A 32686-2026 tillsynsbegäran mail.docx", "A 32686-2026")</f>
        <v/>
      </c>
    </row>
    <row r="198" ht="15" customHeight="1">
      <c r="A198" t="inlineStr">
        <is>
          <t>A 219-2025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45660</v>
      </c>
      <c r="E198" s="1" t="n">
        <v>46295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Dropptaggsvamp</t>
        </is>
      </c>
      <c r="W198">
        <f>HYPERLINK("https://klasma.github.io/Logging_2481/artfynd/A 219-2025 artfynd.xlsx", "A 219-2025")</f>
        <v/>
      </c>
      <c r="X198">
        <f>HYPERLINK("https://klasma.github.io/Logging_2481/kartor/A 219-2025 karta.png", "A 219-2025")</f>
        <v/>
      </c>
      <c r="Y198">
        <f>HYPERLINK("https://klasma.github.io/Logging_2481/kartor_geotiff/A 219-2025 georefererad karta.tif", "A 219-2025")</f>
        <v/>
      </c>
      <c r="AA198">
        <f>HYPERLINK("https://klasma.github.io/Logging_2481/klagomål/A 219-2025 FSC-klagomål.docx", "A 219-2025")</f>
        <v/>
      </c>
      <c r="AB198">
        <f>HYPERLINK("https://klasma.github.io/Logging_2481/klagomålsmail/A 219-2025 FSC-klagomål mail.docx", "A 219-2025")</f>
        <v/>
      </c>
      <c r="AC198">
        <f>HYPERLINK("https://klasma.github.io/Logging_2481/tillsyn/A 219-2025 tillsynsbegäran.docx", "A 219-2025")</f>
        <v/>
      </c>
      <c r="AD198">
        <f>HYPERLINK("https://klasma.github.io/Logging_2481/tillsynsmail/A 219-2025 tillsynsbegäran mail.docx", "A 219-2025")</f>
        <v/>
      </c>
    </row>
    <row r="199" ht="15" customHeight="1">
      <c r="A199" t="inlineStr">
        <is>
          <t>A 496-2024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46295</v>
      </c>
      <c r="F199" t="inlineStr">
        <is>
          <t>VÄSTERBOTTENS LÄN</t>
        </is>
      </c>
      <c r="G199" t="inlineStr">
        <is>
          <t>LYCKSELE</t>
        </is>
      </c>
      <c r="I199" t="n">
        <v>5.2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7</v>
      </c>
      <c r="U199" t="n">
        <v>7</v>
      </c>
      <c r="V199" s="2" t="inlineStr">
        <is>
          <t>Tretåig hackspett</t>
        </is>
      </c>
      <c r="W199">
        <f>HYPERLINK("https://klasma.github.io/Logging_2481/artfynd/A 496-2024 artfynd.xlsx", "A 496-2024")</f>
        <v/>
      </c>
      <c r="X199">
        <f>HYPERLINK("https://klasma.github.io/Logging_2481/kartor/A 496-2024 karta.png", "A 496-2024")</f>
        <v/>
      </c>
      <c r="Y199">
        <f>HYPERLINK("https://klasma.github.io/Logging_2481/kartor_geotiff/A 496-2024 georefererad karta.tif", "A 496-2024")</f>
        <v/>
      </c>
      <c r="AA199">
        <f>HYPERLINK("https://klasma.github.io/Logging_2481/klagomål/A 496-2024 FSC-klagomål.docx", "A 496-2024")</f>
        <v/>
      </c>
      <c r="AB199">
        <f>HYPERLINK("https://klasma.github.io/Logging_2481/klagomålsmail/A 496-2024 FSC-klagomål mail.docx", "A 496-2024")</f>
        <v/>
      </c>
      <c r="AC199">
        <f>HYPERLINK("https://klasma.github.io/Logging_2481/tillsyn/A 496-2024 tillsynsbegäran.docx", "A 496-2024")</f>
        <v/>
      </c>
      <c r="AD199">
        <f>HYPERLINK("https://klasma.github.io/Logging_2481/tillsynsmail/A 496-2024 tillsynsbegäran mail.docx", "A 496-2024")</f>
        <v/>
      </c>
      <c r="AE199">
        <f>HYPERLINK("https://klasma.github.io/Logging_2481/fåglar/A 496-2024 prioriterade fågelarter.docx", "A 496-2024")</f>
        <v/>
      </c>
    </row>
    <row r="200" ht="15" customHeight="1">
      <c r="A200" t="inlineStr">
        <is>
          <t>A 40414-2026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46295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36.9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Lunglav</t>
        </is>
      </c>
      <c r="W200">
        <f>HYPERLINK("https://klasma.github.io/Logging_2481/artfynd/A 40414-2026 artfynd.xlsx", "A 40414-2026")</f>
        <v/>
      </c>
      <c r="X200">
        <f>HYPERLINK("https://klasma.github.io/Logging_2481/kartor/A 40414-2026 karta.png", "A 40414-2026")</f>
        <v/>
      </c>
      <c r="Y200">
        <f>HYPERLINK("https://klasma.github.io/Logging_2481/kartor_geotiff/A 40414-2026 georefererad karta.tif", "A 40414-2026")</f>
        <v/>
      </c>
      <c r="AA200">
        <f>HYPERLINK("https://klasma.github.io/Logging_2481/klagomål/A 40414-2026 FSC-klagomål.docx", "A 40414-2026")</f>
        <v/>
      </c>
      <c r="AB200">
        <f>HYPERLINK("https://klasma.github.io/Logging_2481/klagomålsmail/A 40414-2026 FSC-klagomål mail.docx", "A 40414-2026")</f>
        <v/>
      </c>
      <c r="AC200">
        <f>HYPERLINK("https://klasma.github.io/Logging_2481/tillsyn/A 40414-2026 tillsynsbegäran.docx", "A 40414-2026")</f>
        <v/>
      </c>
      <c r="AD200">
        <f>HYPERLINK("https://klasma.github.io/Logging_2481/tillsynsmail/A 40414-2026 tillsynsbegäran mail.docx", "A 40414-2026")</f>
        <v/>
      </c>
    </row>
    <row r="201" ht="15" customHeight="1">
      <c r="A201" t="inlineStr">
        <is>
          <t>A 22373-2025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46295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Garnlav</t>
        </is>
      </c>
      <c r="W201">
        <f>HYPERLINK("https://klasma.github.io/Logging_2481/artfynd/A 22373-2025 artfynd.xlsx", "A 22373-2025")</f>
        <v/>
      </c>
      <c r="X201">
        <f>HYPERLINK("https://klasma.github.io/Logging_2481/kartor/A 22373-2025 karta.png", "A 22373-2025")</f>
        <v/>
      </c>
      <c r="Y201">
        <f>HYPERLINK("https://klasma.github.io/Logging_2481/kartor_geotiff/A 22373-2025 georefererad karta.tif", "A 22373-2025")</f>
        <v/>
      </c>
      <c r="AA201">
        <f>HYPERLINK("https://klasma.github.io/Logging_2481/klagomål/A 22373-2025 FSC-klagomål.docx", "A 22373-2025")</f>
        <v/>
      </c>
      <c r="AB201">
        <f>HYPERLINK("https://klasma.github.io/Logging_2481/klagomålsmail/A 22373-2025 FSC-klagomål mail.docx", "A 22373-2025")</f>
        <v/>
      </c>
      <c r="AC201">
        <f>HYPERLINK("https://klasma.github.io/Logging_2481/tillsyn/A 22373-2025 tillsynsbegäran.docx", "A 22373-2025")</f>
        <v/>
      </c>
      <c r="AD201">
        <f>HYPERLINK("https://klasma.github.io/Logging_2481/tillsynsmail/A 22373-2025 tillsynsbegäran mail.docx", "A 22373-2025")</f>
        <v/>
      </c>
    </row>
    <row r="202" ht="15" customHeight="1">
      <c r="A202" t="inlineStr">
        <is>
          <t>A 40412-2026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46295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28.5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40412-2026 artfynd.xlsx", "A 40412-2026")</f>
        <v/>
      </c>
      <c r="X202">
        <f>HYPERLINK("https://klasma.github.io/Logging_2481/kartor/A 40412-2026 karta.png", "A 40412-2026")</f>
        <v/>
      </c>
      <c r="Y202">
        <f>HYPERLINK("https://klasma.github.io/Logging_2481/kartor_geotiff/A 40412-2026 georefererad karta.tif", "A 40412-2026")</f>
        <v/>
      </c>
      <c r="AA202">
        <f>HYPERLINK("https://klasma.github.io/Logging_2481/klagomål/A 40412-2026 FSC-klagomål.docx", "A 40412-2026")</f>
        <v/>
      </c>
      <c r="AB202">
        <f>HYPERLINK("https://klasma.github.io/Logging_2481/klagomålsmail/A 40412-2026 FSC-klagomål mail.docx", "A 40412-2026")</f>
        <v/>
      </c>
      <c r="AC202">
        <f>HYPERLINK("https://klasma.github.io/Logging_2481/tillsyn/A 40412-2026 tillsynsbegäran.docx", "A 40412-2026")</f>
        <v/>
      </c>
      <c r="AD202">
        <f>HYPERLINK("https://klasma.github.io/Logging_2481/tillsynsmail/A 40412-2026 tillsynsbegäran mail.docx", "A 40412-2026")</f>
        <v/>
      </c>
    </row>
    <row r="203" ht="15" customHeight="1">
      <c r="A203" t="inlineStr">
        <is>
          <t>S 156-2023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44943</v>
      </c>
      <c r="E203" s="1" t="n">
        <v>46295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SCA</t>
        </is>
      </c>
      <c r="I203" t="n">
        <v>356.6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Norrlandslav</t>
        </is>
      </c>
      <c r="W203">
        <f>HYPERLINK("https://klasma.github.io/Logging_2481/artfynd/S 156-2023 artfynd.xlsx", "S 156-2023")</f>
        <v/>
      </c>
      <c r="X203">
        <f>HYPERLINK("https://klasma.github.io/Logging_2481/kartor/S 156-2023 karta.png", "S 156-2023")</f>
        <v/>
      </c>
      <c r="Y203">
        <f>HYPERLINK("https://klasma.github.io/Logging_2481/kartor_geotiff/S 156-2023 georefererad karta.tif", "S 156-2023")</f>
        <v/>
      </c>
      <c r="AA203">
        <f>HYPERLINK("https://klasma.github.io/Logging_2481/klagomål/S 156-2023 FSC-klagomål.docx", "S 156-2023")</f>
        <v/>
      </c>
      <c r="AB203">
        <f>HYPERLINK("https://klasma.github.io/Logging_2481/klagomålsmail/S 156-2023 FSC-klagomål mail.docx", "S 156-2023")</f>
        <v/>
      </c>
      <c r="AC203">
        <f>HYPERLINK("https://klasma.github.io/Logging_2481/tillsyn/S 156-2023 tillsynsbegäran.docx", "S 156-2023")</f>
        <v/>
      </c>
      <c r="AD203">
        <f>HYPERLINK("https://klasma.github.io/Logging_2481/tillsynsmail/S 156-2023 tillsynsbegäran mail.docx", "S 156-2023")</f>
        <v/>
      </c>
    </row>
    <row r="204" ht="15" customHeight="1">
      <c r="A204" t="inlineStr">
        <is>
          <t>S 454-2025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45701</v>
      </c>
      <c r="E204" s="1" t="n">
        <v>46295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74.3</v>
      </c>
      <c r="J204" t="n">
        <v>1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Doftticka</t>
        </is>
      </c>
      <c r="W204">
        <f>HYPERLINK("https://klasma.github.io/Logging_2481/artfynd/S 454-2025 artfynd.xlsx", "S 454-2025")</f>
        <v/>
      </c>
      <c r="X204">
        <f>HYPERLINK("https://klasma.github.io/Logging_2481/kartor/S 454-2025 karta.png", "S 454-2025")</f>
        <v/>
      </c>
      <c r="Y204">
        <f>HYPERLINK("https://klasma.github.io/Logging_2481/kartor_geotiff/S 454-2025 georefererad karta.tif", "S 454-2025")</f>
        <v/>
      </c>
      <c r="AA204">
        <f>HYPERLINK("https://klasma.github.io/Logging_2481/klagomål/S 454-2025 FSC-klagomål.docx", "S 454-2025")</f>
        <v/>
      </c>
      <c r="AB204">
        <f>HYPERLINK("https://klasma.github.io/Logging_2481/klagomålsmail/S 454-2025 FSC-klagomål mail.docx", "S 454-2025")</f>
        <v/>
      </c>
      <c r="AC204">
        <f>HYPERLINK("https://klasma.github.io/Logging_2481/tillsyn/S 454-2025 tillsynsbegäran.docx", "S 454-2025")</f>
        <v/>
      </c>
      <c r="AD204">
        <f>HYPERLINK("https://klasma.github.io/Logging_2481/tillsynsmail/S 454-2025 tillsynsbegäran mail.docx", "S 454-2025")</f>
        <v/>
      </c>
    </row>
    <row r="205" ht="15" customHeight="1">
      <c r="A205" t="inlineStr">
        <is>
          <t>A 36846-2022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44805</v>
      </c>
      <c r="E205" s="1" t="n">
        <v>46295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44567</v>
      </c>
      <c r="E206" s="1" t="n">
        <v>46295</v>
      </c>
      <c r="F206" t="inlineStr">
        <is>
          <t>VÄSTERBOTTENS LÄN</t>
        </is>
      </c>
      <c r="G206" t="inlineStr">
        <is>
          <t>LYCKSELE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44484</v>
      </c>
      <c r="E207" s="1" t="n">
        <v>46295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46295</v>
      </c>
      <c r="F208" t="inlineStr">
        <is>
          <t>VÄSTERBOTTENS LÄN</t>
        </is>
      </c>
      <c r="G208" t="inlineStr">
        <is>
          <t>LYCKSELE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53979-2021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46295</v>
      </c>
      <c r="F209" t="inlineStr">
        <is>
          <t>VÄSTERBOTTENS LÄN</t>
        </is>
      </c>
      <c r="G209" t="inlineStr">
        <is>
          <t>LYCKSELE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70213-2021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44535</v>
      </c>
      <c r="E210" s="1" t="n">
        <v>46295</v>
      </c>
      <c r="F210" t="inlineStr">
        <is>
          <t>VÄSTERBOTTENS LÄN</t>
        </is>
      </c>
      <c r="G210" t="inlineStr">
        <is>
          <t>LYCKSELE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33235-2022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44785</v>
      </c>
      <c r="E211" s="1" t="n">
        <v>46295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46295</v>
      </c>
      <c r="F212" t="inlineStr">
        <is>
          <t>VÄSTERBOTTENS LÄN</t>
        </is>
      </c>
      <c r="G212" t="inlineStr">
        <is>
          <t>LYCKSELE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46295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44802</v>
      </c>
      <c r="E214" s="1" t="n">
        <v>46295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46295</v>
      </c>
      <c r="F215" t="inlineStr">
        <is>
          <t>VÄSTERBOTTENS LÄN</t>
        </is>
      </c>
      <c r="G215" t="inlineStr">
        <is>
          <t>LYCKSELE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44475</v>
      </c>
      <c r="E216" s="1" t="n">
        <v>46295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46295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46295</v>
      </c>
      <c r="F218" t="inlineStr">
        <is>
          <t>VÄSTERBOTTENS LÄN</t>
        </is>
      </c>
      <c r="G218" t="inlineStr">
        <is>
          <t>LYCKSELE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46295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44490</v>
      </c>
      <c r="E220" s="1" t="n">
        <v>46295</v>
      </c>
      <c r="F220" t="inlineStr">
        <is>
          <t>VÄSTERBOTTENS LÄN</t>
        </is>
      </c>
      <c r="G220" t="inlineStr">
        <is>
          <t>LYCKSELE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46295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44761</v>
      </c>
      <c r="E222" s="1" t="n">
        <v>46295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46295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46295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44711</v>
      </c>
      <c r="E225" s="1" t="n">
        <v>46295</v>
      </c>
      <c r="F225" t="inlineStr">
        <is>
          <t>VÄSTERBOTTENS LÄN</t>
        </is>
      </c>
      <c r="G225" t="inlineStr">
        <is>
          <t>LYCKSELE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46295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46295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46295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65487-2021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46295</v>
      </c>
      <c r="F230" t="inlineStr">
        <is>
          <t>VÄSTERBOTTENS LÄN</t>
        </is>
      </c>
      <c r="G230" t="inlineStr">
        <is>
          <t>LYCKSELE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61651-2021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46295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46295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32668-2022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46295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56898-2021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44481</v>
      </c>
      <c r="E234" s="1" t="n">
        <v>46295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46295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44731</v>
      </c>
      <c r="E236" s="1" t="n">
        <v>46295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44809</v>
      </c>
      <c r="E237" s="1" t="n">
        <v>46295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44469</v>
      </c>
      <c r="E238" s="1" t="n">
        <v>46295</v>
      </c>
      <c r="F238" t="inlineStr">
        <is>
          <t>VÄSTERBOTTENS LÄN</t>
        </is>
      </c>
      <c r="G238" t="inlineStr">
        <is>
          <t>LYCKSELE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63827-2021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44509</v>
      </c>
      <c r="E239" s="1" t="n">
        <v>46295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44673</v>
      </c>
      <c r="E240" s="1" t="n">
        <v>46295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SCA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46295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72332-2021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44545</v>
      </c>
      <c r="E242" s="1" t="n">
        <v>46295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46295</v>
      </c>
      <c r="F243" t="inlineStr">
        <is>
          <t>VÄSTERBOTTENS LÄN</t>
        </is>
      </c>
      <c r="G243" t="inlineStr">
        <is>
          <t>LYCKSELE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69627-2021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46295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45964-2022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44846</v>
      </c>
      <c r="E245" s="1" t="n">
        <v>46295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44544</v>
      </c>
      <c r="E246" s="1" t="n">
        <v>46295</v>
      </c>
      <c r="F246" t="inlineStr">
        <is>
          <t>VÄSTERBOTTENS LÄN</t>
        </is>
      </c>
      <c r="G246" t="inlineStr">
        <is>
          <t>LYCKSELE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44749</v>
      </c>
      <c r="E247" s="1" t="n">
        <v>46295</v>
      </c>
      <c r="F247" t="inlineStr">
        <is>
          <t>VÄSTERBOTTENS LÄN</t>
        </is>
      </c>
      <c r="G247" t="inlineStr">
        <is>
          <t>LYCKSELE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57848-2021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44484</v>
      </c>
      <c r="E248" s="1" t="n">
        <v>46295</v>
      </c>
      <c r="F248" t="inlineStr">
        <is>
          <t>VÄSTERBOTTENS LÄN</t>
        </is>
      </c>
      <c r="G248" t="inlineStr">
        <is>
          <t>LYCKSELE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43556-2022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46295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44875</v>
      </c>
      <c r="E250" s="1" t="n">
        <v>46295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SCA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69226-2021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44531</v>
      </c>
      <c r="E251" s="1" t="n">
        <v>46295</v>
      </c>
      <c r="F251" t="inlineStr">
        <is>
          <t>VÄSTERBOTTENS LÄN</t>
        </is>
      </c>
      <c r="G251" t="inlineStr">
        <is>
          <t>LYCKSELE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65231-2021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44513</v>
      </c>
      <c r="E252" s="1" t="n">
        <v>46295</v>
      </c>
      <c r="F252" t="inlineStr">
        <is>
          <t>VÄSTERBOTTENS LÄN</t>
        </is>
      </c>
      <c r="G252" t="inlineStr">
        <is>
          <t>LYCKSELE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61554-2021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46295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70817-2021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44537</v>
      </c>
      <c r="E254" s="1" t="n">
        <v>46295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Naturvårdsverket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21058-2022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44704</v>
      </c>
      <c r="E255" s="1" t="n">
        <v>46295</v>
      </c>
      <c r="F255" t="inlineStr">
        <is>
          <t>VÄSTERBOTTENS LÄN</t>
        </is>
      </c>
      <c r="G255" t="inlineStr">
        <is>
          <t>LYCKSELE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44726</v>
      </c>
      <c r="E256" s="1" t="n">
        <v>46295</v>
      </c>
      <c r="F256" t="inlineStr">
        <is>
          <t>VÄSTERBOTTENS LÄN</t>
        </is>
      </c>
      <c r="G256" t="inlineStr">
        <is>
          <t>LYCKSELE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46295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44798</v>
      </c>
      <c r="E258" s="1" t="n">
        <v>46295</v>
      </c>
      <c r="F258" t="inlineStr">
        <is>
          <t>VÄSTERBOTTENS LÄN</t>
        </is>
      </c>
      <c r="G258" t="inlineStr">
        <is>
          <t>LYCKSELE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44820</v>
      </c>
      <c r="E259" s="1" t="n">
        <v>46295</v>
      </c>
      <c r="F259" t="inlineStr">
        <is>
          <t>VÄSTERBOTTENS LÄN</t>
        </is>
      </c>
      <c r="G259" t="inlineStr">
        <is>
          <t>LYCKSELE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46295</v>
      </c>
      <c r="F260" t="inlineStr">
        <is>
          <t>VÄSTERBOTTENS LÄN</t>
        </is>
      </c>
      <c r="G260" t="inlineStr">
        <is>
          <t>LYCKSELE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45498</v>
      </c>
      <c r="E261" s="1" t="n">
        <v>46295</v>
      </c>
      <c r="F261" t="inlineStr">
        <is>
          <t>VÄSTERBOTTENS LÄN</t>
        </is>
      </c>
      <c r="G261" t="inlineStr">
        <is>
          <t>LYCKSELE</t>
        </is>
      </c>
      <c r="I261" t="n">
        <v>14.4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46295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46295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45378</v>
      </c>
      <c r="E264" s="1" t="n">
        <v>46295</v>
      </c>
      <c r="F264" t="inlineStr">
        <is>
          <t>VÄSTERBOTTENS LÄN</t>
        </is>
      </c>
      <c r="G264" t="inlineStr">
        <is>
          <t>LYCKSELE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46295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46295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46295</v>
      </c>
      <c r="F267" t="inlineStr">
        <is>
          <t>VÄSTERBOTTENS LÄN</t>
        </is>
      </c>
      <c r="G267" t="inlineStr">
        <is>
          <t>LYCKSELE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11626-2024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45373</v>
      </c>
      <c r="E268" s="1" t="n">
        <v>46295</v>
      </c>
      <c r="F268" t="inlineStr">
        <is>
          <t>VÄSTERBOTTENS LÄN</t>
        </is>
      </c>
      <c r="G268" t="inlineStr">
        <is>
          <t>LYCKSELE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46295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44909</v>
      </c>
      <c r="E270" s="1" t="n">
        <v>46295</v>
      </c>
      <c r="F270" t="inlineStr">
        <is>
          <t>VÄSTERBOTTENS LÄN</t>
        </is>
      </c>
      <c r="G270" t="inlineStr">
        <is>
          <t>LYCKSELE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46295</v>
      </c>
      <c r="F271" t="inlineStr">
        <is>
          <t>VÄSTERBOTTENS LÄN</t>
        </is>
      </c>
      <c r="G271" t="inlineStr">
        <is>
          <t>LYCKSELE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46295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46295</v>
      </c>
      <c r="F273" t="inlineStr">
        <is>
          <t>VÄSTERBOTTENS LÄN</t>
        </is>
      </c>
      <c r="G273" t="inlineStr">
        <is>
          <t>LYCKSELE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24361-2024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46295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44896</v>
      </c>
      <c r="E275" s="1" t="n">
        <v>46295</v>
      </c>
      <c r="F275" t="inlineStr">
        <is>
          <t>VÄSTERBOTTENS LÄN</t>
        </is>
      </c>
      <c r="G275" t="inlineStr">
        <is>
          <t>LYCKSELE</t>
        </is>
      </c>
      <c r="I275" t="n">
        <v>20.5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46295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46295</v>
      </c>
      <c r="F277" t="inlineStr">
        <is>
          <t>VÄSTERBOTTENS LÄN</t>
        </is>
      </c>
      <c r="G277" t="inlineStr">
        <is>
          <t>LYCKSELE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46295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46295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45515</v>
      </c>
      <c r="E280" s="1" t="n">
        <v>46295</v>
      </c>
      <c r="F280" t="inlineStr">
        <is>
          <t>VÄSTERBOTTENS LÄN</t>
        </is>
      </c>
      <c r="G280" t="inlineStr">
        <is>
          <t>LYCKSELE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45793</v>
      </c>
      <c r="E281" s="1" t="n">
        <v>46295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46295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46295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60226-2022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44910</v>
      </c>
      <c r="E284" s="1" t="n">
        <v>46295</v>
      </c>
      <c r="F284" t="inlineStr">
        <is>
          <t>VÄSTERBOTTENS LÄN</t>
        </is>
      </c>
      <c r="G284" t="inlineStr">
        <is>
          <t>LYCKSELE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24129-2025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45796</v>
      </c>
      <c r="E285" s="1" t="n">
        <v>46295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45503</v>
      </c>
      <c r="E286" s="1" t="n">
        <v>46295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44735</v>
      </c>
      <c r="E287" s="1" t="n">
        <v>46295</v>
      </c>
      <c r="F287" t="inlineStr">
        <is>
          <t>VÄSTERBOTTENS LÄN</t>
        </is>
      </c>
      <c r="G287" t="inlineStr">
        <is>
          <t>LYCKSELE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46295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45468</v>
      </c>
      <c r="E289" s="1" t="n">
        <v>46295</v>
      </c>
      <c r="F289" t="inlineStr">
        <is>
          <t>VÄSTERBOTTENS LÄN</t>
        </is>
      </c>
      <c r="G289" t="inlineStr">
        <is>
          <t>LYCKSELE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46295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46295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46295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46295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46295</v>
      </c>
      <c r="F294" t="inlineStr">
        <is>
          <t>VÄSTERBOTTENS LÄN</t>
        </is>
      </c>
      <c r="G294" t="inlineStr">
        <is>
          <t>LYCKSELE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45509</v>
      </c>
      <c r="E295" s="1" t="n">
        <v>46295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58192-2023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46295</v>
      </c>
      <c r="F296" t="inlineStr">
        <is>
          <t>VÄSTERBOTTENS LÄN</t>
        </is>
      </c>
      <c r="G296" t="inlineStr">
        <is>
          <t>LYCKSELE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45798</v>
      </c>
      <c r="E297" s="1" t="n">
        <v>46295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45035</v>
      </c>
      <c r="E298" s="1" t="n">
        <v>46295</v>
      </c>
      <c r="F298" t="inlineStr">
        <is>
          <t>VÄSTERBOTTENS LÄN</t>
        </is>
      </c>
      <c r="G298" t="inlineStr">
        <is>
          <t>LYCKSELE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46295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46295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46295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46295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46295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46295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46295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46295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46295</v>
      </c>
      <c r="F307" t="inlineStr">
        <is>
          <t>VÄSTERBOTTENS LÄN</t>
        </is>
      </c>
      <c r="G307" t="inlineStr">
        <is>
          <t>LYCKSELE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46295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11.1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45236</v>
      </c>
      <c r="E309" s="1" t="n">
        <v>46295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46295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70195-2021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44534</v>
      </c>
      <c r="E311" s="1" t="n">
        <v>46295</v>
      </c>
      <c r="F311" t="inlineStr">
        <is>
          <t>VÄSTERBOTTENS LÄN</t>
        </is>
      </c>
      <c r="G311" t="inlineStr">
        <is>
          <t>LYCKSELE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46295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39562-2025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45890</v>
      </c>
      <c r="E313" s="1" t="n">
        <v>46295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45889</v>
      </c>
      <c r="E314" s="1" t="n">
        <v>46295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46295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45483</v>
      </c>
      <c r="E316" s="1" t="n">
        <v>46295</v>
      </c>
      <c r="F316" t="inlineStr">
        <is>
          <t>VÄSTERBOTTENS LÄN</t>
        </is>
      </c>
      <c r="G316" t="inlineStr">
        <is>
          <t>LYCKSELE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45890</v>
      </c>
      <c r="E317" s="1" t="n">
        <v>46295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45889</v>
      </c>
      <c r="E318" s="1" t="n">
        <v>46295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46295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46295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26483-2024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46295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66460-2021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44518</v>
      </c>
      <c r="E322" s="1" t="n">
        <v>46295</v>
      </c>
      <c r="F322" t="inlineStr">
        <is>
          <t>VÄSTERBOTTENS LÄN</t>
        </is>
      </c>
      <c r="G322" t="inlineStr">
        <is>
          <t>LYCKSELE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46295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13.7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46295</v>
      </c>
      <c r="F324" t="inlineStr">
        <is>
          <t>VÄSTERBOTTENS LÄN</t>
        </is>
      </c>
      <c r="G324" t="inlineStr">
        <is>
          <t>LYCKSELE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46295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46295</v>
      </c>
      <c r="F326" t="inlineStr">
        <is>
          <t>VÄSTERBOTTENS LÄN</t>
        </is>
      </c>
      <c r="G326" t="inlineStr">
        <is>
          <t>LYCKSELE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45176</v>
      </c>
      <c r="E327" s="1" t="n">
        <v>46295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46295</v>
      </c>
      <c r="F328" t="inlineStr">
        <is>
          <t>VÄSTERBOTTENS LÄN</t>
        </is>
      </c>
      <c r="G328" t="inlineStr">
        <is>
          <t>LYCKSELE</t>
        </is>
      </c>
      <c r="I328" t="n">
        <v>16.3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46295</v>
      </c>
      <c r="F329" t="inlineStr">
        <is>
          <t>VÄSTERBOTTENS LÄN</t>
        </is>
      </c>
      <c r="G329" t="inlineStr">
        <is>
          <t>LYCKSELE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46295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46295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46295</v>
      </c>
      <c r="F332" t="inlineStr">
        <is>
          <t>VÄSTERBOTTENS LÄN</t>
        </is>
      </c>
      <c r="G332" t="inlineStr">
        <is>
          <t>LYCKSELE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45479</v>
      </c>
      <c r="E333" s="1" t="n">
        <v>46295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46295</v>
      </c>
      <c r="F334" t="inlineStr">
        <is>
          <t>VÄSTERBOTTENS LÄN</t>
        </is>
      </c>
      <c r="G334" t="inlineStr">
        <is>
          <t>LYCKSELE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47016-2022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46295</v>
      </c>
      <c r="F335" t="inlineStr">
        <is>
          <t>VÄSTERBOTTENS LÄN</t>
        </is>
      </c>
      <c r="G335" t="inlineStr">
        <is>
          <t>LYCKSELE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45803</v>
      </c>
      <c r="E336" s="1" t="n">
        <v>46295</v>
      </c>
      <c r="F336" t="inlineStr">
        <is>
          <t>VÄSTERBOTTENS LÄN</t>
        </is>
      </c>
      <c r="G336" t="inlineStr">
        <is>
          <t>LYCKSELE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2758-2023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44943</v>
      </c>
      <c r="E337" s="1" t="n">
        <v>46295</v>
      </c>
      <c r="F337" t="inlineStr">
        <is>
          <t>VÄSTERBOTTENS LÄN</t>
        </is>
      </c>
      <c r="G337" t="inlineStr">
        <is>
          <t>LYCKSELE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45803</v>
      </c>
      <c r="E338" s="1" t="n">
        <v>46295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46295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46295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50.1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46295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60714-2022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44912</v>
      </c>
      <c r="E342" s="1" t="n">
        <v>46295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46295</v>
      </c>
      <c r="F343" t="inlineStr">
        <is>
          <t>VÄSTERBOTTENS LÄN</t>
        </is>
      </c>
      <c r="G343" t="inlineStr">
        <is>
          <t>LYCKSELE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64893-2021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44512</v>
      </c>
      <c r="E344" s="1" t="n">
        <v>46295</v>
      </c>
      <c r="F344" t="inlineStr">
        <is>
          <t>VÄSTERBOTTENS LÄN</t>
        </is>
      </c>
      <c r="G344" t="inlineStr">
        <is>
          <t>LYCKSELE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46295</v>
      </c>
      <c r="F345" t="inlineStr">
        <is>
          <t>VÄSTERBOTTENS LÄN</t>
        </is>
      </c>
      <c r="G345" t="inlineStr">
        <is>
          <t>LYCKSELE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46295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45468</v>
      </c>
      <c r="E347" s="1" t="n">
        <v>46295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46295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46295</v>
      </c>
      <c r="F349" t="inlineStr">
        <is>
          <t>VÄSTERBOTTENS LÄN</t>
        </is>
      </c>
      <c r="G349" t="inlineStr">
        <is>
          <t>LYCKSELE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55250-2024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46295</v>
      </c>
      <c r="F350" t="inlineStr">
        <is>
          <t>VÄSTERBOTTENS LÄN</t>
        </is>
      </c>
      <c r="G350" t="inlineStr">
        <is>
          <t>LYCKSELE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26622-2025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45810</v>
      </c>
      <c r="E351" s="1" t="n">
        <v>46295</v>
      </c>
      <c r="F351" t="inlineStr">
        <is>
          <t>VÄSTERBOTTENS LÄN</t>
        </is>
      </c>
      <c r="G351" t="inlineStr">
        <is>
          <t>LYCKSELE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46295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46295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73113-2021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46295</v>
      </c>
      <c r="F355" t="inlineStr">
        <is>
          <t>VÄSTERBOTTENS LÄN</t>
        </is>
      </c>
      <c r="G355" t="inlineStr">
        <is>
          <t>LYCKSELE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46295</v>
      </c>
      <c r="F356" t="inlineStr">
        <is>
          <t>VÄSTERBOTTENS LÄN</t>
        </is>
      </c>
      <c r="G356" t="inlineStr">
        <is>
          <t>LYCKSELE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46295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46295</v>
      </c>
      <c r="F358" t="inlineStr">
        <is>
          <t>VÄSTERBOTTENS LÄN</t>
        </is>
      </c>
      <c r="G358" t="inlineStr">
        <is>
          <t>LYCKSELE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57108-2024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45629</v>
      </c>
      <c r="E359" s="1" t="n">
        <v>46295</v>
      </c>
      <c r="F359" t="inlineStr">
        <is>
          <t>VÄSTERBOTTENS LÄN</t>
        </is>
      </c>
      <c r="G359" t="inlineStr">
        <is>
          <t>LYCKSELE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46295</v>
      </c>
      <c r="F360" t="inlineStr">
        <is>
          <t>VÄSTERBOTTENS LÄN</t>
        </is>
      </c>
      <c r="G360" t="inlineStr">
        <is>
          <t>LYCKSELE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44637</v>
      </c>
      <c r="E361" s="1" t="n">
        <v>46295</v>
      </c>
      <c r="F361" t="inlineStr">
        <is>
          <t>VÄSTERBOTTENS LÄN</t>
        </is>
      </c>
      <c r="G361" t="inlineStr">
        <is>
          <t>LYCKSELE</t>
        </is>
      </c>
      <c r="I361" t="n">
        <v>30.8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46295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46295</v>
      </c>
      <c r="F363" t="inlineStr">
        <is>
          <t>VÄSTERBOTTENS LÄN</t>
        </is>
      </c>
      <c r="G363" t="inlineStr">
        <is>
          <t>LYCKSELE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45266</v>
      </c>
      <c r="E364" s="1" t="n">
        <v>46295</v>
      </c>
      <c r="F364" t="inlineStr">
        <is>
          <t>VÄSTERBOTTENS LÄN</t>
        </is>
      </c>
      <c r="G364" t="inlineStr">
        <is>
          <t>LYCKSELE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45807</v>
      </c>
      <c r="E365" s="1" t="n">
        <v>46295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46295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60685-2022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44911</v>
      </c>
      <c r="E367" s="1" t="n">
        <v>46295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45807</v>
      </c>
      <c r="E368" s="1" t="n">
        <v>46295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46295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23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46295</v>
      </c>
      <c r="F370" t="inlineStr">
        <is>
          <t>VÄSTERBOTTENS LÄN</t>
        </is>
      </c>
      <c r="G370" t="inlineStr">
        <is>
          <t>LYCKSELE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46295</v>
      </c>
      <c r="F371" t="inlineStr">
        <is>
          <t>VÄSTERBOTTENS LÄN</t>
        </is>
      </c>
      <c r="G371" t="inlineStr">
        <is>
          <t>LYCKSELE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45811</v>
      </c>
      <c r="E372" s="1" t="n">
        <v>46295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45545</v>
      </c>
      <c r="E373" s="1" t="n">
        <v>46295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45909</v>
      </c>
      <c r="E374" s="1" t="n">
        <v>46295</v>
      </c>
      <c r="F374" t="inlineStr">
        <is>
          <t>VÄSTERBOTTENS LÄN</t>
        </is>
      </c>
      <c r="G374" t="inlineStr">
        <is>
          <t>LYCKSELE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46295</v>
      </c>
      <c r="F375" t="inlineStr">
        <is>
          <t>VÄSTERBOTTENS LÄN</t>
        </is>
      </c>
      <c r="G375" t="inlineStr">
        <is>
          <t>LYCKSELE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57818-2021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44484</v>
      </c>
      <c r="E376" s="1" t="n">
        <v>46295</v>
      </c>
      <c r="F376" t="inlineStr">
        <is>
          <t>VÄSTERBOTTENS LÄN</t>
        </is>
      </c>
      <c r="G376" t="inlineStr">
        <is>
          <t>LYCKSELE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38114-2024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45545</v>
      </c>
      <c r="E377" s="1" t="n">
        <v>46295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46295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45006</v>
      </c>
      <c r="E379" s="1" t="n">
        <v>46295</v>
      </c>
      <c r="F379" t="inlineStr">
        <is>
          <t>VÄSTERBOTTENS LÄN</t>
        </is>
      </c>
      <c r="G379" t="inlineStr">
        <is>
          <t>LYCKSELE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46295</v>
      </c>
      <c r="F380" t="inlineStr">
        <is>
          <t>VÄSTERBOTTENS LÄN</t>
        </is>
      </c>
      <c r="G380" t="inlineStr">
        <is>
          <t>LYCKSELE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46295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15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46295</v>
      </c>
      <c r="F382" t="inlineStr">
        <is>
          <t>VÄSTERBOTTENS LÄN</t>
        </is>
      </c>
      <c r="G382" t="inlineStr">
        <is>
          <t>LYCKSELE</t>
        </is>
      </c>
      <c r="I382" t="n">
        <v>10.7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45813</v>
      </c>
      <c r="E383" s="1" t="n">
        <v>46295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45491</v>
      </c>
      <c r="E384" s="1" t="n">
        <v>46295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46295</v>
      </c>
      <c r="F385" t="inlineStr">
        <is>
          <t>VÄSTERBOTTENS LÄN</t>
        </is>
      </c>
      <c r="G385" t="inlineStr">
        <is>
          <t>LYCKSELE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45105</v>
      </c>
      <c r="E386" s="1" t="n">
        <v>46295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45488</v>
      </c>
      <c r="E387" s="1" t="n">
        <v>46295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45818</v>
      </c>
      <c r="E388" s="1" t="n">
        <v>46295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45441</v>
      </c>
      <c r="E389" s="1" t="n">
        <v>46295</v>
      </c>
      <c r="F389" t="inlineStr">
        <is>
          <t>VÄSTERBOTTENS LÄN</t>
        </is>
      </c>
      <c r="G389" t="inlineStr">
        <is>
          <t>LYCKSELE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46295</v>
      </c>
      <c r="F390" t="inlineStr">
        <is>
          <t>VÄSTERBOTTENS LÄN</t>
        </is>
      </c>
      <c r="G390" t="inlineStr">
        <is>
          <t>LYCKSELE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45708</v>
      </c>
      <c r="E391" s="1" t="n">
        <v>46295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28833-2025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45820</v>
      </c>
      <c r="E392" s="1" t="n">
        <v>46295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37950-2024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45544</v>
      </c>
      <c r="E393" s="1" t="n">
        <v>46295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46295</v>
      </c>
      <c r="F394" t="inlineStr">
        <is>
          <t>VÄSTERBOTTENS LÄN</t>
        </is>
      </c>
      <c r="G394" t="inlineStr">
        <is>
          <t>LYCKSELE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46295</v>
      </c>
      <c r="F395" t="inlineStr">
        <is>
          <t>VÄSTERBOTTENS LÄN</t>
        </is>
      </c>
      <c r="G395" t="inlineStr">
        <is>
          <t>LYCKSELE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29088-2025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45821</v>
      </c>
      <c r="E396" s="1" t="n">
        <v>46295</v>
      </c>
      <c r="F396" t="inlineStr">
        <is>
          <t>VÄSTERBOTTENS LÄN</t>
        </is>
      </c>
      <c r="G396" t="inlineStr">
        <is>
          <t>LYCKSELE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46295</v>
      </c>
      <c r="F397" t="inlineStr">
        <is>
          <t>VÄSTERBOTTENS LÄN</t>
        </is>
      </c>
      <c r="G397" t="inlineStr">
        <is>
          <t>LYCKSELE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46295</v>
      </c>
      <c r="F398" t="inlineStr">
        <is>
          <t>VÄSTERBOTTENS LÄN</t>
        </is>
      </c>
      <c r="G398" t="inlineStr">
        <is>
          <t>LYCKSELE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46295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19.6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39605-2024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45552</v>
      </c>
      <c r="E400" s="1" t="n">
        <v>46295</v>
      </c>
      <c r="F400" t="inlineStr">
        <is>
          <t>VÄSTERBOTTENS LÄN</t>
        </is>
      </c>
      <c r="G400" t="inlineStr">
        <is>
          <t>LYCKSELE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46295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9.9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46295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18.1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46295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44337-2025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46295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46295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46295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45826</v>
      </c>
      <c r="E407" s="1" t="n">
        <v>46295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43928-2025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46295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9.9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46295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46295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44346-2025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46295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46295</v>
      </c>
      <c r="F412" t="inlineStr">
        <is>
          <t>VÄSTERBOTTENS LÄN</t>
        </is>
      </c>
      <c r="G412" t="inlineStr">
        <is>
          <t>LYCKSELE</t>
        </is>
      </c>
      <c r="I412" t="n">
        <v>8.4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46295</v>
      </c>
      <c r="F413" t="inlineStr">
        <is>
          <t>VÄSTERBOTTENS LÄN</t>
        </is>
      </c>
      <c r="G413" t="inlineStr">
        <is>
          <t>LYCKSELE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44924</v>
      </c>
      <c r="E414" s="1" t="n">
        <v>46295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44107-2025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45915</v>
      </c>
      <c r="E415" s="1" t="n">
        <v>46295</v>
      </c>
      <c r="F415" t="inlineStr">
        <is>
          <t>VÄSTERBOTTENS LÄN</t>
        </is>
      </c>
      <c r="G415" t="inlineStr">
        <is>
          <t>LYCKSELE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45751</v>
      </c>
      <c r="E416" s="1" t="n">
        <v>46295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43134-2023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45182</v>
      </c>
      <c r="E417" s="1" t="n">
        <v>46295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46295</v>
      </c>
      <c r="F418" t="inlineStr">
        <is>
          <t>VÄSTERBOTTENS LÄN</t>
        </is>
      </c>
      <c r="G418" t="inlineStr">
        <is>
          <t>LYCKSELE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44547-2025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45917</v>
      </c>
      <c r="E419" s="1" t="n">
        <v>46295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46295</v>
      </c>
      <c r="F420" t="inlineStr">
        <is>
          <t>VÄSTERBOTTENS LÄN</t>
        </is>
      </c>
      <c r="G420" t="inlineStr">
        <is>
          <t>LYCKSELE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46295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19.5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45919</v>
      </c>
      <c r="E422" s="1" t="n">
        <v>46295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46295</v>
      </c>
      <c r="F423" t="inlineStr">
        <is>
          <t>VÄSTERBOTTENS LÄN</t>
        </is>
      </c>
      <c r="G423" t="inlineStr">
        <is>
          <t>LYCKSELE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45837-2025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46295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45832</v>
      </c>
      <c r="E425" s="1" t="n">
        <v>46295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46295</v>
      </c>
      <c r="F426" t="inlineStr">
        <is>
          <t>VÄSTERBOTTENS LÄN</t>
        </is>
      </c>
      <c r="G426" t="inlineStr">
        <is>
          <t>LYCKSELE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45924</v>
      </c>
      <c r="E427" s="1" t="n">
        <v>46295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45534</v>
      </c>
      <c r="E428" s="1" t="n">
        <v>46295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46295</v>
      </c>
      <c r="F429" t="inlineStr">
        <is>
          <t>VÄSTERBOTTENS LÄN</t>
        </is>
      </c>
      <c r="G429" t="inlineStr">
        <is>
          <t>LYCKSELE</t>
        </is>
      </c>
      <c r="I429" t="n">
        <v>12.3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46077-2025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45924</v>
      </c>
      <c r="E430" s="1" t="n">
        <v>46295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46295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18.9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45834</v>
      </c>
      <c r="E432" s="1" t="n">
        <v>46295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45117</v>
      </c>
      <c r="E433" s="1" t="n">
        <v>46295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46295</v>
      </c>
      <c r="F434" t="inlineStr">
        <is>
          <t>VÄSTERBOTTENS LÄN</t>
        </is>
      </c>
      <c r="G434" t="inlineStr">
        <is>
          <t>LYCKSELE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46295</v>
      </c>
      <c r="F435" t="inlineStr">
        <is>
          <t>VÄSTERBOTTENS LÄN</t>
        </is>
      </c>
      <c r="G435" t="inlineStr">
        <is>
          <t>LYCKSELE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45930</v>
      </c>
      <c r="E436" s="1" t="n">
        <v>46295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46295</v>
      </c>
      <c r="F437" t="inlineStr">
        <is>
          <t>VÄSTERBOTTENS LÄN</t>
        </is>
      </c>
      <c r="G437" t="inlineStr">
        <is>
          <t>LYCKSELE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45839</v>
      </c>
      <c r="E438" s="1" t="n">
        <v>46295</v>
      </c>
      <c r="F438" t="inlineStr">
        <is>
          <t>VÄSTERBOTTENS LÄN</t>
        </is>
      </c>
      <c r="G438" t="inlineStr">
        <is>
          <t>LYCKSELE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46295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47459-2025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45930</v>
      </c>
      <c r="E440" s="1" t="n">
        <v>46295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32722-2025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45839</v>
      </c>
      <c r="E441" s="1" t="n">
        <v>46295</v>
      </c>
      <c r="F441" t="inlineStr">
        <is>
          <t>VÄSTERBOTTENS LÄN</t>
        </is>
      </c>
      <c r="G441" t="inlineStr">
        <is>
          <t>LYCKSELE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45931</v>
      </c>
      <c r="E442" s="1" t="n">
        <v>46295</v>
      </c>
      <c r="F442" t="inlineStr">
        <is>
          <t>VÄSTERBOTTENS LÄN</t>
        </is>
      </c>
      <c r="G442" t="inlineStr">
        <is>
          <t>LYCKSELE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33067-2025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46295</v>
      </c>
      <c r="F443" t="inlineStr">
        <is>
          <t>VÄSTERBOTTENS LÄN</t>
        </is>
      </c>
      <c r="G443" t="inlineStr">
        <is>
          <t>LYCKSELE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46295</v>
      </c>
      <c r="F444" t="inlineStr">
        <is>
          <t>VÄSTERBOTTENS LÄN</t>
        </is>
      </c>
      <c r="G444" t="inlineStr">
        <is>
          <t>LYCKSELE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33966-2025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45842</v>
      </c>
      <c r="E445" s="1" t="n">
        <v>46295</v>
      </c>
      <c r="F445" t="inlineStr">
        <is>
          <t>VÄSTERBOTTENS LÄN</t>
        </is>
      </c>
      <c r="G445" t="inlineStr">
        <is>
          <t>LYCKSELE</t>
        </is>
      </c>
      <c r="I445" t="n">
        <v>12.5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33527-2025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46295</v>
      </c>
      <c r="F446" t="inlineStr">
        <is>
          <t>VÄSTERBOTTENS LÄN</t>
        </is>
      </c>
      <c r="G446" t="inlineStr">
        <is>
          <t>LYCKSELE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45534</v>
      </c>
      <c r="E447" s="1" t="n">
        <v>46295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46295</v>
      </c>
      <c r="F448" t="inlineStr">
        <is>
          <t>VÄSTERBOTTENS LÄN</t>
        </is>
      </c>
      <c r="G448" t="inlineStr">
        <is>
          <t>LYCKSELE</t>
        </is>
      </c>
      <c r="I448" t="n">
        <v>17.8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33431-2025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45841</v>
      </c>
      <c r="E449" s="1" t="n">
        <v>46295</v>
      </c>
      <c r="F449" t="inlineStr">
        <is>
          <t>VÄSTERBOTTENS LÄN</t>
        </is>
      </c>
      <c r="G449" t="inlineStr">
        <is>
          <t>LYCKSELE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34635-2024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45526</v>
      </c>
      <c r="E450" s="1" t="n">
        <v>46295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33415-2025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45841</v>
      </c>
      <c r="E451" s="1" t="n">
        <v>46295</v>
      </c>
      <c r="F451" t="inlineStr">
        <is>
          <t>VÄSTERBOTTENS LÄN</t>
        </is>
      </c>
      <c r="G451" t="inlineStr">
        <is>
          <t>LYCKSELE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3632-2024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45320</v>
      </c>
      <c r="E452" s="1" t="n">
        <v>46295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33423-2025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45841</v>
      </c>
      <c r="E453" s="1" t="n">
        <v>46295</v>
      </c>
      <c r="F453" t="inlineStr">
        <is>
          <t>VÄSTERBOTTENS LÄN</t>
        </is>
      </c>
      <c r="G453" t="inlineStr">
        <is>
          <t>LYCKSELE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33992-2025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45843</v>
      </c>
      <c r="E454" s="1" t="n">
        <v>46295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46295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45933</v>
      </c>
      <c r="E456" s="1" t="n">
        <v>46295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45845</v>
      </c>
      <c r="E457" s="1" t="n">
        <v>46295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71407-2021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44540</v>
      </c>
      <c r="E458" s="1" t="n">
        <v>46295</v>
      </c>
      <c r="F458" t="inlineStr">
        <is>
          <t>VÄSTERBOTTENS LÄN</t>
        </is>
      </c>
      <c r="G458" t="inlineStr">
        <is>
          <t>LYCKSELE</t>
        </is>
      </c>
      <c r="I458" t="n">
        <v>9.4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33991-2025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45843</v>
      </c>
      <c r="E459" s="1" t="n">
        <v>46295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45847</v>
      </c>
      <c r="E460" s="1" t="n">
        <v>46295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26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46295</v>
      </c>
      <c r="F461" t="inlineStr">
        <is>
          <t>VÄSTERBOTTENS LÄN</t>
        </is>
      </c>
      <c r="G461" t="inlineStr">
        <is>
          <t>LYCKSELE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46295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45849</v>
      </c>
      <c r="E463" s="1" t="n">
        <v>46295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45849</v>
      </c>
      <c r="E464" s="1" t="n">
        <v>46295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44572</v>
      </c>
      <c r="E465" s="1" t="n">
        <v>46295</v>
      </c>
      <c r="F465" t="inlineStr">
        <is>
          <t>VÄSTERBOTTENS LÄN</t>
        </is>
      </c>
      <c r="G465" t="inlineStr">
        <is>
          <t>LYCKSELE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46295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46295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45849</v>
      </c>
      <c r="E468" s="1" t="n">
        <v>46295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45852</v>
      </c>
      <c r="E469" s="1" t="n">
        <v>46295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45940</v>
      </c>
      <c r="E470" s="1" t="n">
        <v>46295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35303-2025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45854</v>
      </c>
      <c r="E471" s="1" t="n">
        <v>46295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46295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45853</v>
      </c>
      <c r="E473" s="1" t="n">
        <v>46295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35234-2025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45853</v>
      </c>
      <c r="E474" s="1" t="n">
        <v>46295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46295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45853</v>
      </c>
      <c r="E476" s="1" t="n">
        <v>46295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45853</v>
      </c>
      <c r="E477" s="1" t="n">
        <v>46295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45854</v>
      </c>
      <c r="E478" s="1" t="n">
        <v>46295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46295</v>
      </c>
      <c r="F479" t="inlineStr">
        <is>
          <t>VÄSTERBOTTENS LÄN</t>
        </is>
      </c>
      <c r="G479" t="inlineStr">
        <is>
          <t>LYCKSELE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46295</v>
      </c>
      <c r="F480" t="inlineStr">
        <is>
          <t>VÄSTERBOTTENS LÄN</t>
        </is>
      </c>
      <c r="G480" t="inlineStr">
        <is>
          <t>LYCKSELE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45142</v>
      </c>
      <c r="E481" s="1" t="n">
        <v>46295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35662-2025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45859</v>
      </c>
      <c r="E482" s="1" t="n">
        <v>46295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20.8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49968-2025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45941</v>
      </c>
      <c r="E483" s="1" t="n">
        <v>46295</v>
      </c>
      <c r="F483" t="inlineStr">
        <is>
          <t>VÄSTERBOTTENS LÄN</t>
        </is>
      </c>
      <c r="G483" t="inlineStr">
        <is>
          <t>LYCKSELE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45859</v>
      </c>
      <c r="E484" s="1" t="n">
        <v>46295</v>
      </c>
      <c r="F484" t="inlineStr">
        <is>
          <t>VÄSTERBOTTENS LÄN</t>
        </is>
      </c>
      <c r="G484" t="inlineStr">
        <is>
          <t>LYCKSELE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45859</v>
      </c>
      <c r="E485" s="1" t="n">
        <v>46295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46295</v>
      </c>
      <c r="F486" t="inlineStr">
        <is>
          <t>VÄSTERBOTTENS LÄN</t>
        </is>
      </c>
      <c r="G486" t="inlineStr">
        <is>
          <t>LYCKSELE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49977-2025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45942</v>
      </c>
      <c r="E487" s="1" t="n">
        <v>46295</v>
      </c>
      <c r="F487" t="inlineStr">
        <is>
          <t>VÄSTERBOTTENS LÄN</t>
        </is>
      </c>
      <c r="G487" t="inlineStr">
        <is>
          <t>LYCKSELE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50021-2025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45943</v>
      </c>
      <c r="E488" s="1" t="n">
        <v>46295</v>
      </c>
      <c r="F488" t="inlineStr">
        <is>
          <t>VÄSTERBOTTENS LÄN</t>
        </is>
      </c>
      <c r="G488" t="inlineStr">
        <is>
          <t>LYCKSELE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45861</v>
      </c>
      <c r="E489" s="1" t="n">
        <v>46295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45862</v>
      </c>
      <c r="E490" s="1" t="n">
        <v>46295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45205</v>
      </c>
      <c r="E491" s="1" t="n">
        <v>46295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46295</v>
      </c>
      <c r="F492" t="inlineStr">
        <is>
          <t>VÄSTERBOTTENS LÄN</t>
        </is>
      </c>
      <c r="G492" t="inlineStr">
        <is>
          <t>LYCKSELE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44994</v>
      </c>
      <c r="E493" s="1" t="n">
        <v>46295</v>
      </c>
      <c r="F493" t="inlineStr">
        <is>
          <t>VÄSTERBOTTENS LÄN</t>
        </is>
      </c>
      <c r="G493" t="inlineStr">
        <is>
          <t>LYCKSELE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45861</v>
      </c>
      <c r="E494" s="1" t="n">
        <v>46295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45576</v>
      </c>
      <c r="E495" s="1" t="n">
        <v>46295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36542-2025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45869</v>
      </c>
      <c r="E496" s="1" t="n">
        <v>46295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51207-2025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46295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45869</v>
      </c>
      <c r="E498" s="1" t="n">
        <v>46295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46295</v>
      </c>
      <c r="F499" t="inlineStr">
        <is>
          <t>VÄSTERBOTTENS LÄN</t>
        </is>
      </c>
      <c r="G499" t="inlineStr">
        <is>
          <t>LYCKSELE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46295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24.6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46295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57618-2022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44897</v>
      </c>
      <c r="E502" s="1" t="n">
        <v>46295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46295</v>
      </c>
      <c r="F503" t="inlineStr">
        <is>
          <t>VÄSTERBOTTENS LÄN</t>
        </is>
      </c>
      <c r="G503" t="inlineStr">
        <is>
          <t>LYCKSELE</t>
        </is>
      </c>
      <c r="I503" t="n">
        <v>13.5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53037-2023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45226</v>
      </c>
      <c r="E504" s="1" t="n">
        <v>46295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45873</v>
      </c>
      <c r="E505" s="1" t="n">
        <v>46295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45951</v>
      </c>
      <c r="E506" s="1" t="n">
        <v>46295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19.8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46295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36702-2025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45873</v>
      </c>
      <c r="E508" s="1" t="n">
        <v>46295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46295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36736-2025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46295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45875</v>
      </c>
      <c r="E511" s="1" t="n">
        <v>46295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26397-2022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46295</v>
      </c>
      <c r="F512" t="inlineStr">
        <is>
          <t>VÄSTERBOTTENS LÄN</t>
        </is>
      </c>
      <c r="G512" t="inlineStr">
        <is>
          <t>LYCKSELE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37078-2025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45875</v>
      </c>
      <c r="E513" s="1" t="n">
        <v>46295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64663-2023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46295</v>
      </c>
      <c r="F514" t="inlineStr">
        <is>
          <t>VÄSTERBOTTENS LÄN</t>
        </is>
      </c>
      <c r="G514" t="inlineStr">
        <is>
          <t>LYCKSELE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46295</v>
      </c>
      <c r="F515" t="inlineStr">
        <is>
          <t>VÄSTERBOTTENS LÄN</t>
        </is>
      </c>
      <c r="G515" t="inlineStr">
        <is>
          <t>LYCKSELE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45265</v>
      </c>
      <c r="E516" s="1" t="n">
        <v>46295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58775-2025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45986</v>
      </c>
      <c r="E517" s="1" t="n">
        <v>46295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46038</v>
      </c>
      <c r="E518" s="1" t="n">
        <v>46295</v>
      </c>
      <c r="F518" t="inlineStr">
        <is>
          <t>VÄSTERBOTTENS LÄN</t>
        </is>
      </c>
      <c r="G518" t="inlineStr">
        <is>
          <t>LYCKSELE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46295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45694</v>
      </c>
      <c r="E520" s="1" t="n">
        <v>46295</v>
      </c>
      <c r="F520" t="inlineStr">
        <is>
          <t>VÄSTERBOTTENS LÄN</t>
        </is>
      </c>
      <c r="G520" t="inlineStr">
        <is>
          <t>LYCKSELE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45881</v>
      </c>
      <c r="E521" s="1" t="n">
        <v>46295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45730</v>
      </c>
      <c r="E522" s="1" t="n">
        <v>46295</v>
      </c>
      <c r="F522" t="inlineStr">
        <is>
          <t>VÄSTERBOTTENS LÄN</t>
        </is>
      </c>
      <c r="G522" t="inlineStr">
        <is>
          <t>LYCKSELE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59516-2021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44491</v>
      </c>
      <c r="E523" s="1" t="n">
        <v>46295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45075</v>
      </c>
      <c r="E524" s="1" t="n">
        <v>46295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46295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46062</v>
      </c>
      <c r="E526" s="1" t="n">
        <v>46295</v>
      </c>
      <c r="F526" t="inlineStr">
        <is>
          <t>VÄSTERBOTTENS LÄN</t>
        </is>
      </c>
      <c r="G526" t="inlineStr">
        <is>
          <t>LYCKSELE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44933</v>
      </c>
      <c r="E527" s="1" t="n">
        <v>46295</v>
      </c>
      <c r="F527" t="inlineStr">
        <is>
          <t>VÄSTERBOTTENS LÄN</t>
        </is>
      </c>
      <c r="G527" t="inlineStr">
        <is>
          <t>LYCKSELE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46295</v>
      </c>
      <c r="F528" t="inlineStr">
        <is>
          <t>VÄSTERBOTTENS LÄN</t>
        </is>
      </c>
      <c r="G528" t="inlineStr">
        <is>
          <t>LYCKSELE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54697-2024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45618</v>
      </c>
      <c r="E529" s="1" t="n">
        <v>46295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53096-2024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45611</v>
      </c>
      <c r="E530" s="1" t="n">
        <v>46295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45614</v>
      </c>
      <c r="E531" s="1" t="n">
        <v>46295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46295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Naturvårdsverket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54906-2025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45967</v>
      </c>
      <c r="E533" s="1" t="n">
        <v>46295</v>
      </c>
      <c r="F533" t="inlineStr">
        <is>
          <t>VÄSTERBOTTENS LÄN</t>
        </is>
      </c>
      <c r="G533" t="inlineStr">
        <is>
          <t>LYCKSELE</t>
        </is>
      </c>
      <c r="I533" t="n">
        <v>24.9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46295</v>
      </c>
      <c r="F534" t="inlineStr">
        <is>
          <t>VÄSTERBOTTENS LÄN</t>
        </is>
      </c>
      <c r="G534" t="inlineStr">
        <is>
          <t>LYCKSELE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46295</v>
      </c>
      <c r="F535" t="inlineStr">
        <is>
          <t>VÄSTERBOTTENS LÄN</t>
        </is>
      </c>
      <c r="G535" t="inlineStr">
        <is>
          <t>LYCKSELE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54943-2025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46295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45968</v>
      </c>
      <c r="E537" s="1" t="n">
        <v>46295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Naturvårdsverket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45967</v>
      </c>
      <c r="E538" s="1" t="n">
        <v>46295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55187-2025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45968</v>
      </c>
      <c r="E539" s="1" t="n">
        <v>46295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8.9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44952</v>
      </c>
      <c r="E540" s="1" t="n">
        <v>46295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46295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Naturvårdsverket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7954-2026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46063</v>
      </c>
      <c r="E542" s="1" t="n">
        <v>46295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Naturvårdsverket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46064</v>
      </c>
      <c r="E543" s="1" t="n">
        <v>46295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Naturvårdsverket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45972</v>
      </c>
      <c r="E544" s="1" t="n">
        <v>46295</v>
      </c>
      <c r="F544" t="inlineStr">
        <is>
          <t>VÄSTERBOTTENS LÄN</t>
        </is>
      </c>
      <c r="G544" t="inlineStr">
        <is>
          <t>LYCKSELE</t>
        </is>
      </c>
      <c r="I544" t="n">
        <v>14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55666-2025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45972</v>
      </c>
      <c r="E545" s="1" t="n">
        <v>46295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46295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46295</v>
      </c>
      <c r="F547" t="inlineStr">
        <is>
          <t>VÄSTERBOTTENS LÄN</t>
        </is>
      </c>
      <c r="G547" t="inlineStr">
        <is>
          <t>LYCKSELE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46295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Holmen skog AB</t>
        </is>
      </c>
      <c r="I548" t="n">
        <v>12.1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56172-2025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45974</v>
      </c>
      <c r="E549" s="1" t="n">
        <v>46295</v>
      </c>
      <c r="F549" t="inlineStr">
        <is>
          <t>VÄSTERBOTTENS LÄN</t>
        </is>
      </c>
      <c r="G549" t="inlineStr">
        <is>
          <t>LYCKSELE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45637</v>
      </c>
      <c r="E550" s="1" t="n">
        <v>46295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46070</v>
      </c>
      <c r="E551" s="1" t="n">
        <v>46295</v>
      </c>
      <c r="F551" t="inlineStr">
        <is>
          <t>VÄSTERBOTTENS LÄN</t>
        </is>
      </c>
      <c r="G551" t="inlineStr">
        <is>
          <t>LYCKSELE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45147</v>
      </c>
      <c r="E552" s="1" t="n">
        <v>46295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45457</v>
      </c>
      <c r="E553" s="1" t="n">
        <v>46295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56744-2025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46295</v>
      </c>
      <c r="F554" t="inlineStr">
        <is>
          <t>VÄSTERBOTTENS LÄN</t>
        </is>
      </c>
      <c r="G554" t="inlineStr">
        <is>
          <t>LYCKSELE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44979</v>
      </c>
      <c r="E555" s="1" t="n">
        <v>46295</v>
      </c>
      <c r="F555" t="inlineStr">
        <is>
          <t>VÄSTERBOTTENS LÄN</t>
        </is>
      </c>
      <c r="G555" t="inlineStr">
        <is>
          <t>LYCKSELE</t>
        </is>
      </c>
      <c r="I555" t="n">
        <v>12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45980</v>
      </c>
      <c r="E556" s="1" t="n">
        <v>46295</v>
      </c>
      <c r="F556" t="inlineStr">
        <is>
          <t>VÄSTERBOTTENS LÄN</t>
        </is>
      </c>
      <c r="G556" t="inlineStr">
        <is>
          <t>LYCKSELE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46295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62715-2022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44925</v>
      </c>
      <c r="E558" s="1" t="n">
        <v>46295</v>
      </c>
      <c r="F558" t="inlineStr">
        <is>
          <t>VÄSTERBOTTENS LÄN</t>
        </is>
      </c>
      <c r="G558" t="inlineStr">
        <is>
          <t>LYCKSELE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59559-2022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44900</v>
      </c>
      <c r="E559" s="1" t="n">
        <v>46295</v>
      </c>
      <c r="F559" t="inlineStr">
        <is>
          <t>VÄSTERBOTTENS LÄN</t>
        </is>
      </c>
      <c r="G559" t="inlineStr">
        <is>
          <t>LYCKSELE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45457</v>
      </c>
      <c r="E560" s="1" t="n">
        <v>46295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45979</v>
      </c>
      <c r="E561" s="1" t="n">
        <v>46295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29937-2024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45488</v>
      </c>
      <c r="E562" s="1" t="n">
        <v>46295</v>
      </c>
      <c r="F562" t="inlineStr">
        <is>
          <t>VÄSTERBOTTENS LÄN</t>
        </is>
      </c>
      <c r="G562" t="inlineStr">
        <is>
          <t>LYCKSELE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46295</v>
      </c>
      <c r="F563" t="inlineStr">
        <is>
          <t>VÄSTERBOTTENS LÄN</t>
        </is>
      </c>
      <c r="G563" t="inlineStr">
        <is>
          <t>LYCKSELE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46295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58094-2025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45982</v>
      </c>
      <c r="E565" s="1" t="n">
        <v>46295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46295</v>
      </c>
      <c r="F566" t="inlineStr">
        <is>
          <t>VÄSTERBOTTENS LÄN</t>
        </is>
      </c>
      <c r="G566" t="inlineStr">
        <is>
          <t>LYCKSELE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46295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28528-2023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45103</v>
      </c>
      <c r="E568" s="1" t="n">
        <v>46295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28545-2023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45103</v>
      </c>
      <c r="E569" s="1" t="n">
        <v>46295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46295</v>
      </c>
      <c r="F570" t="inlineStr">
        <is>
          <t>VÄSTERBOTTENS LÄN</t>
        </is>
      </c>
      <c r="G570" t="inlineStr">
        <is>
          <t>LYCKSELE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9716-2026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46295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34929-2023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46295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52124-2024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45608</v>
      </c>
      <c r="E573" s="1" t="n">
        <v>46295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46295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58140-2025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45981</v>
      </c>
      <c r="E575" s="1" t="n">
        <v>46295</v>
      </c>
      <c r="F575" t="inlineStr">
        <is>
          <t>VÄSTERBOTTENS LÄN</t>
        </is>
      </c>
      <c r="G575" t="inlineStr">
        <is>
          <t>LYCKSELE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46295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46295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46295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46295</v>
      </c>
      <c r="F579" t="inlineStr">
        <is>
          <t>VÄSTERBOTTENS LÄN</t>
        </is>
      </c>
      <c r="G579" t="inlineStr">
        <is>
          <t>LYCKSELE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52144-2024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46295</v>
      </c>
      <c r="F580" t="inlineStr">
        <is>
          <t>VÄSTERBOTTENS LÄN</t>
        </is>
      </c>
      <c r="G580" t="inlineStr">
        <is>
          <t>LYCKSELE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58610-2025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46295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45672</v>
      </c>
      <c r="E582" s="1" t="n">
        <v>46295</v>
      </c>
      <c r="F582" t="inlineStr">
        <is>
          <t>VÄSTERBOTTENS LÄN</t>
        </is>
      </c>
      <c r="G582" t="inlineStr">
        <is>
          <t>LYCKSELE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9090-2025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45713</v>
      </c>
      <c r="E583" s="1" t="n">
        <v>46295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46076</v>
      </c>
      <c r="E584" s="1" t="n">
        <v>46295</v>
      </c>
      <c r="F584" t="inlineStr">
        <is>
          <t>VÄSTERBOTTENS LÄN</t>
        </is>
      </c>
      <c r="G584" t="inlineStr">
        <is>
          <t>LYCKSELE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45271</v>
      </c>
      <c r="E585" s="1" t="n">
        <v>46295</v>
      </c>
      <c r="F585" t="inlineStr">
        <is>
          <t>VÄSTERBOTTENS LÄN</t>
        </is>
      </c>
      <c r="G585" t="inlineStr">
        <is>
          <t>LYCKSELE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25902-2022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44733</v>
      </c>
      <c r="E586" s="1" t="n">
        <v>46295</v>
      </c>
      <c r="F586" t="inlineStr">
        <is>
          <t>VÄSTERBOTTENS LÄN</t>
        </is>
      </c>
      <c r="G586" t="inlineStr">
        <is>
          <t>LYCKSELE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46295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45635</v>
      </c>
      <c r="E588" s="1" t="n">
        <v>46295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59736-2025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45992</v>
      </c>
      <c r="E589" s="1" t="n">
        <v>46295</v>
      </c>
      <c r="F589" t="inlineStr">
        <is>
          <t>VÄSTERBOTTENS LÄN</t>
        </is>
      </c>
      <c r="G589" t="inlineStr">
        <is>
          <t>LYCKSELE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59818-2025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46295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45154</v>
      </c>
      <c r="E591" s="1" t="n">
        <v>46295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46295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45992</v>
      </c>
      <c r="E593" s="1" t="n">
        <v>46295</v>
      </c>
      <c r="F593" t="inlineStr">
        <is>
          <t>VÄSTERBOTTENS LÄN</t>
        </is>
      </c>
      <c r="G593" t="inlineStr">
        <is>
          <t>LYCKSELE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57263-2024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46295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26351-2022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44735</v>
      </c>
      <c r="E595" s="1" t="n">
        <v>46295</v>
      </c>
      <c r="F595" t="inlineStr">
        <is>
          <t>VÄSTERBOTTENS LÄN</t>
        </is>
      </c>
      <c r="G595" t="inlineStr">
        <is>
          <t>LYCKSELE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45701</v>
      </c>
      <c r="E596" s="1" t="n">
        <v>46295</v>
      </c>
      <c r="F596" t="inlineStr">
        <is>
          <t>VÄSTERBOTTENS LÄN</t>
        </is>
      </c>
      <c r="G596" t="inlineStr">
        <is>
          <t>LYCKSELE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46295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57571-2025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45980</v>
      </c>
      <c r="E598" s="1" t="n">
        <v>46295</v>
      </c>
      <c r="F598" t="inlineStr">
        <is>
          <t>VÄSTERBOTTENS LÄN</t>
        </is>
      </c>
      <c r="G598" t="inlineStr">
        <is>
          <t>LYCKSELE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60309-2025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45994</v>
      </c>
      <c r="E599" s="1" t="n">
        <v>46295</v>
      </c>
      <c r="F599" t="inlineStr">
        <is>
          <t>VÄSTERBOTTENS LÄN</t>
        </is>
      </c>
      <c r="G599" t="inlineStr">
        <is>
          <t>LYCKSELE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57471-2024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45630</v>
      </c>
      <c r="E600" s="1" t="n">
        <v>46295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46295</v>
      </c>
      <c r="F601" t="inlineStr">
        <is>
          <t>VÄSTERBOTTENS LÄN</t>
        </is>
      </c>
      <c r="G601" t="inlineStr">
        <is>
          <t>LYCKSELE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46826-2023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45198</v>
      </c>
      <c r="E602" s="1" t="n">
        <v>46295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60594-2025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45996</v>
      </c>
      <c r="E603" s="1" t="n">
        <v>46295</v>
      </c>
      <c r="F603" t="inlineStr">
        <is>
          <t>VÄSTERBOTTENS LÄN</t>
        </is>
      </c>
      <c r="G603" t="inlineStr">
        <is>
          <t>LYCKSELE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43973-2023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45187</v>
      </c>
      <c r="E604" s="1" t="n">
        <v>46295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61088-2025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46000</v>
      </c>
      <c r="E605" s="1" t="n">
        <v>46295</v>
      </c>
      <c r="F605" t="inlineStr">
        <is>
          <t>VÄSTERBOTTENS LÄN</t>
        </is>
      </c>
      <c r="G605" t="inlineStr">
        <is>
          <t>LYCKSELE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61096-2025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46295</v>
      </c>
      <c r="F606" t="inlineStr">
        <is>
          <t>VÄSTERBOTTENS LÄN</t>
        </is>
      </c>
      <c r="G606" t="inlineStr">
        <is>
          <t>LYCKSELE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38178-2022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44812</v>
      </c>
      <c r="E607" s="1" t="n">
        <v>46295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61091-2025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46295</v>
      </c>
      <c r="F608" t="inlineStr">
        <is>
          <t>VÄSTERBOTTENS LÄN</t>
        </is>
      </c>
      <c r="G608" t="inlineStr">
        <is>
          <t>LYCKSELE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61086-2025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46000</v>
      </c>
      <c r="E609" s="1" t="n">
        <v>46295</v>
      </c>
      <c r="F609" t="inlineStr">
        <is>
          <t>VÄSTERBOTTENS LÄN</t>
        </is>
      </c>
      <c r="G609" t="inlineStr">
        <is>
          <t>LYCKSELE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51957-2023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45223</v>
      </c>
      <c r="E610" s="1" t="n">
        <v>46295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21289-2025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45779</v>
      </c>
      <c r="E611" s="1" t="n">
        <v>46295</v>
      </c>
      <c r="F611" t="inlineStr">
        <is>
          <t>VÄSTERBOTTENS LÄN</t>
        </is>
      </c>
      <c r="G611" t="inlineStr">
        <is>
          <t>LYCKSELE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11870-2026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46085</v>
      </c>
      <c r="E612" s="1" t="n">
        <v>46295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46295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46001</v>
      </c>
      <c r="E614" s="1" t="n">
        <v>46295</v>
      </c>
      <c r="F614" t="inlineStr">
        <is>
          <t>VÄSTERBOTTENS LÄN</t>
        </is>
      </c>
      <c r="G614" t="inlineStr">
        <is>
          <t>LYCKSELE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46001</v>
      </c>
      <c r="E615" s="1" t="n">
        <v>46295</v>
      </c>
      <c r="F615" t="inlineStr">
        <is>
          <t>VÄSTERBOTTENS LÄN</t>
        </is>
      </c>
      <c r="G615" t="inlineStr">
        <is>
          <t>LYCKSELE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46295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61590-2025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46002</v>
      </c>
      <c r="E617" s="1" t="n">
        <v>46295</v>
      </c>
      <c r="F617" t="inlineStr">
        <is>
          <t>VÄSTERBOTTENS LÄN</t>
        </is>
      </c>
      <c r="G617" t="inlineStr">
        <is>
          <t>LYCKSELE</t>
        </is>
      </c>
      <c r="I617" t="n">
        <v>12.4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45666</v>
      </c>
      <c r="E618" s="1" t="n">
        <v>46295</v>
      </c>
      <c r="F618" t="inlineStr">
        <is>
          <t>VÄSTERBOTTENS LÄN</t>
        </is>
      </c>
      <c r="G618" t="inlineStr">
        <is>
          <t>LYCKSELE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12083-2026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46295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61472-2025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46295</v>
      </c>
      <c r="F620" t="inlineStr">
        <is>
          <t>VÄSTERBOTTENS LÄN</t>
        </is>
      </c>
      <c r="G620" t="inlineStr">
        <is>
          <t>LYCKSELE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15037-2025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45743</v>
      </c>
      <c r="E621" s="1" t="n">
        <v>46295</v>
      </c>
      <c r="F621" t="inlineStr">
        <is>
          <t>VÄSTERBOTTENS LÄN</t>
        </is>
      </c>
      <c r="G621" t="inlineStr">
        <is>
          <t>LYCKSELE</t>
        </is>
      </c>
      <c r="I621" t="n">
        <v>12.1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46001</v>
      </c>
      <c r="E622" s="1" t="n">
        <v>46295</v>
      </c>
      <c r="F622" t="inlineStr">
        <is>
          <t>VÄSTERBOTTENS LÄN</t>
        </is>
      </c>
      <c r="G622" t="inlineStr">
        <is>
          <t>LYCKSELE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61593-2025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46002</v>
      </c>
      <c r="E623" s="1" t="n">
        <v>46295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25.2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46295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46295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46295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61854-2025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46003</v>
      </c>
      <c r="E627" s="1" t="n">
        <v>46295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40262-2022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44820</v>
      </c>
      <c r="E628" s="1" t="n">
        <v>46295</v>
      </c>
      <c r="F628" t="inlineStr">
        <is>
          <t>VÄSTERBOTTENS LÄN</t>
        </is>
      </c>
      <c r="G628" t="inlineStr">
        <is>
          <t>LYCKSELE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62476-2025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46007</v>
      </c>
      <c r="E629" s="1" t="n">
        <v>46295</v>
      </c>
      <c r="F629" t="inlineStr">
        <is>
          <t>VÄSTERBOTTENS LÄN</t>
        </is>
      </c>
      <c r="G629" t="inlineStr">
        <is>
          <t>LYCKSELE</t>
        </is>
      </c>
      <c r="I629" t="n">
        <v>36.8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46295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63096-2025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46295</v>
      </c>
      <c r="F631" t="inlineStr">
        <is>
          <t>VÄSTERBOTTENS LÄN</t>
        </is>
      </c>
      <c r="G631" t="inlineStr">
        <is>
          <t>LYCKSELE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57298-2025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45979</v>
      </c>
      <c r="E632" s="1" t="n">
        <v>46295</v>
      </c>
      <c r="F632" t="inlineStr">
        <is>
          <t>VÄSTERBOTTENS LÄN</t>
        </is>
      </c>
      <c r="G632" t="inlineStr">
        <is>
          <t>LYCKSELE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46295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46295</v>
      </c>
      <c r="F634" t="inlineStr">
        <is>
          <t>VÄSTERBOTTENS LÄN</t>
        </is>
      </c>
      <c r="G634" t="inlineStr">
        <is>
          <t>LYCKSELE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46295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10.9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46295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62906-2025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46009</v>
      </c>
      <c r="E637" s="1" t="n">
        <v>46295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46295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46295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63315-2025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46295</v>
      </c>
      <c r="F640" t="inlineStr">
        <is>
          <t>VÄSTERBOTTENS LÄN</t>
        </is>
      </c>
      <c r="G640" t="inlineStr">
        <is>
          <t>LYCKSELE</t>
        </is>
      </c>
      <c r="I640" t="n">
        <v>9.199999999999999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46295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13480-2026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46295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46295</v>
      </c>
      <c r="F643" t="inlineStr">
        <is>
          <t>VÄSTERBOTTENS LÄN</t>
        </is>
      </c>
      <c r="G643" t="inlineStr">
        <is>
          <t>LYCKSELE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13518-2026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46295</v>
      </c>
      <c r="F644" t="inlineStr">
        <is>
          <t>VÄSTERBOTTENS LÄN</t>
        </is>
      </c>
      <c r="G644" t="inlineStr">
        <is>
          <t>LYCKSELE</t>
        </is>
      </c>
      <c r="I644" t="n">
        <v>12.7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14235-2026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46295</v>
      </c>
      <c r="F645" t="inlineStr">
        <is>
          <t>VÄSTERBOTTENS LÄN</t>
        </is>
      </c>
      <c r="G645" t="inlineStr">
        <is>
          <t>LYCKSELE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14243-2026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46295</v>
      </c>
      <c r="F646" t="inlineStr">
        <is>
          <t>VÄSTERBOTTENS LÄN</t>
        </is>
      </c>
      <c r="G646" t="inlineStr">
        <is>
          <t>LYCKSELE</t>
        </is>
      </c>
      <c r="I646" t="n">
        <v>11.8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59653-2022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44907</v>
      </c>
      <c r="E647" s="1" t="n">
        <v>46295</v>
      </c>
      <c r="F647" t="inlineStr">
        <is>
          <t>VÄSTERBOTTENS LÄN</t>
        </is>
      </c>
      <c r="G647" t="inlineStr">
        <is>
          <t>LYCKSELE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13954-2026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46295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46295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41419-2022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44826</v>
      </c>
      <c r="E650" s="1" t="n">
        <v>46295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Naturvårdsverket</t>
        </is>
      </c>
      <c r="I650" t="n">
        <v>32.1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41703-2023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46295</v>
      </c>
      <c r="F651" t="inlineStr">
        <is>
          <t>VÄSTERBOTTENS LÄN</t>
        </is>
      </c>
      <c r="G651" t="inlineStr">
        <is>
          <t>LYCKSELE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45695</v>
      </c>
      <c r="E652" s="1" t="n">
        <v>46295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46295</v>
      </c>
      <c r="F653" t="inlineStr">
        <is>
          <t>VÄSTERBOTTENS LÄN</t>
        </is>
      </c>
      <c r="G653" t="inlineStr">
        <is>
          <t>LYCKSELE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64346-2023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45279</v>
      </c>
      <c r="E654" s="1" t="n">
        <v>46295</v>
      </c>
      <c r="F654" t="inlineStr">
        <is>
          <t>VÄSTERBOTTENS LÄN</t>
        </is>
      </c>
      <c r="G654" t="inlineStr">
        <is>
          <t>LYCKSELE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52370-2022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44874</v>
      </c>
      <c r="E655" s="1" t="n">
        <v>46295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46295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46295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6.4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46295</v>
      </c>
      <c r="F658" t="inlineStr">
        <is>
          <t>VÄSTERBOTTENS LÄN</t>
        </is>
      </c>
      <c r="G658" t="inlineStr">
        <is>
          <t>LYCKSELE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46104</v>
      </c>
      <c r="E659" s="1" t="n">
        <v>46295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14845-2026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46104</v>
      </c>
      <c r="E660" s="1" t="n">
        <v>46295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12.5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16274-2022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44670</v>
      </c>
      <c r="E661" s="1" t="n">
        <v>46295</v>
      </c>
      <c r="F661" t="inlineStr">
        <is>
          <t>VÄSTERBOTTENS LÄN</t>
        </is>
      </c>
      <c r="G661" t="inlineStr">
        <is>
          <t>LYCKSELE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31453-2024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45505</v>
      </c>
      <c r="E662" s="1" t="n">
        <v>46295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45685</v>
      </c>
      <c r="E663" s="1" t="n">
        <v>46295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29675-2023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46295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46107</v>
      </c>
      <c r="E665" s="1" t="n">
        <v>46295</v>
      </c>
      <c r="F665" t="inlineStr">
        <is>
          <t>VÄSTERBOTTENS LÄN</t>
        </is>
      </c>
      <c r="G665" t="inlineStr">
        <is>
          <t>LYCKSELE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15389-2026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46295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53614-2021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44469</v>
      </c>
      <c r="E667" s="1" t="n">
        <v>46295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8600-2025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46295</v>
      </c>
      <c r="F668" t="inlineStr">
        <is>
          <t>VÄSTERBOTTENS LÄN</t>
        </is>
      </c>
      <c r="G668" t="inlineStr">
        <is>
          <t>LYCKSELE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9892-2022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44620</v>
      </c>
      <c r="E669" s="1" t="n">
        <v>46295</v>
      </c>
      <c r="F669" t="inlineStr">
        <is>
          <t>VÄSTERBOTTENS LÄN</t>
        </is>
      </c>
      <c r="G669" t="inlineStr">
        <is>
          <t>LYCKSELE</t>
        </is>
      </c>
      <c r="I669" t="n">
        <v>14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16397-2026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46111</v>
      </c>
      <c r="E670" s="1" t="n">
        <v>46295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46295</v>
      </c>
      <c r="F671" t="inlineStr">
        <is>
          <t>VÄSTERBOTTENS LÄN</t>
        </is>
      </c>
      <c r="G671" t="inlineStr">
        <is>
          <t>LYCKSELE</t>
        </is>
      </c>
      <c r="I671" t="n">
        <v>13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46295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27964-2023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45098</v>
      </c>
      <c r="E673" s="1" t="n">
        <v>46295</v>
      </c>
      <c r="F673" t="inlineStr">
        <is>
          <t>VÄSTERBOTTENS LÄN</t>
        </is>
      </c>
      <c r="G673" t="inlineStr">
        <is>
          <t>LYCKSELE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60272-2022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44910</v>
      </c>
      <c r="E674" s="1" t="n">
        <v>46295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7.4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16731-2026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46295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46113</v>
      </c>
      <c r="E676" s="1" t="n">
        <v>46295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16643-2026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46112</v>
      </c>
      <c r="E677" s="1" t="n">
        <v>46295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16.8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16646-2026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46295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13.9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46295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19.5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46295</v>
      </c>
      <c r="F680" t="inlineStr">
        <is>
          <t>VÄSTERBOTTENS LÄN</t>
        </is>
      </c>
      <c r="G680" t="inlineStr">
        <is>
          <t>LYCKSELE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46295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44571</v>
      </c>
      <c r="E682" s="1" t="n">
        <v>46295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26357-2023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45091</v>
      </c>
      <c r="E683" s="1" t="n">
        <v>46295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46114</v>
      </c>
      <c r="E684" s="1" t="n">
        <v>46295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49175-2023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45210</v>
      </c>
      <c r="E685" s="1" t="n">
        <v>46295</v>
      </c>
      <c r="F685" t="inlineStr">
        <is>
          <t>VÄSTERBOTTENS LÄN</t>
        </is>
      </c>
      <c r="G685" t="inlineStr">
        <is>
          <t>LYCKSELE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46295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30401-2023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45103</v>
      </c>
      <c r="E687" s="1" t="n">
        <v>46295</v>
      </c>
      <c r="F687" t="inlineStr">
        <is>
          <t>VÄSTERBOTTENS LÄN</t>
        </is>
      </c>
      <c r="G687" t="inlineStr">
        <is>
          <t>LYCKSELE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53241-2022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44876</v>
      </c>
      <c r="E688" s="1" t="n">
        <v>46295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17650-2026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46121</v>
      </c>
      <c r="E689" s="1" t="n">
        <v>46295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56401-2021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44477</v>
      </c>
      <c r="E690" s="1" t="n">
        <v>46295</v>
      </c>
      <c r="F690" t="inlineStr">
        <is>
          <t>VÄSTERBOTTENS LÄN</t>
        </is>
      </c>
      <c r="G690" t="inlineStr">
        <is>
          <t>LYCKSELE</t>
        </is>
      </c>
      <c r="I690" t="n">
        <v>11.5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45688</v>
      </c>
      <c r="E691" s="1" t="n">
        <v>46295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16192-2024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46295</v>
      </c>
      <c r="F692" t="inlineStr">
        <is>
          <t>VÄSTERBOTTENS LÄN</t>
        </is>
      </c>
      <c r="G692" t="inlineStr">
        <is>
          <t>LYCKSELE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58594-2022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44902</v>
      </c>
      <c r="E693" s="1" t="n">
        <v>46295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46127</v>
      </c>
      <c r="E694" s="1" t="n">
        <v>46295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53036-2023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45226</v>
      </c>
      <c r="E695" s="1" t="n">
        <v>46295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46176-2023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45196</v>
      </c>
      <c r="E696" s="1" t="n">
        <v>46295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46295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12585-2025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45732</v>
      </c>
      <c r="E698" s="1" t="n">
        <v>46295</v>
      </c>
      <c r="F698" t="inlineStr">
        <is>
          <t>VÄSTERBOTTENS LÄN</t>
        </is>
      </c>
      <c r="G698" t="inlineStr">
        <is>
          <t>LYCKSELE</t>
        </is>
      </c>
      <c r="I698" t="n">
        <v>15.5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58961-2022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44903</v>
      </c>
      <c r="E699" s="1" t="n">
        <v>46295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19058-2026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46295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19062-2026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46295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14276-2025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45740</v>
      </c>
      <c r="E702" s="1" t="n">
        <v>46295</v>
      </c>
      <c r="F702" t="inlineStr">
        <is>
          <t>VÄSTERBOTTENS LÄN</t>
        </is>
      </c>
      <c r="G702" t="inlineStr">
        <is>
          <t>LYCKSELE</t>
        </is>
      </c>
      <c r="I702" t="n">
        <v>34.9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44934</v>
      </c>
      <c r="E703" s="1" t="n">
        <v>46295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15221-2025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45744</v>
      </c>
      <c r="E704" s="1" t="n">
        <v>46295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12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46128</v>
      </c>
      <c r="E705" s="1" t="n">
        <v>46295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46295</v>
      </c>
      <c r="F706" t="inlineStr">
        <is>
          <t>VÄSTERBOTTENS LÄN</t>
        </is>
      </c>
      <c r="G706" t="inlineStr">
        <is>
          <t>LYCKSELE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19325-2026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46295</v>
      </c>
      <c r="F707" t="inlineStr">
        <is>
          <t>VÄSTERBOTTENS LÄN</t>
        </is>
      </c>
      <c r="G707" t="inlineStr">
        <is>
          <t>LYCKSELE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55170-2022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46295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62874-2023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45271</v>
      </c>
      <c r="E709" s="1" t="n">
        <v>46295</v>
      </c>
      <c r="F709" t="inlineStr">
        <is>
          <t>VÄSTERBOTTENS LÄN</t>
        </is>
      </c>
      <c r="G709" t="inlineStr">
        <is>
          <t>LYCKSELE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41977-2024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45561</v>
      </c>
      <c r="E710" s="1" t="n">
        <v>46295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53839-2023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45231</v>
      </c>
      <c r="E711" s="1" t="n">
        <v>46295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11822-2023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44994</v>
      </c>
      <c r="E712" s="1" t="n">
        <v>46295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28550-2023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45103</v>
      </c>
      <c r="E713" s="1" t="n">
        <v>46295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33400-2023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45128</v>
      </c>
      <c r="E714" s="1" t="n">
        <v>46295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14070-2024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46295</v>
      </c>
      <c r="F715" t="inlineStr">
        <is>
          <t>VÄSTERBOTTENS LÄN</t>
        </is>
      </c>
      <c r="G715" t="inlineStr">
        <is>
          <t>LYCKSELE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33706-2024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45520</v>
      </c>
      <c r="E716" s="1" t="n">
        <v>46295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33713-2024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45520</v>
      </c>
      <c r="E717" s="1" t="n">
        <v>46295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7.5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57666-2021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44484</v>
      </c>
      <c r="E718" s="1" t="n">
        <v>46295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23971-2024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46295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10.4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62547-2022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44924</v>
      </c>
      <c r="E720" s="1" t="n">
        <v>46295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58439-2022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44901</v>
      </c>
      <c r="E721" s="1" t="n">
        <v>46295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14343-2025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45741</v>
      </c>
      <c r="E722" s="1" t="n">
        <v>46295</v>
      </c>
      <c r="F722" t="inlineStr">
        <is>
          <t>VÄSTERBOTTENS LÄN</t>
        </is>
      </c>
      <c r="G722" t="inlineStr">
        <is>
          <t>LYCKSELE</t>
        </is>
      </c>
      <c r="I722" t="n">
        <v>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64668-2023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45281</v>
      </c>
      <c r="E723" s="1" t="n">
        <v>46295</v>
      </c>
      <c r="F723" t="inlineStr">
        <is>
          <t>VÄSTERBOTTENS LÄN</t>
        </is>
      </c>
      <c r="G723" t="inlineStr">
        <is>
          <t>LYCKSELE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47113-2025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45929</v>
      </c>
      <c r="E724" s="1" t="n">
        <v>46295</v>
      </c>
      <c r="F724" t="inlineStr">
        <is>
          <t>VÄSTERBOTTENS LÄN</t>
        </is>
      </c>
      <c r="G724" t="inlineStr">
        <is>
          <t>LYCKSELE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48585-2025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45936</v>
      </c>
      <c r="E725" s="1" t="n">
        <v>46295</v>
      </c>
      <c r="F725" t="inlineStr">
        <is>
          <t>VÄSTERBOTTENS LÄN</t>
        </is>
      </c>
      <c r="G725" t="inlineStr">
        <is>
          <t>LYCKSELE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60859-2022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46295</v>
      </c>
      <c r="F726" t="inlineStr">
        <is>
          <t>VÄSTERBOTTENS LÄN</t>
        </is>
      </c>
      <c r="G726" t="inlineStr">
        <is>
          <t>LYCKSELE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29835-2023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45107</v>
      </c>
      <c r="E727" s="1" t="n">
        <v>46295</v>
      </c>
      <c r="F727" t="inlineStr">
        <is>
          <t>VÄSTERBOTTENS LÄN</t>
        </is>
      </c>
      <c r="G727" t="inlineStr">
        <is>
          <t>LYCKSELE</t>
        </is>
      </c>
      <c r="I727" t="n">
        <v>17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16289-2025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45751</v>
      </c>
      <c r="E728" s="1" t="n">
        <v>46295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70197-2021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44534</v>
      </c>
      <c r="E729" s="1" t="n">
        <v>46295</v>
      </c>
      <c r="F729" t="inlineStr">
        <is>
          <t>VÄSTERBOTTENS LÄN</t>
        </is>
      </c>
      <c r="G729" t="inlineStr">
        <is>
          <t>LYCKSELE</t>
        </is>
      </c>
      <c r="I729" t="n">
        <v>6.5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53740-2022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44880</v>
      </c>
      <c r="E730" s="1" t="n">
        <v>46295</v>
      </c>
      <c r="F730" t="inlineStr">
        <is>
          <t>VÄSTERBOTTENS LÄN</t>
        </is>
      </c>
      <c r="G730" t="inlineStr">
        <is>
          <t>LYCKSELE</t>
        </is>
      </c>
      <c r="I730" t="n">
        <v>10.5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16887-2024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45411</v>
      </c>
      <c r="E731" s="1" t="n">
        <v>46295</v>
      </c>
      <c r="F731" t="inlineStr">
        <is>
          <t>VÄSTERBOTTENS LÄN</t>
        </is>
      </c>
      <c r="G731" t="inlineStr">
        <is>
          <t>LYCKSELE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22050-2024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45443</v>
      </c>
      <c r="E732" s="1" t="n">
        <v>46295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15809-2023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45021</v>
      </c>
      <c r="E733" s="1" t="n">
        <v>46295</v>
      </c>
      <c r="F733" t="inlineStr">
        <is>
          <t>VÄSTERBOTTENS LÄN</t>
        </is>
      </c>
      <c r="G733" t="inlineStr">
        <is>
          <t>LYCKSELE</t>
        </is>
      </c>
      <c r="I733" t="n">
        <v>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57984-2025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45982</v>
      </c>
      <c r="E734" s="1" t="n">
        <v>46295</v>
      </c>
      <c r="F734" t="inlineStr">
        <is>
          <t>VÄSTERBOTTENS LÄN</t>
        </is>
      </c>
      <c r="G734" t="inlineStr">
        <is>
          <t>LYCKSELE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64656-2023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45281</v>
      </c>
      <c r="E735" s="1" t="n">
        <v>46295</v>
      </c>
      <c r="F735" t="inlineStr">
        <is>
          <t>VÄSTERBOTTENS LÄN</t>
        </is>
      </c>
      <c r="G735" t="inlineStr">
        <is>
          <t>LYCKSELE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29524-2023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45106</v>
      </c>
      <c r="E736" s="1" t="n">
        <v>46295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45313</v>
      </c>
      <c r="E737" s="1" t="n">
        <v>46295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Naturvårdsverket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27818-2024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45475</v>
      </c>
      <c r="E738" s="1" t="n">
        <v>46295</v>
      </c>
      <c r="F738" t="inlineStr">
        <is>
          <t>VÄSTERBOTTENS LÄN</t>
        </is>
      </c>
      <c r="G738" t="inlineStr">
        <is>
          <t>LYCKSELE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58263-2025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46295</v>
      </c>
      <c r="F739" t="inlineStr">
        <is>
          <t>VÄSTERBOTTENS LÄN</t>
        </is>
      </c>
      <c r="G739" t="inlineStr">
        <is>
          <t>LYCKSELE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45576</v>
      </c>
      <c r="E740" s="1" t="n">
        <v>46295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Naturvårdsverket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27671-2024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45474</v>
      </c>
      <c r="E741" s="1" t="n">
        <v>46295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Naturvårdsverket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35569-2024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45531</v>
      </c>
      <c r="E742" s="1" t="n">
        <v>46295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18156-2023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45040</v>
      </c>
      <c r="E743" s="1" t="n">
        <v>46295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22.9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45406-2024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45576</v>
      </c>
      <c r="E744" s="1" t="n">
        <v>46295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Naturvårdsverket</t>
        </is>
      </c>
      <c r="I744" t="n">
        <v>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14857-2023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45014</v>
      </c>
      <c r="E745" s="1" t="n">
        <v>46295</v>
      </c>
      <c r="F745" t="inlineStr">
        <is>
          <t>VÄSTERBOTTENS LÄN</t>
        </is>
      </c>
      <c r="G745" t="inlineStr">
        <is>
          <t>LYCKSELE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29034-2025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45821</v>
      </c>
      <c r="E746" s="1" t="n">
        <v>46295</v>
      </c>
      <c r="F746" t="inlineStr">
        <is>
          <t>VÄSTERBOTTENS LÄN</t>
        </is>
      </c>
      <c r="G746" t="inlineStr">
        <is>
          <t>LYCKSELE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45139-2025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45919</v>
      </c>
      <c r="E747" s="1" t="n">
        <v>46295</v>
      </c>
      <c r="F747" t="inlineStr">
        <is>
          <t>VÄSTERBOTTENS LÄN</t>
        </is>
      </c>
      <c r="G747" t="inlineStr">
        <is>
          <t>LYCKSELE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44092-2025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45915</v>
      </c>
      <c r="E748" s="1" t="n">
        <v>46295</v>
      </c>
      <c r="F748" t="inlineStr">
        <is>
          <t>VÄSTERBOTTENS LÄN</t>
        </is>
      </c>
      <c r="G748" t="inlineStr">
        <is>
          <t>LYCKSELE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45673</v>
      </c>
      <c r="E749" s="1" t="n">
        <v>46295</v>
      </c>
      <c r="F749" t="inlineStr">
        <is>
          <t>VÄSTERBOTTENS LÄN</t>
        </is>
      </c>
      <c r="G749" t="inlineStr">
        <is>
          <t>LYCKSELE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60081-2025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45993</v>
      </c>
      <c r="E750" s="1" t="n">
        <v>46295</v>
      </c>
      <c r="F750" t="inlineStr">
        <is>
          <t>VÄSTERBOTTENS LÄN</t>
        </is>
      </c>
      <c r="G750" t="inlineStr">
        <is>
          <t>LYCKSELE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46139</v>
      </c>
      <c r="E751" s="1" t="n">
        <v>46295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28890-2024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45479</v>
      </c>
      <c r="E752" s="1" t="n">
        <v>46295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28892-2024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45479</v>
      </c>
      <c r="E753" s="1" t="n">
        <v>46295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61975-2025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46003</v>
      </c>
      <c r="E754" s="1" t="n">
        <v>46295</v>
      </c>
      <c r="F754" t="inlineStr">
        <is>
          <t>VÄSTERBOTTENS LÄN</t>
        </is>
      </c>
      <c r="G754" t="inlineStr">
        <is>
          <t>LYCKSELE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325-2022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44564</v>
      </c>
      <c r="E755" s="1" t="n">
        <v>46295</v>
      </c>
      <c r="F755" t="inlineStr">
        <is>
          <t>VÄSTERBOTTENS LÄN</t>
        </is>
      </c>
      <c r="G755" t="inlineStr">
        <is>
          <t>LYCKSELE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50365-2024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45600</v>
      </c>
      <c r="E756" s="1" t="n">
        <v>46295</v>
      </c>
      <c r="F756" t="inlineStr">
        <is>
          <t>VÄSTERBOTTENS LÄN</t>
        </is>
      </c>
      <c r="G756" t="inlineStr">
        <is>
          <t>LYCKSELE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60425-2021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44496</v>
      </c>
      <c r="E757" s="1" t="n">
        <v>46295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35284-2023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45145</v>
      </c>
      <c r="E758" s="1" t="n">
        <v>46295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20034-2025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45772</v>
      </c>
      <c r="E759" s="1" t="n">
        <v>46295</v>
      </c>
      <c r="F759" t="inlineStr">
        <is>
          <t>VÄSTERBOTTENS LÄN</t>
        </is>
      </c>
      <c r="G759" t="inlineStr">
        <is>
          <t>LYCKSELE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46295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40342-2025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45895</v>
      </c>
      <c r="E761" s="1" t="n">
        <v>46295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25573-2025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45803</v>
      </c>
      <c r="E762" s="1" t="n">
        <v>46295</v>
      </c>
      <c r="F762" t="inlineStr">
        <is>
          <t>VÄSTERBOTTENS LÄN</t>
        </is>
      </c>
      <c r="G762" t="inlineStr">
        <is>
          <t>LYCKSELE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45361-2024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45576</v>
      </c>
      <c r="E763" s="1" t="n">
        <v>46295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44581</v>
      </c>
      <c r="E764" s="1" t="n">
        <v>46295</v>
      </c>
      <c r="F764" t="inlineStr">
        <is>
          <t>VÄSTERBOTTENS LÄN</t>
        </is>
      </c>
      <c r="G764" t="inlineStr">
        <is>
          <t>LYCKSELE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34857-2024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45527</v>
      </c>
      <c r="E765" s="1" t="n">
        <v>46295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45312-2024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45576</v>
      </c>
      <c r="E766" s="1" t="n">
        <v>46295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45352-2024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45576</v>
      </c>
      <c r="E767" s="1" t="n">
        <v>46295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45763</v>
      </c>
      <c r="E768" s="1" t="n">
        <v>46295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46295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46295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21080-2026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46295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21096-2026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46146</v>
      </c>
      <c r="E772" s="1" t="n">
        <v>46295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23679-2025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45793</v>
      </c>
      <c r="E773" s="1" t="n">
        <v>46295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21142-2026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46295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46295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46146</v>
      </c>
      <c r="E776" s="1" t="n">
        <v>46295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21052-2026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46146</v>
      </c>
      <c r="E777" s="1" t="n">
        <v>46295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46295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46295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22720-2025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45789</v>
      </c>
      <c r="E780" s="1" t="n">
        <v>46295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45798</v>
      </c>
      <c r="E781" s="1" t="n">
        <v>46295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24511-2025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45798</v>
      </c>
      <c r="E782" s="1" t="n">
        <v>46295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29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21150-2026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46146</v>
      </c>
      <c r="E783" s="1" t="n">
        <v>46295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51466-2024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45604</v>
      </c>
      <c r="E784" s="1" t="n">
        <v>46295</v>
      </c>
      <c r="F784" t="inlineStr">
        <is>
          <t>VÄSTERBOTTENS LÄN</t>
        </is>
      </c>
      <c r="G784" t="inlineStr">
        <is>
          <t>LYCKSELE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57109-2024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45629</v>
      </c>
      <c r="E785" s="1" t="n">
        <v>46295</v>
      </c>
      <c r="F785" t="inlineStr">
        <is>
          <t>VÄSTERBOTTENS LÄN</t>
        </is>
      </c>
      <c r="G785" t="inlineStr">
        <is>
          <t>LYCKSELE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46295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46295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21317-2026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46147</v>
      </c>
      <c r="E788" s="1" t="n">
        <v>46295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26717-2024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45470</v>
      </c>
      <c r="E789" s="1" t="n">
        <v>46295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21642-2026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46149</v>
      </c>
      <c r="E790" s="1" t="n">
        <v>46295</v>
      </c>
      <c r="F790" t="inlineStr">
        <is>
          <t>VÄSTERBOTTENS LÄN</t>
        </is>
      </c>
      <c r="G790" t="inlineStr">
        <is>
          <t>LYCKSELE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21918-2026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46150</v>
      </c>
      <c r="E791" s="1" t="n">
        <v>46295</v>
      </c>
      <c r="F791" t="inlineStr">
        <is>
          <t>VÄSTERBOTTENS LÄN</t>
        </is>
      </c>
      <c r="G791" t="inlineStr">
        <is>
          <t>LYCKSELE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44566</v>
      </c>
      <c r="E792" s="1" t="n">
        <v>46295</v>
      </c>
      <c r="F792" t="inlineStr">
        <is>
          <t>VÄSTERBOTTENS LÄN</t>
        </is>
      </c>
      <c r="G792" t="inlineStr">
        <is>
          <t>LYCKSELE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23769-2023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45077</v>
      </c>
      <c r="E793" s="1" t="n">
        <v>46295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45371</v>
      </c>
      <c r="E794" s="1" t="n">
        <v>46295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55.8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51152-2024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45603</v>
      </c>
      <c r="E795" s="1" t="n">
        <v>46295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8577-2026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46295</v>
      </c>
      <c r="F796" t="inlineStr">
        <is>
          <t>VÄSTERBOTTENS LÄN</t>
        </is>
      </c>
      <c r="G796" t="inlineStr">
        <is>
          <t>LYCKSELE</t>
        </is>
      </c>
      <c r="I796" t="n">
        <v>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50468-2024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45601</v>
      </c>
      <c r="E797" s="1" t="n">
        <v>46295</v>
      </c>
      <c r="F797" t="inlineStr">
        <is>
          <t>VÄSTERBOTTENS LÄN</t>
        </is>
      </c>
      <c r="G797" t="inlineStr">
        <is>
          <t>LYCKSELE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54287-2024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45617</v>
      </c>
      <c r="E798" s="1" t="n">
        <v>46295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22285-2026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46154</v>
      </c>
      <c r="E799" s="1" t="n">
        <v>46295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26531-2024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45469</v>
      </c>
      <c r="E800" s="1" t="n">
        <v>46295</v>
      </c>
      <c r="F800" t="inlineStr">
        <is>
          <t>VÄSTERBOTTENS LÄN</t>
        </is>
      </c>
      <c r="G800" t="inlineStr">
        <is>
          <t>LYCKSELE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46155</v>
      </c>
      <c r="E801" s="1" t="n">
        <v>46295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40912-2024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45558</v>
      </c>
      <c r="E802" s="1" t="n">
        <v>46295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26999-2023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45093</v>
      </c>
      <c r="E803" s="1" t="n">
        <v>46295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22685-2026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46156</v>
      </c>
      <c r="E804" s="1" t="n">
        <v>46295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53011-2024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45611</v>
      </c>
      <c r="E805" s="1" t="n">
        <v>46295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20287-2022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44698</v>
      </c>
      <c r="E806" s="1" t="n">
        <v>46295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11.5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53788-2024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45615</v>
      </c>
      <c r="E807" s="1" t="n">
        <v>46295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44571</v>
      </c>
      <c r="E808" s="1" t="n">
        <v>46295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48542-2023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45208</v>
      </c>
      <c r="E809" s="1" t="n">
        <v>46295</v>
      </c>
      <c r="F809" t="inlineStr">
        <is>
          <t>VÄSTERBOTTENS LÄN</t>
        </is>
      </c>
      <c r="G809" t="inlineStr">
        <is>
          <t>LYCKSELE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23274-2026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46162</v>
      </c>
      <c r="E810" s="1" t="n">
        <v>46295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61891-2024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45652</v>
      </c>
      <c r="E811" s="1" t="n">
        <v>46295</v>
      </c>
      <c r="F811" t="inlineStr">
        <is>
          <t>VÄSTERBOTTENS LÄN</t>
        </is>
      </c>
      <c r="G811" t="inlineStr">
        <is>
          <t>LYCKSELE</t>
        </is>
      </c>
      <c r="I811" t="n">
        <v>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23391-2026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46295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10.2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8035-2024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45350</v>
      </c>
      <c r="E813" s="1" t="n">
        <v>46295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51842-2025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45952</v>
      </c>
      <c r="E814" s="1" t="n">
        <v>46295</v>
      </c>
      <c r="F814" t="inlineStr">
        <is>
          <t>VÄSTERBOTTENS LÄN</t>
        </is>
      </c>
      <c r="G814" t="inlineStr">
        <is>
          <t>LYCKSELE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29861-2023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45107</v>
      </c>
      <c r="E815" s="1" t="n">
        <v>46295</v>
      </c>
      <c r="F815" t="inlineStr">
        <is>
          <t>VÄSTERBOTTENS LÄN</t>
        </is>
      </c>
      <c r="G815" t="inlineStr">
        <is>
          <t>LYCKSELE</t>
        </is>
      </c>
      <c r="I815" t="n">
        <v>10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46034</v>
      </c>
      <c r="E816" s="1" t="n">
        <v>46295</v>
      </c>
      <c r="F816" t="inlineStr">
        <is>
          <t>VÄSTERBOTTENS LÄN</t>
        </is>
      </c>
      <c r="G816" t="inlineStr">
        <is>
          <t>LYCKSELE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23356-2026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46162</v>
      </c>
      <c r="E817" s="1" t="n">
        <v>46295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4671-2025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45687</v>
      </c>
      <c r="E818" s="1" t="n">
        <v>46295</v>
      </c>
      <c r="F818" t="inlineStr">
        <is>
          <t>VÄSTERBOTTENS LÄN</t>
        </is>
      </c>
      <c r="G818" t="inlineStr">
        <is>
          <t>LYCKSELE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24205-2026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46168</v>
      </c>
      <c r="E819" s="1" t="n">
        <v>46295</v>
      </c>
      <c r="F819" t="inlineStr">
        <is>
          <t>VÄSTERBOTTENS LÄN</t>
        </is>
      </c>
      <c r="G819" t="inlineStr">
        <is>
          <t>LYCKSELE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24175-2026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46168</v>
      </c>
      <c r="E820" s="1" t="n">
        <v>46295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24204-2026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46168</v>
      </c>
      <c r="E821" s="1" t="n">
        <v>46295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23988-2026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46295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23973-2024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45455</v>
      </c>
      <c r="E823" s="1" t="n">
        <v>46295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22451-2026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46153</v>
      </c>
      <c r="E824" s="1" t="n">
        <v>46295</v>
      </c>
      <c r="F824" t="inlineStr">
        <is>
          <t>VÄSTERBOTTENS LÄN</t>
        </is>
      </c>
      <c r="G824" t="inlineStr">
        <is>
          <t>LYCKSELE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61094-2023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45261</v>
      </c>
      <c r="E825" s="1" t="n">
        <v>46295</v>
      </c>
      <c r="F825" t="inlineStr">
        <is>
          <t>VÄSTERBOTTENS LÄN</t>
        </is>
      </c>
      <c r="G825" t="inlineStr">
        <is>
          <t>LYCKSELE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45769</v>
      </c>
      <c r="E826" s="1" t="n">
        <v>46295</v>
      </c>
      <c r="F826" t="inlineStr">
        <is>
          <t>VÄSTERBOTTENS LÄN</t>
        </is>
      </c>
      <c r="G826" t="inlineStr">
        <is>
          <t>LYCKSELE</t>
        </is>
      </c>
      <c r="I826" t="n">
        <v>9.4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24497-2026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46170</v>
      </c>
      <c r="E827" s="1" t="n">
        <v>46295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24763-2026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46171</v>
      </c>
      <c r="E828" s="1" t="n">
        <v>46295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23164-2022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44719</v>
      </c>
      <c r="E829" s="1" t="n">
        <v>46295</v>
      </c>
      <c r="F829" t="inlineStr">
        <is>
          <t>VÄSTERBOTTENS LÄN</t>
        </is>
      </c>
      <c r="G829" t="inlineStr">
        <is>
          <t>LYCKSELE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51669-2024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45606</v>
      </c>
      <c r="E830" s="1" t="n">
        <v>46295</v>
      </c>
      <c r="F830" t="inlineStr">
        <is>
          <t>VÄSTERBOTTENS LÄN</t>
        </is>
      </c>
      <c r="G830" t="inlineStr">
        <is>
          <t>LYCKSELE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61367-2024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45646</v>
      </c>
      <c r="E831" s="1" t="n">
        <v>46295</v>
      </c>
      <c r="F831" t="inlineStr">
        <is>
          <t>VÄSTERBOTTENS LÄN</t>
        </is>
      </c>
      <c r="G831" t="inlineStr">
        <is>
          <t>LYCKSELE</t>
        </is>
      </c>
      <c r="I831" t="n">
        <v>10.4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46295</v>
      </c>
      <c r="F832" t="inlineStr">
        <is>
          <t>VÄSTERBOTTENS LÄN</t>
        </is>
      </c>
      <c r="G832" t="inlineStr">
        <is>
          <t>LYCKSELE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9550-2025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45715</v>
      </c>
      <c r="E833" s="1" t="n">
        <v>46295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20.6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58553-2023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45251</v>
      </c>
      <c r="E834" s="1" t="n">
        <v>46295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24548-2026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46170</v>
      </c>
      <c r="E835" s="1" t="n">
        <v>46295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24552-2026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46170</v>
      </c>
      <c r="E836" s="1" t="n">
        <v>46295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46295</v>
      </c>
      <c r="F837" t="inlineStr">
        <is>
          <t>VÄSTERBOTTENS LÄN</t>
        </is>
      </c>
      <c r="G837" t="inlineStr">
        <is>
          <t>LYCKSELE</t>
        </is>
      </c>
      <c r="I837" t="n">
        <v>13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47096-2023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45201</v>
      </c>
      <c r="E838" s="1" t="n">
        <v>46295</v>
      </c>
      <c r="F838" t="inlineStr">
        <is>
          <t>VÄSTERBOTTENS LÄN</t>
        </is>
      </c>
      <c r="G838" t="inlineStr">
        <is>
          <t>LYCKSELE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32863-2023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45124</v>
      </c>
      <c r="E839" s="1" t="n">
        <v>46295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42208-2022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44830</v>
      </c>
      <c r="E840" s="1" t="n">
        <v>46295</v>
      </c>
      <c r="F840" t="inlineStr">
        <is>
          <t>VÄSTERBOTTENS LÄN</t>
        </is>
      </c>
      <c r="G840" t="inlineStr">
        <is>
          <t>LYCKSELE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34060-2023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45135</v>
      </c>
      <c r="E841" s="1" t="n">
        <v>46295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5.5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25039-2026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46174</v>
      </c>
      <c r="E842" s="1" t="n">
        <v>46295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25490-2026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46177</v>
      </c>
      <c r="E843" s="1" t="n">
        <v>46295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25491-2026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46177</v>
      </c>
      <c r="E844" s="1" t="n">
        <v>46295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25453-2026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46177</v>
      </c>
      <c r="E845" s="1" t="n">
        <v>46295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38347-2025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45883</v>
      </c>
      <c r="E846" s="1" t="n">
        <v>46295</v>
      </c>
      <c r="F846" t="inlineStr">
        <is>
          <t>VÄSTERBOTTENS LÄN</t>
        </is>
      </c>
      <c r="G846" t="inlineStr">
        <is>
          <t>LYCKSELE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53116-2024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45611</v>
      </c>
      <c r="E847" s="1" t="n">
        <v>46295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25461-2026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46177</v>
      </c>
      <c r="E848" s="1" t="n">
        <v>46295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21666-2024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45441</v>
      </c>
      <c r="E849" s="1" t="n">
        <v>46295</v>
      </c>
      <c r="F849" t="inlineStr">
        <is>
          <t>VÄSTERBOTTENS LÄN</t>
        </is>
      </c>
      <c r="G849" t="inlineStr">
        <is>
          <t>LYCKSELE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25492-2026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46177</v>
      </c>
      <c r="E850" s="1" t="n">
        <v>46295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8915-2025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45713</v>
      </c>
      <c r="E851" s="1" t="n">
        <v>46295</v>
      </c>
      <c r="F851" t="inlineStr">
        <is>
          <t>VÄSTERBOTTENS LÄN</t>
        </is>
      </c>
      <c r="G851" t="inlineStr">
        <is>
          <t>LYCKSELE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25727-2026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46295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25709-2026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46295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25716-2026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46178</v>
      </c>
      <c r="E854" s="1" t="n">
        <v>46295</v>
      </c>
      <c r="F854" t="inlineStr">
        <is>
          <t>VÄSTERBOTTENS LÄN</t>
        </is>
      </c>
      <c r="G854" t="inlineStr">
        <is>
          <t>LYCKSELE</t>
        </is>
      </c>
      <c r="I854" t="n">
        <v>7.7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55456-2022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44887</v>
      </c>
      <c r="E855" s="1" t="n">
        <v>46295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25718-2026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46295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7837-2023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44973</v>
      </c>
      <c r="E857" s="1" t="n">
        <v>46295</v>
      </c>
      <c r="F857" t="inlineStr">
        <is>
          <t>VÄSTERBOTTENS LÄN</t>
        </is>
      </c>
      <c r="G857" t="inlineStr">
        <is>
          <t>LYCKSELE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30470-2022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44761</v>
      </c>
      <c r="E858" s="1" t="n">
        <v>46295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25746-2026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46295</v>
      </c>
      <c r="F859" t="inlineStr">
        <is>
          <t>VÄSTERBOTTENS LÄN</t>
        </is>
      </c>
      <c r="G859" t="inlineStr">
        <is>
          <t>LYCKSELE</t>
        </is>
      </c>
      <c r="I859" t="n">
        <v>22.3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26485-2026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46183</v>
      </c>
      <c r="E860" s="1" t="n">
        <v>46295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26276-2026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46182</v>
      </c>
      <c r="E861" s="1" t="n">
        <v>46295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24041-2023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45078</v>
      </c>
      <c r="E862" s="1" t="n">
        <v>46295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32475-2024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45513</v>
      </c>
      <c r="E863" s="1" t="n">
        <v>46295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26246-2026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46182</v>
      </c>
      <c r="E864" s="1" t="n">
        <v>46295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26387-2026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46295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9.9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57224-2023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45239</v>
      </c>
      <c r="E866" s="1" t="n">
        <v>46295</v>
      </c>
      <c r="F866" t="inlineStr">
        <is>
          <t>VÄSTERBOTTENS LÄN</t>
        </is>
      </c>
      <c r="G866" t="inlineStr">
        <is>
          <t>LYCKSELE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67092-2021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44522</v>
      </c>
      <c r="E867" s="1" t="n">
        <v>46295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53035-2023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45226</v>
      </c>
      <c r="E868" s="1" t="n">
        <v>46295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27219-2026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46184</v>
      </c>
      <c r="E869" s="1" t="n">
        <v>46295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26175-2026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46182</v>
      </c>
      <c r="E870" s="1" t="n">
        <v>46295</v>
      </c>
      <c r="F870" t="inlineStr">
        <is>
          <t>VÄSTERBOTTENS LÄN</t>
        </is>
      </c>
      <c r="G870" t="inlineStr">
        <is>
          <t>LYCKSELE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26435-2026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46183</v>
      </c>
      <c r="E871" s="1" t="n">
        <v>46295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26916-2026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46295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26980-2026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46295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26988-2026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46185</v>
      </c>
      <c r="E874" s="1" t="n">
        <v>46295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5.6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27436-2026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46189</v>
      </c>
      <c r="E875" s="1" t="n">
        <v>46295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27430-2026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46189</v>
      </c>
      <c r="E876" s="1" t="n">
        <v>46295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4.7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35970-2024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45533</v>
      </c>
      <c r="E877" s="1" t="n">
        <v>46295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27427-2026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46189</v>
      </c>
      <c r="E878" s="1" t="n">
        <v>46295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27854-2026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46191</v>
      </c>
      <c r="E879" s="1" t="n">
        <v>46295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27842-2026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46191</v>
      </c>
      <c r="E880" s="1" t="n">
        <v>46295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5.5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27843-2026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46191</v>
      </c>
      <c r="E881" s="1" t="n">
        <v>46295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4.7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8360-2024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45352</v>
      </c>
      <c r="E882" s="1" t="n">
        <v>46295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27883-2026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46191</v>
      </c>
      <c r="E883" s="1" t="n">
        <v>46295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62877-2023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45271</v>
      </c>
      <c r="E884" s="1" t="n">
        <v>46295</v>
      </c>
      <c r="F884" t="inlineStr">
        <is>
          <t>VÄSTERBOTTENS LÄN</t>
        </is>
      </c>
      <c r="G884" t="inlineStr">
        <is>
          <t>LYCKSELE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48379-2024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45590</v>
      </c>
      <c r="E885" s="1" t="n">
        <v>46295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28421-2026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46197</v>
      </c>
      <c r="E886" s="1" t="n">
        <v>46295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7.6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43875-2023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45187</v>
      </c>
      <c r="E887" s="1" t="n">
        <v>46295</v>
      </c>
      <c r="F887" t="inlineStr">
        <is>
          <t>VÄSTERBOTTENS LÄN</t>
        </is>
      </c>
      <c r="G887" t="inlineStr">
        <is>
          <t>LYCKSELE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29314-2026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46197</v>
      </c>
      <c r="E888" s="1" t="n">
        <v>46295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Kommuner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9879-2022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44620</v>
      </c>
      <c r="E889" s="1" t="n">
        <v>46295</v>
      </c>
      <c r="F889" t="inlineStr">
        <is>
          <t>VÄSTERBOTTENS LÄN</t>
        </is>
      </c>
      <c r="G889" t="inlineStr">
        <is>
          <t>LYCKSELE</t>
        </is>
      </c>
      <c r="I889" t="n">
        <v>8.699999999999999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28586-2026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46197</v>
      </c>
      <c r="E890" s="1" t="n">
        <v>46295</v>
      </c>
      <c r="F890" t="inlineStr">
        <is>
          <t>VÄSTERBOTTENS LÄN</t>
        </is>
      </c>
      <c r="G890" t="inlineStr">
        <is>
          <t>LYCKSELE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49514-2022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44861</v>
      </c>
      <c r="E891" s="1" t="n">
        <v>46295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45673</v>
      </c>
      <c r="E892" s="1" t="n">
        <v>46295</v>
      </c>
      <c r="F892" t="inlineStr">
        <is>
          <t>VÄSTERBOTTENS LÄN</t>
        </is>
      </c>
      <c r="G892" t="inlineStr">
        <is>
          <t>LYCKSELE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28939-2026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46199</v>
      </c>
      <c r="E893" s="1" t="n">
        <v>46295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14249-2025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45740</v>
      </c>
      <c r="E894" s="1" t="n">
        <v>46295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28829-2026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46198</v>
      </c>
      <c r="E895" s="1" t="n">
        <v>46295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25.4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52956-2022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44875</v>
      </c>
      <c r="E896" s="1" t="n">
        <v>46295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6.4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33699-2024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45520</v>
      </c>
      <c r="E897" s="1" t="n">
        <v>46295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33716-2024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45520</v>
      </c>
      <c r="E898" s="1" t="n">
        <v>46295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45520</v>
      </c>
      <c r="E899" s="1" t="n">
        <v>46295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13.6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28907-2026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46199</v>
      </c>
      <c r="E900" s="1" t="n">
        <v>46295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7.5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28910-2026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46199</v>
      </c>
      <c r="E901" s="1" t="n">
        <v>46295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41980-2024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46295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33704-2024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45520</v>
      </c>
      <c r="E903" s="1" t="n">
        <v>46295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46541-2022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44847</v>
      </c>
      <c r="E904" s="1" t="n">
        <v>46295</v>
      </c>
      <c r="F904" t="inlineStr">
        <is>
          <t>VÄSTERBOTTENS LÄN</t>
        </is>
      </c>
      <c r="G904" t="inlineStr">
        <is>
          <t>LYCKSELE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36357-2024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45534</v>
      </c>
      <c r="E905" s="1" t="n">
        <v>46295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25327-2024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45462</v>
      </c>
      <c r="E906" s="1" t="n">
        <v>46295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29424-2026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46203</v>
      </c>
      <c r="E907" s="1" t="n">
        <v>46295</v>
      </c>
      <c r="F907" t="inlineStr">
        <is>
          <t>VÄSTERBOTTENS LÄN</t>
        </is>
      </c>
      <c r="G907" t="inlineStr">
        <is>
          <t>LYCKSELE</t>
        </is>
      </c>
      <c r="I907" t="n">
        <v>7.1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29279-2026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46202</v>
      </c>
      <c r="E908" s="1" t="n">
        <v>46295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29149-2026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46202</v>
      </c>
      <c r="E909" s="1" t="n">
        <v>46295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38.4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61506-2021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44501</v>
      </c>
      <c r="E910" s="1" t="n">
        <v>46295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6.4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42216-2022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44830</v>
      </c>
      <c r="E911" s="1" t="n">
        <v>46295</v>
      </c>
      <c r="F911" t="inlineStr">
        <is>
          <t>VÄSTERBOTTENS LÄN</t>
        </is>
      </c>
      <c r="G911" t="inlineStr">
        <is>
          <t>LYCKSELE</t>
        </is>
      </c>
      <c r="I911" t="n">
        <v>15.9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29151-2026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46202</v>
      </c>
      <c r="E912" s="1" t="n">
        <v>46295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6.7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29425-2026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46203</v>
      </c>
      <c r="E913" s="1" t="n">
        <v>46295</v>
      </c>
      <c r="F913" t="inlineStr">
        <is>
          <t>VÄSTERBOTTENS LÄN</t>
        </is>
      </c>
      <c r="G913" t="inlineStr">
        <is>
          <t>LYCKSELE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7063-2022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44603</v>
      </c>
      <c r="E914" s="1" t="n">
        <v>46295</v>
      </c>
      <c r="F914" t="inlineStr">
        <is>
          <t>VÄSTERBOTTENS LÄN</t>
        </is>
      </c>
      <c r="G914" t="inlineStr">
        <is>
          <t>LYCKSELE</t>
        </is>
      </c>
      <c r="I914" t="n">
        <v>14.2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29823-2026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46295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29730-2026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46204</v>
      </c>
      <c r="E916" s="1" t="n">
        <v>46295</v>
      </c>
      <c r="F916" t="inlineStr">
        <is>
          <t>VÄSTERBOTTENS LÄN</t>
        </is>
      </c>
      <c r="G916" t="inlineStr">
        <is>
          <t>LYCKSELE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29848-2026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46295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29836-2026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46205</v>
      </c>
      <c r="E918" s="1" t="n">
        <v>46295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8.6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29839-2026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46205</v>
      </c>
      <c r="E919" s="1" t="n">
        <v>46295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29844-2026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46205</v>
      </c>
      <c r="E920" s="1" t="n">
        <v>46295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59174-2024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45637</v>
      </c>
      <c r="E921" s="1" t="n">
        <v>46295</v>
      </c>
      <c r="F921" t="inlineStr">
        <is>
          <t>VÄSTERBOTTENS LÄN</t>
        </is>
      </c>
      <c r="G921" t="inlineStr">
        <is>
          <t>LYCKSELE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29852-2026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46205</v>
      </c>
      <c r="E922" s="1" t="n">
        <v>46295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13.4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53369-2022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44874</v>
      </c>
      <c r="E923" s="1" t="n">
        <v>46295</v>
      </c>
      <c r="F923" t="inlineStr">
        <is>
          <t>VÄSTERBOTTENS LÄN</t>
        </is>
      </c>
      <c r="G923" t="inlineStr">
        <is>
          <t>LYCKSELE</t>
        </is>
      </c>
      <c r="I923" t="n">
        <v>9.1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56343-2022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44890</v>
      </c>
      <c r="E924" s="1" t="n">
        <v>46295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29719-2026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46204</v>
      </c>
      <c r="E925" s="1" t="n">
        <v>46295</v>
      </c>
      <c r="F925" t="inlineStr">
        <is>
          <t>VÄSTERBOTTENS LÄN</t>
        </is>
      </c>
      <c r="G925" t="inlineStr">
        <is>
          <t>LYCKSELE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29436-2026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46203</v>
      </c>
      <c r="E926" s="1" t="n">
        <v>46295</v>
      </c>
      <c r="F926" t="inlineStr">
        <is>
          <t>VÄSTERBOTTENS LÄN</t>
        </is>
      </c>
      <c r="G926" t="inlineStr">
        <is>
          <t>LYCKSELE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29706-2026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46204</v>
      </c>
      <c r="E927" s="1" t="n">
        <v>46295</v>
      </c>
      <c r="F927" t="inlineStr">
        <is>
          <t>VÄSTERBOTTENS LÄN</t>
        </is>
      </c>
      <c r="G927" t="inlineStr">
        <is>
          <t>LYCKSELE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29904-2026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46205</v>
      </c>
      <c r="E928" s="1" t="n">
        <v>46295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29841-2026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46205</v>
      </c>
      <c r="E929" s="1" t="n">
        <v>46295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41756-2024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45561</v>
      </c>
      <c r="E930" s="1" t="n">
        <v>46295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30360-2026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46209</v>
      </c>
      <c r="E931" s="1" t="n">
        <v>46295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6.3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30290-2026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46295</v>
      </c>
      <c r="F932" t="inlineStr">
        <is>
          <t>VÄSTERBOTTENS LÄN</t>
        </is>
      </c>
      <c r="G932" t="inlineStr">
        <is>
          <t>LYCKSELE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45559-2022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44845</v>
      </c>
      <c r="E933" s="1" t="n">
        <v>46295</v>
      </c>
      <c r="F933" t="inlineStr">
        <is>
          <t>VÄSTERBOTTENS LÄN</t>
        </is>
      </c>
      <c r="G933" t="inlineStr">
        <is>
          <t>LYCKSELE</t>
        </is>
      </c>
      <c r="I933" t="n">
        <v>17.8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41358-2022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44826</v>
      </c>
      <c r="E934" s="1" t="n">
        <v>46295</v>
      </c>
      <c r="F934" t="inlineStr">
        <is>
          <t>VÄSTERBOTTENS LÄN</t>
        </is>
      </c>
      <c r="G934" t="inlineStr">
        <is>
          <t>LYCKSELE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2576-2022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44580</v>
      </c>
      <c r="E935" s="1" t="n">
        <v>46295</v>
      </c>
      <c r="F935" t="inlineStr">
        <is>
          <t>VÄSTERBOTTENS LÄN</t>
        </is>
      </c>
      <c r="G935" t="inlineStr">
        <is>
          <t>LYCKSELE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30447-2026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46209</v>
      </c>
      <c r="E936" s="1" t="n">
        <v>46295</v>
      </c>
      <c r="F936" t="inlineStr">
        <is>
          <t>VÄSTERBOTTENS LÄN</t>
        </is>
      </c>
      <c r="G936" t="inlineStr">
        <is>
          <t>LYCKSELE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30288-2026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46206</v>
      </c>
      <c r="E937" s="1" t="n">
        <v>46295</v>
      </c>
      <c r="F937" t="inlineStr">
        <is>
          <t>VÄSTERBOTTENS LÄN</t>
        </is>
      </c>
      <c r="G937" t="inlineStr">
        <is>
          <t>LYCKSELE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54167-2022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44881</v>
      </c>
      <c r="E938" s="1" t="n">
        <v>46295</v>
      </c>
      <c r="F938" t="inlineStr">
        <is>
          <t>VÄSTERBOTTENS LÄN</t>
        </is>
      </c>
      <c r="G938" t="inlineStr">
        <is>
          <t>LYCKSELE</t>
        </is>
      </c>
      <c r="I938" t="n">
        <v>11.3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37391-2024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45540</v>
      </c>
      <c r="E939" s="1" t="n">
        <v>46295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6.7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30631-2026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46211</v>
      </c>
      <c r="E940" s="1" t="n">
        <v>46295</v>
      </c>
      <c r="F940" t="inlineStr">
        <is>
          <t>VÄSTERBOTTENS LÄN</t>
        </is>
      </c>
      <c r="G940" t="inlineStr">
        <is>
          <t>LYCKSELE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34197-2026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46295</v>
      </c>
      <c r="F941" t="inlineStr">
        <is>
          <t>VÄSTERBOTTENS LÄN</t>
        </is>
      </c>
      <c r="G941" t="inlineStr">
        <is>
          <t>LYCKSELE</t>
        </is>
      </c>
      <c r="I941" t="n">
        <v>4.4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15046-2023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45015</v>
      </c>
      <c r="E942" s="1" t="n">
        <v>46295</v>
      </c>
      <c r="F942" t="inlineStr">
        <is>
          <t>VÄSTERBOTTENS LÄN</t>
        </is>
      </c>
      <c r="G942" t="inlineStr">
        <is>
          <t>LYCKSELE</t>
        </is>
      </c>
      <c r="I942" t="n">
        <v>13.4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46210</v>
      </c>
      <c r="E943" s="1" t="n">
        <v>46295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6.9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51943-2023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45223</v>
      </c>
      <c r="E944" s="1" t="n">
        <v>46295</v>
      </c>
      <c r="F944" t="inlineStr">
        <is>
          <t>VÄSTERBOTTENS LÄN</t>
        </is>
      </c>
      <c r="G944" t="inlineStr">
        <is>
          <t>LYCKSELE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34323-2026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46254</v>
      </c>
      <c r="E945" s="1" t="n">
        <v>46295</v>
      </c>
      <c r="F945" t="inlineStr">
        <is>
          <t>VÄSTERBOTTENS LÄN</t>
        </is>
      </c>
      <c r="G945" t="inlineStr">
        <is>
          <t>LYCKSELE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41950-2024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45561</v>
      </c>
      <c r="E946" s="1" t="n">
        <v>46295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15564-2023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45020</v>
      </c>
      <c r="E947" s="1" t="n">
        <v>46295</v>
      </c>
      <c r="F947" t="inlineStr">
        <is>
          <t>VÄSTERBOTTENS LÄN</t>
        </is>
      </c>
      <c r="G947" t="inlineStr">
        <is>
          <t>LYCKSELE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34326-2026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46254</v>
      </c>
      <c r="E948" s="1" t="n">
        <v>46295</v>
      </c>
      <c r="F948" t="inlineStr">
        <is>
          <t>VÄSTERBOTTENS LÄN</t>
        </is>
      </c>
      <c r="G948" t="inlineStr">
        <is>
          <t>LYCKSELE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34331-2026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46254</v>
      </c>
      <c r="E949" s="1" t="n">
        <v>46295</v>
      </c>
      <c r="F949" t="inlineStr">
        <is>
          <t>VÄSTERBOTTENS LÄN</t>
        </is>
      </c>
      <c r="G949" t="inlineStr">
        <is>
          <t>LYCKSELE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30890-2026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46213</v>
      </c>
      <c r="E950" s="1" t="n">
        <v>46295</v>
      </c>
      <c r="F950" t="inlineStr">
        <is>
          <t>VÄSTERBOTTENS LÄN</t>
        </is>
      </c>
      <c r="G950" t="inlineStr">
        <is>
          <t>LYCKSELE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34669-2026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46258</v>
      </c>
      <c r="E951" s="1" t="n">
        <v>46295</v>
      </c>
      <c r="F951" t="inlineStr">
        <is>
          <t>VÄSTERBOTTENS LÄN</t>
        </is>
      </c>
      <c r="G951" t="inlineStr">
        <is>
          <t>LYCKSELE</t>
        </is>
      </c>
      <c r="I951" t="n">
        <v>9.5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34778-2026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46258</v>
      </c>
      <c r="E952" s="1" t="n">
        <v>46295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7.6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34667-2026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46258</v>
      </c>
      <c r="E953" s="1" t="n">
        <v>46295</v>
      </c>
      <c r="F953" t="inlineStr">
        <is>
          <t>VÄSTERBOTTENS LÄN</t>
        </is>
      </c>
      <c r="G953" t="inlineStr">
        <is>
          <t>LYCKSELE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34640-2026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46255</v>
      </c>
      <c r="E954" s="1" t="n">
        <v>46295</v>
      </c>
      <c r="F954" t="inlineStr">
        <is>
          <t>VÄSTERBOTTENS LÄN</t>
        </is>
      </c>
      <c r="G954" t="inlineStr">
        <is>
          <t>LYCKSELE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24289-2023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45079</v>
      </c>
      <c r="E955" s="1" t="n">
        <v>46295</v>
      </c>
      <c r="F955" t="inlineStr">
        <is>
          <t>VÄSTERBOTTENS LÄN</t>
        </is>
      </c>
      <c r="G955" t="inlineStr">
        <is>
          <t>LYCKSELE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34825-2026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46258</v>
      </c>
      <c r="E956" s="1" t="n">
        <v>46295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54619-2024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45617</v>
      </c>
      <c r="E957" s="1" t="n">
        <v>46295</v>
      </c>
      <c r="F957" t="inlineStr">
        <is>
          <t>VÄSTERBOTTENS LÄN</t>
        </is>
      </c>
      <c r="G957" t="inlineStr">
        <is>
          <t>LYCKSELE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43566-2024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45569</v>
      </c>
      <c r="E958" s="1" t="n">
        <v>46295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30945-2026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46213</v>
      </c>
      <c r="E959" s="1" t="n">
        <v>46295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4.9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3947-2023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44952</v>
      </c>
      <c r="E960" s="1" t="n">
        <v>46295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4.5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30939-2026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46213</v>
      </c>
      <c r="E961" s="1" t="n">
        <v>46295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24.3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59272-2022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44904</v>
      </c>
      <c r="E962" s="1" t="n">
        <v>46295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6.1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19233-2023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45048</v>
      </c>
      <c r="E963" s="1" t="n">
        <v>46295</v>
      </c>
      <c r="F963" t="inlineStr">
        <is>
          <t>VÄSTERBOTTENS LÄN</t>
        </is>
      </c>
      <c r="G963" t="inlineStr">
        <is>
          <t>LYCKSELE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30962-2026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46213</v>
      </c>
      <c r="E964" s="1" t="n">
        <v>46295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34508-2026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46255</v>
      </c>
      <c r="E965" s="1" t="n">
        <v>46295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6.5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9551-2025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45715</v>
      </c>
      <c r="E966" s="1" t="n">
        <v>46295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46692-2025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45926</v>
      </c>
      <c r="E967" s="1" t="n">
        <v>46295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7001-2022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44603</v>
      </c>
      <c r="E968" s="1" t="n">
        <v>46295</v>
      </c>
      <c r="F968" t="inlineStr">
        <is>
          <t>VÄSTERBOTTENS LÄN</t>
        </is>
      </c>
      <c r="G968" t="inlineStr">
        <is>
          <t>LYCKSELE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27595-2023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45097</v>
      </c>
      <c r="E969" s="1" t="n">
        <v>46295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56518-2023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45238</v>
      </c>
      <c r="E970" s="1" t="n">
        <v>46295</v>
      </c>
      <c r="F970" t="inlineStr">
        <is>
          <t>VÄSTERBOTTENS LÄN</t>
        </is>
      </c>
      <c r="G970" t="inlineStr">
        <is>
          <t>LYCKSELE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43770-2025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45912</v>
      </c>
      <c r="E971" s="1" t="n">
        <v>46295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9.5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18365-2023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45041</v>
      </c>
      <c r="E972" s="1" t="n">
        <v>46295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22.4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34111-2025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45845</v>
      </c>
      <c r="E973" s="1" t="n">
        <v>46295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8.4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46562-2025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45926</v>
      </c>
      <c r="E974" s="1" t="n">
        <v>46295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29709-2025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45825</v>
      </c>
      <c r="E975" s="1" t="n">
        <v>46295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52.4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25170-2024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45462</v>
      </c>
      <c r="E976" s="1" t="n">
        <v>46295</v>
      </c>
      <c r="F976" t="inlineStr">
        <is>
          <t>VÄSTERBOTTENS LÄN</t>
        </is>
      </c>
      <c r="G976" t="inlineStr">
        <is>
          <t>LYCKSELE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46654-2025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45926</v>
      </c>
      <c r="E977" s="1" t="n">
        <v>46295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37491-2023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45156</v>
      </c>
      <c r="E978" s="1" t="n">
        <v>46295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31371-2026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46219</v>
      </c>
      <c r="E979" s="1" t="n">
        <v>46295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31289-2026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46218</v>
      </c>
      <c r="E980" s="1" t="n">
        <v>46295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13.4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35379-2026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46261</v>
      </c>
      <c r="E981" s="1" t="n">
        <v>46295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31288-2026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46218</v>
      </c>
      <c r="E982" s="1" t="n">
        <v>46295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37599-2024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45541</v>
      </c>
      <c r="E983" s="1" t="n">
        <v>46295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31369-2026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46219</v>
      </c>
      <c r="E984" s="1" t="n">
        <v>46295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31358-2026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46219</v>
      </c>
      <c r="E985" s="1" t="n">
        <v>46295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16.3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34273-2024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45524</v>
      </c>
      <c r="E986" s="1" t="n">
        <v>46295</v>
      </c>
      <c r="F986" t="inlineStr">
        <is>
          <t>VÄSTERBOTTENS LÄN</t>
        </is>
      </c>
      <c r="G986" t="inlineStr">
        <is>
          <t>LYCKSELE</t>
        </is>
      </c>
      <c r="I986" t="n">
        <v>6.7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12430-2025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45730</v>
      </c>
      <c r="E987" s="1" t="n">
        <v>46295</v>
      </c>
      <c r="F987" t="inlineStr">
        <is>
          <t>VÄSTERBOTTENS LÄN</t>
        </is>
      </c>
      <c r="G987" t="inlineStr">
        <is>
          <t>LYCKSELE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31408-2026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46220</v>
      </c>
      <c r="E988" s="1" t="n">
        <v>46295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31400-2026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46220</v>
      </c>
      <c r="E989" s="1" t="n">
        <v>46295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35847-2026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46265</v>
      </c>
      <c r="E990" s="1" t="n">
        <v>46295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5.8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35227-2023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45145</v>
      </c>
      <c r="E991" s="1" t="n">
        <v>46295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41728-2023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45176</v>
      </c>
      <c r="E992" s="1" t="n">
        <v>46295</v>
      </c>
      <c r="F992" t="inlineStr">
        <is>
          <t>VÄSTERBOTTENS LÄN</t>
        </is>
      </c>
      <c r="G992" t="inlineStr">
        <is>
          <t>LYCKSELE</t>
        </is>
      </c>
      <c r="I992" t="n">
        <v>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35605-2026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46263</v>
      </c>
      <c r="E993" s="1" t="n">
        <v>46295</v>
      </c>
      <c r="F993" t="inlineStr">
        <is>
          <t>VÄSTERBOTTENS LÄN</t>
        </is>
      </c>
      <c r="G993" t="inlineStr">
        <is>
          <t>LYCKSELE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30306-2024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45490</v>
      </c>
      <c r="E994" s="1" t="n">
        <v>46295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68665-2021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44529</v>
      </c>
      <c r="E995" s="1" t="n">
        <v>46295</v>
      </c>
      <c r="F995" t="inlineStr">
        <is>
          <t>VÄSTERBOTTENS LÄN</t>
        </is>
      </c>
      <c r="G995" t="inlineStr">
        <is>
          <t>LYCKSELE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31384-2026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46220</v>
      </c>
      <c r="E996" s="1" t="n">
        <v>46295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31372-2024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45503</v>
      </c>
      <c r="E997" s="1" t="n">
        <v>46295</v>
      </c>
      <c r="F997" t="inlineStr">
        <is>
          <t>VÄSTERBOTTENS LÄN</t>
        </is>
      </c>
      <c r="G997" t="inlineStr">
        <is>
          <t>LYCKSELE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35754-2026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46265</v>
      </c>
      <c r="E998" s="1" t="n">
        <v>46295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7.7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35800-2026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46265</v>
      </c>
      <c r="E999" s="1" t="n">
        <v>46295</v>
      </c>
      <c r="F999" t="inlineStr">
        <is>
          <t>VÄSTERBOTTENS LÄN</t>
        </is>
      </c>
      <c r="G999" t="inlineStr">
        <is>
          <t>LYCKSELE</t>
        </is>
      </c>
      <c r="I999" t="n">
        <v>4.5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35801-2026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46265</v>
      </c>
      <c r="E1000" s="1" t="n">
        <v>46295</v>
      </c>
      <c r="F1000" t="inlineStr">
        <is>
          <t>VÄSTERBOTTENS LÄN</t>
        </is>
      </c>
      <c r="G1000" t="inlineStr">
        <is>
          <t>LYCKSELE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31398-2026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46220</v>
      </c>
      <c r="E1001" s="1" t="n">
        <v>46295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35617-2026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46265</v>
      </c>
      <c r="E1002" s="1" t="n">
        <v>46295</v>
      </c>
      <c r="F1002" t="inlineStr">
        <is>
          <t>VÄSTERBOTTENS LÄN</t>
        </is>
      </c>
      <c r="G1002" t="inlineStr">
        <is>
          <t>LYCKSELE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35625-2026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46265</v>
      </c>
      <c r="E1003" s="1" t="n">
        <v>46295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8.199999999999999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31653-2026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46225</v>
      </c>
      <c r="E1004" s="1" t="n">
        <v>46295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27929-2024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45475</v>
      </c>
      <c r="E1005" s="1" t="n">
        <v>46295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Naturvårdsverket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27932-2024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45475</v>
      </c>
      <c r="E1006" s="1" t="n">
        <v>46295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Naturvårdsverket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21109-2023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45061</v>
      </c>
      <c r="E1007" s="1" t="n">
        <v>46295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59569-2024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45638</v>
      </c>
      <c r="E1008" s="1" t="n">
        <v>46295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26358-2023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46295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36243-2026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46268</v>
      </c>
      <c r="E1010" s="1" t="n">
        <v>46295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36048-2026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46267</v>
      </c>
      <c r="E1011" s="1" t="n">
        <v>46295</v>
      </c>
      <c r="F1011" t="inlineStr">
        <is>
          <t>VÄSTERBOTTENS LÄN</t>
        </is>
      </c>
      <c r="G1011" t="inlineStr">
        <is>
          <t>LYCKSELE</t>
        </is>
      </c>
      <c r="I1011" t="n">
        <v>7.8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36254-2026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46268</v>
      </c>
      <c r="E1012" s="1" t="n">
        <v>46295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44924</v>
      </c>
      <c r="E1013" s="1" t="n">
        <v>46295</v>
      </c>
      <c r="F1013" t="inlineStr">
        <is>
          <t>VÄSTERBOTTENS LÄN</t>
        </is>
      </c>
      <c r="G1013" t="inlineStr">
        <is>
          <t>LYCKSELE</t>
        </is>
      </c>
      <c r="I1013" t="n">
        <v>11.9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36165-2026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46267</v>
      </c>
      <c r="E1014" s="1" t="n">
        <v>46295</v>
      </c>
      <c r="F1014" t="inlineStr">
        <is>
          <t>VÄSTERBOTTENS LÄN</t>
        </is>
      </c>
      <c r="G1014" t="inlineStr">
        <is>
          <t>LYCKSELE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25020-2024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45461</v>
      </c>
      <c r="E1015" s="1" t="n">
        <v>46295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6800-2025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45700</v>
      </c>
      <c r="E1016" s="1" t="n">
        <v>46295</v>
      </c>
      <c r="F1016" t="inlineStr">
        <is>
          <t>VÄSTERBOTTENS LÄN</t>
        </is>
      </c>
      <c r="G1016" t="inlineStr">
        <is>
          <t>LYCKSELE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30425-2024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45491</v>
      </c>
      <c r="E1017" s="1" t="n">
        <v>46295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21092-2026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46295</v>
      </c>
      <c r="F1018" t="inlineStr">
        <is>
          <t>VÄSTERBOTTENS LÄN</t>
        </is>
      </c>
      <c r="G1018" t="inlineStr">
        <is>
          <t>LYCKSELE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47131-2024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45586</v>
      </c>
      <c r="E1019" s="1" t="n">
        <v>46295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37969-2024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45544</v>
      </c>
      <c r="E1020" s="1" t="n">
        <v>46295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21660-2023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45063</v>
      </c>
      <c r="E1021" s="1" t="n">
        <v>46295</v>
      </c>
      <c r="F1021" t="inlineStr">
        <is>
          <t>VÄSTERBOTTENS LÄN</t>
        </is>
      </c>
      <c r="G1021" t="inlineStr">
        <is>
          <t>LYCKSELE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36799-2026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46295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36800-2026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46272</v>
      </c>
      <c r="E1023" s="1" t="n">
        <v>46295</v>
      </c>
      <c r="F1023" t="inlineStr">
        <is>
          <t>VÄSTERBOTTENS LÄN</t>
        </is>
      </c>
      <c r="G1023" t="inlineStr">
        <is>
          <t>LYCKSELE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36708-2026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46272</v>
      </c>
      <c r="E1024" s="1" t="n">
        <v>46295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33693-2024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45520</v>
      </c>
      <c r="E1025" s="1" t="n">
        <v>46295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16504-2025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45751</v>
      </c>
      <c r="E1026" s="1" t="n">
        <v>46295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36813-2026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46272</v>
      </c>
      <c r="E1027" s="1" t="n">
        <v>46295</v>
      </c>
      <c r="F1027" t="inlineStr">
        <is>
          <t>VÄSTERBOTTENS LÄN</t>
        </is>
      </c>
      <c r="G1027" t="inlineStr">
        <is>
          <t>LYCKSELE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36814-2026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46272</v>
      </c>
      <c r="E1028" s="1" t="n">
        <v>46295</v>
      </c>
      <c r="F1028" t="inlineStr">
        <is>
          <t>VÄSTERBOTTENS LÄN</t>
        </is>
      </c>
      <c r="G1028" t="inlineStr">
        <is>
          <t>LYCKSELE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36526-2026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46269</v>
      </c>
      <c r="E1029" s="1" t="n">
        <v>46295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36569-2026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46269</v>
      </c>
      <c r="E1030" s="1" t="n">
        <v>46295</v>
      </c>
      <c r="F1030" t="inlineStr">
        <is>
          <t>VÄSTERBOTTENS LÄN</t>
        </is>
      </c>
      <c r="G1030" t="inlineStr">
        <is>
          <t>LYCKSELE</t>
        </is>
      </c>
      <c r="I1030" t="n">
        <v>6.4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36568-2026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46269</v>
      </c>
      <c r="E1031" s="1" t="n">
        <v>46295</v>
      </c>
      <c r="F1031" t="inlineStr">
        <is>
          <t>VÄSTERBOTTENS LÄN</t>
        </is>
      </c>
      <c r="G1031" t="inlineStr">
        <is>
          <t>LYCKSELE</t>
        </is>
      </c>
      <c r="I1031" t="n">
        <v>6.2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49130-2024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45594</v>
      </c>
      <c r="E1032" s="1" t="n">
        <v>46295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31819-2026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46230</v>
      </c>
      <c r="E1033" s="1" t="n">
        <v>46295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4.5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37262-2023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45155</v>
      </c>
      <c r="E1034" s="1" t="n">
        <v>46295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4.1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58714-2024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45635</v>
      </c>
      <c r="E1035" s="1" t="n">
        <v>46295</v>
      </c>
      <c r="F1035" t="inlineStr">
        <is>
          <t>VÄSTERBOTTENS LÄN</t>
        </is>
      </c>
      <c r="G1035" t="inlineStr">
        <is>
          <t>LYCKSELE</t>
        </is>
      </c>
      <c r="I1035" t="n">
        <v>25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1962-2024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45308</v>
      </c>
      <c r="E1036" s="1" t="n">
        <v>46295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46817-2024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45583</v>
      </c>
      <c r="E1037" s="1" t="n">
        <v>46295</v>
      </c>
      <c r="F1037" t="inlineStr">
        <is>
          <t>VÄSTERBOTTENS LÄN</t>
        </is>
      </c>
      <c r="G1037" t="inlineStr">
        <is>
          <t>LYCKSELE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55203-2024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45621</v>
      </c>
      <c r="E1038" s="1" t="n">
        <v>46295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37215-2026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46274</v>
      </c>
      <c r="E1039" s="1" t="n">
        <v>46295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31788-2026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46230</v>
      </c>
      <c r="E1040" s="1" t="n">
        <v>46295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37167-2026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46274</v>
      </c>
      <c r="E1041" s="1" t="n">
        <v>46295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36977-2026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46273</v>
      </c>
      <c r="E1042" s="1" t="n">
        <v>46295</v>
      </c>
      <c r="F1042" t="inlineStr">
        <is>
          <t>VÄSTERBOTTENS LÄN</t>
        </is>
      </c>
      <c r="G1042" t="inlineStr">
        <is>
          <t>LYCKSELE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60482-2024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45643</v>
      </c>
      <c r="E1043" s="1" t="n">
        <v>46295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7.8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49631-2023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45211</v>
      </c>
      <c r="E1044" s="1" t="n">
        <v>46295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Kommuner</t>
        </is>
      </c>
      <c r="I1044" t="n">
        <v>0.1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37658-2024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45541</v>
      </c>
      <c r="E1045" s="1" t="n">
        <v>46295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28409-2023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45101</v>
      </c>
      <c r="E1046" s="1" t="n">
        <v>46295</v>
      </c>
      <c r="F1046" t="inlineStr">
        <is>
          <t>VÄSTERBOTTENS LÄN</t>
        </is>
      </c>
      <c r="G1046" t="inlineStr">
        <is>
          <t>LYCKSELE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32289-2026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46237</v>
      </c>
      <c r="E1047" s="1" t="n">
        <v>46295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37774-2026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46279</v>
      </c>
      <c r="E1048" s="1" t="n">
        <v>46295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37775-2026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46279</v>
      </c>
      <c r="E1049" s="1" t="n">
        <v>46295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54446-2023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45233</v>
      </c>
      <c r="E1050" s="1" t="n">
        <v>46295</v>
      </c>
      <c r="F1050" t="inlineStr">
        <is>
          <t>VÄSTERBOTTENS LÄN</t>
        </is>
      </c>
      <c r="G1050" t="inlineStr">
        <is>
          <t>LYCKSELE</t>
        </is>
      </c>
      <c r="I1050" t="n">
        <v>21.4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40527-2024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46295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32167-2026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46237</v>
      </c>
      <c r="E1052" s="1" t="n">
        <v>46295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8.6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48992-2023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45209</v>
      </c>
      <c r="E1053" s="1" t="n">
        <v>46295</v>
      </c>
      <c r="F1053" t="inlineStr">
        <is>
          <t>VÄSTERBOTTENS LÄN</t>
        </is>
      </c>
      <c r="G1053" t="inlineStr">
        <is>
          <t>LYCKSELE</t>
        </is>
      </c>
      <c r="I1053" t="n">
        <v>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37801-2026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46279</v>
      </c>
      <c r="E1054" s="1" t="n">
        <v>46295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18.3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32214-2026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46237</v>
      </c>
      <c r="E1055" s="1" t="n">
        <v>46295</v>
      </c>
      <c r="F1055" t="inlineStr">
        <is>
          <t>VÄSTERBOTTENS LÄN</t>
        </is>
      </c>
      <c r="G1055" t="inlineStr">
        <is>
          <t>LYCKSELE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33708-2024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45520</v>
      </c>
      <c r="E1056" s="1" t="n">
        <v>46295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33714-2024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45520</v>
      </c>
      <c r="E1057" s="1" t="n">
        <v>46295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37776-2026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46279</v>
      </c>
      <c r="E1058" s="1" t="n">
        <v>46295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32201-2026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46237</v>
      </c>
      <c r="E1059" s="1" t="n">
        <v>46295</v>
      </c>
      <c r="F1059" t="inlineStr">
        <is>
          <t>VÄSTERBOTTENS LÄN</t>
        </is>
      </c>
      <c r="G1059" t="inlineStr">
        <is>
          <t>LYCKSELE</t>
        </is>
      </c>
      <c r="I1059" t="n">
        <v>7.4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16669-2022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44672</v>
      </c>
      <c r="E1060" s="1" t="n">
        <v>46295</v>
      </c>
      <c r="F1060" t="inlineStr">
        <is>
          <t>VÄSTERBOTTENS LÄN</t>
        </is>
      </c>
      <c r="G1060" t="inlineStr">
        <is>
          <t>LYCKSELE</t>
        </is>
      </c>
      <c r="I1060" t="n">
        <v>12.8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32245-2026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46237</v>
      </c>
      <c r="E1061" s="1" t="n">
        <v>46295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7.3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57898-2021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44486</v>
      </c>
      <c r="E1062" s="1" t="n">
        <v>46295</v>
      </c>
      <c r="F1062" t="inlineStr">
        <is>
          <t>VÄSTERBOTTENS LÄN</t>
        </is>
      </c>
      <c r="G1062" t="inlineStr">
        <is>
          <t>LYCKSELE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32408-2024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45512</v>
      </c>
      <c r="E1063" s="1" t="n">
        <v>46295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Naturvårdsverket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32112-2026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46234</v>
      </c>
      <c r="E1064" s="1" t="n">
        <v>46295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33.3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32174-2026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46237</v>
      </c>
      <c r="E1065" s="1" t="n">
        <v>46295</v>
      </c>
      <c r="F1065" t="inlineStr">
        <is>
          <t>VÄSTERBOTTENS LÄN</t>
        </is>
      </c>
      <c r="G1065" t="inlineStr">
        <is>
          <t>LYCKSELE</t>
        </is>
      </c>
      <c r="I1065" t="n">
        <v>20.2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39321-2024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45551</v>
      </c>
      <c r="E1066" s="1" t="n">
        <v>46295</v>
      </c>
      <c r="F1066" t="inlineStr">
        <is>
          <t>VÄSTERBOTTENS LÄN</t>
        </is>
      </c>
      <c r="G1066" t="inlineStr">
        <is>
          <t>LYCKSELE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38110-2026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46281</v>
      </c>
      <c r="E1067" s="1" t="n">
        <v>46295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38469-2026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46282</v>
      </c>
      <c r="E1068" s="1" t="n">
        <v>46295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71412-2021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44540</v>
      </c>
      <c r="E1069" s="1" t="n">
        <v>46295</v>
      </c>
      <c r="F1069" t="inlineStr">
        <is>
          <t>VÄSTERBOTTENS LÄN</t>
        </is>
      </c>
      <c r="G1069" t="inlineStr">
        <is>
          <t>LYCKSELE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38459-2026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46282</v>
      </c>
      <c r="E1070" s="1" t="n">
        <v>46295</v>
      </c>
      <c r="F1070" t="inlineStr">
        <is>
          <t>VÄSTERBOTTENS LÄN</t>
        </is>
      </c>
      <c r="G1070" t="inlineStr">
        <is>
          <t>LYCKSELE</t>
        </is>
      </c>
      <c r="I1070" t="n">
        <v>7.6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10331-2023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44980</v>
      </c>
      <c r="E1071" s="1" t="n">
        <v>46295</v>
      </c>
      <c r="F1071" t="inlineStr">
        <is>
          <t>VÄSTERBOTTENS LÄN</t>
        </is>
      </c>
      <c r="G1071" t="inlineStr">
        <is>
          <t>LYCKSELE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38429-2026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46282</v>
      </c>
      <c r="E1072" s="1" t="n">
        <v>46295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38140-2026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46281</v>
      </c>
      <c r="E1073" s="1" t="n">
        <v>46295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37.9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10208-2024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45364</v>
      </c>
      <c r="E1074" s="1" t="n">
        <v>46295</v>
      </c>
      <c r="F1074" t="inlineStr">
        <is>
          <t>VÄSTERBOTTENS LÄN</t>
        </is>
      </c>
      <c r="G1074" t="inlineStr">
        <is>
          <t>LYCKSELE</t>
        </is>
      </c>
      <c r="I1074" t="n">
        <v>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38261-2026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46281</v>
      </c>
      <c r="E1075" s="1" t="n">
        <v>46295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47807-2024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45588</v>
      </c>
      <c r="E1076" s="1" t="n">
        <v>46295</v>
      </c>
      <c r="F1076" t="inlineStr">
        <is>
          <t>VÄSTERBOTTENS LÄN</t>
        </is>
      </c>
      <c r="G1076" t="inlineStr">
        <is>
          <t>LYCKSELE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34505-2026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46254</v>
      </c>
      <c r="E1077" s="1" t="n">
        <v>46295</v>
      </c>
      <c r="F1077" t="inlineStr">
        <is>
          <t>VÄSTERBOTTENS LÄN</t>
        </is>
      </c>
      <c r="G1077" t="inlineStr">
        <is>
          <t>LYCKSELE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44465-2022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44840</v>
      </c>
      <c r="E1078" s="1" t="n">
        <v>46295</v>
      </c>
      <c r="F1078" t="inlineStr">
        <is>
          <t>VÄSTERBOTTENS LÄN</t>
        </is>
      </c>
      <c r="G1078" t="inlineStr">
        <is>
          <t>LYCKSELE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34810-2024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45526</v>
      </c>
      <c r="E1079" s="1" t="n">
        <v>46295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31275-2026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46218</v>
      </c>
      <c r="E1080" s="1" t="n">
        <v>46295</v>
      </c>
      <c r="F1080" t="inlineStr">
        <is>
          <t>VÄSTERBOTTENS LÄN</t>
        </is>
      </c>
      <c r="G1080" t="inlineStr">
        <is>
          <t>LYCKSELE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54428-2024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45617</v>
      </c>
      <c r="E1081" s="1" t="n">
        <v>46295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12.9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41361-2023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45174</v>
      </c>
      <c r="E1082" s="1" t="n">
        <v>46295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6.6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40115-2024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45554</v>
      </c>
      <c r="E1083" s="1" t="n">
        <v>46295</v>
      </c>
      <c r="F1083" t="inlineStr">
        <is>
          <t>VÄSTERBOTTENS LÄN</t>
        </is>
      </c>
      <c r="G1083" t="inlineStr">
        <is>
          <t>LYCKSELE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32619-2026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46240</v>
      </c>
      <c r="E1084" s="1" t="n">
        <v>46295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32608-2026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46240</v>
      </c>
      <c r="E1085" s="1" t="n">
        <v>46295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38577-2026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46283</v>
      </c>
      <c r="E1086" s="1" t="n">
        <v>46295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6.5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37271-2023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45155</v>
      </c>
      <c r="E1087" s="1" t="n">
        <v>46295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4.7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32611-2026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46240</v>
      </c>
      <c r="E1088" s="1" t="n">
        <v>46295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64336-2023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45279</v>
      </c>
      <c r="E1089" s="1" t="n">
        <v>46295</v>
      </c>
      <c r="F1089" t="inlineStr">
        <is>
          <t>VÄSTERBOTTENS LÄN</t>
        </is>
      </c>
      <c r="G1089" t="inlineStr">
        <is>
          <t>LYCKSELE</t>
        </is>
      </c>
      <c r="I1089" t="n">
        <v>6.4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32644-2026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46240</v>
      </c>
      <c r="E1090" s="1" t="n">
        <v>46295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8.4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9517-2025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45715</v>
      </c>
      <c r="E1091" s="1" t="n">
        <v>46295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4.5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32716-2026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46241</v>
      </c>
      <c r="E1092" s="1" t="n">
        <v>46295</v>
      </c>
      <c r="F1092" t="inlineStr">
        <is>
          <t>VÄSTERBOTTENS LÄN</t>
        </is>
      </c>
      <c r="G1092" t="inlineStr">
        <is>
          <t>LYCKSELE</t>
        </is>
      </c>
      <c r="I1092" t="n">
        <v>16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11640-2024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45373</v>
      </c>
      <c r="E1093" s="1" t="n">
        <v>46295</v>
      </c>
      <c r="F1093" t="inlineStr">
        <is>
          <t>VÄSTERBOTTENS LÄN</t>
        </is>
      </c>
      <c r="G1093" t="inlineStr">
        <is>
          <t>LYCKSELE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24954-2026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46174</v>
      </c>
      <c r="E1094" s="1" t="n">
        <v>46295</v>
      </c>
      <c r="F1094" t="inlineStr">
        <is>
          <t>VÄSTERBOTTENS LÄN</t>
        </is>
      </c>
      <c r="G1094" t="inlineStr">
        <is>
          <t>LYCKSELE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32614-2026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46240</v>
      </c>
      <c r="E1095" s="1" t="n">
        <v>46295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41992-2022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44830</v>
      </c>
      <c r="E1096" s="1" t="n">
        <v>46295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17688-2025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45758</v>
      </c>
      <c r="E1097" s="1" t="n">
        <v>46295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33147-2026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46244</v>
      </c>
      <c r="E1098" s="1" t="n">
        <v>46295</v>
      </c>
      <c r="F1098" t="inlineStr">
        <is>
          <t>VÄSTERBOTTENS LÄN</t>
        </is>
      </c>
      <c r="G1098" t="inlineStr">
        <is>
          <t>LYCKSELE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61353-2025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46001</v>
      </c>
      <c r="E1099" s="1" t="n">
        <v>46295</v>
      </c>
      <c r="F1099" t="inlineStr">
        <is>
          <t>VÄSTERBOTTENS LÄN</t>
        </is>
      </c>
      <c r="G1099" t="inlineStr">
        <is>
          <t>LYCKSELE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28217-2026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46196</v>
      </c>
      <c r="E1100" s="1" t="n">
        <v>46295</v>
      </c>
      <c r="F1100" t="inlineStr">
        <is>
          <t>VÄSTERBOTTENS LÄN</t>
        </is>
      </c>
      <c r="G1100" t="inlineStr">
        <is>
          <t>LYCKSELE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60542-2024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45643</v>
      </c>
      <c r="E1101" s="1" t="n">
        <v>46295</v>
      </c>
      <c r="F1101" t="inlineStr">
        <is>
          <t>VÄSTERBOTTENS LÄN</t>
        </is>
      </c>
      <c r="G1101" t="inlineStr">
        <is>
          <t>LYCKSELE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38774-2026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46286</v>
      </c>
      <c r="E1102" s="1" t="n">
        <v>46295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60143-2022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44909</v>
      </c>
      <c r="E1103" s="1" t="n">
        <v>46295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15239-2025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45744</v>
      </c>
      <c r="E1104" s="1" t="n">
        <v>46295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39429-2026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46288</v>
      </c>
      <c r="E1105" s="1" t="n">
        <v>46295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11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38478-2024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45546</v>
      </c>
      <c r="E1106" s="1" t="n">
        <v>46295</v>
      </c>
      <c r="F1106" t="inlineStr">
        <is>
          <t>VÄSTERBOTTENS LÄN</t>
        </is>
      </c>
      <c r="G1106" t="inlineStr">
        <is>
          <t>LYCKSELE</t>
        </is>
      </c>
      <c r="I1106" t="n">
        <v>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2794-2025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45677</v>
      </c>
      <c r="E1107" s="1" t="n">
        <v>46295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14623-2025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45742</v>
      </c>
      <c r="E1108" s="1" t="n">
        <v>46295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Naturvårdsverket</t>
        </is>
      </c>
      <c r="I1108" t="n">
        <v>10.4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38112-2024</t>
        </is>
      </c>
      <c r="B1109" t="inlineStr">
        <is>
          <t>avverkningsanmälan</t>
        </is>
      </c>
      <c r="C1109" t="inlineStr">
        <is>
          <t>Avverkning för att bevara och utveckla /försöksver</t>
        </is>
      </c>
      <c r="D1109" s="1" t="n">
        <v>45545</v>
      </c>
      <c r="E1109" s="1" t="n">
        <v>46295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31354-2026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46219</v>
      </c>
      <c r="E1110" s="1" t="n">
        <v>46295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6.7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32229-2026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46237</v>
      </c>
      <c r="E1111" s="1" t="n">
        <v>46295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8.6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13883-2025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45737</v>
      </c>
      <c r="E1112" s="1" t="n">
        <v>46295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Naturvårdsverket</t>
        </is>
      </c>
      <c r="I1112" t="n">
        <v>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9976-2024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45363</v>
      </c>
      <c r="E1113" s="1" t="n">
        <v>46295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39180-2026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46287</v>
      </c>
      <c r="E1114" s="1" t="n">
        <v>46295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6.5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24234-2023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45079</v>
      </c>
      <c r="E1115" s="1" t="n">
        <v>46295</v>
      </c>
      <c r="F1115" t="inlineStr">
        <is>
          <t>VÄSTERBOTTENS LÄN</t>
        </is>
      </c>
      <c r="G1115" t="inlineStr">
        <is>
          <t>LYCKSELE</t>
        </is>
      </c>
      <c r="I1115" t="n">
        <v>3.3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52755-2023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45225</v>
      </c>
      <c r="E1116" s="1" t="n">
        <v>46295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38107-2026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46281</v>
      </c>
      <c r="E1117" s="1" t="n">
        <v>46295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17.7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33467-2026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46247</v>
      </c>
      <c r="E1118" s="1" t="n">
        <v>46295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5.6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20685-2025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45776</v>
      </c>
      <c r="E1119" s="1" t="n">
        <v>46295</v>
      </c>
      <c r="F1119" t="inlineStr">
        <is>
          <t>VÄSTERBOTTENS LÄN</t>
        </is>
      </c>
      <c r="G1119" t="inlineStr">
        <is>
          <t>LYCKSELE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39649-2026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46289</v>
      </c>
      <c r="E1120" s="1" t="n">
        <v>46295</v>
      </c>
      <c r="F1120" t="inlineStr">
        <is>
          <t>VÄSTERBOTTENS LÄN</t>
        </is>
      </c>
      <c r="G1120" t="inlineStr">
        <is>
          <t>LYCKSELE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34960-2026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46259</v>
      </c>
      <c r="E1121" s="1" t="n">
        <v>46295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20979-2025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45777</v>
      </c>
      <c r="E1122" s="1" t="n">
        <v>46295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39695-2026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46289</v>
      </c>
      <c r="E1123" s="1" t="n">
        <v>46295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13.8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21266-2025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45779</v>
      </c>
      <c r="E1124" s="1" t="n">
        <v>46295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21861-2025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45784</v>
      </c>
      <c r="E1125" s="1" t="n">
        <v>46295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10.5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21888-2025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45784</v>
      </c>
      <c r="E1126" s="1" t="n">
        <v>46295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4.4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22367-2026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46295</v>
      </c>
      <c r="F1127" t="inlineStr">
        <is>
          <t>VÄSTERBOTTENS LÄN</t>
        </is>
      </c>
      <c r="G1127" t="inlineStr">
        <is>
          <t>LYCKSELE</t>
        </is>
      </c>
      <c r="I1127" t="n">
        <v>18.8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29301-2026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46202</v>
      </c>
      <c r="E1128" s="1" t="n">
        <v>46295</v>
      </c>
      <c r="F1128" t="inlineStr">
        <is>
          <t>VÄSTERBOTTENS LÄN</t>
        </is>
      </c>
      <c r="G1128" t="inlineStr">
        <is>
          <t>LYCKSELE</t>
        </is>
      </c>
      <c r="I1128" t="n">
        <v>5.1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29395-2026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46203</v>
      </c>
      <c r="E1129" s="1" t="n">
        <v>46295</v>
      </c>
      <c r="F1129" t="inlineStr">
        <is>
          <t>VÄSTERBOTTENS LÄN</t>
        </is>
      </c>
      <c r="G1129" t="inlineStr">
        <is>
          <t>LYCKSELE</t>
        </is>
      </c>
      <c r="I1129" t="n">
        <v>4.3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22309-2025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45786</v>
      </c>
      <c r="E1130" s="1" t="n">
        <v>46295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64391-2023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45280</v>
      </c>
      <c r="E1131" s="1" t="n">
        <v>46295</v>
      </c>
      <c r="F1131" t="inlineStr">
        <is>
          <t>VÄSTERBOTTENS LÄN</t>
        </is>
      </c>
      <c r="G1131" t="inlineStr">
        <is>
          <t>LYCKSELE</t>
        </is>
      </c>
      <c r="I1131" t="n">
        <v>5.8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34961-2026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46259</v>
      </c>
      <c r="E1132" s="1" t="n">
        <v>46295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39697-2026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46289</v>
      </c>
      <c r="E1133" s="1" t="n">
        <v>46295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22453-2025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45786</v>
      </c>
      <c r="E1134" s="1" t="n">
        <v>46295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5.9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22452-2025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45786</v>
      </c>
      <c r="E1135" s="1" t="n">
        <v>46295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22343-2025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45786</v>
      </c>
      <c r="E1136" s="1" t="n">
        <v>46295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4.7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22127-2025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45785</v>
      </c>
      <c r="E1137" s="1" t="n">
        <v>46295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22456-2025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45786</v>
      </c>
      <c r="E1138" s="1" t="n">
        <v>46295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38105-2026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46281</v>
      </c>
      <c r="E1139" s="1" t="n">
        <v>46295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33932-2026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46248</v>
      </c>
      <c r="E1140" s="1" t="n">
        <v>46295</v>
      </c>
      <c r="F1140" t="inlineStr">
        <is>
          <t>VÄSTERBOTTENS LÄN</t>
        </is>
      </c>
      <c r="G1140" t="inlineStr">
        <is>
          <t>LYCKSELE</t>
        </is>
      </c>
      <c r="I1140" t="n">
        <v>11.5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32474-2024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45513</v>
      </c>
      <c r="E1141" s="1" t="n">
        <v>46295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33975-2026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46252</v>
      </c>
      <c r="E1142" s="1" t="n">
        <v>46295</v>
      </c>
      <c r="F1142" t="inlineStr">
        <is>
          <t>VÄSTERBOTTENS LÄN</t>
        </is>
      </c>
      <c r="G1142" t="inlineStr">
        <is>
          <t>LYCKSELE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40066-2026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46293</v>
      </c>
      <c r="E1143" s="1" t="n">
        <v>46295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33667-2026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46248</v>
      </c>
      <c r="E1144" s="1" t="n">
        <v>46295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10.3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33670-2026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46248</v>
      </c>
      <c r="E1145" s="1" t="n">
        <v>46295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25.8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33604-2026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46248</v>
      </c>
      <c r="E1146" s="1" t="n">
        <v>46295</v>
      </c>
      <c r="F1146" t="inlineStr">
        <is>
          <t>VÄSTERBOTTENS LÄN</t>
        </is>
      </c>
      <c r="G1146" t="inlineStr">
        <is>
          <t>LYCKSELE</t>
        </is>
      </c>
      <c r="I1146" t="n">
        <v>4.8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22759-2025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45789</v>
      </c>
      <c r="E1147" s="1" t="n">
        <v>46295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25.5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33881-2026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46251</v>
      </c>
      <c r="E1148" s="1" t="n">
        <v>46295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3.5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34016-2026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46252</v>
      </c>
      <c r="E1149" s="1" t="n">
        <v>46295</v>
      </c>
      <c r="F1149" t="inlineStr">
        <is>
          <t>VÄSTERBOTTENS LÄN</t>
        </is>
      </c>
      <c r="G1149" t="inlineStr">
        <is>
          <t>LYCKSELE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22344-2025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45786</v>
      </c>
      <c r="E1150" s="1" t="n">
        <v>46295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33879-2026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46251</v>
      </c>
      <c r="E1151" s="1" t="n">
        <v>46295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33878-2026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46251</v>
      </c>
      <c r="E1152" s="1" t="n">
        <v>46295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33796-2026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46251</v>
      </c>
      <c r="E1153" s="1" t="n">
        <v>46295</v>
      </c>
      <c r="F1153" t="inlineStr">
        <is>
          <t>VÄSTERBOTTENS LÄN</t>
        </is>
      </c>
      <c r="G1153" t="inlineStr">
        <is>
          <t>LYCKSELE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40239-2026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46294</v>
      </c>
      <c r="E1154" s="1" t="n">
        <v>46295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7.1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40240-2026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46294</v>
      </c>
      <c r="E1155" s="1" t="n">
        <v>46295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34007-2026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46252</v>
      </c>
      <c r="E1156" s="1" t="n">
        <v>46295</v>
      </c>
      <c r="F1156" t="inlineStr">
        <is>
          <t>VÄSTERBOTTENS LÄN</t>
        </is>
      </c>
      <c r="G1156" t="inlineStr">
        <is>
          <t>LYCKSELE</t>
        </is>
      </c>
      <c r="I1156" t="n">
        <v>17.7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33547-2026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46248</v>
      </c>
      <c r="E1157" s="1" t="n">
        <v>46295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5.4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40179-2026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46293</v>
      </c>
      <c r="E1158" s="1" t="n">
        <v>46295</v>
      </c>
      <c r="F1158" t="inlineStr">
        <is>
          <t>VÄSTERBOTTENS LÄN</t>
        </is>
      </c>
      <c r="G1158" t="inlineStr">
        <is>
          <t>LYCKSELE</t>
        </is>
      </c>
      <c r="I1158" t="n">
        <v>6.4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40415-2026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46294</v>
      </c>
      <c r="E1159" s="1" t="n">
        <v>46295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33709-2026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46251</v>
      </c>
      <c r="E1160" s="1" t="n">
        <v>46295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33846-2026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46251</v>
      </c>
      <c r="E1161" s="1" t="n">
        <v>46295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SCA</t>
        </is>
      </c>
      <c r="I1161" t="n">
        <v>10.1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919-2021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44314</v>
      </c>
      <c r="E1162" s="1" t="n">
        <v>46295</v>
      </c>
      <c r="F1162" t="inlineStr">
        <is>
          <t>VÄSTERBOTTENS LÄN</t>
        </is>
      </c>
      <c r="G1162" t="inlineStr">
        <is>
          <t>LYCKSELE</t>
        </is>
      </c>
      <c r="I1162" t="n">
        <v>26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827-2022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44603</v>
      </c>
      <c r="E1163" s="1" t="n">
        <v>46295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42.7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165-2022</t>
        </is>
      </c>
      <c r="B1164" t="inlineStr">
        <is>
          <t>samrådsanmälan</t>
        </is>
      </c>
      <c r="C1164" t="inlineStr">
        <is>
          <t>Skogsbilväg</t>
        </is>
      </c>
      <c r="D1164" s="1" t="n">
        <v>44572</v>
      </c>
      <c r="E1164" s="1" t="n">
        <v>46295</v>
      </c>
      <c r="F1164" t="inlineStr">
        <is>
          <t>VÄSTERBOTTENS LÄN</t>
        </is>
      </c>
      <c r="G1164" t="inlineStr">
        <is>
          <t>LYCKSELE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1133-2024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45393</v>
      </c>
      <c r="E1165" s="1" t="n">
        <v>46295</v>
      </c>
      <c r="F1165" t="inlineStr">
        <is>
          <t>VÄSTERBOTTENS LÄN</t>
        </is>
      </c>
      <c r="G1165" t="inlineStr">
        <is>
          <t>LYCKSELE</t>
        </is>
      </c>
      <c r="I1165" t="n">
        <v>33.1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4195-2023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45250</v>
      </c>
      <c r="E1166" s="1" t="n">
        <v>46295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63.8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1398-2023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45040</v>
      </c>
      <c r="E1167" s="1" t="n">
        <v>46295</v>
      </c>
      <c r="F1167" t="inlineStr">
        <is>
          <t>VÄSTERBOTTENS LÄN</t>
        </is>
      </c>
      <c r="G1167" t="inlineStr">
        <is>
          <t>LYCKSELE</t>
        </is>
      </c>
      <c r="I1167" t="n">
        <v>21.5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1378-2023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45040</v>
      </c>
      <c r="E1168" s="1" t="n">
        <v>46295</v>
      </c>
      <c r="F1168" t="inlineStr">
        <is>
          <t>VÄSTERBOTTENS LÄN</t>
        </is>
      </c>
      <c r="G1168" t="inlineStr">
        <is>
          <t>LYCKSELE</t>
        </is>
      </c>
      <c r="I1168" t="n">
        <v>33.1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1656-2024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45426</v>
      </c>
      <c r="E1169" s="1" t="n">
        <v>46295</v>
      </c>
      <c r="F1169" t="inlineStr">
        <is>
          <t>VÄSTERBOTTENS LÄN</t>
        </is>
      </c>
      <c r="G1169" t="inlineStr">
        <is>
          <t>LYCKSELE</t>
        </is>
      </c>
      <c r="I1169" t="n">
        <v>56.6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523-2024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45348</v>
      </c>
      <c r="E1170" s="1" t="n">
        <v>46295</v>
      </c>
      <c r="F1170" t="inlineStr">
        <is>
          <t>VÄSTERBOTTENS LÄN</t>
        </is>
      </c>
      <c r="G1170" t="inlineStr">
        <is>
          <t>LYCKSELE</t>
        </is>
      </c>
      <c r="I1170" t="n">
        <v>19.9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3789-2024</t>
        </is>
      </c>
      <c r="B1171" t="inlineStr">
        <is>
          <t>samrådsanmälan</t>
        </is>
      </c>
      <c r="C1171" t="inlineStr">
        <is>
          <t>Annan skogsbruksåtgärd</t>
        </is>
      </c>
      <c r="D1171" s="1" t="n">
        <v>45558</v>
      </c>
      <c r="E1171" s="1" t="n">
        <v>46295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9.800000000000001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271-2024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45323</v>
      </c>
      <c r="E1172" s="1" t="n">
        <v>46295</v>
      </c>
      <c r="F1172" t="inlineStr">
        <is>
          <t>VÄSTERBOTTENS LÄN</t>
        </is>
      </c>
      <c r="G1172" t="inlineStr">
        <is>
          <t>LYCKSELE</t>
        </is>
      </c>
      <c r="I1172" t="n">
        <v>48.7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1132-2024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45393</v>
      </c>
      <c r="E1173" s="1" t="n">
        <v>46295</v>
      </c>
      <c r="F1173" t="inlineStr">
        <is>
          <t>VÄSTERBOTTENS LÄN</t>
        </is>
      </c>
      <c r="G1173" t="inlineStr">
        <is>
          <t>LYCKSELE</t>
        </is>
      </c>
      <c r="I1173" t="n">
        <v>19.2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1031-2025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45747</v>
      </c>
      <c r="E1174" s="1" t="n">
        <v>46295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36.8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1037-2025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45747</v>
      </c>
      <c r="E1175" s="1" t="n">
        <v>46295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138.5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1233-2025</t>
        </is>
      </c>
      <c r="B1176" t="inlineStr">
        <is>
          <t>samrådsanmälan</t>
        </is>
      </c>
      <c r="C1176" t="inlineStr">
        <is>
          <t>Annan skogsbruksåtgärd</t>
        </is>
      </c>
      <c r="D1176" s="1" t="n">
        <v>45757</v>
      </c>
      <c r="E1176" s="1" t="n">
        <v>46295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1326-2025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45771</v>
      </c>
      <c r="E1177" s="1" t="n">
        <v>46295</v>
      </c>
      <c r="F1177" t="inlineStr">
        <is>
          <t>VÄSTERBOTTENS LÄN</t>
        </is>
      </c>
      <c r="G1177" t="inlineStr">
        <is>
          <t>LYCKSELE</t>
        </is>
      </c>
      <c r="I1177" t="n">
        <v>6.2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1841-2025</t>
        </is>
      </c>
      <c r="B1178" t="inlineStr">
        <is>
          <t>samrådsanmälan</t>
        </is>
      </c>
      <c r="C1178" t="inlineStr">
        <is>
          <t>Annan skogsbruksåtgärd</t>
        </is>
      </c>
      <c r="D1178" s="1" t="n">
        <v>45820</v>
      </c>
      <c r="E1178" s="1" t="n">
        <v>46295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447-2026</t>
        </is>
      </c>
      <c r="B1179" t="inlineStr">
        <is>
          <t>samrådsanmälan</t>
        </is>
      </c>
      <c r="C1179" t="inlineStr">
        <is>
          <t>Annan skogsbruksåtgärd</t>
        </is>
      </c>
      <c r="D1179" s="1" t="n">
        <v>46071</v>
      </c>
      <c r="E1179" s="1" t="n">
        <v>46295</v>
      </c>
      <c r="F1179" t="inlineStr">
        <is>
          <t>VÄSTERBOTTENS LÄN</t>
        </is>
      </c>
      <c r="G1179" t="inlineStr">
        <is>
          <t>LYCKSELE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727-2026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46093</v>
      </c>
      <c r="E1180" s="1" t="n">
        <v>46295</v>
      </c>
      <c r="F1180" t="inlineStr">
        <is>
          <t>VÄSTERBOTTENS LÄN</t>
        </is>
      </c>
      <c r="G1180" t="inlineStr">
        <is>
          <t>LYCKSELE</t>
        </is>
      </c>
      <c r="I1180" t="n">
        <v>23.5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1148-2026</t>
        </is>
      </c>
      <c r="B1181" t="inlineStr">
        <is>
          <t>samrådsanmälan</t>
        </is>
      </c>
      <c r="C1181" t="inlineStr">
        <is>
          <t>Askåterföring</t>
        </is>
      </c>
      <c r="D1181" s="1" t="n">
        <v>46135</v>
      </c>
      <c r="E1181" s="1" t="n">
        <v>46295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Holmen skog AB</t>
        </is>
      </c>
      <c r="I1181" t="n">
        <v>4.5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1358-2026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46152</v>
      </c>
      <c r="E1182" s="1" t="n">
        <v>46295</v>
      </c>
      <c r="F1182" t="inlineStr">
        <is>
          <t>VÄSTERBOTTENS LÄN</t>
        </is>
      </c>
      <c r="G1182" t="inlineStr">
        <is>
          <t>LYCKSELE</t>
        </is>
      </c>
      <c r="I1182" t="n">
        <v>20.5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>
      <c r="A1183" t="inlineStr">
        <is>
          <t>S 1524-2026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46164</v>
      </c>
      <c r="E1183" s="1" t="n">
        <v>46295</v>
      </c>
      <c r="F1183" t="inlineStr">
        <is>
          <t>VÄSTERBOTTENS LÄN</t>
        </is>
      </c>
      <c r="G1183" t="inlineStr">
        <is>
          <t>LYCKSELE</t>
        </is>
      </c>
      <c r="I1183" t="n">
        <v>99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2026-09-30T02:01:59Z</dcterms:created>
  <dcterms:modified xmlns:dcterms="http://purl.org/dc/terms/" xmlns:xsi="http://www.w3.org/2001/XMLSchema-instance" xsi:type="dcterms:W3CDTF">2026-09-30T02:02:00Z</dcterms:modified>
</cp:coreProperties>
</file>