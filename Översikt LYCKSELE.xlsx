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53141-2024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45611</v>
      </c>
      <c r="E6" s="1" t="n">
        <v>46269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41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53141-2024 artfynd.xlsx", "A 53141-2024")</f>
        <v/>
      </c>
      <c r="X6">
        <f>HYPERLINK("https://klasma.github.io/Logging_2481/kartor/A 53141-2024 karta.png", "A 53141-2024")</f>
        <v/>
      </c>
      <c r="Y6">
        <f>HYPERLINK("https://klasma.github.io/Logging_2481/kartor_geotiff/A 53141-2024 georefererad karta.tif", "A 53141-2024")</f>
        <v/>
      </c>
      <c r="Z6">
        <f>HYPERLINK("https://klasma.github.io/Logging_2481/knärot/A 53141-2024 karta knärot.png", "A 53141-2024")</f>
        <v/>
      </c>
      <c r="AA6">
        <f>HYPERLINK("https://klasma.github.io/Logging_2481/klagomål/A 53141-2024 FSC-klagomål.docx", "A 53141-2024")</f>
        <v/>
      </c>
      <c r="AB6">
        <f>HYPERLINK("https://klasma.github.io/Logging_2481/klagomålsmail/A 53141-2024 FSC-klagomål mail.docx", "A 53141-2024")</f>
        <v/>
      </c>
      <c r="AC6">
        <f>HYPERLINK("https://klasma.github.io/Logging_2481/tillsyn/A 53141-2024 tillsynsbegäran.docx", "A 53141-2024")</f>
        <v/>
      </c>
      <c r="AD6">
        <f>HYPERLINK("https://klasma.github.io/Logging_2481/tillsynsmail/A 53141-2024 tillsynsbegäran mail.docx", "A 53141-2024")</f>
        <v/>
      </c>
      <c r="AE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46269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46269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46269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46269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46269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46269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46269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46269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46269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46269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46269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46269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46269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46269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46269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46269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Lavskrika
Rödvingetrast
Talltita
Bergfink
Orre</t>
        </is>
      </c>
      <c r="W32">
        <f>HYPERLINK("https://klasma.github.io/Logging_2481/artfynd/A 31698-2023 artfynd.xlsx", "A 31698-2023")</f>
        <v/>
      </c>
      <c r="X32">
        <f>HYPERLINK("https://klasma.github.io/Logging_2481/kartor/A 31698-2023 karta.png", "A 31698-2023")</f>
        <v/>
      </c>
      <c r="Y32">
        <f>HYPERLINK("https://klasma.github.io/Logging_2481/kartor_geotiff/A 31698-2023 georefererad karta.tif", "A 31698-2023")</f>
        <v/>
      </c>
      <c r="AA32">
        <f>HYPERLINK("https://klasma.github.io/Logging_2481/klagomål/A 31698-2023 FSC-klagomål.docx", "A 31698-2023")</f>
        <v/>
      </c>
      <c r="AB32">
        <f>HYPERLINK("https://klasma.github.io/Logging_2481/klagomålsmail/A 31698-2023 FSC-klagomål mail.docx", "A 31698-2023")</f>
        <v/>
      </c>
      <c r="AC32">
        <f>HYPERLINK("https://klasma.github.io/Logging_2481/tillsyn/A 31698-2023 tillsynsbegäran.docx", "A 31698-2023")</f>
        <v/>
      </c>
      <c r="AD32">
        <f>HYPERLINK("https://klasma.github.io/Logging_2481/tillsynsmail/A 31698-2023 tillsynsbegäran mail.docx", "A 31698-2023")</f>
        <v/>
      </c>
      <c r="AE32">
        <f>HYPERLINK("https://klasma.github.io/Logging_2481/fåglar/A 31698-2023 prioriterade fågelarter.docx", "A 31698-2023")</f>
        <v/>
      </c>
    </row>
    <row r="33" ht="15" customHeight="1">
      <c r="A33" t="inlineStr">
        <is>
          <t>A 54905-2024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45618</v>
      </c>
      <c r="E33" s="1" t="n">
        <v>46269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5</v>
      </c>
      <c r="T33" t="n">
        <v>10</v>
      </c>
      <c r="U33" t="n">
        <v>7</v>
      </c>
      <c r="V33" s="2" t="inlineStr">
        <is>
          <t>Fläckporing
Garnlav
Dropptaggsvamp
Kolflarnlav
Ullticka</t>
        </is>
      </c>
      <c r="W33">
        <f>HYPERLINK("https://klasma.github.io/Logging_2481/artfynd/A 54905-2024 artfynd.xlsx", "A 54905-2024")</f>
        <v/>
      </c>
      <c r="X33">
        <f>HYPERLINK("https://klasma.github.io/Logging_2481/kartor/A 54905-2024 karta.png", "A 54905-2024")</f>
        <v/>
      </c>
      <c r="Y33">
        <f>HYPERLINK("https://klasma.github.io/Logging_2481/kartor_geotiff/A 54905-2024 georefererad karta.tif", "A 54905-2024")</f>
        <v/>
      </c>
      <c r="AA33">
        <f>HYPERLINK("https://klasma.github.io/Logging_2481/klagomål/A 54905-2024 FSC-klagomål.docx", "A 54905-2024")</f>
        <v/>
      </c>
      <c r="AB33">
        <f>HYPERLINK("https://klasma.github.io/Logging_2481/klagomålsmail/A 54905-2024 FSC-klagomål mail.docx", "A 54905-2024")</f>
        <v/>
      </c>
      <c r="AC33">
        <f>HYPERLINK("https://klasma.github.io/Logging_2481/tillsyn/A 54905-2024 tillsynsbegäran.docx", "A 54905-2024")</f>
        <v/>
      </c>
      <c r="AD33">
        <f>HYPERLINK("https://klasma.github.io/Logging_2481/tillsynsmail/A 54905-2024 tillsynsbegäran mail.docx", "A 54905-2024")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46269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46269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46269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46269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46269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46269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53094-2024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46269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5.4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Kolflarnlav
Lunglav
Motaggsvamp</t>
        </is>
      </c>
      <c r="W40">
        <f>HYPERLINK("https://klasma.github.io/Logging_2481/artfynd/A 53094-2024 artfynd.xlsx", "A 53094-2024")</f>
        <v/>
      </c>
      <c r="X40">
        <f>HYPERLINK("https://klasma.github.io/Logging_2481/kartor/A 53094-2024 karta.png", "A 53094-2024")</f>
        <v/>
      </c>
      <c r="Y40">
        <f>HYPERLINK("https://klasma.github.io/Logging_2481/kartor_geotiff/A 53094-2024 georefererad karta.tif", "A 53094-2024")</f>
        <v/>
      </c>
      <c r="AA40">
        <f>HYPERLINK("https://klasma.github.io/Logging_2481/klagomål/A 53094-2024 FSC-klagomål.docx", "A 53094-2024")</f>
        <v/>
      </c>
      <c r="AB40">
        <f>HYPERLINK("https://klasma.github.io/Logging_2481/klagomålsmail/A 53094-2024 FSC-klagomål mail.docx", "A 53094-2024")</f>
        <v/>
      </c>
      <c r="AC40">
        <f>HYPERLINK("https://klasma.github.io/Logging_2481/tillsyn/A 53094-2024 tillsynsbegäran.docx", "A 53094-2024")</f>
        <v/>
      </c>
      <c r="AD40">
        <f>HYPERLINK("https://klasma.github.io/Logging_2481/tillsynsmail/A 53094-2024 tillsynsbegäran mail.docx", "A 53094-2024")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46269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58534-2024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45635</v>
      </c>
      <c r="E42" s="1" t="n">
        <v>46269</v>
      </c>
      <c r="F42" t="inlineStr">
        <is>
          <t>VÄSTERBOTTENS LÄN</t>
        </is>
      </c>
      <c r="G42" t="inlineStr">
        <is>
          <t>LYCKSELE</t>
        </is>
      </c>
      <c r="H42" t="inlineStr">
        <is>
          <t>Holmen skog AB</t>
        </is>
      </c>
      <c r="I42" t="n">
        <v>4.1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8</v>
      </c>
      <c r="U42" t="n">
        <v>0</v>
      </c>
      <c r="V42" s="2" t="inlineStr">
        <is>
          <t>Garnlav
Spindelblomster
Fläcknycklar
Revlummer</t>
        </is>
      </c>
      <c r="W42">
        <f>HYPERLINK("https://klasma.github.io/Logging_2481/artfynd/A 58534-2024 artfynd.xlsx", "A 58534-2024")</f>
        <v/>
      </c>
      <c r="X42">
        <f>HYPERLINK("https://klasma.github.io/Logging_2481/kartor/A 58534-2024 karta.png", "A 58534-2024")</f>
        <v/>
      </c>
      <c r="Y42">
        <f>HYPERLINK("https://klasma.github.io/Logging_2481/kartor_geotiff/A 58534-2024 georefererad karta.tif", "A 58534-2024")</f>
        <v/>
      </c>
      <c r="AA42">
        <f>HYPERLINK("https://klasma.github.io/Logging_2481/klagomål/A 58534-2024 FSC-klagomål.docx", "A 58534-2024")</f>
        <v/>
      </c>
      <c r="AB42">
        <f>HYPERLINK("https://klasma.github.io/Logging_2481/klagomålsmail/A 58534-2024 FSC-klagomål mail.docx", "A 58534-2024")</f>
        <v/>
      </c>
      <c r="AC42">
        <f>HYPERLINK("https://klasma.github.io/Logging_2481/tillsyn/A 58534-2024 tillsynsbegäran.docx", "A 58534-2024")</f>
        <v/>
      </c>
      <c r="AD42">
        <f>HYPERLINK("https://klasma.github.io/Logging_2481/tillsynsmail/A 58534-2024 tillsynsbegäran mail.docx", "A 58534-2024")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46269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46269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5</v>
      </c>
      <c r="V44" s="2" t="inlineStr">
        <is>
          <t>Garnlav
Gammelgransskål
Tretåig hackspett
Spindelblomster</t>
        </is>
      </c>
      <c r="W44">
        <f>HYPERLINK("https://klasma.github.io/Logging_2481/artfynd/A 73357-2021 artfynd.xlsx", "A 73357-2021")</f>
        <v/>
      </c>
      <c r="X44">
        <f>HYPERLINK("https://klasma.github.io/Logging_2481/kartor/A 73357-2021 karta.png", "A 73357-2021")</f>
        <v/>
      </c>
      <c r="Y44">
        <f>HYPERLINK("https://klasma.github.io/Logging_2481/kartor_geotiff/A 73357-2021 georefererad karta.tif", "A 73357-2021")</f>
        <v/>
      </c>
      <c r="AA44">
        <f>HYPERLINK("https://klasma.github.io/Logging_2481/klagomål/A 73357-2021 FSC-klagomål.docx", "A 73357-2021")</f>
        <v/>
      </c>
      <c r="AB44">
        <f>HYPERLINK("https://klasma.github.io/Logging_2481/klagomålsmail/A 73357-2021 FSC-klagomål mail.docx", "A 73357-2021")</f>
        <v/>
      </c>
      <c r="AC44">
        <f>HYPERLINK("https://klasma.github.io/Logging_2481/tillsyn/A 73357-2021 tillsynsbegäran.docx", "A 73357-2021")</f>
        <v/>
      </c>
      <c r="AD44">
        <f>HYPERLINK("https://klasma.github.io/Logging_2481/tillsynsmail/A 73357-2021 tillsynsbegäran mail.docx", "A 73357-2021")</f>
        <v/>
      </c>
      <c r="AE44">
        <f>HYPERLINK("https://klasma.github.io/Logging_2481/fåglar/A 73357-2021 prioriterade fågelarter.docx", "A 73357-2021")</f>
        <v/>
      </c>
    </row>
    <row r="45" ht="15" customHeight="1">
      <c r="A45" t="inlineStr">
        <is>
          <t>A 43680-2025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46269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5.3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Garnlav
Dropptaggsvamp
Kolflarnlav
Plattlummer</t>
        </is>
      </c>
      <c r="W45">
        <f>HYPERLINK("https://klasma.github.io/Logging_2481/artfynd/A 43680-2025 artfynd.xlsx", "A 43680-2025")</f>
        <v/>
      </c>
      <c r="X45">
        <f>HYPERLINK("https://klasma.github.io/Logging_2481/kartor/A 43680-2025 karta.png", "A 43680-2025")</f>
        <v/>
      </c>
      <c r="Y45">
        <f>HYPERLINK("https://klasma.github.io/Logging_2481/kartor_geotiff/A 43680-2025 georefererad karta.tif", "A 43680-2025")</f>
        <v/>
      </c>
      <c r="AA45">
        <f>HYPERLINK("https://klasma.github.io/Logging_2481/klagomål/A 43680-2025 FSC-klagomål.docx", "A 43680-2025")</f>
        <v/>
      </c>
      <c r="AB45">
        <f>HYPERLINK("https://klasma.github.io/Logging_2481/klagomålsmail/A 43680-2025 FSC-klagomål mail.docx", "A 43680-2025")</f>
        <v/>
      </c>
      <c r="AC45">
        <f>HYPERLINK("https://klasma.github.io/Logging_2481/tillsyn/A 43680-2025 tillsynsbegäran.docx", "A 43680-2025")</f>
        <v/>
      </c>
      <c r="AD45">
        <f>HYPERLINK("https://klasma.github.io/Logging_2481/tillsynsmail/A 43680-2025 tillsynsbegäran mail.docx", "A 43680-2025")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46269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46269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46269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46269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46269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46269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22123-2025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45785</v>
      </c>
      <c r="E53" s="1" t="n">
        <v>46269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11.2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 taggsvamp
Dropptaggsvamp
Kolflarnlav</t>
        </is>
      </c>
      <c r="W53">
        <f>HYPERLINK("https://klasma.github.io/Logging_2481/artfynd/A 22123-2025 artfynd.xlsx", "A 22123-2025")</f>
        <v/>
      </c>
      <c r="X53">
        <f>HYPERLINK("https://klasma.github.io/Logging_2481/kartor/A 22123-2025 karta.png", "A 22123-2025")</f>
        <v/>
      </c>
      <c r="Y53">
        <f>HYPERLINK("https://klasma.github.io/Logging_2481/kartor_geotiff/A 22123-2025 georefererad karta.tif", "A 22123-2025")</f>
        <v/>
      </c>
      <c r="AA53">
        <f>HYPERLINK("https://klasma.github.io/Logging_2481/klagomål/A 22123-2025 FSC-klagomål.docx", "A 22123-2025")</f>
        <v/>
      </c>
      <c r="AB53">
        <f>HYPERLINK("https://klasma.github.io/Logging_2481/klagomålsmail/A 22123-2025 FSC-klagomål mail.docx", "A 22123-2025")</f>
        <v/>
      </c>
      <c r="AC53">
        <f>HYPERLINK("https://klasma.github.io/Logging_2481/tillsyn/A 22123-2025 tillsynsbegäran.docx", "A 22123-2025")</f>
        <v/>
      </c>
      <c r="AD53">
        <f>HYPERLINK("https://klasma.github.io/Logging_2481/tillsynsmail/A 22123-2025 tillsynsbegäran mail.docx", "A 22123-2025")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46269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Kolflarnlav
Orange taggsvamp</t>
        </is>
      </c>
      <c r="W54">
        <f>HYPERLINK("https://klasma.github.io/Logging_2481/artfynd/A 53115-2024 artfynd.xlsx", "A 53115-2024")</f>
        <v/>
      </c>
      <c r="X54">
        <f>HYPERLINK("https://klasma.github.io/Logging_2481/kartor/A 53115-2024 karta.png", "A 53115-2024")</f>
        <v/>
      </c>
      <c r="Y54">
        <f>HYPERLINK("https://klasma.github.io/Logging_2481/kartor_geotiff/A 53115-2024 georefererad karta.tif", "A 53115-2024")</f>
        <v/>
      </c>
      <c r="AA54">
        <f>HYPERLINK("https://klasma.github.io/Logging_2481/klagomål/A 53115-2024 FSC-klagomål.docx", "A 53115-2024")</f>
        <v/>
      </c>
      <c r="AB54">
        <f>HYPERLINK("https://klasma.github.io/Logging_2481/klagomålsmail/A 53115-2024 FSC-klagomål mail.docx", "A 53115-2024")</f>
        <v/>
      </c>
      <c r="AC54">
        <f>HYPERLINK("https://klasma.github.io/Logging_2481/tillsyn/A 53115-2024 tillsynsbegäran.docx", "A 53115-2024")</f>
        <v/>
      </c>
      <c r="AD54">
        <f>HYPERLINK("https://klasma.github.io/Logging_2481/tillsynsmail/A 53115-2024 tillsynsbegäran mail.docx", "A 53115-2024")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46269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46269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6684-2023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44963</v>
      </c>
      <c r="E57" s="1" t="n">
        <v>46269</v>
      </c>
      <c r="F57" t="inlineStr">
        <is>
          <t>VÄSTERBOTTENS LÄN</t>
        </is>
      </c>
      <c r="G57" t="inlineStr">
        <is>
          <t>LYCKSELE</t>
        </is>
      </c>
      <c r="I57" t="n">
        <v>2.7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4</v>
      </c>
      <c r="V57" s="2" t="inlineStr">
        <is>
          <t>Garnlav
Lunglav
Stuplav</t>
        </is>
      </c>
      <c r="W57">
        <f>HYPERLINK("https://klasma.github.io/Logging_2481/artfynd/A 6684-2023 artfynd.xlsx", "A 6684-2023")</f>
        <v/>
      </c>
      <c r="X57">
        <f>HYPERLINK("https://klasma.github.io/Logging_2481/kartor/A 6684-2023 karta.png", "A 6684-2023")</f>
        <v/>
      </c>
      <c r="Y57">
        <f>HYPERLINK("https://klasma.github.io/Logging_2481/kartor_geotiff/A 6684-2023 georefererad karta.tif", "A 6684-2023")</f>
        <v/>
      </c>
      <c r="AA57">
        <f>HYPERLINK("https://klasma.github.io/Logging_2481/klagomål/A 6684-2023 FSC-klagomål.docx", "A 6684-2023")</f>
        <v/>
      </c>
      <c r="AB57">
        <f>HYPERLINK("https://klasma.github.io/Logging_2481/klagomålsmail/A 6684-2023 FSC-klagomål mail.docx", "A 6684-2023")</f>
        <v/>
      </c>
      <c r="AC57">
        <f>HYPERLINK("https://klasma.github.io/Logging_2481/tillsyn/A 6684-2023 tillsynsbegäran.docx", "A 6684-2023")</f>
        <v/>
      </c>
      <c r="AD57">
        <f>HYPERLINK("https://klasma.github.io/Logging_2481/tillsynsmail/A 6684-2023 tillsynsbegäran mail.docx", "A 6684-2023")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46269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46269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46269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53808-2023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45231</v>
      </c>
      <c r="E61" s="1" t="n">
        <v>46269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1.8</v>
      </c>
      <c r="J61" t="n">
        <v>0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Vedflamlav
Brandticka
Gullgröppa</t>
        </is>
      </c>
      <c r="W61">
        <f>HYPERLINK("https://klasma.github.io/Logging_2481/artfynd/A 53808-2023 artfynd.xlsx", "A 53808-2023")</f>
        <v/>
      </c>
      <c r="X61">
        <f>HYPERLINK("https://klasma.github.io/Logging_2481/kartor/A 53808-2023 karta.png", "A 53808-2023")</f>
        <v/>
      </c>
      <c r="Y61">
        <f>HYPERLINK("https://klasma.github.io/Logging_2481/kartor_geotiff/A 53808-2023 georefererad karta.tif", "A 53808-2023")</f>
        <v/>
      </c>
      <c r="AA61">
        <f>HYPERLINK("https://klasma.github.io/Logging_2481/klagomål/A 53808-2023 FSC-klagomål.docx", "A 53808-2023")</f>
        <v/>
      </c>
      <c r="AB61">
        <f>HYPERLINK("https://klasma.github.io/Logging_2481/klagomålsmail/A 53808-2023 FSC-klagomål mail.docx", "A 53808-2023")</f>
        <v/>
      </c>
      <c r="AC61">
        <f>HYPERLINK("https://klasma.github.io/Logging_2481/tillsyn/A 53808-2023 tillsynsbegäran.docx", "A 53808-2023")</f>
        <v/>
      </c>
      <c r="AD61">
        <f>HYPERLINK("https://klasma.github.io/Logging_2481/tillsynsmail/A 53808-2023 tillsynsbegäran mail.docx", "A 53808-2023")</f>
        <v/>
      </c>
    </row>
    <row r="62" ht="15" customHeight="1">
      <c r="A62" t="inlineStr">
        <is>
          <t>A 679-2024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45300</v>
      </c>
      <c r="E62" s="1" t="n">
        <v>46269</v>
      </c>
      <c r="F62" t="inlineStr">
        <is>
          <t>VÄSTERBOTTENS LÄN</t>
        </is>
      </c>
      <c r="G62" t="inlineStr">
        <is>
          <t>LYCKSELE</t>
        </is>
      </c>
      <c r="I62" t="n">
        <v>11.3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Skrovellav
Luddlav</t>
        </is>
      </c>
      <c r="W62">
        <f>HYPERLINK("https://klasma.github.io/Logging_2481/artfynd/A 679-2024 artfynd.xlsx", "A 679-2024")</f>
        <v/>
      </c>
      <c r="X62">
        <f>HYPERLINK("https://klasma.github.io/Logging_2481/kartor/A 679-2024 karta.png", "A 679-2024")</f>
        <v/>
      </c>
      <c r="Y62">
        <f>HYPERLINK("https://klasma.github.io/Logging_2481/kartor_geotiff/A 679-2024 georefererad karta.tif", "A 679-2024")</f>
        <v/>
      </c>
      <c r="AA62">
        <f>HYPERLINK("https://klasma.github.io/Logging_2481/klagomål/A 679-2024 FSC-klagomål.docx", "A 679-2024")</f>
        <v/>
      </c>
      <c r="AB62">
        <f>HYPERLINK("https://klasma.github.io/Logging_2481/klagomålsmail/A 679-2024 FSC-klagomål mail.docx", "A 679-2024")</f>
        <v/>
      </c>
      <c r="AC62">
        <f>HYPERLINK("https://klasma.github.io/Logging_2481/tillsyn/A 679-2024 tillsynsbegäran.docx", "A 679-2024")</f>
        <v/>
      </c>
      <c r="AD62">
        <f>HYPERLINK("https://klasma.github.io/Logging_2481/tillsynsmail/A 679-2024 tillsynsbegäran mail.docx", "A 679-2024")</f>
        <v/>
      </c>
    </row>
    <row r="63" ht="15" customHeight="1">
      <c r="A63" t="inlineStr">
        <is>
          <t>A 38916-2025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46269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3.1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Doftticka
Lunglav
Stuplav</t>
        </is>
      </c>
      <c r="W63">
        <f>HYPERLINK("https://klasma.github.io/Logging_2481/artfynd/A 38916-2025 artfynd.xlsx", "A 38916-2025")</f>
        <v/>
      </c>
      <c r="X63">
        <f>HYPERLINK("https://klasma.github.io/Logging_2481/kartor/A 38916-2025 karta.png", "A 38916-2025")</f>
        <v/>
      </c>
      <c r="Y63">
        <f>HYPERLINK("https://klasma.github.io/Logging_2481/kartor_geotiff/A 38916-2025 georefererad karta.tif", "A 38916-2025")</f>
        <v/>
      </c>
      <c r="AA63">
        <f>HYPERLINK("https://klasma.github.io/Logging_2481/klagomål/A 38916-2025 FSC-klagomål.docx", "A 38916-2025")</f>
        <v/>
      </c>
      <c r="AB63">
        <f>HYPERLINK("https://klasma.github.io/Logging_2481/klagomålsmail/A 38916-2025 FSC-klagomål mail.docx", "A 38916-2025")</f>
        <v/>
      </c>
      <c r="AC63">
        <f>HYPERLINK("https://klasma.github.io/Logging_2481/tillsyn/A 38916-2025 tillsynsbegäran.docx", "A 38916-2025")</f>
        <v/>
      </c>
      <c r="AD63">
        <f>HYPERLINK("https://klasma.github.io/Logging_2481/tillsynsmail/A 38916-2025 tillsynsbegäran mail.docx", "A 38916-2025")</f>
        <v/>
      </c>
    </row>
    <row r="64" ht="15" customHeight="1">
      <c r="A64" t="inlineStr">
        <is>
          <t>A 52891-2024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46269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5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7</v>
      </c>
      <c r="U64" t="n">
        <v>7</v>
      </c>
      <c r="V64" s="2" t="inlineStr">
        <is>
          <t>Garnlav
Lunglav
Bårdlav</t>
        </is>
      </c>
      <c r="W64">
        <f>HYPERLINK("https://klasma.github.io/Logging_2481/artfynd/A 52891-2024 artfynd.xlsx", "A 52891-2024")</f>
        <v/>
      </c>
      <c r="X64">
        <f>HYPERLINK("https://klasma.github.io/Logging_2481/kartor/A 52891-2024 karta.png", "A 52891-2024")</f>
        <v/>
      </c>
      <c r="Y64">
        <f>HYPERLINK("https://klasma.github.io/Logging_2481/kartor_geotiff/A 52891-2024 georefererad karta.tif", "A 52891-2024")</f>
        <v/>
      </c>
      <c r="AA64">
        <f>HYPERLINK("https://klasma.github.io/Logging_2481/klagomål/A 52891-2024 FSC-klagomål.docx", "A 52891-2024")</f>
        <v/>
      </c>
      <c r="AB64">
        <f>HYPERLINK("https://klasma.github.io/Logging_2481/klagomålsmail/A 52891-2024 FSC-klagomål mail.docx", "A 52891-2024")</f>
        <v/>
      </c>
      <c r="AC64">
        <f>HYPERLINK("https://klasma.github.io/Logging_2481/tillsyn/A 52891-2024 tillsynsbegäran.docx", "A 52891-2024")</f>
        <v/>
      </c>
      <c r="AD64">
        <f>HYPERLINK("https://klasma.github.io/Logging_2481/tillsynsmail/A 52891-2024 tillsynsbegäran mail.docx", "A 52891-2024")</f>
        <v/>
      </c>
    </row>
    <row r="65" ht="15" customHeight="1">
      <c r="A65" t="inlineStr">
        <is>
          <t>A 43726-2025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46269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Doftticka
Kolflarnlav
Lunglav</t>
        </is>
      </c>
      <c r="W65">
        <f>HYPERLINK("https://klasma.github.io/Logging_2481/artfynd/A 43726-2025 artfynd.xlsx", "A 43726-2025")</f>
        <v/>
      </c>
      <c r="X65">
        <f>HYPERLINK("https://klasma.github.io/Logging_2481/kartor/A 43726-2025 karta.png", "A 43726-2025")</f>
        <v/>
      </c>
      <c r="Y65">
        <f>HYPERLINK("https://klasma.github.io/Logging_2481/kartor_geotiff/A 43726-2025 georefererad karta.tif", "A 43726-2025")</f>
        <v/>
      </c>
      <c r="AA65">
        <f>HYPERLINK("https://klasma.github.io/Logging_2481/klagomål/A 43726-2025 FSC-klagomål.docx", "A 43726-2025")</f>
        <v/>
      </c>
      <c r="AB65">
        <f>HYPERLINK("https://klasma.github.io/Logging_2481/klagomålsmail/A 43726-2025 FSC-klagomål mail.docx", "A 43726-2025")</f>
        <v/>
      </c>
      <c r="AC65">
        <f>HYPERLINK("https://klasma.github.io/Logging_2481/tillsyn/A 43726-2025 tillsynsbegäran.docx", "A 43726-2025")</f>
        <v/>
      </c>
      <c r="AD65">
        <f>HYPERLINK("https://klasma.github.io/Logging_2481/tillsynsmail/A 43726-2025 tillsynsbegäran mail.docx", "A 43726-2025")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46269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57179-2025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46269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10.1</v>
      </c>
      <c r="J67" t="n">
        <v>0</v>
      </c>
      <c r="K67" t="n">
        <v>2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Strutbräken
Stuplav</t>
        </is>
      </c>
      <c r="W67">
        <f>HYPERLINK("https://klasma.github.io/Logging_2481/artfynd/A 57179-2025 artfynd.xlsx", "A 57179-2025")</f>
        <v/>
      </c>
      <c r="X67">
        <f>HYPERLINK("https://klasma.github.io/Logging_2481/kartor/A 57179-2025 karta.png", "A 57179-2025")</f>
        <v/>
      </c>
      <c r="Y67">
        <f>HYPERLINK("https://klasma.github.io/Logging_2481/kartor_geotiff/A 57179-2025 georefererad karta.tif", "A 57179-2025")</f>
        <v/>
      </c>
      <c r="AA67">
        <f>HYPERLINK("https://klasma.github.io/Logging_2481/klagomål/A 57179-2025 FSC-klagomål.docx", "A 57179-2025")</f>
        <v/>
      </c>
      <c r="AB67">
        <f>HYPERLINK("https://klasma.github.io/Logging_2481/klagomålsmail/A 57179-2025 FSC-klagomål mail.docx", "A 57179-2025")</f>
        <v/>
      </c>
      <c r="AC67">
        <f>HYPERLINK("https://klasma.github.io/Logging_2481/tillsyn/A 57179-2025 tillsynsbegäran.docx", "A 57179-2025")</f>
        <v/>
      </c>
      <c r="AD67">
        <f>HYPERLINK("https://klasma.github.io/Logging_2481/tillsynsmail/A 57179-2025 tillsynsbegäran mail.docx", "A 57179-2025")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46269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46269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56566-2025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45974</v>
      </c>
      <c r="E70" s="1" t="n">
        <v>46269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3.4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4</v>
      </c>
      <c r="U70" t="n">
        <v>1</v>
      </c>
      <c r="V70" s="2" t="inlineStr">
        <is>
          <t>Knärot
Källmossa
Lopplummer (aggregat)</t>
        </is>
      </c>
      <c r="W70">
        <f>HYPERLINK("https://klasma.github.io/Logging_2481/artfynd/A 56566-2025 artfynd.xlsx", "A 56566-2025")</f>
        <v/>
      </c>
      <c r="X70">
        <f>HYPERLINK("https://klasma.github.io/Logging_2481/kartor/A 56566-2025 karta.png", "A 56566-2025")</f>
        <v/>
      </c>
      <c r="Y70">
        <f>HYPERLINK("https://klasma.github.io/Logging_2481/kartor_geotiff/A 56566-2025 georefererad karta.tif", "A 56566-2025")</f>
        <v/>
      </c>
      <c r="Z70">
        <f>HYPERLINK("https://klasma.github.io/Logging_2481/knärot/A 56566-2025 karta knärot.png", "A 56566-2025")</f>
        <v/>
      </c>
      <c r="AA70">
        <f>HYPERLINK("https://klasma.github.io/Logging_2481/klagomål/A 56566-2025 FSC-klagomål.docx", "A 56566-2025")</f>
        <v/>
      </c>
      <c r="AB70">
        <f>HYPERLINK("https://klasma.github.io/Logging_2481/klagomålsmail/A 56566-2025 FSC-klagomål mail.docx", "A 56566-2025")</f>
        <v/>
      </c>
      <c r="AC70">
        <f>HYPERLINK("https://klasma.github.io/Logging_2481/tillsyn/A 56566-2025 tillsynsbegäran.docx", "A 56566-2025")</f>
        <v/>
      </c>
      <c r="AD70">
        <f>HYPERLINK("https://klasma.github.io/Logging_2481/tillsynsmail/A 56566-2025 tillsynsbegäran mail.docx", "A 56566-2025")</f>
        <v/>
      </c>
    </row>
    <row r="71" ht="15" customHeight="1">
      <c r="A71" t="inlineStr">
        <is>
          <t>A 12980-2026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46092</v>
      </c>
      <c r="E71" s="1" t="n">
        <v>46269</v>
      </c>
      <c r="F71" t="inlineStr">
        <is>
          <t>VÄSTERBOTTENS LÄN</t>
        </is>
      </c>
      <c r="G71" t="inlineStr">
        <is>
          <t>LYCKSELE</t>
        </is>
      </c>
      <c r="H71" t="inlineStr">
        <is>
          <t>SCA</t>
        </is>
      </c>
      <c r="I71" t="n">
        <v>7.2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Lunglav
Sälg
Videsparv</t>
        </is>
      </c>
      <c r="W71">
        <f>HYPERLINK("https://klasma.github.io/Logging_2481/artfynd/A 12980-2026 artfynd.xlsx", "A 12980-2026")</f>
        <v/>
      </c>
      <c r="X71">
        <f>HYPERLINK("https://klasma.github.io/Logging_2481/kartor/A 12980-2026 karta.png", "A 12980-2026")</f>
        <v/>
      </c>
      <c r="Y71">
        <f>HYPERLINK("https://klasma.github.io/Logging_2481/kartor_geotiff/A 12980-2026 georefererad karta.tif", "A 12980-2026")</f>
        <v/>
      </c>
      <c r="AA71">
        <f>HYPERLINK("https://klasma.github.io/Logging_2481/klagomål/A 12980-2026 FSC-klagomål.docx", "A 12980-2026")</f>
        <v/>
      </c>
      <c r="AB71">
        <f>HYPERLINK("https://klasma.github.io/Logging_2481/klagomålsmail/A 12980-2026 FSC-klagomål mail.docx", "A 12980-2026")</f>
        <v/>
      </c>
      <c r="AC71">
        <f>HYPERLINK("https://klasma.github.io/Logging_2481/tillsyn/A 12980-2026 tillsynsbegäran.docx", "A 12980-2026")</f>
        <v/>
      </c>
      <c r="AD71">
        <f>HYPERLINK("https://klasma.github.io/Logging_2481/tillsynsmail/A 12980-2026 tillsynsbegäran mail.docx", "A 12980-2026")</f>
        <v/>
      </c>
      <c r="AE71">
        <f>HYPERLINK("https://klasma.github.io/Logging_2481/fåglar/A 12980-2026 prioriterade fågelarter.docx", "A 12980-2026")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46269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46269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57357-2024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46269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9.699999999999999</v>
      </c>
      <c r="J74" t="n">
        <v>0</v>
      </c>
      <c r="K74" t="n">
        <v>0</v>
      </c>
      <c r="L74" t="n">
        <v>2</v>
      </c>
      <c r="M74" t="n">
        <v>1</v>
      </c>
      <c r="N74" t="n">
        <v>0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3</v>
      </c>
      <c r="U74" t="n">
        <v>0</v>
      </c>
      <c r="V74" s="2" t="inlineStr">
        <is>
          <t>Garnlav
Doftskinn
Gammelgransskål</t>
        </is>
      </c>
      <c r="W74">
        <f>HYPERLINK("https://klasma.github.io/Logging_2481/artfynd/A 57357-2024 artfynd.xlsx", "A 57357-2024")</f>
        <v/>
      </c>
      <c r="X74">
        <f>HYPERLINK("https://klasma.github.io/Logging_2481/kartor/A 57357-2024 karta.png", "A 57357-2024")</f>
        <v/>
      </c>
      <c r="Y74">
        <f>HYPERLINK("https://klasma.github.io/Logging_2481/kartor_geotiff/A 57357-2024 georefererad karta.tif", "A 57357-2024")</f>
        <v/>
      </c>
      <c r="AA74">
        <f>HYPERLINK("https://klasma.github.io/Logging_2481/klagomål/A 57357-2024 FSC-klagomål.docx", "A 57357-2024")</f>
        <v/>
      </c>
      <c r="AB74">
        <f>HYPERLINK("https://klasma.github.io/Logging_2481/klagomålsmail/A 57357-2024 FSC-klagomål mail.docx", "A 57357-2024")</f>
        <v/>
      </c>
      <c r="AC74">
        <f>HYPERLINK("https://klasma.github.io/Logging_2481/tillsyn/A 57357-2024 tillsynsbegäran.docx", "A 57357-2024")</f>
        <v/>
      </c>
      <c r="AD74">
        <f>HYPERLINK("https://klasma.github.io/Logging_2481/tillsynsmail/A 57357-2024 tillsynsbegäran mail.docx", "A 57357-2024")</f>
        <v/>
      </c>
    </row>
    <row r="75" ht="15" customHeight="1">
      <c r="A75" t="inlineStr">
        <is>
          <t>A 30298-2022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44760</v>
      </c>
      <c r="E75" s="1" t="n">
        <v>46269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Dropptaggsvamp
Orange taggsvamp</t>
        </is>
      </c>
      <c r="W75">
        <f>HYPERLINK("https://klasma.github.io/Logging_2481/artfynd/A 30298-2022 artfynd.xlsx", "A 30298-2022")</f>
        <v/>
      </c>
      <c r="X75">
        <f>HYPERLINK("https://klasma.github.io/Logging_2481/kartor/A 30298-2022 karta.png", "A 30298-2022")</f>
        <v/>
      </c>
      <c r="Y75">
        <f>HYPERLINK("https://klasma.github.io/Logging_2481/kartor_geotiff/A 30298-2022 georefererad karta.tif", "A 30298-2022")</f>
        <v/>
      </c>
      <c r="AA75">
        <f>HYPERLINK("https://klasma.github.io/Logging_2481/klagomål/A 30298-2022 FSC-klagomål.docx", "A 30298-2022")</f>
        <v/>
      </c>
      <c r="AB75">
        <f>HYPERLINK("https://klasma.github.io/Logging_2481/klagomålsmail/A 30298-2022 FSC-klagomål mail.docx", "A 30298-2022")</f>
        <v/>
      </c>
      <c r="AC75">
        <f>HYPERLINK("https://klasma.github.io/Logging_2481/tillsyn/A 30298-2022 tillsynsbegäran.docx", "A 30298-2022")</f>
        <v/>
      </c>
      <c r="AD75">
        <f>HYPERLINK("https://klasma.github.io/Logging_2481/tillsynsmail/A 30298-2022 tillsynsbegäran mail.docx", "A 30298-2022")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46269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Z76">
        <f>HYPERLINK("https://klasma.github.io/Logging_2481/knärot/A 34810-2022 karta knärot.png",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2893-2023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46269</v>
      </c>
      <c r="F77" t="inlineStr">
        <is>
          <t>VÄSTERBOTTENS LÄN</t>
        </is>
      </c>
      <c r="G77" t="inlineStr">
        <is>
          <t>LYCKSELE</t>
        </is>
      </c>
      <c r="H77" t="inlineStr">
        <is>
          <t>Kyrkan</t>
        </is>
      </c>
      <c r="I77" t="n">
        <v>3.5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7</v>
      </c>
      <c r="U77" t="n">
        <v>7</v>
      </c>
      <c r="V77" s="2" t="inlineStr">
        <is>
          <t>Garnlav
Dropptaggsvamp</t>
        </is>
      </c>
      <c r="W77">
        <f>HYPERLINK("https://klasma.github.io/Logging_2481/artfynd/A 2893-2023 artfynd.xlsx", "A 2893-2023")</f>
        <v/>
      </c>
      <c r="X77">
        <f>HYPERLINK("https://klasma.github.io/Logging_2481/kartor/A 2893-2023 karta.png", "A 2893-2023")</f>
        <v/>
      </c>
      <c r="Y77">
        <f>HYPERLINK("https://klasma.github.io/Logging_2481/kartor_geotiff/A 2893-2023 georefererad karta.tif", "A 2893-2023")</f>
        <v/>
      </c>
      <c r="AA77">
        <f>HYPERLINK("https://klasma.github.io/Logging_2481/klagomål/A 2893-2023 FSC-klagomål.docx", "A 2893-2023")</f>
        <v/>
      </c>
      <c r="AB77">
        <f>HYPERLINK("https://klasma.github.io/Logging_2481/klagomålsmail/A 2893-2023 FSC-klagomål mail.docx", "A 2893-2023")</f>
        <v/>
      </c>
      <c r="AC77">
        <f>HYPERLINK("https://klasma.github.io/Logging_2481/tillsyn/A 2893-2023 tillsynsbegäran.docx", "A 2893-2023")</f>
        <v/>
      </c>
      <c r="AD77">
        <f>HYPERLINK("https://klasma.github.io/Logging_2481/tillsynsmail/A 2893-2023 tillsynsbegäran mail.docx", "A 2893-2023")</f>
        <v/>
      </c>
    </row>
    <row r="78" ht="15" customHeight="1">
      <c r="A78" t="inlineStr">
        <is>
          <t>A 20111-2025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46269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6.9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Orange taggsvamp</t>
        </is>
      </c>
      <c r="W78">
        <f>HYPERLINK("https://klasma.github.io/Logging_2481/artfynd/A 20111-2025 artfynd.xlsx", "A 20111-2025")</f>
        <v/>
      </c>
      <c r="X78">
        <f>HYPERLINK("https://klasma.github.io/Logging_2481/kartor/A 20111-2025 karta.png", "A 20111-2025")</f>
        <v/>
      </c>
      <c r="Y78">
        <f>HYPERLINK("https://klasma.github.io/Logging_2481/kartor_geotiff/A 20111-2025 georefererad karta.tif", "A 20111-2025")</f>
        <v/>
      </c>
      <c r="AA78">
        <f>HYPERLINK("https://klasma.github.io/Logging_2481/klagomål/A 20111-2025 FSC-klagomål.docx", "A 20111-2025")</f>
        <v/>
      </c>
      <c r="AB78">
        <f>HYPERLINK("https://klasma.github.io/Logging_2481/klagomålsmail/A 20111-2025 FSC-klagomål mail.docx", "A 20111-2025")</f>
        <v/>
      </c>
      <c r="AC78">
        <f>HYPERLINK("https://klasma.github.io/Logging_2481/tillsyn/A 20111-2025 tillsynsbegäran.docx", "A 20111-2025")</f>
        <v/>
      </c>
      <c r="AD78">
        <f>HYPERLINK("https://klasma.github.io/Logging_2481/tillsynsmail/A 20111-2025 tillsynsbegäran mail.docx", "A 20111-2025")</f>
        <v/>
      </c>
    </row>
    <row r="79" ht="15" customHeight="1">
      <c r="A79" t="inlineStr">
        <is>
          <t>A 38475-2023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46269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 taggsvamp
Mörk kolflarnlav</t>
        </is>
      </c>
      <c r="W79">
        <f>HYPERLINK("https://klasma.github.io/Logging_2481/artfynd/A 38475-2023 artfynd.xlsx", "A 38475-2023")</f>
        <v/>
      </c>
      <c r="X79">
        <f>HYPERLINK("https://klasma.github.io/Logging_2481/kartor/A 38475-2023 karta.png", "A 38475-2023")</f>
        <v/>
      </c>
      <c r="Y79">
        <f>HYPERLINK("https://klasma.github.io/Logging_2481/kartor_geotiff/A 38475-2023 georefererad karta.tif", "A 38475-2023")</f>
        <v/>
      </c>
      <c r="AA79">
        <f>HYPERLINK("https://klasma.github.io/Logging_2481/klagomål/A 38475-2023 FSC-klagomål.docx", "A 38475-2023")</f>
        <v/>
      </c>
      <c r="AB79">
        <f>HYPERLINK("https://klasma.github.io/Logging_2481/klagomålsmail/A 38475-2023 FSC-klagomål mail.docx", "A 38475-2023")</f>
        <v/>
      </c>
      <c r="AC79">
        <f>HYPERLINK("https://klasma.github.io/Logging_2481/tillsyn/A 38475-2023 tillsynsbegäran.docx", "A 38475-2023")</f>
        <v/>
      </c>
      <c r="AD79">
        <f>HYPERLINK("https://klasma.github.io/Logging_2481/tillsynsmail/A 38475-2023 tillsynsbegäran mail.docx", "A 38475-2023")</f>
        <v/>
      </c>
    </row>
    <row r="80" ht="15" customHeight="1">
      <c r="A80" t="inlineStr">
        <is>
          <t>A 28515-2023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46269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10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4</v>
      </c>
      <c r="U80" t="n">
        <v>4</v>
      </c>
      <c r="V80" s="2" t="inlineStr">
        <is>
          <t>Lunglav
Tallticka</t>
        </is>
      </c>
      <c r="W80">
        <f>HYPERLINK("https://klasma.github.io/Logging_2481/artfynd/A 28515-2023 artfynd.xlsx", "A 28515-2023")</f>
        <v/>
      </c>
      <c r="X80">
        <f>HYPERLINK("https://klasma.github.io/Logging_2481/kartor/A 28515-2023 karta.png", "A 28515-2023")</f>
        <v/>
      </c>
      <c r="Y80">
        <f>HYPERLINK("https://klasma.github.io/Logging_2481/kartor_geotiff/A 28515-2023 georefererad karta.tif", "A 28515-2023")</f>
        <v/>
      </c>
      <c r="AA80">
        <f>HYPERLINK("https://klasma.github.io/Logging_2481/klagomål/A 28515-2023 FSC-klagomål.docx", "A 28515-2023")</f>
        <v/>
      </c>
      <c r="AB80">
        <f>HYPERLINK("https://klasma.github.io/Logging_2481/klagomålsmail/A 28515-2023 FSC-klagomål mail.docx", "A 28515-2023")</f>
        <v/>
      </c>
      <c r="AC80">
        <f>HYPERLINK("https://klasma.github.io/Logging_2481/tillsyn/A 28515-2023 tillsynsbegäran.docx", "A 28515-2023")</f>
        <v/>
      </c>
      <c r="AD80">
        <f>HYPERLINK("https://klasma.github.io/Logging_2481/tillsynsmail/A 28515-2023 tillsynsbegäran mail.docx", "A 28515-2023")</f>
        <v/>
      </c>
    </row>
    <row r="81" ht="15" customHeight="1">
      <c r="A81" t="inlineStr">
        <is>
          <t>A 26271-2025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46269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Gammelgransskål
Lunglav</t>
        </is>
      </c>
      <c r="W81">
        <f>HYPERLINK("https://klasma.github.io/Logging_2481/artfynd/A 26271-2025 artfynd.xlsx", "A 26271-2025")</f>
        <v/>
      </c>
      <c r="X81">
        <f>HYPERLINK("https://klasma.github.io/Logging_2481/kartor/A 26271-2025 karta.png", "A 26271-2025")</f>
        <v/>
      </c>
      <c r="Y81">
        <f>HYPERLINK("https://klasma.github.io/Logging_2481/kartor_geotiff/A 26271-2025 georefererad karta.tif", "A 26271-2025")</f>
        <v/>
      </c>
      <c r="AA81">
        <f>HYPERLINK("https://klasma.github.io/Logging_2481/klagomål/A 26271-2025 FSC-klagomål.docx", "A 26271-2025")</f>
        <v/>
      </c>
      <c r="AB81">
        <f>HYPERLINK("https://klasma.github.io/Logging_2481/klagomålsmail/A 26271-2025 FSC-klagomål mail.docx", "A 26271-2025")</f>
        <v/>
      </c>
      <c r="AC81">
        <f>HYPERLINK("https://klasma.github.io/Logging_2481/tillsyn/A 26271-2025 tillsynsbegäran.docx", "A 26271-2025")</f>
        <v/>
      </c>
      <c r="AD81">
        <f>HYPERLINK("https://klasma.github.io/Logging_2481/tillsynsmail/A 26271-2025 tillsynsbegäran mail.docx", "A 26271-2025")</f>
        <v/>
      </c>
    </row>
    <row r="82" ht="15" customHeight="1">
      <c r="A82" t="inlineStr">
        <is>
          <t>A 52234-2024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46269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2.7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Lavskrika</t>
        </is>
      </c>
      <c r="W82">
        <f>HYPERLINK("https://klasma.github.io/Logging_2481/artfynd/A 52234-2024 artfynd.xlsx", "A 52234-2024")</f>
        <v/>
      </c>
      <c r="X82">
        <f>HYPERLINK("https://klasma.github.io/Logging_2481/kartor/A 52234-2024 karta.png", "A 52234-2024")</f>
        <v/>
      </c>
      <c r="Y82">
        <f>HYPERLINK("https://klasma.github.io/Logging_2481/kartor_geotiff/A 52234-2024 georefererad karta.tif", "A 52234-2024")</f>
        <v/>
      </c>
      <c r="AA82">
        <f>HYPERLINK("https://klasma.github.io/Logging_2481/klagomål/A 52234-2024 FSC-klagomål.docx", "A 52234-2024")</f>
        <v/>
      </c>
      <c r="AB82">
        <f>HYPERLINK("https://klasma.github.io/Logging_2481/klagomålsmail/A 52234-2024 FSC-klagomål mail.docx", "A 52234-2024")</f>
        <v/>
      </c>
      <c r="AC82">
        <f>HYPERLINK("https://klasma.github.io/Logging_2481/tillsyn/A 52234-2024 tillsynsbegäran.docx", "A 52234-2024")</f>
        <v/>
      </c>
      <c r="AD82">
        <f>HYPERLINK("https://klasma.github.io/Logging_2481/tillsynsmail/A 52234-2024 tillsynsbegäran mail.docx", "A 52234-2024")</f>
        <v/>
      </c>
      <c r="AE82">
        <f>HYPERLINK("https://klasma.github.io/Logging_2481/fåglar/A 52234-2024 prioriterade fågelarter.docx", "A 52234-2024")</f>
        <v/>
      </c>
    </row>
    <row r="83" ht="15" customHeight="1">
      <c r="A83" t="inlineStr">
        <is>
          <t>A 30691-2025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46269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Mörk kolflarnlav
Tretåig hackspett</t>
        </is>
      </c>
      <c r="W83">
        <f>HYPERLINK("https://klasma.github.io/Logging_2481/artfynd/A 30691-2025 artfynd.xlsx", "A 30691-2025")</f>
        <v/>
      </c>
      <c r="X83">
        <f>HYPERLINK("https://klasma.github.io/Logging_2481/kartor/A 30691-2025 karta.png", "A 30691-2025")</f>
        <v/>
      </c>
      <c r="Y83">
        <f>HYPERLINK("https://klasma.github.io/Logging_2481/kartor_geotiff/A 30691-2025 georefererad karta.tif", "A 30691-2025")</f>
        <v/>
      </c>
      <c r="AA83">
        <f>HYPERLINK("https://klasma.github.io/Logging_2481/klagomål/A 30691-2025 FSC-klagomål.docx", "A 30691-2025")</f>
        <v/>
      </c>
      <c r="AB83">
        <f>HYPERLINK("https://klasma.github.io/Logging_2481/klagomålsmail/A 30691-2025 FSC-klagomål mail.docx", "A 30691-2025")</f>
        <v/>
      </c>
      <c r="AC83">
        <f>HYPERLINK("https://klasma.github.io/Logging_2481/tillsyn/A 30691-2025 tillsynsbegäran.docx", "A 30691-2025")</f>
        <v/>
      </c>
      <c r="AD83">
        <f>HYPERLINK("https://klasma.github.io/Logging_2481/tillsynsmail/A 30691-2025 tillsynsbegäran mail.docx", "A 30691-2025")</f>
        <v/>
      </c>
      <c r="AE83">
        <f>HYPERLINK("https://klasma.github.io/Logging_2481/fåglar/A 30691-2025 prioriterade fågelarter.docx", "A 30691-2025")</f>
        <v/>
      </c>
    </row>
    <row r="84" ht="15" customHeight="1">
      <c r="A84" t="inlineStr">
        <is>
          <t>A 37458-2025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46269</v>
      </c>
      <c r="F84" t="inlineStr">
        <is>
          <t>VÄSTERBOTTENS LÄN</t>
        </is>
      </c>
      <c r="G84" t="inlineStr">
        <is>
          <t>LYCKSELE</t>
        </is>
      </c>
      <c r="H84" t="inlineStr">
        <is>
          <t>Holmen skog AB</t>
        </is>
      </c>
      <c r="I84" t="n">
        <v>5.1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Lavskrika</t>
        </is>
      </c>
      <c r="W84">
        <f>HYPERLINK("https://klasma.github.io/Logging_2481/artfynd/A 37458-2025 artfynd.xlsx", "A 37458-2025")</f>
        <v/>
      </c>
      <c r="X84">
        <f>HYPERLINK("https://klasma.github.io/Logging_2481/kartor/A 37458-2025 karta.png", "A 37458-2025")</f>
        <v/>
      </c>
      <c r="Y84">
        <f>HYPERLINK("https://klasma.github.io/Logging_2481/kartor_geotiff/A 37458-2025 georefererad karta.tif", "A 37458-2025")</f>
        <v/>
      </c>
      <c r="AA84">
        <f>HYPERLINK("https://klasma.github.io/Logging_2481/klagomål/A 37458-2025 FSC-klagomål.docx", "A 37458-2025")</f>
        <v/>
      </c>
      <c r="AB84">
        <f>HYPERLINK("https://klasma.github.io/Logging_2481/klagomålsmail/A 37458-2025 FSC-klagomål mail.docx", "A 37458-2025")</f>
        <v/>
      </c>
      <c r="AC84">
        <f>HYPERLINK("https://klasma.github.io/Logging_2481/tillsyn/A 37458-2025 tillsynsbegäran.docx", "A 37458-2025")</f>
        <v/>
      </c>
      <c r="AD84">
        <f>HYPERLINK("https://klasma.github.io/Logging_2481/tillsynsmail/A 37458-2025 tillsynsbegäran mail.docx", "A 37458-2025")</f>
        <v/>
      </c>
      <c r="AE84">
        <f>HYPERLINK("https://klasma.github.io/Logging_2481/fåglar/A 37458-2025 prioriterade fågelarter.docx", "A 37458-2025")</f>
        <v/>
      </c>
    </row>
    <row r="85" ht="15" customHeight="1">
      <c r="A85" t="inlineStr">
        <is>
          <t>A 38776-2025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46269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Kolflarnlav</t>
        </is>
      </c>
      <c r="W85">
        <f>HYPERLINK("https://klasma.github.io/Logging_2481/artfynd/A 38776-2025 artfynd.xlsx", "A 38776-2025")</f>
        <v/>
      </c>
      <c r="X85">
        <f>HYPERLINK("https://klasma.github.io/Logging_2481/kartor/A 38776-2025 karta.png", "A 38776-2025")</f>
        <v/>
      </c>
      <c r="Y85">
        <f>HYPERLINK("https://klasma.github.io/Logging_2481/kartor_geotiff/A 38776-2025 georefererad karta.tif", "A 38776-2025")</f>
        <v/>
      </c>
      <c r="AA85">
        <f>HYPERLINK("https://klasma.github.io/Logging_2481/klagomål/A 38776-2025 FSC-klagomål.docx", "A 38776-2025")</f>
        <v/>
      </c>
      <c r="AB85">
        <f>HYPERLINK("https://klasma.github.io/Logging_2481/klagomålsmail/A 38776-2025 FSC-klagomål mail.docx", "A 38776-2025")</f>
        <v/>
      </c>
      <c r="AC85">
        <f>HYPERLINK("https://klasma.github.io/Logging_2481/tillsyn/A 38776-2025 tillsynsbegäran.docx", "A 38776-2025")</f>
        <v/>
      </c>
      <c r="AD85">
        <f>HYPERLINK("https://klasma.github.io/Logging_2481/tillsynsmail/A 38776-2025 tillsynsbegäran mail.docx", "A 38776-2025")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46269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45935-2024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45580</v>
      </c>
      <c r="E87" s="1" t="n">
        <v>46269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Lunglav
Orange taggsvamp</t>
        </is>
      </c>
      <c r="W87">
        <f>HYPERLINK("https://klasma.github.io/Logging_2481/artfynd/A 45935-2024 artfynd.xlsx", "A 45935-2024")</f>
        <v/>
      </c>
      <c r="X87">
        <f>HYPERLINK("https://klasma.github.io/Logging_2481/kartor/A 45935-2024 karta.png", "A 45935-2024")</f>
        <v/>
      </c>
      <c r="Y87">
        <f>HYPERLINK("https://klasma.github.io/Logging_2481/kartor_geotiff/A 45935-2024 georefererad karta.tif", "A 45935-2024")</f>
        <v/>
      </c>
      <c r="AA87">
        <f>HYPERLINK("https://klasma.github.io/Logging_2481/klagomål/A 45935-2024 FSC-klagomål.docx", "A 45935-2024")</f>
        <v/>
      </c>
      <c r="AB87">
        <f>HYPERLINK("https://klasma.github.io/Logging_2481/klagomålsmail/A 45935-2024 FSC-klagomål mail.docx", "A 45935-2024")</f>
        <v/>
      </c>
      <c r="AC87">
        <f>HYPERLINK("https://klasma.github.io/Logging_2481/tillsyn/A 45935-2024 tillsynsbegäran.docx", "A 45935-2024")</f>
        <v/>
      </c>
      <c r="AD87">
        <f>HYPERLINK("https://klasma.github.io/Logging_2481/tillsynsmail/A 45935-2024 tillsynsbegäran mail.docx", "A 45935-2024")</f>
        <v/>
      </c>
    </row>
    <row r="88" ht="15" customHeight="1">
      <c r="A88" t="inlineStr">
        <is>
          <t>A 16914-2024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46269</v>
      </c>
      <c r="F88" t="inlineStr">
        <is>
          <t>VÄSTERBOTTENS LÄN</t>
        </is>
      </c>
      <c r="G88" t="inlineStr">
        <is>
          <t>LYCKSELE</t>
        </is>
      </c>
      <c r="I88" t="n">
        <v>24.6</v>
      </c>
      <c r="J88" t="n">
        <v>2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Lavskrika
Tretåig hackspett</t>
        </is>
      </c>
      <c r="W88">
        <f>HYPERLINK("https://klasma.github.io/Logging_2481/artfynd/A 16914-2024 artfynd.xlsx", "A 16914-2024")</f>
        <v/>
      </c>
      <c r="X88">
        <f>HYPERLINK("https://klasma.github.io/Logging_2481/kartor/A 16914-2024 karta.png", "A 16914-2024")</f>
        <v/>
      </c>
      <c r="Y88">
        <f>HYPERLINK("https://klasma.github.io/Logging_2481/kartor_geotiff/A 16914-2024 georefererad karta.tif", "A 16914-2024")</f>
        <v/>
      </c>
      <c r="AA88">
        <f>HYPERLINK("https://klasma.github.io/Logging_2481/klagomål/A 16914-2024 FSC-klagomål.docx", "A 16914-2024")</f>
        <v/>
      </c>
      <c r="AB88">
        <f>HYPERLINK("https://klasma.github.io/Logging_2481/klagomålsmail/A 16914-2024 FSC-klagomål mail.docx", "A 16914-2024")</f>
        <v/>
      </c>
      <c r="AC88">
        <f>HYPERLINK("https://klasma.github.io/Logging_2481/tillsyn/A 16914-2024 tillsynsbegäran.docx", "A 16914-2024")</f>
        <v/>
      </c>
      <c r="AD88">
        <f>HYPERLINK("https://klasma.github.io/Logging_2481/tillsynsmail/A 16914-2024 tillsynsbegäran mail.docx", "A 16914-2024")</f>
        <v/>
      </c>
      <c r="AE88">
        <f>HYPERLINK("https://klasma.github.io/Logging_2481/fåglar/A 16914-2024 prioriterade fågelarter.docx", "A 16914-2024")</f>
        <v/>
      </c>
    </row>
    <row r="89" ht="15" customHeight="1">
      <c r="A89" t="inlineStr">
        <is>
          <t>A 44351-2025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46269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Tretåig hackspett</t>
        </is>
      </c>
      <c r="W89">
        <f>HYPERLINK("https://klasma.github.io/Logging_2481/artfynd/A 44351-2025 artfynd.xlsx", "A 44351-2025")</f>
        <v/>
      </c>
      <c r="X89">
        <f>HYPERLINK("https://klasma.github.io/Logging_2481/kartor/A 44351-2025 karta.png", "A 44351-2025")</f>
        <v/>
      </c>
      <c r="Y89">
        <f>HYPERLINK("https://klasma.github.io/Logging_2481/kartor_geotiff/A 44351-2025 georefererad karta.tif", "A 44351-2025")</f>
        <v/>
      </c>
      <c r="AA89">
        <f>HYPERLINK("https://klasma.github.io/Logging_2481/klagomål/A 44351-2025 FSC-klagomål.docx", "A 44351-2025")</f>
        <v/>
      </c>
      <c r="AB89">
        <f>HYPERLINK("https://klasma.github.io/Logging_2481/klagomålsmail/A 44351-2025 FSC-klagomål mail.docx", "A 44351-2025")</f>
        <v/>
      </c>
      <c r="AC89">
        <f>HYPERLINK("https://klasma.github.io/Logging_2481/tillsyn/A 44351-2025 tillsynsbegäran.docx", "A 44351-2025")</f>
        <v/>
      </c>
      <c r="AD89">
        <f>HYPERLINK("https://klasma.github.io/Logging_2481/tillsynsmail/A 44351-2025 tillsynsbegäran mail.docx", "A 44351-2025")</f>
        <v/>
      </c>
      <c r="AE89">
        <f>HYPERLINK("https://klasma.github.io/Logging_2481/fåglar/A 44351-2025 prioriterade fågelarter.docx", "A 44351-2025")</f>
        <v/>
      </c>
    </row>
    <row r="90" ht="15" customHeight="1">
      <c r="A90" t="inlineStr">
        <is>
          <t>A 45359-2025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46269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4.6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Stuplav</t>
        </is>
      </c>
      <c r="W90">
        <f>HYPERLINK("https://klasma.github.io/Logging_2481/artfynd/A 45359-2025 artfynd.xlsx", "A 45359-2025")</f>
        <v/>
      </c>
      <c r="X90">
        <f>HYPERLINK("https://klasma.github.io/Logging_2481/kartor/A 45359-2025 karta.png", "A 45359-2025")</f>
        <v/>
      </c>
      <c r="Y90">
        <f>HYPERLINK("https://klasma.github.io/Logging_2481/kartor_geotiff/A 45359-2025 georefererad karta.tif", "A 45359-2025")</f>
        <v/>
      </c>
      <c r="AA90">
        <f>HYPERLINK("https://klasma.github.io/Logging_2481/klagomål/A 45359-2025 FSC-klagomål.docx", "A 45359-2025")</f>
        <v/>
      </c>
      <c r="AB90">
        <f>HYPERLINK("https://klasma.github.io/Logging_2481/klagomålsmail/A 45359-2025 FSC-klagomål mail.docx", "A 45359-2025")</f>
        <v/>
      </c>
      <c r="AC90">
        <f>HYPERLINK("https://klasma.github.io/Logging_2481/tillsyn/A 45359-2025 tillsynsbegäran.docx", "A 45359-2025")</f>
        <v/>
      </c>
      <c r="AD90">
        <f>HYPERLINK("https://klasma.github.io/Logging_2481/tillsynsmail/A 45359-2025 tillsynsbegäran mail.docx", "A 45359-2025")</f>
        <v/>
      </c>
    </row>
    <row r="91" ht="15" customHeight="1">
      <c r="A91" t="inlineStr">
        <is>
          <t>A 55566-2024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46269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Harticka
Ullticka</t>
        </is>
      </c>
      <c r="W91">
        <f>HYPERLINK("https://klasma.github.io/Logging_2481/artfynd/A 55566-2024 artfynd.xlsx", "A 55566-2024")</f>
        <v/>
      </c>
      <c r="X91">
        <f>HYPERLINK("https://klasma.github.io/Logging_2481/kartor/A 55566-2024 karta.png", "A 55566-2024")</f>
        <v/>
      </c>
      <c r="Y91">
        <f>HYPERLINK("https://klasma.github.io/Logging_2481/kartor_geotiff/A 55566-2024 georefererad karta.tif", "A 55566-2024")</f>
        <v/>
      </c>
      <c r="AA91">
        <f>HYPERLINK("https://klasma.github.io/Logging_2481/klagomål/A 55566-2024 FSC-klagomål.docx", "A 55566-2024")</f>
        <v/>
      </c>
      <c r="AB91">
        <f>HYPERLINK("https://klasma.github.io/Logging_2481/klagomålsmail/A 55566-2024 FSC-klagomål mail.docx", "A 55566-2024")</f>
        <v/>
      </c>
      <c r="AC91">
        <f>HYPERLINK("https://klasma.github.io/Logging_2481/tillsyn/A 55566-2024 tillsynsbegäran.docx", "A 55566-2024")</f>
        <v/>
      </c>
      <c r="AD91">
        <f>HYPERLINK("https://klasma.github.io/Logging_2481/tillsynsmail/A 55566-2024 tillsynsbegäran mail.docx", "A 55566-2024")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46269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58657-2023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46269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14.4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Talltita
Bollvitmossa</t>
        </is>
      </c>
      <c r="W93">
        <f>HYPERLINK("https://klasma.github.io/Logging_2481/artfynd/A 58657-2023 artfynd.xlsx", "A 58657-2023")</f>
        <v/>
      </c>
      <c r="X93">
        <f>HYPERLINK("https://klasma.github.io/Logging_2481/kartor/A 58657-2023 karta.png", "A 58657-2023")</f>
        <v/>
      </c>
      <c r="Y93">
        <f>HYPERLINK("https://klasma.github.io/Logging_2481/kartor_geotiff/A 58657-2023 georefererad karta.tif", "A 58657-2023")</f>
        <v/>
      </c>
      <c r="AA93">
        <f>HYPERLINK("https://klasma.github.io/Logging_2481/klagomål/A 58657-2023 FSC-klagomål.docx", "A 58657-2023")</f>
        <v/>
      </c>
      <c r="AB93">
        <f>HYPERLINK("https://klasma.github.io/Logging_2481/klagomålsmail/A 58657-2023 FSC-klagomål mail.docx", "A 58657-2023")</f>
        <v/>
      </c>
      <c r="AC93">
        <f>HYPERLINK("https://klasma.github.io/Logging_2481/tillsyn/A 58657-2023 tillsynsbegäran.docx", "A 58657-2023")</f>
        <v/>
      </c>
      <c r="AD93">
        <f>HYPERLINK("https://klasma.github.io/Logging_2481/tillsynsmail/A 58657-2023 tillsynsbegäran mail.docx", "A 58657-2023")</f>
        <v/>
      </c>
      <c r="AE93">
        <f>HYPERLINK("https://klasma.github.io/Logging_2481/fåglar/A 58657-2023 prioriterade fågelarter.docx", "A 58657-2023")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46269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46269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46269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46269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13.8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Kolflarnlav
Mörk kolflarnlav</t>
        </is>
      </c>
      <c r="W97">
        <f>HYPERLINK("https://klasma.github.io/Logging_2481/artfynd/A 49740-2025 artfynd.xlsx", "A 49740-2025")</f>
        <v/>
      </c>
      <c r="X97">
        <f>HYPERLINK("https://klasma.github.io/Logging_2481/kartor/A 49740-2025 karta.png", "A 49740-2025")</f>
        <v/>
      </c>
      <c r="Y97">
        <f>HYPERLINK("https://klasma.github.io/Logging_2481/kartor_geotiff/A 49740-2025 georefererad karta.tif", "A 49740-2025")</f>
        <v/>
      </c>
      <c r="AA97">
        <f>HYPERLINK("https://klasma.github.io/Logging_2481/klagomål/A 49740-2025 FSC-klagomål.docx", "A 49740-2025")</f>
        <v/>
      </c>
      <c r="AB97">
        <f>HYPERLINK("https://klasma.github.io/Logging_2481/klagomålsmail/A 49740-2025 FSC-klagomål mail.docx", "A 49740-2025")</f>
        <v/>
      </c>
      <c r="AC97">
        <f>HYPERLINK("https://klasma.github.io/Logging_2481/tillsyn/A 49740-2025 tillsynsbegäran.docx", "A 49740-2025")</f>
        <v/>
      </c>
      <c r="AD97">
        <f>HYPERLINK("https://klasma.github.io/Logging_2481/tillsynsmail/A 49740-2025 tillsynsbegäran mail.docx", "A 49740-2025")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46269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46269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53650-2025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46269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19.1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Tretåig hackspett
Luddlav</t>
        </is>
      </c>
      <c r="W100">
        <f>HYPERLINK("https://klasma.github.io/Logging_2481/artfynd/A 53650-2025 artfynd.xlsx", "A 53650-2025")</f>
        <v/>
      </c>
      <c r="X100">
        <f>HYPERLINK("https://klasma.github.io/Logging_2481/kartor/A 53650-2025 karta.png", "A 53650-2025")</f>
        <v/>
      </c>
      <c r="Y100">
        <f>HYPERLINK("https://klasma.github.io/Logging_2481/kartor_geotiff/A 53650-2025 georefererad karta.tif", "A 53650-2025")</f>
        <v/>
      </c>
      <c r="AA100">
        <f>HYPERLINK("https://klasma.github.io/Logging_2481/klagomål/A 53650-2025 FSC-klagomål.docx", "A 53650-2025")</f>
        <v/>
      </c>
      <c r="AB100">
        <f>HYPERLINK("https://klasma.github.io/Logging_2481/klagomålsmail/A 53650-2025 FSC-klagomål mail.docx", "A 53650-2025")</f>
        <v/>
      </c>
      <c r="AC100">
        <f>HYPERLINK("https://klasma.github.io/Logging_2481/tillsyn/A 53650-2025 tillsynsbegäran.docx", "A 53650-2025")</f>
        <v/>
      </c>
      <c r="AD100">
        <f>HYPERLINK("https://klasma.github.io/Logging_2481/tillsynsmail/A 53650-2025 tillsynsbegäran mail.docx", "A 53650-2025")</f>
        <v/>
      </c>
      <c r="AE100">
        <f>HYPERLINK("https://klasma.github.io/Logging_2481/fåglar/A 53650-2025 prioriterade fågelarter.docx", "A 53650-2025")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46269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55508-2025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46269</v>
      </c>
      <c r="F102" t="inlineStr">
        <is>
          <t>VÄSTERBOTTENS LÄN</t>
        </is>
      </c>
      <c r="G102" t="inlineStr">
        <is>
          <t>LYCKSELE</t>
        </is>
      </c>
      <c r="I102" t="n">
        <v>10.5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HYPERLINK("https://klasma.github.io/Logging_2481/artfynd/A 55508-2025 artfynd.xlsx", "A 55508-2025")</f>
        <v/>
      </c>
      <c r="X102">
        <f>HYPERLINK("https://klasma.github.io/Logging_2481/kartor/A 55508-2025 karta.png", "A 55508-2025")</f>
        <v/>
      </c>
      <c r="Y102">
        <f>HYPERLINK("https://klasma.github.io/Logging_2481/kartor_geotiff/A 55508-2025 georefererad karta.tif", "A 55508-2025")</f>
        <v/>
      </c>
      <c r="AA102">
        <f>HYPERLINK("https://klasma.github.io/Logging_2481/klagomål/A 55508-2025 FSC-klagomål.docx", "A 55508-2025")</f>
        <v/>
      </c>
      <c r="AB102">
        <f>HYPERLINK("https://klasma.github.io/Logging_2481/klagomålsmail/A 55508-2025 FSC-klagomål mail.docx", "A 55508-2025")</f>
        <v/>
      </c>
      <c r="AC102">
        <f>HYPERLINK("https://klasma.github.io/Logging_2481/tillsyn/A 55508-2025 tillsynsbegäran.docx", "A 55508-2025")</f>
        <v/>
      </c>
      <c r="AD102">
        <f>HYPERLINK("https://klasma.github.io/Logging_2481/tillsynsmail/A 55508-2025 tillsynsbegäran mail.docx", "A 55508-2025")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46269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46269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46269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46269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32616-2026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46269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5.1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Mörk kolflarnlav</t>
        </is>
      </c>
      <c r="W108">
        <f>HYPERLINK("https://klasma.github.io/Logging_2481/artfynd/A 32616-2026 artfynd.xlsx", "A 32616-2026")</f>
        <v/>
      </c>
      <c r="X108">
        <f>HYPERLINK("https://klasma.github.io/Logging_2481/kartor/A 32616-2026 karta.png", "A 32616-2026")</f>
        <v/>
      </c>
      <c r="Y108">
        <f>HYPERLINK("https://klasma.github.io/Logging_2481/kartor_geotiff/A 32616-2026 georefererad karta.tif", "A 32616-2026")</f>
        <v/>
      </c>
      <c r="AA108">
        <f>HYPERLINK("https://klasma.github.io/Logging_2481/klagomål/A 32616-2026 FSC-klagomål.docx", "A 32616-2026")</f>
        <v/>
      </c>
      <c r="AB108">
        <f>HYPERLINK("https://klasma.github.io/Logging_2481/klagomålsmail/A 32616-2026 FSC-klagomål mail.docx", "A 32616-2026")</f>
        <v/>
      </c>
      <c r="AC108">
        <f>HYPERLINK("https://klasma.github.io/Logging_2481/tillsyn/A 32616-2026 tillsynsbegäran.docx", "A 32616-2026")</f>
        <v/>
      </c>
      <c r="AD108">
        <f>HYPERLINK("https://klasma.github.io/Logging_2481/tillsynsmail/A 32616-2026 tillsynsbegäran mail.docx", "A 32616-2026")</f>
        <v/>
      </c>
    </row>
    <row r="109" ht="15" customHeight="1">
      <c r="A109" t="inlineStr">
        <is>
          <t>A 15197-2023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46269</v>
      </c>
      <c r="F109" t="inlineStr">
        <is>
          <t>VÄSTERBOTTENS LÄN</t>
        </is>
      </c>
      <c r="G109" t="inlineStr">
        <is>
          <t>LYCKSELE</t>
        </is>
      </c>
      <c r="I109" t="n">
        <v>11.2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Dropptaggsvamp
Vaddporing</t>
        </is>
      </c>
      <c r="W109">
        <f>HYPERLINK("https://klasma.github.io/Logging_2481/artfynd/A 15197-2023 artfynd.xlsx", "A 15197-2023")</f>
        <v/>
      </c>
      <c r="X109">
        <f>HYPERLINK("https://klasma.github.io/Logging_2481/kartor/A 15197-2023 karta.png", "A 15197-2023")</f>
        <v/>
      </c>
      <c r="Y109">
        <f>HYPERLINK("https://klasma.github.io/Logging_2481/kartor_geotiff/A 15197-2023 georefererad karta.tif", "A 15197-2023")</f>
        <v/>
      </c>
      <c r="AA109">
        <f>HYPERLINK("https://klasma.github.io/Logging_2481/klagomål/A 15197-2023 FSC-klagomål.docx", "A 15197-2023")</f>
        <v/>
      </c>
      <c r="AB109">
        <f>HYPERLINK("https://klasma.github.io/Logging_2481/klagomålsmail/A 15197-2023 FSC-klagomål mail.docx", "A 15197-2023")</f>
        <v/>
      </c>
      <c r="AC109">
        <f>HYPERLINK("https://klasma.github.io/Logging_2481/tillsyn/A 15197-2023 tillsynsbegäran.docx", "A 15197-2023")</f>
        <v/>
      </c>
      <c r="AD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33817-2026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46269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19.3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Kolflarnlav
Orange taggsvamp</t>
        </is>
      </c>
      <c r="W110">
        <f>HYPERLINK("https://klasma.github.io/Logging_2481/artfynd/A 33817-2026 artfynd.xlsx", "A 33817-2026")</f>
        <v/>
      </c>
      <c r="X110">
        <f>HYPERLINK("https://klasma.github.io/Logging_2481/kartor/A 33817-2026 karta.png", "A 33817-2026")</f>
        <v/>
      </c>
      <c r="Y110">
        <f>HYPERLINK("https://klasma.github.io/Logging_2481/kartor_geotiff/A 33817-2026 georefererad karta.tif", "A 33817-2026")</f>
        <v/>
      </c>
      <c r="AA110">
        <f>HYPERLINK("https://klasma.github.io/Logging_2481/klagomål/A 33817-2026 FSC-klagomål.docx", "A 33817-2026")</f>
        <v/>
      </c>
      <c r="AB110">
        <f>HYPERLINK("https://klasma.github.io/Logging_2481/klagomålsmail/A 33817-2026 FSC-klagomål mail.docx", "A 33817-2026")</f>
        <v/>
      </c>
      <c r="AC110">
        <f>HYPERLINK("https://klasma.github.io/Logging_2481/tillsyn/A 33817-2026 tillsynsbegäran.docx", "A 33817-2026")</f>
        <v/>
      </c>
      <c r="AD110">
        <f>HYPERLINK("https://klasma.github.io/Logging_2481/tillsynsmail/A 33817-2026 tillsynsbegäran mail.docx", "A 33817-2026")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46269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12619-2026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46269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SCA</t>
        </is>
      </c>
      <c r="I112" t="n">
        <v>3.6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Kungsörn
Orre</t>
        </is>
      </c>
      <c r="W112">
        <f>HYPERLINK("https://klasma.github.io/Logging_2481/artfynd/A 12619-2026 artfynd.xlsx", "A 12619-2026")</f>
        <v/>
      </c>
      <c r="X112">
        <f>HYPERLINK("https://klasma.github.io/Logging_2481/kartor/A 12619-2026 karta.png", "A 12619-2026")</f>
        <v/>
      </c>
      <c r="Y112">
        <f>HYPERLINK("https://klasma.github.io/Logging_2481/kartor_geotiff/A 12619-2026 georefererad karta.tif", "A 12619-2026")</f>
        <v/>
      </c>
      <c r="AA112">
        <f>HYPERLINK("https://klasma.github.io/Logging_2481/klagomål/A 12619-2026 FSC-klagomål.docx", "A 12619-2026")</f>
        <v/>
      </c>
      <c r="AB112">
        <f>HYPERLINK("https://klasma.github.io/Logging_2481/klagomålsmail/A 12619-2026 FSC-klagomål mail.docx", "A 12619-2026")</f>
        <v/>
      </c>
      <c r="AC112">
        <f>HYPERLINK("https://klasma.github.io/Logging_2481/tillsyn/A 12619-2026 tillsynsbegäran.docx", "A 12619-2026")</f>
        <v/>
      </c>
      <c r="AD112">
        <f>HYPERLINK("https://klasma.github.io/Logging_2481/tillsynsmail/A 12619-2026 tillsynsbegäran mail.docx", "A 12619-2026")</f>
        <v/>
      </c>
      <c r="AE112">
        <f>HYPERLINK("https://klasma.github.io/Logging_2481/fåglar/A 12619-2026 prioriterade fågelarter.docx", "A 12619-2026")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46269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A 742-2025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46269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Holmen skog AB</t>
        </is>
      </c>
      <c r="I114" t="n">
        <v>5.6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Fläcknycklar</t>
        </is>
      </c>
      <c r="W114">
        <f>HYPERLINK("https://klasma.github.io/Logging_2481/artfynd/A 742-2025 artfynd.xlsx", "A 742-2025")</f>
        <v/>
      </c>
      <c r="X114">
        <f>HYPERLINK("https://klasma.github.io/Logging_2481/kartor/A 742-2025 karta.png", "A 742-2025")</f>
        <v/>
      </c>
      <c r="Y114">
        <f>HYPERLINK("https://klasma.github.io/Logging_2481/kartor_geotiff/A 742-2025 georefererad karta.tif", "A 742-2025")</f>
        <v/>
      </c>
      <c r="AA114">
        <f>HYPERLINK("https://klasma.github.io/Logging_2481/klagomål/A 742-2025 FSC-klagomål.docx", "A 742-2025")</f>
        <v/>
      </c>
      <c r="AB114">
        <f>HYPERLINK("https://klasma.github.io/Logging_2481/klagomålsmail/A 742-2025 FSC-klagomål mail.docx", "A 742-2025")</f>
        <v/>
      </c>
      <c r="AC114">
        <f>HYPERLINK("https://klasma.github.io/Logging_2481/tillsyn/A 742-2025 tillsynsbegäran.docx", "A 742-2025")</f>
        <v/>
      </c>
      <c r="AD114">
        <f>HYPERLINK("https://klasma.github.io/Logging_2481/tillsynsmail/A 742-2025 tillsynsbegäran mail.docx", "A 742-2025")</f>
        <v/>
      </c>
    </row>
    <row r="115" ht="15" customHeight="1">
      <c r="A115" t="inlineStr">
        <is>
          <t>S 754-2023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44981</v>
      </c>
      <c r="E115" s="1" t="n">
        <v>46269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2.9</v>
      </c>
      <c r="J115" t="n">
        <v>2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Knärot
Lavskrika</t>
        </is>
      </c>
      <c r="W115">
        <f>HYPERLINK("https://klasma.github.io/Logging_2481/artfynd/S 754-2023 artfynd.xlsx", "S 754-2023")</f>
        <v/>
      </c>
      <c r="X115">
        <f>HYPERLINK("https://klasma.github.io/Logging_2481/kartor/S 754-2023 karta.png", "S 754-2023")</f>
        <v/>
      </c>
      <c r="Y115">
        <f>HYPERLINK("https://klasma.github.io/Logging_2481/kartor_geotiff/S 754-2023 georefererad karta.tif", "S 754-2023")</f>
        <v/>
      </c>
      <c r="Z115">
        <f>HYPERLINK("https://klasma.github.io/Logging_2481/knärot/S 754-2023 karta knärot.png", "S 754-2023")</f>
        <v/>
      </c>
      <c r="AA115">
        <f>HYPERLINK("https://klasma.github.io/Logging_2481/klagomål/S 754-2023 FSC-klagomål.docx", "S 754-2023")</f>
        <v/>
      </c>
      <c r="AB115">
        <f>HYPERLINK("https://klasma.github.io/Logging_2481/klagomålsmail/S 754-2023 FSC-klagomål mail.docx", "S 754-2023")</f>
        <v/>
      </c>
      <c r="AC115">
        <f>HYPERLINK("https://klasma.github.io/Logging_2481/tillsyn/S 754-2023 tillsynsbegäran.docx", "S 754-2023")</f>
        <v/>
      </c>
      <c r="AD115">
        <f>HYPERLINK("https://klasma.github.io/Logging_2481/tillsynsmail/S 754-2023 tillsynsbegäran mail.docx", "S 754-2023")</f>
        <v/>
      </c>
      <c r="AE115">
        <f>HYPERLINK("https://klasma.github.io/Logging_2481/fåglar/S 754-2023 prioriterade fågelarter.docx", "S 754-2023")</f>
        <v/>
      </c>
    </row>
    <row r="116" ht="15" customHeight="1">
      <c r="A116" t="inlineStr">
        <is>
          <t>S 408-2026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46069</v>
      </c>
      <c r="E116" s="1" t="n">
        <v>46269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552.6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Bårdlav
Vattenfladdermus</t>
        </is>
      </c>
      <c r="W116">
        <f>HYPERLINK("https://klasma.github.io/Logging_2481/artfynd/S 408-2026 artfynd.xlsx", "S 408-2026")</f>
        <v/>
      </c>
      <c r="X116">
        <f>HYPERLINK("https://klasma.github.io/Logging_2481/kartor/S 408-2026 karta.png", "S 408-2026")</f>
        <v/>
      </c>
      <c r="Y116">
        <f>HYPERLINK("https://klasma.github.io/Logging_2481/kartor_geotiff/S 408-2026 georefererad karta.tif", "S 408-2026")</f>
        <v/>
      </c>
      <c r="AA116">
        <f>HYPERLINK("https://klasma.github.io/Logging_2481/klagomål/S 408-2026 FSC-klagomål.docx", "S 408-2026")</f>
        <v/>
      </c>
      <c r="AB116">
        <f>HYPERLINK("https://klasma.github.io/Logging_2481/klagomålsmail/S 408-2026 FSC-klagomål mail.docx", "S 408-2026")</f>
        <v/>
      </c>
      <c r="AC116">
        <f>HYPERLINK("https://klasma.github.io/Logging_2481/tillsyn/S 408-2026 tillsynsbegäran.docx", "S 408-2026")</f>
        <v/>
      </c>
      <c r="AD116">
        <f>HYPERLINK("https://klasma.github.io/Logging_2481/tillsynsmail/S 408-2026 tillsynsbegäran mail.docx", "S 408-2026")</f>
        <v/>
      </c>
    </row>
    <row r="117" ht="15" customHeight="1">
      <c r="A117" t="inlineStr">
        <is>
          <t>A 60045-2021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46269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Lunglav</t>
        </is>
      </c>
      <c r="W117">
        <f>HYPERLINK("https://klasma.github.io/Logging_2481/artfynd/A 60045-2021 artfynd.xlsx", "A 60045-2021")</f>
        <v/>
      </c>
      <c r="X117">
        <f>HYPERLINK("https://klasma.github.io/Logging_2481/kartor/A 60045-2021 karta.png", "A 60045-2021")</f>
        <v/>
      </c>
      <c r="Y117">
        <f>HYPERLINK("https://klasma.github.io/Logging_2481/kartor_geotiff/A 60045-2021 georefererad karta.tif", "A 60045-2021")</f>
        <v/>
      </c>
      <c r="AA117">
        <f>HYPERLINK("https://klasma.github.io/Logging_2481/klagomål/A 60045-2021 FSC-klagomål.docx", "A 60045-2021")</f>
        <v/>
      </c>
      <c r="AB117">
        <f>HYPERLINK("https://klasma.github.io/Logging_2481/klagomålsmail/A 60045-2021 FSC-klagomål mail.docx", "A 60045-2021")</f>
        <v/>
      </c>
      <c r="AC117">
        <f>HYPERLINK("https://klasma.github.io/Logging_2481/tillsyn/A 60045-2021 tillsynsbegäran.docx", "A 60045-2021")</f>
        <v/>
      </c>
      <c r="AD117">
        <f>HYPERLINK("https://klasma.github.io/Logging_2481/tillsynsmail/A 60045-2021 tillsynsbegäran mail.docx", "A 60045-2021")</f>
        <v/>
      </c>
    </row>
    <row r="118" ht="15" customHeight="1">
      <c r="A118" t="inlineStr">
        <is>
          <t>A 9073-2022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46269</v>
      </c>
      <c r="F118" t="inlineStr">
        <is>
          <t>VÄSTERBOTTENS LÄN</t>
        </is>
      </c>
      <c r="G118" t="inlineStr">
        <is>
          <t>LYCKSELE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HYPERLINK("https://klasma.github.io/Logging_2481/artfynd/A 9073-2022 artfynd.xlsx", "A 9073-2022")</f>
        <v/>
      </c>
      <c r="X118">
        <f>HYPERLINK("https://klasma.github.io/Logging_2481/kartor/A 9073-2022 karta.png", "A 9073-2022")</f>
        <v/>
      </c>
      <c r="Y118">
        <f>HYPERLINK("https://klasma.github.io/Logging_2481/kartor_geotiff/A 9073-2022 georefererad karta.tif", "A 9073-2022")</f>
        <v/>
      </c>
      <c r="AA118">
        <f>HYPERLINK("https://klasma.github.io/Logging_2481/klagomål/A 9073-2022 FSC-klagomål.docx", "A 9073-2022")</f>
        <v/>
      </c>
      <c r="AB118">
        <f>HYPERLINK("https://klasma.github.io/Logging_2481/klagomålsmail/A 9073-2022 FSC-klagomål mail.docx", "A 9073-2022")</f>
        <v/>
      </c>
      <c r="AC118">
        <f>HYPERLINK("https://klasma.github.io/Logging_2481/tillsyn/A 9073-2022 tillsynsbegäran.docx", "A 9073-2022")</f>
        <v/>
      </c>
      <c r="AD118">
        <f>HYPERLINK("https://klasma.github.io/Logging_2481/tillsynsmail/A 9073-2022 tillsynsbegäran mail.docx", "A 9073-2022")</f>
        <v/>
      </c>
    </row>
    <row r="119" ht="15" customHeight="1">
      <c r="A119" t="inlineStr">
        <is>
          <t>A 59780-2021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46269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3</v>
      </c>
      <c r="V119" s="2" t="inlineStr">
        <is>
          <t>Lunglav</t>
        </is>
      </c>
      <c r="W119">
        <f>HYPERLINK("https://klasma.github.io/Logging_2481/artfynd/A 59780-2021 artfynd.xlsx", "A 59780-2021")</f>
        <v/>
      </c>
      <c r="X119">
        <f>HYPERLINK("https://klasma.github.io/Logging_2481/kartor/A 59780-2021 karta.png", "A 59780-2021")</f>
        <v/>
      </c>
      <c r="Y119">
        <f>HYPERLINK("https://klasma.github.io/Logging_2481/kartor_geotiff/A 59780-2021 georefererad karta.tif", "A 59780-2021")</f>
        <v/>
      </c>
      <c r="AA119">
        <f>HYPERLINK("https://klasma.github.io/Logging_2481/klagomål/A 59780-2021 FSC-klagomål.docx", "A 59780-2021")</f>
        <v/>
      </c>
      <c r="AB119">
        <f>HYPERLINK("https://klasma.github.io/Logging_2481/klagomålsmail/A 59780-2021 FSC-klagomål mail.docx", "A 59780-2021")</f>
        <v/>
      </c>
      <c r="AC119">
        <f>HYPERLINK("https://klasma.github.io/Logging_2481/tillsyn/A 59780-2021 tillsynsbegäran.docx", "A 59780-2021")</f>
        <v/>
      </c>
      <c r="AD119">
        <f>HYPERLINK("https://klasma.github.io/Logging_2481/tillsynsmail/A 59780-2021 tillsynsbegäran mail.docx", "A 59780-2021")</f>
        <v/>
      </c>
    </row>
    <row r="120" ht="15" customHeight="1">
      <c r="A120" t="inlineStr">
        <is>
          <t>A 50279-2021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46269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50279-2021 artfynd.xlsx", "A 50279-2021")</f>
        <v/>
      </c>
      <c r="X120">
        <f>HYPERLINK("https://klasma.github.io/Logging_2481/kartor/A 50279-2021 karta.png", "A 50279-2021")</f>
        <v/>
      </c>
      <c r="Y120">
        <f>HYPERLINK("https://klasma.github.io/Logging_2481/kartor_geotiff/A 50279-2021 georefererad karta.tif", "A 50279-2021")</f>
        <v/>
      </c>
      <c r="AA120">
        <f>HYPERLINK("https://klasma.github.io/Logging_2481/klagomål/A 50279-2021 FSC-klagomål.docx", "A 50279-2021")</f>
        <v/>
      </c>
      <c r="AB120">
        <f>HYPERLINK("https://klasma.github.io/Logging_2481/klagomålsmail/A 50279-2021 FSC-klagomål mail.docx", "A 50279-2021")</f>
        <v/>
      </c>
      <c r="AC120">
        <f>HYPERLINK("https://klasma.github.io/Logging_2481/tillsyn/A 50279-2021 tillsynsbegäran.docx", "A 50279-2021")</f>
        <v/>
      </c>
      <c r="AD120">
        <f>HYPERLINK("https://klasma.github.io/Logging_2481/tillsynsmail/A 50279-2021 tillsynsbegäran mail.docx", "A 50279-2021")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46269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37669-2024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46269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Dropptaggsvamp</t>
        </is>
      </c>
      <c r="W122">
        <f>HYPERLINK("https://klasma.github.io/Logging_2481/artfynd/A 37669-2024 artfynd.xlsx", "A 37669-2024")</f>
        <v/>
      </c>
      <c r="X122">
        <f>HYPERLINK("https://klasma.github.io/Logging_2481/kartor/A 37669-2024 karta.png", "A 37669-2024")</f>
        <v/>
      </c>
      <c r="Y122">
        <f>HYPERLINK("https://klasma.github.io/Logging_2481/kartor_geotiff/A 37669-2024 georefererad karta.tif", "A 37669-2024")</f>
        <v/>
      </c>
      <c r="AA122">
        <f>HYPERLINK("https://klasma.github.io/Logging_2481/klagomål/A 37669-2024 FSC-klagomål.docx", "A 37669-2024")</f>
        <v/>
      </c>
      <c r="AB122">
        <f>HYPERLINK("https://klasma.github.io/Logging_2481/klagomålsmail/A 37669-2024 FSC-klagomål mail.docx", "A 37669-2024")</f>
        <v/>
      </c>
      <c r="AC122">
        <f>HYPERLINK("https://klasma.github.io/Logging_2481/tillsyn/A 37669-2024 tillsynsbegäran.docx", "A 37669-2024")</f>
        <v/>
      </c>
      <c r="AD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34809-2022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46269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SCA</t>
        </is>
      </c>
      <c r="I123" t="n">
        <v>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Gammelgransskål</t>
        </is>
      </c>
      <c r="W123">
        <f>HYPERLINK("https://klasma.github.io/Logging_2481/artfynd/A 34809-2022 artfynd.xlsx", "A 34809-2022")</f>
        <v/>
      </c>
      <c r="X123">
        <f>HYPERLINK("https://klasma.github.io/Logging_2481/kartor/A 34809-2022 karta.png", "A 34809-2022")</f>
        <v/>
      </c>
      <c r="Y123">
        <f>HYPERLINK("https://klasma.github.io/Logging_2481/kartor_geotiff/A 34809-2022 georefererad karta.tif", "A 34809-2022")</f>
        <v/>
      </c>
      <c r="AA123">
        <f>HYPERLINK("https://klasma.github.io/Logging_2481/klagomål/A 34809-2022 FSC-klagomål.docx", "A 34809-2022")</f>
        <v/>
      </c>
      <c r="AB123">
        <f>HYPERLINK("https://klasma.github.io/Logging_2481/klagomålsmail/A 34809-2022 FSC-klagomål mail.docx", "A 34809-2022")</f>
        <v/>
      </c>
      <c r="AC123">
        <f>HYPERLINK("https://klasma.github.io/Logging_2481/tillsyn/A 34809-2022 tillsynsbegäran.docx", "A 34809-2022")</f>
        <v/>
      </c>
      <c r="AD123">
        <f>HYPERLINK("https://klasma.github.io/Logging_2481/tillsynsmail/A 34809-2022 tillsynsbegäran mail.docx", "A 34809-2022")</f>
        <v/>
      </c>
    </row>
    <row r="124" ht="15" customHeight="1">
      <c r="A124" t="inlineStr">
        <is>
          <t>A 22373-2025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45786</v>
      </c>
      <c r="E124" s="1" t="n">
        <v>46269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Holmen skog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22373-2025 artfynd.xlsx", "A 22373-2025")</f>
        <v/>
      </c>
      <c r="X124">
        <f>HYPERLINK("https://klasma.github.io/Logging_2481/kartor/A 22373-2025 karta.png", "A 22373-2025")</f>
        <v/>
      </c>
      <c r="Y124">
        <f>HYPERLINK("https://klasma.github.io/Logging_2481/kartor_geotiff/A 22373-2025 georefererad karta.tif", "A 22373-2025")</f>
        <v/>
      </c>
      <c r="AA124">
        <f>HYPERLINK("https://klasma.github.io/Logging_2481/klagomål/A 22373-2025 FSC-klagomål.docx", "A 22373-2025")</f>
        <v/>
      </c>
      <c r="AB124">
        <f>HYPERLINK("https://klasma.github.io/Logging_2481/klagomålsmail/A 22373-2025 FSC-klagomål mail.docx", "A 22373-2025")</f>
        <v/>
      </c>
      <c r="AC124">
        <f>HYPERLINK("https://klasma.github.io/Logging_2481/tillsyn/A 22373-2025 tillsynsbegäran.docx", "A 22373-2025")</f>
        <v/>
      </c>
      <c r="AD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53226-2022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44876</v>
      </c>
      <c r="E125" s="1" t="n">
        <v>46269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10.5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Ängsmetallvinge</t>
        </is>
      </c>
      <c r="W125">
        <f>HYPERLINK("https://klasma.github.io/Logging_2481/artfynd/A 53226-2022 artfynd.xlsx", "A 53226-2022")</f>
        <v/>
      </c>
      <c r="X125">
        <f>HYPERLINK("https://klasma.github.io/Logging_2481/kartor/A 53226-2022 karta.png", "A 53226-2022")</f>
        <v/>
      </c>
      <c r="Y125">
        <f>HYPERLINK("https://klasma.github.io/Logging_2481/kartor_geotiff/A 53226-2022 georefererad karta.tif", "A 53226-2022")</f>
        <v/>
      </c>
      <c r="AA125">
        <f>HYPERLINK("https://klasma.github.io/Logging_2481/klagomål/A 53226-2022 FSC-klagomål.docx", "A 53226-2022")</f>
        <v/>
      </c>
      <c r="AB125">
        <f>HYPERLINK("https://klasma.github.io/Logging_2481/klagomålsmail/A 53226-2022 FSC-klagomål mail.docx", "A 53226-2022")</f>
        <v/>
      </c>
      <c r="AC125">
        <f>HYPERLINK("https://klasma.github.io/Logging_2481/tillsyn/A 53226-2022 tillsynsbegäran.docx", "A 53226-2022")</f>
        <v/>
      </c>
      <c r="AD125">
        <f>HYPERLINK("https://klasma.github.io/Logging_2481/tillsynsmail/A 53226-2022 tillsynsbegäran mail.docx", "A 53226-2022")</f>
        <v/>
      </c>
    </row>
    <row r="126" ht="15" customHeight="1">
      <c r="A126" t="inlineStr">
        <is>
          <t>A 9924-2024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46269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9924-2024 artfynd.xlsx", "A 9924-2024")</f>
        <v/>
      </c>
      <c r="X126">
        <f>HYPERLINK("https://klasma.github.io/Logging_2481/kartor/A 9924-2024 karta.png", "A 9924-2024")</f>
        <v/>
      </c>
      <c r="Y126">
        <f>HYPERLINK("https://klasma.github.io/Logging_2481/kartor_geotiff/A 9924-2024 georefererad karta.tif", "A 9924-2024")</f>
        <v/>
      </c>
      <c r="AA126">
        <f>HYPERLINK("https://klasma.github.io/Logging_2481/klagomål/A 9924-2024 FSC-klagomål.docx", "A 9924-2024")</f>
        <v/>
      </c>
      <c r="AB126">
        <f>HYPERLINK("https://klasma.github.io/Logging_2481/klagomålsmail/A 9924-2024 FSC-klagomål mail.docx", "A 9924-2024")</f>
        <v/>
      </c>
      <c r="AC126">
        <f>HYPERLINK("https://klasma.github.io/Logging_2481/tillsyn/A 9924-2024 tillsynsbegäran.docx", "A 9924-2024")</f>
        <v/>
      </c>
      <c r="AD126">
        <f>HYPERLINK("https://klasma.github.io/Logging_2481/tillsynsmail/A 9924-2024 tillsynsbegäran mail.docx", "A 9924-2024")</f>
        <v/>
      </c>
    </row>
    <row r="127" ht="15" customHeight="1">
      <c r="A127" t="inlineStr">
        <is>
          <t>A 33726-2022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44789</v>
      </c>
      <c r="E127" s="1" t="n">
        <v>46269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12.7</v>
      </c>
      <c r="J127" t="n">
        <v>1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Pärluggla</t>
        </is>
      </c>
      <c r="W127">
        <f>HYPERLINK("https://klasma.github.io/Logging_2481/artfynd/A 33726-2022 artfynd.xlsx", "A 33726-2022")</f>
        <v/>
      </c>
      <c r="X127">
        <f>HYPERLINK("https://klasma.github.io/Logging_2481/kartor/A 33726-2022 karta.png", "A 33726-2022")</f>
        <v/>
      </c>
      <c r="Y127">
        <f>HYPERLINK("https://klasma.github.io/Logging_2481/kartor_geotiff/A 33726-2022 georefererad karta.tif", "A 33726-2022")</f>
        <v/>
      </c>
      <c r="AA127">
        <f>HYPERLINK("https://klasma.github.io/Logging_2481/klagomål/A 33726-2022 FSC-klagomål.docx", "A 33726-2022")</f>
        <v/>
      </c>
      <c r="AB127">
        <f>HYPERLINK("https://klasma.github.io/Logging_2481/klagomålsmail/A 33726-2022 FSC-klagomål mail.docx", "A 33726-2022")</f>
        <v/>
      </c>
      <c r="AC127">
        <f>HYPERLINK("https://klasma.github.io/Logging_2481/tillsyn/A 33726-2022 tillsynsbegäran.docx", "A 33726-2022")</f>
        <v/>
      </c>
      <c r="AD127">
        <f>HYPERLINK("https://klasma.github.io/Logging_2481/tillsynsmail/A 33726-2022 tillsynsbegäran mail.docx", "A 33726-2022")</f>
        <v/>
      </c>
      <c r="AE127">
        <f>HYPERLINK("https://klasma.github.io/Logging_2481/fåglar/A 33726-2022 prioriterade fågelarter.docx", "A 33726-2022")</f>
        <v/>
      </c>
    </row>
    <row r="128" ht="15" customHeight="1">
      <c r="A128" t="inlineStr">
        <is>
          <t>A 7768-2023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44973</v>
      </c>
      <c r="E128" s="1" t="n">
        <v>46269</v>
      </c>
      <c r="F128" t="inlineStr">
        <is>
          <t>VÄSTERBOTTENS LÄN</t>
        </is>
      </c>
      <c r="G128" t="inlineStr">
        <is>
          <t>LYCKSELE</t>
        </is>
      </c>
      <c r="I128" t="n">
        <v>2.3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HYPERLINK("https://klasma.github.io/Logging_2481/artfynd/A 7768-2023 artfynd.xlsx", "A 7768-2023")</f>
        <v/>
      </c>
      <c r="X128">
        <f>HYPERLINK("https://klasma.github.io/Logging_2481/kartor/A 7768-2023 karta.png", "A 7768-2023")</f>
        <v/>
      </c>
      <c r="Y128">
        <f>HYPERLINK("https://klasma.github.io/Logging_2481/kartor_geotiff/A 7768-2023 georefererad karta.tif", "A 7768-2023")</f>
        <v/>
      </c>
      <c r="Z128">
        <f>HYPERLINK("https://klasma.github.io/Logging_2481/knärot/A 7768-2023 karta knärot.png", "A 7768-2023")</f>
        <v/>
      </c>
      <c r="AA128">
        <f>HYPERLINK("https://klasma.github.io/Logging_2481/klagomål/A 7768-2023 FSC-klagomål.docx", "A 7768-2023")</f>
        <v/>
      </c>
      <c r="AB128">
        <f>HYPERLINK("https://klasma.github.io/Logging_2481/klagomålsmail/A 7768-2023 FSC-klagomål mail.docx", "A 7768-2023")</f>
        <v/>
      </c>
      <c r="AC128">
        <f>HYPERLINK("https://klasma.github.io/Logging_2481/tillsyn/A 7768-2023 tillsynsbegäran.docx", "A 7768-2023")</f>
        <v/>
      </c>
      <c r="AD128">
        <f>HYPERLINK("https://klasma.github.io/Logging_2481/tillsynsmail/A 7768-2023 tillsynsbegäran mail.docx", "A 7768-2023")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46269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30515-2025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46269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HYPERLINK("https://klasma.github.io/Logging_2481/artfynd/A 30515-2025 artfynd.xlsx", "A 30515-2025")</f>
        <v/>
      </c>
      <c r="X130">
        <f>HYPERLINK("https://klasma.github.io/Logging_2481/kartor/A 30515-2025 karta.png", "A 30515-2025")</f>
        <v/>
      </c>
      <c r="Y130">
        <f>HYPERLINK("https://klasma.github.io/Logging_2481/kartor_geotiff/A 30515-2025 georefererad karta.tif", "A 30515-2025")</f>
        <v/>
      </c>
      <c r="AA130">
        <f>HYPERLINK("https://klasma.github.io/Logging_2481/klagomål/A 30515-2025 FSC-klagomål.docx", "A 30515-2025")</f>
        <v/>
      </c>
      <c r="AB130">
        <f>HYPERLINK("https://klasma.github.io/Logging_2481/klagomålsmail/A 30515-2025 FSC-klagomål mail.docx", "A 30515-2025")</f>
        <v/>
      </c>
      <c r="AC130">
        <f>HYPERLINK("https://klasma.github.io/Logging_2481/tillsyn/A 30515-2025 tillsynsbegäran.docx", "A 30515-2025")</f>
        <v/>
      </c>
      <c r="AD130">
        <f>HYPERLINK("https://klasma.github.io/Logging_2481/tillsynsmail/A 30515-2025 tillsynsbegäran mail.docx", "A 30515-2025")</f>
        <v/>
      </c>
    </row>
    <row r="131" ht="15" customHeight="1">
      <c r="A131" t="inlineStr">
        <is>
          <t>A 33346-2025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46269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Doftskinn</t>
        </is>
      </c>
      <c r="W131">
        <f>HYPERLINK("https://klasma.github.io/Logging_2481/artfynd/A 33346-2025 artfynd.xlsx", "A 33346-2025")</f>
        <v/>
      </c>
      <c r="X131">
        <f>HYPERLINK("https://klasma.github.io/Logging_2481/kartor/A 33346-2025 karta.png", "A 33346-2025")</f>
        <v/>
      </c>
      <c r="Y131">
        <f>HYPERLINK("https://klasma.github.io/Logging_2481/kartor_geotiff/A 33346-2025 georefererad karta.tif", "A 33346-2025")</f>
        <v/>
      </c>
      <c r="AA131">
        <f>HYPERLINK("https://klasma.github.io/Logging_2481/klagomål/A 33346-2025 FSC-klagomål.docx", "A 33346-2025")</f>
        <v/>
      </c>
      <c r="AB131">
        <f>HYPERLINK("https://klasma.github.io/Logging_2481/klagomålsmail/A 33346-2025 FSC-klagomål mail.docx", "A 33346-2025")</f>
        <v/>
      </c>
      <c r="AC131">
        <f>HYPERLINK("https://klasma.github.io/Logging_2481/tillsyn/A 33346-2025 tillsynsbegäran.docx", "A 33346-2025")</f>
        <v/>
      </c>
      <c r="AD131">
        <f>HYPERLINK("https://klasma.github.io/Logging_2481/tillsynsmail/A 33346-2025 tillsynsbegäran mail.docx", "A 33346-2025")</f>
        <v/>
      </c>
    </row>
    <row r="132" ht="15" customHeight="1">
      <c r="A132" t="inlineStr">
        <is>
          <t>A 34958-2025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46269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4.1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HYPERLINK("https://klasma.github.io/Logging_2481/artfynd/A 34958-2025 artfynd.xlsx", "A 34958-2025")</f>
        <v/>
      </c>
      <c r="X132">
        <f>HYPERLINK("https://klasma.github.io/Logging_2481/kartor/A 34958-2025 karta.png", "A 34958-2025")</f>
        <v/>
      </c>
      <c r="Y132">
        <f>HYPERLINK("https://klasma.github.io/Logging_2481/kartor_geotiff/A 34958-2025 georefererad karta.tif", "A 34958-2025")</f>
        <v/>
      </c>
      <c r="AA132">
        <f>HYPERLINK("https://klasma.github.io/Logging_2481/klagomål/A 34958-2025 FSC-klagomål.docx", "A 34958-2025")</f>
        <v/>
      </c>
      <c r="AB132">
        <f>HYPERLINK("https://klasma.github.io/Logging_2481/klagomålsmail/A 34958-2025 FSC-klagomål mail.docx", "A 34958-2025")</f>
        <v/>
      </c>
      <c r="AC132">
        <f>HYPERLINK("https://klasma.github.io/Logging_2481/tillsyn/A 34958-2025 tillsynsbegäran.docx", "A 34958-2025")</f>
        <v/>
      </c>
      <c r="AD132">
        <f>HYPERLINK("https://klasma.github.io/Logging_2481/tillsynsmail/A 34958-2025 tillsynsbegäran mail.docx", "A 34958-2025")</f>
        <v/>
      </c>
      <c r="AE132">
        <f>HYPERLINK("https://klasma.github.io/Logging_2481/fåglar/A 34958-2025 prioriterade fågelarter.docx", "A 34958-2025")</f>
        <v/>
      </c>
    </row>
    <row r="133" ht="15" customHeight="1">
      <c r="A133" t="inlineStr">
        <is>
          <t>A 35226-2025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45853</v>
      </c>
      <c r="E133" s="1" t="n">
        <v>46269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14.7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Tretåig hackspett</t>
        </is>
      </c>
      <c r="W133">
        <f>HYPERLINK("https://klasma.github.io/Logging_2481/artfynd/A 35226-2025 artfynd.xlsx", "A 35226-2025")</f>
        <v/>
      </c>
      <c r="X133">
        <f>HYPERLINK("https://klasma.github.io/Logging_2481/kartor/A 35226-2025 karta.png", "A 35226-2025")</f>
        <v/>
      </c>
      <c r="Y133">
        <f>HYPERLINK("https://klasma.github.io/Logging_2481/kartor_geotiff/A 35226-2025 georefererad karta.tif", "A 35226-2025")</f>
        <v/>
      </c>
      <c r="AA133">
        <f>HYPERLINK("https://klasma.github.io/Logging_2481/klagomål/A 35226-2025 FSC-klagomål.docx", "A 35226-2025")</f>
        <v/>
      </c>
      <c r="AB133">
        <f>HYPERLINK("https://klasma.github.io/Logging_2481/klagomålsmail/A 35226-2025 FSC-klagomål mail.docx", "A 35226-2025")</f>
        <v/>
      </c>
      <c r="AC133">
        <f>HYPERLINK("https://klasma.github.io/Logging_2481/tillsyn/A 35226-2025 tillsynsbegäran.docx", "A 35226-2025")</f>
        <v/>
      </c>
      <c r="AD133">
        <f>HYPERLINK("https://klasma.github.io/Logging_2481/tillsynsmail/A 35226-2025 tillsynsbegäran mail.docx", "A 35226-2025")</f>
        <v/>
      </c>
      <c r="AE133">
        <f>HYPERLINK("https://klasma.github.io/Logging_2481/fåglar/A 35226-2025 prioriterade fågelarter.docx", "A 35226-2025")</f>
        <v/>
      </c>
    </row>
    <row r="134" ht="15" customHeight="1">
      <c r="A134" t="inlineStr">
        <is>
          <t>A 7398-2025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46269</v>
      </c>
      <c r="F134" t="inlineStr">
        <is>
          <t>VÄSTERBOTTENS LÄN</t>
        </is>
      </c>
      <c r="G134" t="inlineStr">
        <is>
          <t>LYCKSELE</t>
        </is>
      </c>
      <c r="I134" t="n">
        <v>2.4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Gråspett</t>
        </is>
      </c>
      <c r="W134">
        <f>HYPERLINK("https://klasma.github.io/Logging_2481/artfynd/A 7398-2025 artfynd.xlsx", "A 7398-2025")</f>
        <v/>
      </c>
      <c r="X134">
        <f>HYPERLINK("https://klasma.github.io/Logging_2481/kartor/A 7398-2025 karta.png", "A 7398-2025")</f>
        <v/>
      </c>
      <c r="Y134">
        <f>HYPERLINK("https://klasma.github.io/Logging_2481/kartor_geotiff/A 7398-2025 georefererad karta.tif", "A 7398-2025")</f>
        <v/>
      </c>
      <c r="AA134">
        <f>HYPERLINK("https://klasma.github.io/Logging_2481/klagomål/A 7398-2025 FSC-klagomål.docx", "A 7398-2025")</f>
        <v/>
      </c>
      <c r="AB134">
        <f>HYPERLINK("https://klasma.github.io/Logging_2481/klagomålsmail/A 7398-2025 FSC-klagomål mail.docx", "A 7398-2025")</f>
        <v/>
      </c>
      <c r="AC134">
        <f>HYPERLINK("https://klasma.github.io/Logging_2481/tillsyn/A 7398-2025 tillsynsbegäran.docx", "A 7398-2025")</f>
        <v/>
      </c>
      <c r="AD134">
        <f>HYPERLINK("https://klasma.github.io/Logging_2481/tillsynsmail/A 7398-2025 tillsynsbegäran mail.docx", "A 7398-2025")</f>
        <v/>
      </c>
      <c r="AE134">
        <f>HYPERLINK("https://klasma.github.io/Logging_2481/fåglar/A 7398-2025 prioriterade fågelarter.docx", "A 7398-2025")</f>
        <v/>
      </c>
    </row>
    <row r="135" ht="15" customHeight="1">
      <c r="A135" t="inlineStr">
        <is>
          <t>A 35239-2025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45853</v>
      </c>
      <c r="E135" s="1" t="n">
        <v>46269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8.699999999999999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Gammelgransskål</t>
        </is>
      </c>
      <c r="W135">
        <f>HYPERLINK("https://klasma.github.io/Logging_2481/artfynd/A 35239-2025 artfynd.xlsx", "A 35239-2025")</f>
        <v/>
      </c>
      <c r="X135">
        <f>HYPERLINK("https://klasma.github.io/Logging_2481/kartor/A 35239-2025 karta.png", "A 35239-2025")</f>
        <v/>
      </c>
      <c r="Y135">
        <f>HYPERLINK("https://klasma.github.io/Logging_2481/kartor_geotiff/A 35239-2025 georefererad karta.tif", "A 35239-2025")</f>
        <v/>
      </c>
      <c r="AA135">
        <f>HYPERLINK("https://klasma.github.io/Logging_2481/klagomål/A 35239-2025 FSC-klagomål.docx", "A 35239-2025")</f>
        <v/>
      </c>
      <c r="AB135">
        <f>HYPERLINK("https://klasma.github.io/Logging_2481/klagomålsmail/A 35239-2025 FSC-klagomål mail.docx", "A 35239-2025")</f>
        <v/>
      </c>
      <c r="AC135">
        <f>HYPERLINK("https://klasma.github.io/Logging_2481/tillsyn/A 35239-2025 tillsynsbegäran.docx", "A 35239-2025")</f>
        <v/>
      </c>
      <c r="AD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35981-2025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45863</v>
      </c>
      <c r="E136" s="1" t="n">
        <v>46269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35981-2025 artfynd.xlsx", "A 35981-2025")</f>
        <v/>
      </c>
      <c r="X136">
        <f>HYPERLINK("https://klasma.github.io/Logging_2481/kartor/A 35981-2025 karta.png", "A 35981-2025")</f>
        <v/>
      </c>
      <c r="Y136">
        <f>HYPERLINK("https://klasma.github.io/Logging_2481/kartor_geotiff/A 35981-2025 georefererad karta.tif", "A 35981-2025")</f>
        <v/>
      </c>
      <c r="AA136">
        <f>HYPERLINK("https://klasma.github.io/Logging_2481/klagomål/A 35981-2025 FSC-klagomål.docx", "A 35981-2025")</f>
        <v/>
      </c>
      <c r="AB136">
        <f>HYPERLINK("https://klasma.github.io/Logging_2481/klagomålsmail/A 35981-2025 FSC-klagomål mail.docx", "A 35981-2025")</f>
        <v/>
      </c>
      <c r="AC136">
        <f>HYPERLINK("https://klasma.github.io/Logging_2481/tillsyn/A 35981-2025 tillsynsbegäran.docx", "A 35981-2025")</f>
        <v/>
      </c>
      <c r="AD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46269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Kolflarnlav</t>
        </is>
      </c>
      <c r="W137">
        <f>HYPERLINK("https://klasma.github.io/Logging_2481/artfynd/A 36687-2025 artfynd.xlsx", "A 36687-2025")</f>
        <v/>
      </c>
      <c r="X137">
        <f>HYPERLINK("https://klasma.github.io/Logging_2481/kartor/A 36687-2025 karta.png", "A 36687-2025")</f>
        <v/>
      </c>
      <c r="Y137">
        <f>HYPERLINK("https://klasma.github.io/Logging_2481/kartor_geotiff/A 36687-2025 georefererad karta.tif", "A 36687-2025")</f>
        <v/>
      </c>
      <c r="AA137">
        <f>HYPERLINK("https://klasma.github.io/Logging_2481/klagomål/A 36687-2025 FSC-klagomål.docx", "A 36687-2025")</f>
        <v/>
      </c>
      <c r="AB137">
        <f>HYPERLINK("https://klasma.github.io/Logging_2481/klagomålsmail/A 36687-2025 FSC-klagomål mail.docx", "A 36687-2025")</f>
        <v/>
      </c>
      <c r="AC137">
        <f>HYPERLINK("https://klasma.github.io/Logging_2481/tillsyn/A 36687-2025 tillsynsbegäran.docx", "A 36687-2025")</f>
        <v/>
      </c>
      <c r="AD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61910-2024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46269</v>
      </c>
      <c r="F138" t="inlineStr">
        <is>
          <t>VÄSTERBOTTENS LÄN</t>
        </is>
      </c>
      <c r="G138" t="inlineStr">
        <is>
          <t>LYCKSELE</t>
        </is>
      </c>
      <c r="I138" t="n">
        <v>5.8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7</v>
      </c>
      <c r="U138" t="n">
        <v>3</v>
      </c>
      <c r="V138" s="2" t="inlineStr">
        <is>
          <t>Norna</t>
        </is>
      </c>
      <c r="W138">
        <f>HYPERLINK("https://klasma.github.io/Logging_2481/artfynd/A 61910-2024 artfynd.xlsx", "A 61910-2024")</f>
        <v/>
      </c>
      <c r="X138">
        <f>HYPERLINK("https://klasma.github.io/Logging_2481/kartor/A 61910-2024 karta.png", "A 61910-2024")</f>
        <v/>
      </c>
      <c r="Y138">
        <f>HYPERLINK("https://klasma.github.io/Logging_2481/kartor_geotiff/A 61910-2024 georefererad karta.tif", "A 61910-2024")</f>
        <v/>
      </c>
      <c r="AA138">
        <f>HYPERLINK("https://klasma.github.io/Logging_2481/klagomål/A 61910-2024 FSC-klagomål.docx", "A 61910-2024")</f>
        <v/>
      </c>
      <c r="AB138">
        <f>HYPERLINK("https://klasma.github.io/Logging_2481/klagomålsmail/A 61910-2024 FSC-klagomål mail.docx", "A 61910-2024")</f>
        <v/>
      </c>
      <c r="AC138">
        <f>HYPERLINK("https://klasma.github.io/Logging_2481/tillsyn/A 61910-2024 tillsynsbegäran.docx", "A 61910-2024")</f>
        <v/>
      </c>
      <c r="AD138">
        <f>HYPERLINK("https://klasma.github.io/Logging_2481/tillsynsmail/A 61910-2024 tillsynsbegäran mail.docx", "A 61910-2024")</f>
        <v/>
      </c>
    </row>
    <row r="139" ht="15" customHeight="1">
      <c r="A139" t="inlineStr">
        <is>
          <t>A 53869-2023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46269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Dropptaggsvamp</t>
        </is>
      </c>
      <c r="W139">
        <f>HYPERLINK("https://klasma.github.io/Logging_2481/artfynd/A 53869-2023 artfynd.xlsx", "A 53869-2023")</f>
        <v/>
      </c>
      <c r="X139">
        <f>HYPERLINK("https://klasma.github.io/Logging_2481/kartor/A 53869-2023 karta.png", "A 53869-2023")</f>
        <v/>
      </c>
      <c r="Y139">
        <f>HYPERLINK("https://klasma.github.io/Logging_2481/kartor_geotiff/A 53869-2023 georefererad karta.tif", "A 53869-2023")</f>
        <v/>
      </c>
      <c r="AA139">
        <f>HYPERLINK("https://klasma.github.io/Logging_2481/klagomål/A 53869-2023 FSC-klagomål.docx", "A 53869-2023")</f>
        <v/>
      </c>
      <c r="AB139">
        <f>HYPERLINK("https://klasma.github.io/Logging_2481/klagomålsmail/A 53869-2023 FSC-klagomål mail.docx", "A 53869-2023")</f>
        <v/>
      </c>
      <c r="AC139">
        <f>HYPERLINK("https://klasma.github.io/Logging_2481/tillsyn/A 53869-2023 tillsynsbegäran.docx", "A 53869-2023")</f>
        <v/>
      </c>
      <c r="AD139">
        <f>HYPERLINK("https://klasma.github.io/Logging_2481/tillsynsmail/A 53869-2023 tillsynsbegäran mail.docx", "A 53869-2023")</f>
        <v/>
      </c>
    </row>
    <row r="140" ht="15" customHeight="1">
      <c r="A140" t="inlineStr">
        <is>
          <t>A 28408-2023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45101</v>
      </c>
      <c r="E140" s="1" t="n">
        <v>46269</v>
      </c>
      <c r="F140" t="inlineStr">
        <is>
          <t>VÄSTERBOTTENS LÄN</t>
        </is>
      </c>
      <c r="G140" t="inlineStr">
        <is>
          <t>LYCKSELE</t>
        </is>
      </c>
      <c r="I140" t="n">
        <v>5.7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 taggsvamp</t>
        </is>
      </c>
      <c r="W140">
        <f>HYPERLINK("https://klasma.github.io/Logging_2481/artfynd/A 28408-2023 artfynd.xlsx", "A 28408-2023")</f>
        <v/>
      </c>
      <c r="X140">
        <f>HYPERLINK("https://klasma.github.io/Logging_2481/kartor/A 28408-2023 karta.png", "A 28408-2023")</f>
        <v/>
      </c>
      <c r="Y140">
        <f>HYPERLINK("https://klasma.github.io/Logging_2481/kartor_geotiff/A 28408-2023 georefererad karta.tif", "A 28408-2023")</f>
        <v/>
      </c>
      <c r="AA140">
        <f>HYPERLINK("https://klasma.github.io/Logging_2481/klagomål/A 28408-2023 FSC-klagomål.docx", "A 28408-2023")</f>
        <v/>
      </c>
      <c r="AB140">
        <f>HYPERLINK("https://klasma.github.io/Logging_2481/klagomålsmail/A 28408-2023 FSC-klagomål mail.docx", "A 28408-2023")</f>
        <v/>
      </c>
      <c r="AC140">
        <f>HYPERLINK("https://klasma.github.io/Logging_2481/tillsyn/A 28408-2023 tillsynsbegäran.docx", "A 28408-2023")</f>
        <v/>
      </c>
      <c r="AD140">
        <f>HYPERLINK("https://klasma.github.io/Logging_2481/tillsynsmail/A 28408-2023 tillsynsbegäran mail.docx", "A 28408-2023")</f>
        <v/>
      </c>
    </row>
    <row r="141" ht="15" customHeight="1">
      <c r="A141" t="inlineStr">
        <is>
          <t>A 59283-2024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46269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59283-2024 artfynd.xlsx", "A 59283-2024")</f>
        <v/>
      </c>
      <c r="X141">
        <f>HYPERLINK("https://klasma.github.io/Logging_2481/kartor/A 59283-2024 karta.png", "A 59283-2024")</f>
        <v/>
      </c>
      <c r="Y141">
        <f>HYPERLINK("https://klasma.github.io/Logging_2481/kartor_geotiff/A 59283-2024 georefererad karta.tif", "A 59283-2024")</f>
        <v/>
      </c>
      <c r="AA141">
        <f>HYPERLINK("https://klasma.github.io/Logging_2481/klagomål/A 59283-2024 FSC-klagomål.docx", "A 59283-2024")</f>
        <v/>
      </c>
      <c r="AB141">
        <f>HYPERLINK("https://klasma.github.io/Logging_2481/klagomålsmail/A 59283-2024 FSC-klagomål mail.docx", "A 59283-2024")</f>
        <v/>
      </c>
      <c r="AC141">
        <f>HYPERLINK("https://klasma.github.io/Logging_2481/tillsyn/A 59283-2024 tillsynsbegäran.docx", "A 59283-2024")</f>
        <v/>
      </c>
      <c r="AD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38507-2023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46269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Blå taggsvamp</t>
        </is>
      </c>
      <c r="W142">
        <f>HYPERLINK("https://klasma.github.io/Logging_2481/artfynd/A 38507-2023 artfynd.xlsx", "A 38507-2023")</f>
        <v/>
      </c>
      <c r="X142">
        <f>HYPERLINK("https://klasma.github.io/Logging_2481/kartor/A 38507-2023 karta.png", "A 38507-2023")</f>
        <v/>
      </c>
      <c r="Y142">
        <f>HYPERLINK("https://klasma.github.io/Logging_2481/kartor_geotiff/A 38507-2023 georefererad karta.tif", "A 38507-2023")</f>
        <v/>
      </c>
      <c r="AA142">
        <f>HYPERLINK("https://klasma.github.io/Logging_2481/klagomål/A 38507-2023 FSC-klagomål.docx", "A 38507-2023")</f>
        <v/>
      </c>
      <c r="AB142">
        <f>HYPERLINK("https://klasma.github.io/Logging_2481/klagomålsmail/A 38507-2023 FSC-klagomål mail.docx", "A 38507-2023")</f>
        <v/>
      </c>
      <c r="AC142">
        <f>HYPERLINK("https://klasma.github.io/Logging_2481/tillsyn/A 38507-2023 tillsynsbegäran.docx", "A 38507-2023")</f>
        <v/>
      </c>
      <c r="AD142">
        <f>HYPERLINK("https://klasma.github.io/Logging_2481/tillsynsmail/A 38507-2023 tillsynsbegäran mail.docx", "A 38507-2023")</f>
        <v/>
      </c>
    </row>
    <row r="143" ht="15" customHeight="1">
      <c r="A143" t="inlineStr">
        <is>
          <t>A 37823-2025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45881</v>
      </c>
      <c r="E143" s="1" t="n">
        <v>46269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Plattlummer</t>
        </is>
      </c>
      <c r="W143">
        <f>HYPERLINK("https://klasma.github.io/Logging_2481/artfynd/A 37823-2025 artfynd.xlsx", "A 37823-2025")</f>
        <v/>
      </c>
      <c r="X143">
        <f>HYPERLINK("https://klasma.github.io/Logging_2481/kartor/A 37823-2025 karta.png", "A 37823-2025")</f>
        <v/>
      </c>
      <c r="Y143">
        <f>HYPERLINK("https://klasma.github.io/Logging_2481/kartor_geotiff/A 37823-2025 georefererad karta.tif", "A 37823-2025")</f>
        <v/>
      </c>
      <c r="AA143">
        <f>HYPERLINK("https://klasma.github.io/Logging_2481/klagomål/A 37823-2025 FSC-klagomål.docx", "A 37823-2025")</f>
        <v/>
      </c>
      <c r="AB143">
        <f>HYPERLINK("https://klasma.github.io/Logging_2481/klagomålsmail/A 37823-2025 FSC-klagomål mail.docx", "A 37823-2025")</f>
        <v/>
      </c>
      <c r="AC143">
        <f>HYPERLINK("https://klasma.github.io/Logging_2481/tillsyn/A 37823-2025 tillsynsbegäran.docx", "A 37823-2025")</f>
        <v/>
      </c>
      <c r="AD143">
        <f>HYPERLINK("https://klasma.github.io/Logging_2481/tillsynsmail/A 37823-2025 tillsynsbegäran mail.docx", "A 37823-2025")</f>
        <v/>
      </c>
    </row>
    <row r="144" ht="15" customHeight="1">
      <c r="A144" t="inlineStr">
        <is>
          <t>A 39231-2025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46269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16.3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Mörk kolflarnlav</t>
        </is>
      </c>
      <c r="W144">
        <f>HYPERLINK("https://klasma.github.io/Logging_2481/artfynd/A 39231-2025 artfynd.xlsx", "A 39231-2025")</f>
        <v/>
      </c>
      <c r="X144">
        <f>HYPERLINK("https://klasma.github.io/Logging_2481/kartor/A 39231-2025 karta.png", "A 39231-2025")</f>
        <v/>
      </c>
      <c r="Y144">
        <f>HYPERLINK("https://klasma.github.io/Logging_2481/kartor_geotiff/A 39231-2025 georefererad karta.tif", "A 39231-2025")</f>
        <v/>
      </c>
      <c r="AA144">
        <f>HYPERLINK("https://klasma.github.io/Logging_2481/klagomål/A 39231-2025 FSC-klagomål.docx", "A 39231-2025")</f>
        <v/>
      </c>
      <c r="AB144">
        <f>HYPERLINK("https://klasma.github.io/Logging_2481/klagomålsmail/A 39231-2025 FSC-klagomål mail.docx", "A 39231-2025")</f>
        <v/>
      </c>
      <c r="AC144">
        <f>HYPERLINK("https://klasma.github.io/Logging_2481/tillsyn/A 39231-2025 tillsynsbegäran.docx", "A 39231-2025")</f>
        <v/>
      </c>
      <c r="AD144">
        <f>HYPERLINK("https://klasma.github.io/Logging_2481/tillsynsmail/A 39231-2025 tillsynsbegäran mail.docx", "A 39231-2025")</f>
        <v/>
      </c>
    </row>
    <row r="145" ht="15" customHeight="1">
      <c r="A145" t="inlineStr">
        <is>
          <t>A 39280-2025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9.199999999999999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39280-2025 artfynd.xlsx", "A 39280-2025")</f>
        <v/>
      </c>
      <c r="X145">
        <f>HYPERLINK("https://klasma.github.io/Logging_2481/kartor/A 39280-2025 karta.png", "A 39280-2025")</f>
        <v/>
      </c>
      <c r="Y145">
        <f>HYPERLINK("https://klasma.github.io/Logging_2481/kartor_geotiff/A 39280-2025 georefererad karta.tif", "A 39280-2025")</f>
        <v/>
      </c>
      <c r="AA145">
        <f>HYPERLINK("https://klasma.github.io/Logging_2481/klagomål/A 39280-2025 FSC-klagomål.docx", "A 39280-2025")</f>
        <v/>
      </c>
      <c r="AB145">
        <f>HYPERLINK("https://klasma.github.io/Logging_2481/klagomålsmail/A 39280-2025 FSC-klagomål mail.docx", "A 39280-2025")</f>
        <v/>
      </c>
      <c r="AC145">
        <f>HYPERLINK("https://klasma.github.io/Logging_2481/tillsyn/A 39280-2025 tillsynsbegäran.docx", "A 39280-2025")</f>
        <v/>
      </c>
      <c r="AD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72131-2021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46269</v>
      </c>
      <c r="F146" t="inlineStr">
        <is>
          <t>VÄSTERBOTTENS LÄN</t>
        </is>
      </c>
      <c r="G146" t="inlineStr">
        <is>
          <t>LYCKSELE</t>
        </is>
      </c>
      <c r="I146" t="n">
        <v>19.1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Tretåig hackspett</t>
        </is>
      </c>
      <c r="W146">
        <f>HYPERLINK("https://klasma.github.io/Logging_2481/artfynd/A 72131-2021 artfynd.xlsx", "A 72131-2021")</f>
        <v/>
      </c>
      <c r="X146">
        <f>HYPERLINK("https://klasma.github.io/Logging_2481/kartor/A 72131-2021 karta.png", "A 72131-2021")</f>
        <v/>
      </c>
      <c r="Y146">
        <f>HYPERLINK("https://klasma.github.io/Logging_2481/kartor_geotiff/A 72131-2021 georefererad karta.tif", "A 72131-2021")</f>
        <v/>
      </c>
      <c r="AA146">
        <f>HYPERLINK("https://klasma.github.io/Logging_2481/klagomål/A 72131-2021 FSC-klagomål.docx", "A 72131-2021")</f>
        <v/>
      </c>
      <c r="AB146">
        <f>HYPERLINK("https://klasma.github.io/Logging_2481/klagomålsmail/A 72131-2021 FSC-klagomål mail.docx", "A 72131-2021")</f>
        <v/>
      </c>
      <c r="AC146">
        <f>HYPERLINK("https://klasma.github.io/Logging_2481/tillsyn/A 72131-2021 tillsynsbegäran.docx", "A 72131-2021")</f>
        <v/>
      </c>
      <c r="AD146">
        <f>HYPERLINK("https://klasma.github.io/Logging_2481/tillsynsmail/A 72131-2021 tillsynsbegäran mail.docx", "A 72131-2021")</f>
        <v/>
      </c>
      <c r="AE146">
        <f>HYPERLINK("https://klasma.github.io/Logging_2481/fåglar/A 72131-2021 prioriterade fågelarter.docx", "A 72131-2021")</f>
        <v/>
      </c>
    </row>
    <row r="147" ht="15" customHeight="1">
      <c r="A147" t="inlineStr">
        <is>
          <t>A 20404-2026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46269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Utter</t>
        </is>
      </c>
      <c r="W147">
        <f>HYPERLINK("https://klasma.github.io/Logging_2481/artfynd/A 20404-2026 artfynd.xlsx", "A 20404-2026")</f>
        <v/>
      </c>
      <c r="X147">
        <f>HYPERLINK("https://klasma.github.io/Logging_2481/kartor/A 20404-2026 karta.png", "A 20404-2026")</f>
        <v/>
      </c>
      <c r="Y147">
        <f>HYPERLINK("https://klasma.github.io/Logging_2481/kartor_geotiff/A 20404-2026 georefererad karta.tif", "A 20404-2026")</f>
        <v/>
      </c>
      <c r="AA147">
        <f>HYPERLINK("https://klasma.github.io/Logging_2481/klagomål/A 20404-2026 FSC-klagomål.docx", "A 20404-2026")</f>
        <v/>
      </c>
      <c r="AB147">
        <f>HYPERLINK("https://klasma.github.io/Logging_2481/klagomålsmail/A 20404-2026 FSC-klagomål mail.docx", "A 20404-2026")</f>
        <v/>
      </c>
      <c r="AC147">
        <f>HYPERLINK("https://klasma.github.io/Logging_2481/tillsyn/A 20404-2026 tillsynsbegäran.docx", "A 20404-2026")</f>
        <v/>
      </c>
      <c r="AD147">
        <f>HYPERLINK("https://klasma.github.io/Logging_2481/tillsynsmail/A 20404-2026 tillsynsbegäran mail.docx", "A 20404-2026")</f>
        <v/>
      </c>
    </row>
    <row r="148" ht="15" customHeight="1">
      <c r="A148" t="inlineStr">
        <is>
          <t>A 28838-2024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46269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Kolflarnlav</t>
        </is>
      </c>
      <c r="W148">
        <f>HYPERLINK("https://klasma.github.io/Logging_2481/artfynd/A 28838-2024 artfynd.xlsx", "A 28838-2024")</f>
        <v/>
      </c>
      <c r="X148">
        <f>HYPERLINK("https://klasma.github.io/Logging_2481/kartor/A 28838-2024 karta.png", "A 28838-2024")</f>
        <v/>
      </c>
      <c r="Y148">
        <f>HYPERLINK("https://klasma.github.io/Logging_2481/kartor_geotiff/A 28838-2024 georefererad karta.tif", "A 28838-2024")</f>
        <v/>
      </c>
      <c r="AA148">
        <f>HYPERLINK("https://klasma.github.io/Logging_2481/klagomål/A 28838-2024 FSC-klagomål.docx", "A 28838-2024")</f>
        <v/>
      </c>
      <c r="AB148">
        <f>HYPERLINK("https://klasma.github.io/Logging_2481/klagomålsmail/A 28838-2024 FSC-klagomål mail.docx", "A 28838-2024")</f>
        <v/>
      </c>
      <c r="AC148">
        <f>HYPERLINK("https://klasma.github.io/Logging_2481/tillsyn/A 28838-2024 tillsynsbegäran.docx", "A 28838-2024")</f>
        <v/>
      </c>
      <c r="AD148">
        <f>HYPERLINK("https://klasma.github.io/Logging_2481/tillsynsmail/A 28838-2024 tillsynsbegäran mail.docx", "A 28838-2024")</f>
        <v/>
      </c>
    </row>
    <row r="149" ht="15" customHeight="1">
      <c r="A149" t="inlineStr">
        <is>
          <t>A 44360-2025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46269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HYPERLINK("https://klasma.github.io/Logging_2481/artfynd/A 44360-2025 artfynd.xlsx", "A 44360-2025")</f>
        <v/>
      </c>
      <c r="X149">
        <f>HYPERLINK("https://klasma.github.io/Logging_2481/kartor/A 44360-2025 karta.png", "A 44360-2025")</f>
        <v/>
      </c>
      <c r="Y149">
        <f>HYPERLINK("https://klasma.github.io/Logging_2481/kartor_geotiff/A 44360-2025 georefererad karta.tif", "A 44360-2025")</f>
        <v/>
      </c>
      <c r="AA149">
        <f>HYPERLINK("https://klasma.github.io/Logging_2481/klagomål/A 44360-2025 FSC-klagomål.docx", "A 44360-2025")</f>
        <v/>
      </c>
      <c r="AB149">
        <f>HYPERLINK("https://klasma.github.io/Logging_2481/klagomålsmail/A 44360-2025 FSC-klagomål mail.docx", "A 44360-2025")</f>
        <v/>
      </c>
      <c r="AC149">
        <f>HYPERLINK("https://klasma.github.io/Logging_2481/tillsyn/A 44360-2025 tillsynsbegäran.docx", "A 44360-2025")</f>
        <v/>
      </c>
      <c r="AD149">
        <f>HYPERLINK("https://klasma.github.io/Logging_2481/tillsynsmail/A 44360-2025 tillsynsbegäran mail.docx", "A 44360-2025")</f>
        <v/>
      </c>
    </row>
    <row r="150" ht="15" customHeight="1">
      <c r="A150" t="inlineStr">
        <is>
          <t>A 44331-2025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46269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4.8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44331-2025 artfynd.xlsx", "A 44331-2025")</f>
        <v/>
      </c>
      <c r="X150">
        <f>HYPERLINK("https://klasma.github.io/Logging_2481/kartor/A 44331-2025 karta.png", "A 44331-2025")</f>
        <v/>
      </c>
      <c r="Y150">
        <f>HYPERLINK("https://klasma.github.io/Logging_2481/kartor_geotiff/A 44331-2025 georefererad karta.tif", "A 44331-2025")</f>
        <v/>
      </c>
      <c r="AA150">
        <f>HYPERLINK("https://klasma.github.io/Logging_2481/klagomål/A 44331-2025 FSC-klagomål.docx", "A 44331-2025")</f>
        <v/>
      </c>
      <c r="AB150">
        <f>HYPERLINK("https://klasma.github.io/Logging_2481/klagomålsmail/A 44331-2025 FSC-klagomål mail.docx", "A 44331-2025")</f>
        <v/>
      </c>
      <c r="AC150">
        <f>HYPERLINK("https://klasma.github.io/Logging_2481/tillsyn/A 44331-2025 tillsynsbegäran.docx", "A 44331-2025")</f>
        <v/>
      </c>
      <c r="AD150">
        <f>HYPERLINK("https://klasma.github.io/Logging_2481/tillsynsmail/A 44331-2025 tillsynsbegäran mail.docx", "A 44331-2025")</f>
        <v/>
      </c>
    </row>
    <row r="151" ht="15" customHeight="1">
      <c r="A151" t="inlineStr">
        <is>
          <t>A 45127-2025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46269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21.6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45127-2025 artfynd.xlsx", "A 45127-2025")</f>
        <v/>
      </c>
      <c r="X151">
        <f>HYPERLINK("https://klasma.github.io/Logging_2481/kartor/A 45127-2025 karta.png", "A 45127-2025")</f>
        <v/>
      </c>
      <c r="Y151">
        <f>HYPERLINK("https://klasma.github.io/Logging_2481/kartor_geotiff/A 45127-2025 georefererad karta.tif", "A 45127-2025")</f>
        <v/>
      </c>
      <c r="AA151">
        <f>HYPERLINK("https://klasma.github.io/Logging_2481/klagomål/A 45127-2025 FSC-klagomål.docx", "A 45127-2025")</f>
        <v/>
      </c>
      <c r="AB151">
        <f>HYPERLINK("https://klasma.github.io/Logging_2481/klagomålsmail/A 45127-2025 FSC-klagomål mail.docx", "A 45127-2025")</f>
        <v/>
      </c>
      <c r="AC151">
        <f>HYPERLINK("https://klasma.github.io/Logging_2481/tillsyn/A 45127-2025 tillsynsbegäran.docx", "A 45127-2025")</f>
        <v/>
      </c>
      <c r="AD151">
        <f>HYPERLINK("https://klasma.github.io/Logging_2481/tillsynsmail/A 45127-2025 tillsynsbegäran mail.docx", "A 45127-2025")</f>
        <v/>
      </c>
    </row>
    <row r="152" ht="15" customHeight="1">
      <c r="A152" t="inlineStr">
        <is>
          <t>A 55938-2023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46269</v>
      </c>
      <c r="F152" t="inlineStr">
        <is>
          <t>VÄSTERBOTTENS LÄN</t>
        </is>
      </c>
      <c r="G152" t="inlineStr">
        <is>
          <t>LYCKSELE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Järpe</t>
        </is>
      </c>
      <c r="W152">
        <f>HYPERLINK("https://klasma.github.io/Logging_2481/artfynd/A 55938-2023 artfynd.xlsx", "A 55938-2023")</f>
        <v/>
      </c>
      <c r="X152">
        <f>HYPERLINK("https://klasma.github.io/Logging_2481/kartor/A 55938-2023 karta.png", "A 55938-2023")</f>
        <v/>
      </c>
      <c r="Y152">
        <f>HYPERLINK("https://klasma.github.io/Logging_2481/kartor_geotiff/A 55938-2023 georefererad karta.tif", "A 55938-2023")</f>
        <v/>
      </c>
      <c r="AA152">
        <f>HYPERLINK("https://klasma.github.io/Logging_2481/klagomål/A 55938-2023 FSC-klagomål.docx", "A 55938-2023")</f>
        <v/>
      </c>
      <c r="AB152">
        <f>HYPERLINK("https://klasma.github.io/Logging_2481/klagomålsmail/A 55938-2023 FSC-klagomål mail.docx", "A 55938-2023")</f>
        <v/>
      </c>
      <c r="AC152">
        <f>HYPERLINK("https://klasma.github.io/Logging_2481/tillsyn/A 55938-2023 tillsynsbegäran.docx", "A 55938-2023")</f>
        <v/>
      </c>
      <c r="AD152">
        <f>HYPERLINK("https://klasma.github.io/Logging_2481/tillsynsmail/A 55938-2023 tillsynsbegäran mail.docx", "A 55938-2023")</f>
        <v/>
      </c>
      <c r="AE152">
        <f>HYPERLINK("https://klasma.github.io/Logging_2481/fåglar/A 55938-2023 prioriterade fågelarter.docx", "A 55938-2023")</f>
        <v/>
      </c>
    </row>
    <row r="153" ht="15" customHeight="1">
      <c r="A153" t="inlineStr">
        <is>
          <t>A 47454-2025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46269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HYPERLINK("https://klasma.github.io/Logging_2481/artfynd/A 47454-2025 artfynd.xlsx", "A 47454-2025")</f>
        <v/>
      </c>
      <c r="X153">
        <f>HYPERLINK("https://klasma.github.io/Logging_2481/kartor/A 47454-2025 karta.png", "A 47454-2025")</f>
        <v/>
      </c>
      <c r="Y153">
        <f>HYPERLINK("https://klasma.github.io/Logging_2481/kartor_geotiff/A 47454-2025 georefererad karta.tif", "A 47454-2025")</f>
        <v/>
      </c>
      <c r="AA153">
        <f>HYPERLINK("https://klasma.github.io/Logging_2481/klagomål/A 47454-2025 FSC-klagomål.docx", "A 47454-2025")</f>
        <v/>
      </c>
      <c r="AB153">
        <f>HYPERLINK("https://klasma.github.io/Logging_2481/klagomålsmail/A 47454-2025 FSC-klagomål mail.docx", "A 47454-2025")</f>
        <v/>
      </c>
      <c r="AC153">
        <f>HYPERLINK("https://klasma.github.io/Logging_2481/tillsyn/A 47454-2025 tillsynsbegäran.docx", "A 47454-2025")</f>
        <v/>
      </c>
      <c r="AD153">
        <f>HYPERLINK("https://klasma.github.io/Logging_2481/tillsynsmail/A 47454-2025 tillsynsbegäran mail.docx", "A 47454-2025")</f>
        <v/>
      </c>
    </row>
    <row r="154" ht="15" customHeight="1">
      <c r="A154" t="inlineStr">
        <is>
          <t>A 35559-2023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46269</v>
      </c>
      <c r="F154" t="inlineStr">
        <is>
          <t>VÄSTERBOTTENS LÄN</t>
        </is>
      </c>
      <c r="G154" t="inlineStr">
        <is>
          <t>LYCKSELE</t>
        </is>
      </c>
      <c r="I154" t="n">
        <v>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Stjärntagging</t>
        </is>
      </c>
      <c r="W154">
        <f>HYPERLINK("https://klasma.github.io/Logging_2481/artfynd/A 35559-2023 artfynd.xlsx", "A 35559-2023")</f>
        <v/>
      </c>
      <c r="X154">
        <f>HYPERLINK("https://klasma.github.io/Logging_2481/kartor/A 35559-2023 karta.png", "A 35559-2023")</f>
        <v/>
      </c>
      <c r="Y154">
        <f>HYPERLINK("https://klasma.github.io/Logging_2481/kartor_geotiff/A 35559-2023 georefererad karta.tif", "A 35559-2023")</f>
        <v/>
      </c>
      <c r="AA154">
        <f>HYPERLINK("https://klasma.github.io/Logging_2481/klagomål/A 35559-2023 FSC-klagomål.docx", "A 35559-2023")</f>
        <v/>
      </c>
      <c r="AB154">
        <f>HYPERLINK("https://klasma.github.io/Logging_2481/klagomålsmail/A 35559-2023 FSC-klagomål mail.docx", "A 35559-2023")</f>
        <v/>
      </c>
      <c r="AC154">
        <f>HYPERLINK("https://klasma.github.io/Logging_2481/tillsyn/A 35559-2023 tillsynsbegäran.docx", "A 35559-2023")</f>
        <v/>
      </c>
      <c r="AD154">
        <f>HYPERLINK("https://klasma.github.io/Logging_2481/tillsynsmail/A 35559-2023 tillsynsbegäran mail.docx", "A 35559-2023")</f>
        <v/>
      </c>
    </row>
    <row r="155" ht="15" customHeight="1">
      <c r="A155" t="inlineStr">
        <is>
          <t>A 50826-2024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46269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Dropptaggsvamp</t>
        </is>
      </c>
      <c r="W155">
        <f>HYPERLINK("https://klasma.github.io/Logging_2481/artfynd/A 50826-2024 artfynd.xlsx", "A 50826-2024")</f>
        <v/>
      </c>
      <c r="X155">
        <f>HYPERLINK("https://klasma.github.io/Logging_2481/kartor/A 50826-2024 karta.png", "A 50826-2024")</f>
        <v/>
      </c>
      <c r="Y155">
        <f>HYPERLINK("https://klasma.github.io/Logging_2481/kartor_geotiff/A 50826-2024 georefererad karta.tif", "A 50826-2024")</f>
        <v/>
      </c>
      <c r="AA155">
        <f>HYPERLINK("https://klasma.github.io/Logging_2481/klagomål/A 50826-2024 FSC-klagomål.docx", "A 50826-2024")</f>
        <v/>
      </c>
      <c r="AB155">
        <f>HYPERLINK("https://klasma.github.io/Logging_2481/klagomålsmail/A 50826-2024 FSC-klagomål mail.docx", "A 50826-2024")</f>
        <v/>
      </c>
      <c r="AC155">
        <f>HYPERLINK("https://klasma.github.io/Logging_2481/tillsyn/A 50826-2024 tillsynsbegäran.docx", "A 50826-2024")</f>
        <v/>
      </c>
      <c r="AD155">
        <f>HYPERLINK("https://klasma.github.io/Logging_2481/tillsynsmail/A 50826-2024 tillsynsbegäran mail.docx", "A 50826-2024")</f>
        <v/>
      </c>
    </row>
    <row r="156" ht="15" customHeight="1">
      <c r="A156" t="inlineStr">
        <is>
          <t>A 22120-2026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46269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Kolflarnlav</t>
        </is>
      </c>
      <c r="W156">
        <f>HYPERLINK("https://klasma.github.io/Logging_2481/artfynd/A 22120-2026 artfynd.xlsx", "A 22120-2026")</f>
        <v/>
      </c>
      <c r="X156">
        <f>HYPERLINK("https://klasma.github.io/Logging_2481/kartor/A 22120-2026 karta.png", "A 22120-2026")</f>
        <v/>
      </c>
      <c r="Y156">
        <f>HYPERLINK("https://klasma.github.io/Logging_2481/kartor_geotiff/A 22120-2026 georefererad karta.tif", "A 22120-2026")</f>
        <v/>
      </c>
      <c r="AA156">
        <f>HYPERLINK("https://klasma.github.io/Logging_2481/klagomål/A 22120-2026 FSC-klagomål.docx", "A 22120-2026")</f>
        <v/>
      </c>
      <c r="AB156">
        <f>HYPERLINK("https://klasma.github.io/Logging_2481/klagomålsmail/A 22120-2026 FSC-klagomål mail.docx", "A 22120-2026")</f>
        <v/>
      </c>
      <c r="AC156">
        <f>HYPERLINK("https://klasma.github.io/Logging_2481/tillsyn/A 22120-2026 tillsynsbegäran.docx", "A 22120-2026")</f>
        <v/>
      </c>
      <c r="AD156">
        <f>HYPERLINK("https://klasma.github.io/Logging_2481/tillsynsmail/A 22120-2026 tillsynsbegäran mail.docx", "A 22120-2026")</f>
        <v/>
      </c>
    </row>
    <row r="157" ht="15" customHeight="1">
      <c r="A157" t="inlineStr">
        <is>
          <t>A 50463-2025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HYPERLINK("https://klasma.github.io/Logging_2481/artfynd/A 50463-2025 artfynd.xlsx", "A 50463-2025")</f>
        <v/>
      </c>
      <c r="X157">
        <f>HYPERLINK("https://klasma.github.io/Logging_2481/kartor/A 50463-2025 karta.png", "A 50463-2025")</f>
        <v/>
      </c>
      <c r="Y157">
        <f>HYPERLINK("https://klasma.github.io/Logging_2481/kartor_geotiff/A 50463-2025 georefererad karta.tif", "A 50463-2025")</f>
        <v/>
      </c>
      <c r="AA157">
        <f>HYPERLINK("https://klasma.github.io/Logging_2481/klagomål/A 50463-2025 FSC-klagomål.docx", "A 50463-2025")</f>
        <v/>
      </c>
      <c r="AB157">
        <f>HYPERLINK("https://klasma.github.io/Logging_2481/klagomålsmail/A 50463-2025 FSC-klagomål mail.docx", "A 50463-2025")</f>
        <v/>
      </c>
      <c r="AC157">
        <f>HYPERLINK("https://klasma.github.io/Logging_2481/tillsyn/A 50463-2025 tillsynsbegäran.docx", "A 50463-2025")</f>
        <v/>
      </c>
      <c r="AD157">
        <f>HYPERLINK("https://klasma.github.io/Logging_2481/tillsynsmail/A 50463-2025 tillsynsbegäran mail.docx", "A 50463-2025")</f>
        <v/>
      </c>
    </row>
    <row r="158" ht="15" customHeight="1">
      <c r="A158" t="inlineStr">
        <is>
          <t>A 20929-2025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46269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Dropptaggsvamp</t>
        </is>
      </c>
      <c r="W158">
        <f>HYPERLINK("https://klasma.github.io/Logging_2481/artfynd/A 20929-2025 artfynd.xlsx", "A 20929-2025")</f>
        <v/>
      </c>
      <c r="X158">
        <f>HYPERLINK("https://klasma.github.io/Logging_2481/kartor/A 20929-2025 karta.png", "A 20929-2025")</f>
        <v/>
      </c>
      <c r="Y158">
        <f>HYPERLINK("https://klasma.github.io/Logging_2481/kartor_geotiff/A 20929-2025 georefererad karta.tif", "A 20929-2025")</f>
        <v/>
      </c>
      <c r="AA158">
        <f>HYPERLINK("https://klasma.github.io/Logging_2481/klagomål/A 20929-2025 FSC-klagomål.docx", "A 20929-2025")</f>
        <v/>
      </c>
      <c r="AB158">
        <f>HYPERLINK("https://klasma.github.io/Logging_2481/klagomålsmail/A 20929-2025 FSC-klagomål mail.docx", "A 20929-2025")</f>
        <v/>
      </c>
      <c r="AC158">
        <f>HYPERLINK("https://klasma.github.io/Logging_2481/tillsyn/A 20929-2025 tillsynsbegäran.docx", "A 20929-2025")</f>
        <v/>
      </c>
      <c r="AD158">
        <f>HYPERLINK("https://klasma.github.io/Logging_2481/tillsynsmail/A 20929-2025 tillsynsbegäran mail.docx", "A 20929-2025")</f>
        <v/>
      </c>
    </row>
    <row r="159" ht="15" customHeight="1">
      <c r="A159" t="inlineStr">
        <is>
          <t>A 22680-2026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46156</v>
      </c>
      <c r="E159" s="1" t="n">
        <v>46269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22.2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22680-2026 artfynd.xlsx", "A 22680-2026")</f>
        <v/>
      </c>
      <c r="X159">
        <f>HYPERLINK("https://klasma.github.io/Logging_2481/kartor/A 22680-2026 karta.png", "A 22680-2026")</f>
        <v/>
      </c>
      <c r="Y159">
        <f>HYPERLINK("https://klasma.github.io/Logging_2481/kartor_geotiff/A 22680-2026 georefererad karta.tif", "A 22680-2026")</f>
        <v/>
      </c>
      <c r="AA159">
        <f>HYPERLINK("https://klasma.github.io/Logging_2481/klagomål/A 22680-2026 FSC-klagomål.docx", "A 22680-2026")</f>
        <v/>
      </c>
      <c r="AB159">
        <f>HYPERLINK("https://klasma.github.io/Logging_2481/klagomålsmail/A 22680-2026 FSC-klagomål mail.docx", "A 22680-2026")</f>
        <v/>
      </c>
      <c r="AC159">
        <f>HYPERLINK("https://klasma.github.io/Logging_2481/tillsyn/A 22680-2026 tillsynsbegäran.docx", "A 22680-2026")</f>
        <v/>
      </c>
      <c r="AD159">
        <f>HYPERLINK("https://klasma.github.io/Logging_2481/tillsynsmail/A 22680-2026 tillsynsbegäran mail.docx", "A 22680-2026")</f>
        <v/>
      </c>
    </row>
    <row r="160" ht="15" customHeight="1">
      <c r="A160" t="inlineStr">
        <is>
          <t>A 57243-2025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45979</v>
      </c>
      <c r="E160" s="1" t="n">
        <v>46269</v>
      </c>
      <c r="F160" t="inlineStr">
        <is>
          <t>VÄSTERBOTTENS LÄN</t>
        </is>
      </c>
      <c r="G160" t="inlineStr">
        <is>
          <t>LYCKSELE</t>
        </is>
      </c>
      <c r="I160" t="n">
        <v>2.1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57243-2025 artfynd.xlsx", "A 57243-2025")</f>
        <v/>
      </c>
      <c r="X160">
        <f>HYPERLINK("https://klasma.github.io/Logging_2481/kartor/A 57243-2025 karta.png", "A 57243-2025")</f>
        <v/>
      </c>
      <c r="Y160">
        <f>HYPERLINK("https://klasma.github.io/Logging_2481/kartor_geotiff/A 57243-2025 georefererad karta.tif", "A 57243-2025")</f>
        <v/>
      </c>
      <c r="AA160">
        <f>HYPERLINK("https://klasma.github.io/Logging_2481/klagomål/A 57243-2025 FSC-klagomål.docx", "A 57243-2025")</f>
        <v/>
      </c>
      <c r="AB160">
        <f>HYPERLINK("https://klasma.github.io/Logging_2481/klagomålsmail/A 57243-2025 FSC-klagomål mail.docx", "A 57243-2025")</f>
        <v/>
      </c>
      <c r="AC160">
        <f>HYPERLINK("https://klasma.github.io/Logging_2481/tillsyn/A 57243-2025 tillsynsbegäran.docx", "A 57243-2025")</f>
        <v/>
      </c>
      <c r="AD160">
        <f>HYPERLINK("https://klasma.github.io/Logging_2481/tillsynsmail/A 57243-2025 tillsynsbegäran mail.docx", "A 57243-2025")</f>
        <v/>
      </c>
    </row>
    <row r="161" ht="15" customHeight="1">
      <c r="A161" t="inlineStr">
        <is>
          <t>A 53108-2025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46269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14.1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Bårdlav</t>
        </is>
      </c>
      <c r="W161">
        <f>HYPERLINK("https://klasma.github.io/Logging_2481/artfynd/A 53108-2025 artfynd.xlsx", "A 53108-2025")</f>
        <v/>
      </c>
      <c r="X161">
        <f>HYPERLINK("https://klasma.github.io/Logging_2481/kartor/A 53108-2025 karta.png", "A 53108-2025")</f>
        <v/>
      </c>
      <c r="Y161">
        <f>HYPERLINK("https://klasma.github.io/Logging_2481/kartor_geotiff/A 53108-2025 georefererad karta.tif", "A 53108-2025")</f>
        <v/>
      </c>
      <c r="AA161">
        <f>HYPERLINK("https://klasma.github.io/Logging_2481/klagomål/A 53108-2025 FSC-klagomål.docx", "A 53108-2025")</f>
        <v/>
      </c>
      <c r="AB161">
        <f>HYPERLINK("https://klasma.github.io/Logging_2481/klagomålsmail/A 53108-2025 FSC-klagomål mail.docx", "A 53108-2025")</f>
        <v/>
      </c>
      <c r="AC161">
        <f>HYPERLINK("https://klasma.github.io/Logging_2481/tillsyn/A 53108-2025 tillsynsbegäran.docx", "A 53108-2025")</f>
        <v/>
      </c>
      <c r="AD161">
        <f>HYPERLINK("https://klasma.github.io/Logging_2481/tillsynsmail/A 53108-2025 tillsynsbegäran mail.docx", "A 53108-2025")</f>
        <v/>
      </c>
    </row>
    <row r="162" ht="15" customHeight="1">
      <c r="A162" t="inlineStr">
        <is>
          <t>A 53110-2025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46269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16.2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HYPERLINK("https://klasma.github.io/Logging_2481/artfynd/A 53110-2025 artfynd.xlsx", "A 53110-2025")</f>
        <v/>
      </c>
      <c r="X162">
        <f>HYPERLINK("https://klasma.github.io/Logging_2481/kartor/A 53110-2025 karta.png", "A 53110-2025")</f>
        <v/>
      </c>
      <c r="Y162">
        <f>HYPERLINK("https://klasma.github.io/Logging_2481/kartor_geotiff/A 53110-2025 georefererad karta.tif", "A 53110-2025")</f>
        <v/>
      </c>
      <c r="AA162">
        <f>HYPERLINK("https://klasma.github.io/Logging_2481/klagomål/A 53110-2025 FSC-klagomål.docx", "A 53110-2025")</f>
        <v/>
      </c>
      <c r="AB162">
        <f>HYPERLINK("https://klasma.github.io/Logging_2481/klagomålsmail/A 53110-2025 FSC-klagomål mail.docx", "A 53110-2025")</f>
        <v/>
      </c>
      <c r="AC162">
        <f>HYPERLINK("https://klasma.github.io/Logging_2481/tillsyn/A 53110-2025 tillsynsbegäran.docx", "A 53110-2025")</f>
        <v/>
      </c>
      <c r="AD162">
        <f>HYPERLINK("https://klasma.github.io/Logging_2481/tillsynsmail/A 53110-2025 tillsynsbegäran mail.docx", "A 53110-2025")</f>
        <v/>
      </c>
    </row>
    <row r="163" ht="15" customHeight="1">
      <c r="A163" t="inlineStr">
        <is>
          <t>A 23396-2026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46269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SCA</t>
        </is>
      </c>
      <c r="I163" t="n">
        <v>6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Källpraktmossa</t>
        </is>
      </c>
      <c r="W163">
        <f>HYPERLINK("https://klasma.github.io/Logging_2481/artfynd/A 23396-2026 artfynd.xlsx", "A 23396-2026")</f>
        <v/>
      </c>
      <c r="X163">
        <f>HYPERLINK("https://klasma.github.io/Logging_2481/kartor/A 23396-2026 karta.png", "A 23396-2026")</f>
        <v/>
      </c>
      <c r="Y163">
        <f>HYPERLINK("https://klasma.github.io/Logging_2481/kartor_geotiff/A 23396-2026 georefererad karta.tif", "A 23396-2026")</f>
        <v/>
      </c>
      <c r="AA163">
        <f>HYPERLINK("https://klasma.github.io/Logging_2481/klagomål/A 23396-2026 FSC-klagomål.docx", "A 23396-2026")</f>
        <v/>
      </c>
      <c r="AB163">
        <f>HYPERLINK("https://klasma.github.io/Logging_2481/klagomålsmail/A 23396-2026 FSC-klagomål mail.docx", "A 23396-2026")</f>
        <v/>
      </c>
      <c r="AC163">
        <f>HYPERLINK("https://klasma.github.io/Logging_2481/tillsyn/A 23396-2026 tillsynsbegäran.docx", "A 23396-2026")</f>
        <v/>
      </c>
      <c r="AD163">
        <f>HYPERLINK("https://klasma.github.io/Logging_2481/tillsynsmail/A 23396-2026 tillsynsbegäran mail.docx", "A 23396-2026")</f>
        <v/>
      </c>
    </row>
    <row r="164" ht="15" customHeight="1">
      <c r="A164" t="inlineStr">
        <is>
          <t>A 54277-2025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46269</v>
      </c>
      <c r="F164" t="inlineStr">
        <is>
          <t>VÄSTERBOTTENS LÄN</t>
        </is>
      </c>
      <c r="G164" t="inlineStr">
        <is>
          <t>LYCKSELE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0</v>
      </c>
      <c r="V164" s="2" t="inlineStr">
        <is>
          <t>Garnlav</t>
        </is>
      </c>
      <c r="W164">
        <f>HYPERLINK("https://klasma.github.io/Logging_2481/artfynd/A 54277-2025 artfynd.xlsx", "A 54277-2025")</f>
        <v/>
      </c>
      <c r="X164">
        <f>HYPERLINK("https://klasma.github.io/Logging_2481/kartor/A 54277-2025 karta.png", "A 54277-2025")</f>
        <v/>
      </c>
      <c r="Y164">
        <f>HYPERLINK("https://klasma.github.io/Logging_2481/kartor_geotiff/A 54277-2025 georefererad karta.tif", "A 54277-2025")</f>
        <v/>
      </c>
      <c r="AA164">
        <f>HYPERLINK("https://klasma.github.io/Logging_2481/klagomål/A 54277-2025 FSC-klagomål.docx", "A 54277-2025")</f>
        <v/>
      </c>
      <c r="AB164">
        <f>HYPERLINK("https://klasma.github.io/Logging_2481/klagomålsmail/A 54277-2025 FSC-klagomål mail.docx", "A 54277-2025")</f>
        <v/>
      </c>
      <c r="AC164">
        <f>HYPERLINK("https://klasma.github.io/Logging_2481/tillsyn/A 54277-2025 tillsynsbegäran.docx", "A 54277-2025")</f>
        <v/>
      </c>
      <c r="AD164">
        <f>HYPERLINK("https://klasma.github.io/Logging_2481/tillsynsmail/A 54277-2025 tillsynsbegäran mail.docx", "A 54277-2025")</f>
        <v/>
      </c>
    </row>
    <row r="165" ht="15" customHeight="1">
      <c r="A165" t="inlineStr">
        <is>
          <t>A 58071-2025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46269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3.1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Stuplav</t>
        </is>
      </c>
      <c r="W165">
        <f>HYPERLINK("https://klasma.github.io/Logging_2481/artfynd/A 58071-2025 artfynd.xlsx", "A 58071-2025")</f>
        <v/>
      </c>
      <c r="X165">
        <f>HYPERLINK("https://klasma.github.io/Logging_2481/kartor/A 58071-2025 karta.png", "A 58071-2025")</f>
        <v/>
      </c>
      <c r="Y165">
        <f>HYPERLINK("https://klasma.github.io/Logging_2481/kartor_geotiff/A 58071-2025 georefererad karta.tif", "A 58071-2025")</f>
        <v/>
      </c>
      <c r="AA165">
        <f>HYPERLINK("https://klasma.github.io/Logging_2481/klagomål/A 58071-2025 FSC-klagomål.docx", "A 58071-2025")</f>
        <v/>
      </c>
      <c r="AB165">
        <f>HYPERLINK("https://klasma.github.io/Logging_2481/klagomålsmail/A 58071-2025 FSC-klagomål mail.docx", "A 58071-2025")</f>
        <v/>
      </c>
      <c r="AC165">
        <f>HYPERLINK("https://klasma.github.io/Logging_2481/tillsyn/A 58071-2025 tillsynsbegäran.docx", "A 58071-2025")</f>
        <v/>
      </c>
      <c r="AD165">
        <f>HYPERLINK("https://klasma.github.io/Logging_2481/tillsynsmail/A 58071-2025 tillsynsbegäran mail.docx", "A 58071-2025")</f>
        <v/>
      </c>
    </row>
    <row r="166" ht="15" customHeight="1">
      <c r="A166" t="inlineStr">
        <is>
          <t>A 58390-2025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46269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9.1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58390-2025 artfynd.xlsx", "A 58390-2025")</f>
        <v/>
      </c>
      <c r="X166">
        <f>HYPERLINK("https://klasma.github.io/Logging_2481/kartor/A 58390-2025 karta.png", "A 58390-2025")</f>
        <v/>
      </c>
      <c r="Y166">
        <f>HYPERLINK("https://klasma.github.io/Logging_2481/kartor_geotiff/A 58390-2025 georefererad karta.tif", "A 58390-2025")</f>
        <v/>
      </c>
      <c r="AA166">
        <f>HYPERLINK("https://klasma.github.io/Logging_2481/klagomål/A 58390-2025 FSC-klagomål.docx", "A 58390-2025")</f>
        <v/>
      </c>
      <c r="AB166">
        <f>HYPERLINK("https://klasma.github.io/Logging_2481/klagomålsmail/A 58390-2025 FSC-klagomål mail.docx", "A 58390-2025")</f>
        <v/>
      </c>
      <c r="AC166">
        <f>HYPERLINK("https://klasma.github.io/Logging_2481/tillsyn/A 58390-2025 tillsynsbegäran.docx", "A 58390-2025")</f>
        <v/>
      </c>
      <c r="AD166">
        <f>HYPERLINK("https://klasma.github.io/Logging_2481/tillsynsmail/A 58390-2025 tillsynsbegäran mail.docx", "A 58390-2025")</f>
        <v/>
      </c>
    </row>
    <row r="167" ht="15" customHeight="1">
      <c r="A167" t="inlineStr">
        <is>
          <t>A 25591-2026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46269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15.9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Gränsticka</t>
        </is>
      </c>
      <c r="W167">
        <f>HYPERLINK("https://klasma.github.io/Logging_2481/artfynd/A 25591-2026 artfynd.xlsx", "A 25591-2026")</f>
        <v/>
      </c>
      <c r="X167">
        <f>HYPERLINK("https://klasma.github.io/Logging_2481/kartor/A 25591-2026 karta.png", "A 25591-2026")</f>
        <v/>
      </c>
      <c r="Y167">
        <f>HYPERLINK("https://klasma.github.io/Logging_2481/kartor_geotiff/A 25591-2026 georefererad karta.tif", "A 25591-2026")</f>
        <v/>
      </c>
      <c r="AA167">
        <f>HYPERLINK("https://klasma.github.io/Logging_2481/klagomål/A 25591-2026 FSC-klagomål.docx", "A 25591-2026")</f>
        <v/>
      </c>
      <c r="AB167">
        <f>HYPERLINK("https://klasma.github.io/Logging_2481/klagomålsmail/A 25591-2026 FSC-klagomål mail.docx", "A 25591-2026")</f>
        <v/>
      </c>
      <c r="AC167">
        <f>HYPERLINK("https://klasma.github.io/Logging_2481/tillsyn/A 25591-2026 tillsynsbegäran.docx", "A 25591-2026")</f>
        <v/>
      </c>
      <c r="AD167">
        <f>HYPERLINK("https://klasma.github.io/Logging_2481/tillsynsmail/A 25591-2026 tillsynsbegäran mail.docx", "A 25591-2026")</f>
        <v/>
      </c>
    </row>
    <row r="168" ht="15" customHeight="1">
      <c r="A168" t="inlineStr">
        <is>
          <t>A 59883-2025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45993</v>
      </c>
      <c r="E168" s="1" t="n">
        <v>46269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9.1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59883-2025 artfynd.xlsx", "A 59883-2025")</f>
        <v/>
      </c>
      <c r="X168">
        <f>HYPERLINK("https://klasma.github.io/Logging_2481/kartor/A 59883-2025 karta.png", "A 59883-2025")</f>
        <v/>
      </c>
      <c r="Y168">
        <f>HYPERLINK("https://klasma.github.io/Logging_2481/kartor_geotiff/A 59883-2025 georefererad karta.tif", "A 59883-2025")</f>
        <v/>
      </c>
      <c r="AA168">
        <f>HYPERLINK("https://klasma.github.io/Logging_2481/klagomål/A 59883-2025 FSC-klagomål.docx", "A 59883-2025")</f>
        <v/>
      </c>
      <c r="AB168">
        <f>HYPERLINK("https://klasma.github.io/Logging_2481/klagomålsmail/A 59883-2025 FSC-klagomål mail.docx", "A 59883-2025")</f>
        <v/>
      </c>
      <c r="AC168">
        <f>HYPERLINK("https://klasma.github.io/Logging_2481/tillsyn/A 59883-2025 tillsynsbegäran.docx", "A 59883-2025")</f>
        <v/>
      </c>
      <c r="AD168">
        <f>HYPERLINK("https://klasma.github.io/Logging_2481/tillsynsmail/A 59883-2025 tillsynsbegäran mail.docx", "A 59883-2025")</f>
        <v/>
      </c>
    </row>
    <row r="169" ht="15" customHeight="1">
      <c r="A169" t="inlineStr">
        <is>
          <t>A 25701-2026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46269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25701-2026 artfynd.xlsx", "A 25701-2026")</f>
        <v/>
      </c>
      <c r="X169">
        <f>HYPERLINK("https://klasma.github.io/Logging_2481/kartor/A 25701-2026 karta.png", "A 25701-2026")</f>
        <v/>
      </c>
      <c r="Y169">
        <f>HYPERLINK("https://klasma.github.io/Logging_2481/kartor_geotiff/A 25701-2026 georefererad karta.tif", "A 25701-2026")</f>
        <v/>
      </c>
      <c r="AA169">
        <f>HYPERLINK("https://klasma.github.io/Logging_2481/klagomål/A 25701-2026 FSC-klagomål.docx", "A 25701-2026")</f>
        <v/>
      </c>
      <c r="AB169">
        <f>HYPERLINK("https://klasma.github.io/Logging_2481/klagomålsmail/A 25701-2026 FSC-klagomål mail.docx", "A 25701-2026")</f>
        <v/>
      </c>
      <c r="AC169">
        <f>HYPERLINK("https://klasma.github.io/Logging_2481/tillsyn/A 25701-2026 tillsynsbegäran.docx", "A 25701-2026")</f>
        <v/>
      </c>
      <c r="AD169">
        <f>HYPERLINK("https://klasma.github.io/Logging_2481/tillsynsmail/A 25701-2026 tillsynsbegäran mail.docx", "A 25701-2026")</f>
        <v/>
      </c>
    </row>
    <row r="170" ht="15" customHeight="1">
      <c r="A170" t="inlineStr">
        <is>
          <t>A 45774-2024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46269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4.3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Barkticka</t>
        </is>
      </c>
      <c r="W170">
        <f>HYPERLINK("https://klasma.github.io/Logging_2481/artfynd/A 45774-2024 artfynd.xlsx", "A 45774-2024")</f>
        <v/>
      </c>
      <c r="X170">
        <f>HYPERLINK("https://klasma.github.io/Logging_2481/kartor/A 45774-2024 karta.png", "A 45774-2024")</f>
        <v/>
      </c>
      <c r="Y170">
        <f>HYPERLINK("https://klasma.github.io/Logging_2481/kartor_geotiff/A 45774-2024 georefererad karta.tif", "A 45774-2024")</f>
        <v/>
      </c>
      <c r="AA170">
        <f>HYPERLINK("https://klasma.github.io/Logging_2481/klagomål/A 45774-2024 FSC-klagomål.docx", "A 45774-2024")</f>
        <v/>
      </c>
      <c r="AB170">
        <f>HYPERLINK("https://klasma.github.io/Logging_2481/klagomålsmail/A 45774-2024 FSC-klagomål mail.docx", "A 45774-2024")</f>
        <v/>
      </c>
      <c r="AC170">
        <f>HYPERLINK("https://klasma.github.io/Logging_2481/tillsyn/A 45774-2024 tillsynsbegäran.docx", "A 45774-2024")</f>
        <v/>
      </c>
      <c r="AD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25720-2026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46269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Orange taggsvamp</t>
        </is>
      </c>
      <c r="W171">
        <f>HYPERLINK("https://klasma.github.io/Logging_2481/artfynd/A 25720-2026 artfynd.xlsx", "A 25720-2026")</f>
        <v/>
      </c>
      <c r="X171">
        <f>HYPERLINK("https://klasma.github.io/Logging_2481/kartor/A 25720-2026 karta.png", "A 25720-2026")</f>
        <v/>
      </c>
      <c r="Y171">
        <f>HYPERLINK("https://klasma.github.io/Logging_2481/kartor_geotiff/A 25720-2026 georefererad karta.tif", "A 25720-2026")</f>
        <v/>
      </c>
      <c r="AA171">
        <f>HYPERLINK("https://klasma.github.io/Logging_2481/klagomål/A 25720-2026 FSC-klagomål.docx", "A 25720-2026")</f>
        <v/>
      </c>
      <c r="AB171">
        <f>HYPERLINK("https://klasma.github.io/Logging_2481/klagomålsmail/A 25720-2026 FSC-klagomål mail.docx", "A 25720-2026")</f>
        <v/>
      </c>
      <c r="AC171">
        <f>HYPERLINK("https://klasma.github.io/Logging_2481/tillsyn/A 25720-2026 tillsynsbegäran.docx", "A 25720-2026")</f>
        <v/>
      </c>
      <c r="AD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46269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7.9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25706-2026 artfynd.xlsx", "A 25706-2026")</f>
        <v/>
      </c>
      <c r="X172">
        <f>HYPERLINK("https://klasma.github.io/Logging_2481/kartor/A 25706-2026 karta.png", "A 25706-2026")</f>
        <v/>
      </c>
      <c r="Y172">
        <f>HYPERLINK("https://klasma.github.io/Logging_2481/kartor_geotiff/A 25706-2026 georefererad karta.tif", "A 25706-2026")</f>
        <v/>
      </c>
      <c r="AA172">
        <f>HYPERLINK("https://klasma.github.io/Logging_2481/klagomål/A 25706-2026 FSC-klagomål.docx", "A 25706-2026")</f>
        <v/>
      </c>
      <c r="AB172">
        <f>HYPERLINK("https://klasma.github.io/Logging_2481/klagomålsmail/A 25706-2026 FSC-klagomål mail.docx", "A 25706-2026")</f>
        <v/>
      </c>
      <c r="AC172">
        <f>HYPERLINK("https://klasma.github.io/Logging_2481/tillsyn/A 25706-2026 tillsynsbegäran.docx", "A 25706-2026")</f>
        <v/>
      </c>
      <c r="AD172">
        <f>HYPERLINK("https://klasma.github.io/Logging_2481/tillsynsmail/A 25706-2026 tillsynsbegäran mail.docx", "A 25706-2026")</f>
        <v/>
      </c>
    </row>
    <row r="173" ht="15" customHeight="1">
      <c r="A173" t="inlineStr">
        <is>
          <t>A 62317-2025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46269</v>
      </c>
      <c r="F173" t="inlineStr">
        <is>
          <t>VÄSTERBOTTENS LÄN</t>
        </is>
      </c>
      <c r="G173" t="inlineStr">
        <is>
          <t>LYCKSELE</t>
        </is>
      </c>
      <c r="I173" t="n">
        <v>0.9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Plattlummer</t>
        </is>
      </c>
      <c r="W173">
        <f>HYPERLINK("https://klasma.github.io/Logging_2481/artfynd/A 62317-2025 artfynd.xlsx", "A 62317-2025")</f>
        <v/>
      </c>
      <c r="X173">
        <f>HYPERLINK("https://klasma.github.io/Logging_2481/kartor/A 62317-2025 karta.png", "A 62317-2025")</f>
        <v/>
      </c>
      <c r="Y173">
        <f>HYPERLINK("https://klasma.github.io/Logging_2481/kartor_geotiff/A 62317-2025 georefererad karta.tif", "A 62317-2025")</f>
        <v/>
      </c>
      <c r="AA173">
        <f>HYPERLINK("https://klasma.github.io/Logging_2481/klagomål/A 62317-2025 FSC-klagomål.docx", "A 62317-2025")</f>
        <v/>
      </c>
      <c r="AB173">
        <f>HYPERLINK("https://klasma.github.io/Logging_2481/klagomålsmail/A 62317-2025 FSC-klagomål mail.docx", "A 62317-2025")</f>
        <v/>
      </c>
      <c r="AC173">
        <f>HYPERLINK("https://klasma.github.io/Logging_2481/tillsyn/A 62317-2025 tillsynsbegäran.docx", "A 62317-2025")</f>
        <v/>
      </c>
      <c r="AD173">
        <f>HYPERLINK("https://klasma.github.io/Logging_2481/tillsynsmail/A 62317-2025 tillsynsbegäran mail.docx", "A 62317-2025")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46269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27830-2026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46269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1.6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Fläcknycklar</t>
        </is>
      </c>
      <c r="W175">
        <f>HYPERLINK("https://klasma.github.io/Logging_2481/artfynd/A 27830-2026 artfynd.xlsx", "A 27830-2026")</f>
        <v/>
      </c>
      <c r="X175">
        <f>HYPERLINK("https://klasma.github.io/Logging_2481/kartor/A 27830-2026 karta.png", "A 27830-2026")</f>
        <v/>
      </c>
      <c r="Y175">
        <f>HYPERLINK("https://klasma.github.io/Logging_2481/kartor_geotiff/A 27830-2026 georefererad karta.tif", "A 27830-2026")</f>
        <v/>
      </c>
      <c r="AA175">
        <f>HYPERLINK("https://klasma.github.io/Logging_2481/klagomål/A 27830-2026 FSC-klagomål.docx", "A 27830-2026")</f>
        <v/>
      </c>
      <c r="AB175">
        <f>HYPERLINK("https://klasma.github.io/Logging_2481/klagomålsmail/A 27830-2026 FSC-klagomål mail.docx", "A 27830-2026")</f>
        <v/>
      </c>
      <c r="AC175">
        <f>HYPERLINK("https://klasma.github.io/Logging_2481/tillsyn/A 27830-2026 tillsynsbegäran.docx", "A 27830-2026")</f>
        <v/>
      </c>
      <c r="AD175">
        <f>HYPERLINK("https://klasma.github.io/Logging_2481/tillsynsmail/A 27830-2026 tillsynsbegäran mail.docx", "A 27830-2026")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46269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32246-2026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46269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32246-2026 artfynd.xlsx", "A 32246-2026")</f>
        <v/>
      </c>
      <c r="X177">
        <f>HYPERLINK("https://klasma.github.io/Logging_2481/kartor/A 32246-2026 karta.png", "A 32246-2026")</f>
        <v/>
      </c>
      <c r="Y177">
        <f>HYPERLINK("https://klasma.github.io/Logging_2481/kartor_geotiff/A 32246-2026 georefererad karta.tif", "A 32246-2026")</f>
        <v/>
      </c>
      <c r="AA177">
        <f>HYPERLINK("https://klasma.github.io/Logging_2481/klagomål/A 32246-2026 FSC-klagomål.docx", "A 32246-2026")</f>
        <v/>
      </c>
      <c r="AB177">
        <f>HYPERLINK("https://klasma.github.io/Logging_2481/klagomålsmail/A 32246-2026 FSC-klagomål mail.docx", "A 32246-2026")</f>
        <v/>
      </c>
      <c r="AC177">
        <f>HYPERLINK("https://klasma.github.io/Logging_2481/tillsyn/A 32246-2026 tillsynsbegäran.docx", "A 32246-2026")</f>
        <v/>
      </c>
      <c r="AD177">
        <f>HYPERLINK("https://klasma.github.io/Logging_2481/tillsynsmail/A 32246-2026 tillsynsbegäran mail.docx", "A 32246-2026")</f>
        <v/>
      </c>
    </row>
    <row r="178" ht="15" customHeight="1">
      <c r="A178" t="inlineStr">
        <is>
          <t>A 32612-2026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46269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32612-2026 artfynd.xlsx", "A 32612-2026")</f>
        <v/>
      </c>
      <c r="X178">
        <f>HYPERLINK("https://klasma.github.io/Logging_2481/kartor/A 32612-2026 karta.png", "A 32612-2026")</f>
        <v/>
      </c>
      <c r="Y178">
        <f>HYPERLINK("https://klasma.github.io/Logging_2481/kartor_geotiff/A 32612-2026 georefererad karta.tif", "A 32612-2026")</f>
        <v/>
      </c>
      <c r="AA178">
        <f>HYPERLINK("https://klasma.github.io/Logging_2481/klagomål/A 32612-2026 FSC-klagomål.docx", "A 32612-2026")</f>
        <v/>
      </c>
      <c r="AB178">
        <f>HYPERLINK("https://klasma.github.io/Logging_2481/klagomålsmail/A 32612-2026 FSC-klagomål mail.docx", "A 32612-2026")</f>
        <v/>
      </c>
      <c r="AC178">
        <f>HYPERLINK("https://klasma.github.io/Logging_2481/tillsyn/A 32612-2026 tillsynsbegäran.docx", "A 32612-2026")</f>
        <v/>
      </c>
      <c r="AD178">
        <f>HYPERLINK("https://klasma.github.io/Logging_2481/tillsynsmail/A 32612-2026 tillsynsbegäran mail.docx", "A 32612-2026")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46269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32686-2026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46240</v>
      </c>
      <c r="E180" s="1" t="n">
        <v>46269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17.4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Doftticka</t>
        </is>
      </c>
      <c r="W180">
        <f>HYPERLINK("https://klasma.github.io/Logging_2481/artfynd/A 32686-2026 artfynd.xlsx", "A 32686-2026")</f>
        <v/>
      </c>
      <c r="X180">
        <f>HYPERLINK("https://klasma.github.io/Logging_2481/kartor/A 32686-2026 karta.png", "A 32686-2026")</f>
        <v/>
      </c>
      <c r="Y180">
        <f>HYPERLINK("https://klasma.github.io/Logging_2481/kartor_geotiff/A 32686-2026 georefererad karta.tif", "A 32686-2026")</f>
        <v/>
      </c>
      <c r="AA180">
        <f>HYPERLINK("https://klasma.github.io/Logging_2481/klagomål/A 32686-2026 FSC-klagomål.docx", "A 32686-2026")</f>
        <v/>
      </c>
      <c r="AB180">
        <f>HYPERLINK("https://klasma.github.io/Logging_2481/klagomålsmail/A 32686-2026 FSC-klagomål mail.docx", "A 32686-2026")</f>
        <v/>
      </c>
      <c r="AC180">
        <f>HYPERLINK("https://klasma.github.io/Logging_2481/tillsyn/A 32686-2026 tillsynsbegäran.docx", "A 32686-2026")</f>
        <v/>
      </c>
      <c r="AD180">
        <f>HYPERLINK("https://klasma.github.io/Logging_2481/tillsynsmail/A 32686-2026 tillsynsbegäran mail.docx", "A 32686-2026")</f>
        <v/>
      </c>
    </row>
    <row r="181" ht="15" customHeight="1">
      <c r="A181" t="inlineStr">
        <is>
          <t>A 2499-2026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46269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19.3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Fläcknycklar</t>
        </is>
      </c>
      <c r="W181">
        <f>HYPERLINK("https://klasma.github.io/Logging_2481/artfynd/A 2499-2026 artfynd.xlsx", "A 2499-2026")</f>
        <v/>
      </c>
      <c r="X181">
        <f>HYPERLINK("https://klasma.github.io/Logging_2481/kartor/A 2499-2026 karta.png", "A 2499-2026")</f>
        <v/>
      </c>
      <c r="Y181">
        <f>HYPERLINK("https://klasma.github.io/Logging_2481/kartor_geotiff/A 2499-2026 georefererad karta.tif", "A 2499-2026")</f>
        <v/>
      </c>
      <c r="AA181">
        <f>HYPERLINK("https://klasma.github.io/Logging_2481/klagomål/A 2499-2026 FSC-klagomål.docx", "A 2499-2026")</f>
        <v/>
      </c>
      <c r="AB181">
        <f>HYPERLINK("https://klasma.github.io/Logging_2481/klagomålsmail/A 2499-2026 FSC-klagomål mail.docx", "A 2499-2026")</f>
        <v/>
      </c>
      <c r="AC181">
        <f>HYPERLINK("https://klasma.github.io/Logging_2481/tillsyn/A 2499-2026 tillsynsbegäran.docx", "A 2499-2026")</f>
        <v/>
      </c>
      <c r="AD181">
        <f>HYPERLINK("https://klasma.github.io/Logging_2481/tillsynsmail/A 2499-2026 tillsynsbegäran mail.docx", "A 2499-2026")</f>
        <v/>
      </c>
    </row>
    <row r="182" ht="15" customHeight="1">
      <c r="A182" t="inlineStr">
        <is>
          <t>A 28716-2026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46269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28716-2026 artfynd.xlsx", "A 28716-2026")</f>
        <v/>
      </c>
      <c r="X182">
        <f>HYPERLINK("https://klasma.github.io/Logging_2481/kartor/A 28716-2026 karta.png", "A 28716-2026")</f>
        <v/>
      </c>
      <c r="Y182">
        <f>HYPERLINK("https://klasma.github.io/Logging_2481/kartor_geotiff/A 28716-2026 georefererad karta.tif", "A 28716-2026")</f>
        <v/>
      </c>
      <c r="AA182">
        <f>HYPERLINK("https://klasma.github.io/Logging_2481/klagomål/A 28716-2026 FSC-klagomål.docx", "A 28716-2026")</f>
        <v/>
      </c>
      <c r="AB182">
        <f>HYPERLINK("https://klasma.github.io/Logging_2481/klagomålsmail/A 28716-2026 FSC-klagomål mail.docx", "A 28716-2026")</f>
        <v/>
      </c>
      <c r="AC182">
        <f>HYPERLINK("https://klasma.github.io/Logging_2481/tillsyn/A 28716-2026 tillsynsbegäran.docx", "A 28716-2026")</f>
        <v/>
      </c>
      <c r="AD182">
        <f>HYPERLINK("https://klasma.github.io/Logging_2481/tillsynsmail/A 28716-2026 tillsynsbegäran mail.docx", "A 28716-2026")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46269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50018-2024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46269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50018-2024 artfynd.xlsx", "A 50018-2024")</f>
        <v/>
      </c>
      <c r="X184">
        <f>HYPERLINK("https://klasma.github.io/Logging_2481/kartor/A 50018-2024 karta.png", "A 50018-2024")</f>
        <v/>
      </c>
      <c r="Y184">
        <f>HYPERLINK("https://klasma.github.io/Logging_2481/kartor_geotiff/A 50018-2024 georefererad karta.tif", "A 50018-2024")</f>
        <v/>
      </c>
      <c r="AA184">
        <f>HYPERLINK("https://klasma.github.io/Logging_2481/klagomål/A 50018-2024 FSC-klagomål.docx", "A 50018-2024")</f>
        <v/>
      </c>
      <c r="AB184">
        <f>HYPERLINK("https://klasma.github.io/Logging_2481/klagomålsmail/A 50018-2024 FSC-klagomål mail.docx", "A 50018-2024")</f>
        <v/>
      </c>
      <c r="AC184">
        <f>HYPERLINK("https://klasma.github.io/Logging_2481/tillsyn/A 50018-2024 tillsynsbegäran.docx", "A 50018-2024")</f>
        <v/>
      </c>
      <c r="AD184">
        <f>HYPERLINK("https://klasma.github.io/Logging_2481/tillsynsmail/A 50018-2024 tillsynsbegäran mail.docx", "A 50018-2024")</f>
        <v/>
      </c>
    </row>
    <row r="185" ht="15" customHeight="1">
      <c r="A185" t="inlineStr">
        <is>
          <t>A 29828-2026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46269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HYPERLINK("https://klasma.github.io/Logging_2481/artfynd/A 29828-2026 artfynd.xlsx", "A 29828-2026")</f>
        <v/>
      </c>
      <c r="X185">
        <f>HYPERLINK("https://klasma.github.io/Logging_2481/kartor/A 29828-2026 karta.png", "A 29828-2026")</f>
        <v/>
      </c>
      <c r="Y185">
        <f>HYPERLINK("https://klasma.github.io/Logging_2481/kartor_geotiff/A 29828-2026 georefererad karta.tif", "A 29828-2026")</f>
        <v/>
      </c>
      <c r="AA185">
        <f>HYPERLINK("https://klasma.github.io/Logging_2481/klagomål/A 29828-2026 FSC-klagomål.docx", "A 29828-2026")</f>
        <v/>
      </c>
      <c r="AB185">
        <f>HYPERLINK("https://klasma.github.io/Logging_2481/klagomålsmail/A 29828-2026 FSC-klagomål mail.docx", "A 29828-2026")</f>
        <v/>
      </c>
      <c r="AC185">
        <f>HYPERLINK("https://klasma.github.io/Logging_2481/tillsyn/A 29828-2026 tillsynsbegäran.docx", "A 29828-2026")</f>
        <v/>
      </c>
      <c r="AD185">
        <f>HYPERLINK("https://klasma.github.io/Logging_2481/tillsynsmail/A 29828-2026 tillsynsbegäran mail.docx", "A 29828-2026")</f>
        <v/>
      </c>
    </row>
    <row r="186" ht="15" customHeight="1">
      <c r="A186" t="inlineStr">
        <is>
          <t>A 24824-2024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45461</v>
      </c>
      <c r="E186" s="1" t="n">
        <v>46269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Kungsörn</t>
        </is>
      </c>
      <c r="W186">
        <f>HYPERLINK("https://klasma.github.io/Logging_2481/artfynd/A 24824-2024 artfynd.xlsx", "A 24824-2024")</f>
        <v/>
      </c>
      <c r="X186">
        <f>HYPERLINK("https://klasma.github.io/Logging_2481/kartor/A 24824-2024 karta.png", "A 24824-2024")</f>
        <v/>
      </c>
      <c r="Y186">
        <f>HYPERLINK("https://klasma.github.io/Logging_2481/kartor_geotiff/A 24824-2024 georefererad karta.tif", "A 24824-2024")</f>
        <v/>
      </c>
      <c r="AA186">
        <f>HYPERLINK("https://klasma.github.io/Logging_2481/klagomål/A 24824-2024 FSC-klagomål.docx", "A 24824-2024")</f>
        <v/>
      </c>
      <c r="AB186">
        <f>HYPERLINK("https://klasma.github.io/Logging_2481/klagomålsmail/A 24824-2024 FSC-klagomål mail.docx", "A 24824-2024")</f>
        <v/>
      </c>
      <c r="AC186">
        <f>HYPERLINK("https://klasma.github.io/Logging_2481/tillsyn/A 24824-2024 tillsynsbegäran.docx", "A 24824-2024")</f>
        <v/>
      </c>
      <c r="AD186">
        <f>HYPERLINK("https://klasma.github.io/Logging_2481/tillsynsmail/A 24824-2024 tillsynsbegäran mail.docx", "A 24824-2024")</f>
        <v/>
      </c>
      <c r="AE186">
        <f>HYPERLINK("https://klasma.github.io/Logging_2481/fåglar/A 24824-2024 prioriterade fågelarter.docx", "A 24824-2024")</f>
        <v/>
      </c>
    </row>
    <row r="187" ht="15" customHeight="1">
      <c r="A187" t="inlineStr">
        <is>
          <t>A 8491-2026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46269</v>
      </c>
      <c r="F187" t="inlineStr">
        <is>
          <t>VÄSTERBOTTENS LÄN</t>
        </is>
      </c>
      <c r="G187" t="inlineStr">
        <is>
          <t>LYCKSELE</t>
        </is>
      </c>
      <c r="I187" t="n">
        <v>5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8491-2026 artfynd.xlsx", "A 8491-2026")</f>
        <v/>
      </c>
      <c r="X187">
        <f>HYPERLINK("https://klasma.github.io/Logging_2481/kartor/A 8491-2026 karta.png", "A 8491-2026")</f>
        <v/>
      </c>
      <c r="Y187">
        <f>HYPERLINK("https://klasma.github.io/Logging_2481/kartor_geotiff/A 8491-2026 georefererad karta.tif", "A 8491-2026")</f>
        <v/>
      </c>
      <c r="AA187">
        <f>HYPERLINK("https://klasma.github.io/Logging_2481/klagomål/A 8491-2026 FSC-klagomål.docx", "A 8491-2026")</f>
        <v/>
      </c>
      <c r="AB187">
        <f>HYPERLINK("https://klasma.github.io/Logging_2481/klagomålsmail/A 8491-2026 FSC-klagomål mail.docx", "A 8491-2026")</f>
        <v/>
      </c>
      <c r="AC187">
        <f>HYPERLINK("https://klasma.github.io/Logging_2481/tillsyn/A 8491-2026 tillsynsbegäran.docx", "A 8491-2026")</f>
        <v/>
      </c>
      <c r="AD187">
        <f>HYPERLINK("https://klasma.github.io/Logging_2481/tillsynsmail/A 8491-2026 tillsynsbegäran mail.docx", "A 8491-2026")</f>
        <v/>
      </c>
    </row>
    <row r="188" ht="15" customHeight="1">
      <c r="A188" t="inlineStr">
        <is>
          <t>A 9722-2026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46269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4.5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Ullticka</t>
        </is>
      </c>
      <c r="W188">
        <f>HYPERLINK("https://klasma.github.io/Logging_2481/artfynd/A 9722-2026 artfynd.xlsx", "A 9722-2026")</f>
        <v/>
      </c>
      <c r="X188">
        <f>HYPERLINK("https://klasma.github.io/Logging_2481/kartor/A 9722-2026 karta.png", "A 9722-2026")</f>
        <v/>
      </c>
      <c r="Y188">
        <f>HYPERLINK("https://klasma.github.io/Logging_2481/kartor_geotiff/A 9722-2026 georefererad karta.tif", "A 9722-2026")</f>
        <v/>
      </c>
      <c r="AA188">
        <f>HYPERLINK("https://klasma.github.io/Logging_2481/klagomål/A 9722-2026 FSC-klagomål.docx", "A 9722-2026")</f>
        <v/>
      </c>
      <c r="AB188">
        <f>HYPERLINK("https://klasma.github.io/Logging_2481/klagomålsmail/A 9722-2026 FSC-klagomål mail.docx", "A 9722-2026")</f>
        <v/>
      </c>
      <c r="AC188">
        <f>HYPERLINK("https://klasma.github.io/Logging_2481/tillsyn/A 9722-2026 tillsynsbegäran.docx", "A 9722-2026")</f>
        <v/>
      </c>
      <c r="AD188">
        <f>HYPERLINK("https://klasma.github.io/Logging_2481/tillsynsmail/A 9722-2026 tillsynsbegäran mail.docx", "A 9722-2026")</f>
        <v/>
      </c>
    </row>
    <row r="189" ht="15" customHeight="1">
      <c r="A189" t="inlineStr">
        <is>
          <t>A 34789-2026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46269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34789-2026 artfynd.xlsx", "A 34789-2026")</f>
        <v/>
      </c>
      <c r="X189">
        <f>HYPERLINK("https://klasma.github.io/Logging_2481/kartor/A 34789-2026 karta.png", "A 34789-2026")</f>
        <v/>
      </c>
      <c r="Y189">
        <f>HYPERLINK("https://klasma.github.io/Logging_2481/kartor_geotiff/A 34789-2026 georefererad karta.tif", "A 34789-2026")</f>
        <v/>
      </c>
      <c r="Z189">
        <f>HYPERLINK("https://klasma.github.io/Logging_2481/knärot/A 34789-2026 karta knärot.png", "A 34789-2026")</f>
        <v/>
      </c>
      <c r="AA189">
        <f>HYPERLINK("https://klasma.github.io/Logging_2481/klagomål/A 34789-2026 FSC-klagomål.docx", "A 34789-2026")</f>
        <v/>
      </c>
      <c r="AB189">
        <f>HYPERLINK("https://klasma.github.io/Logging_2481/klagomålsmail/A 34789-2026 FSC-klagomål mail.docx", "A 34789-2026")</f>
        <v/>
      </c>
      <c r="AC189">
        <f>HYPERLINK("https://klasma.github.io/Logging_2481/tillsyn/A 34789-2026 tillsynsbegäran.docx", "A 34789-2026")</f>
        <v/>
      </c>
      <c r="AD189">
        <f>HYPERLINK("https://klasma.github.io/Logging_2481/tillsynsmail/A 34789-2026 tillsynsbegäran mail.docx", "A 34789-2026")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46269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41793-2024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45561</v>
      </c>
      <c r="E191" s="1" t="n">
        <v>46269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7.1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Lunglav</t>
        </is>
      </c>
      <c r="W191">
        <f>HYPERLINK("https://klasma.github.io/Logging_2481/artfynd/A 41793-2024 artfynd.xlsx", "A 41793-2024")</f>
        <v/>
      </c>
      <c r="X191">
        <f>HYPERLINK("https://klasma.github.io/Logging_2481/kartor/A 41793-2024 karta.png", "A 41793-2024")</f>
        <v/>
      </c>
      <c r="Y191">
        <f>HYPERLINK("https://klasma.github.io/Logging_2481/kartor_geotiff/A 41793-2024 georefererad karta.tif", "A 41793-2024")</f>
        <v/>
      </c>
      <c r="AA191">
        <f>HYPERLINK("https://klasma.github.io/Logging_2481/klagomål/A 41793-2024 FSC-klagomål.docx", "A 41793-2024")</f>
        <v/>
      </c>
      <c r="AB191">
        <f>HYPERLINK("https://klasma.github.io/Logging_2481/klagomålsmail/A 41793-2024 FSC-klagomål mail.docx", "A 41793-2024")</f>
        <v/>
      </c>
      <c r="AC191">
        <f>HYPERLINK("https://klasma.github.io/Logging_2481/tillsyn/A 41793-2024 tillsynsbegäran.docx", "A 41793-2024")</f>
        <v/>
      </c>
      <c r="AD191">
        <f>HYPERLINK("https://klasma.github.io/Logging_2481/tillsynsmail/A 41793-2024 tillsynsbegäran mail.docx", "A 41793-2024")</f>
        <v/>
      </c>
    </row>
    <row r="192" ht="15" customHeight="1">
      <c r="A192" t="inlineStr">
        <is>
          <t>A 35509-2026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46262</v>
      </c>
      <c r="E192" s="1" t="n">
        <v>46269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19.1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Orange taggsvamp</t>
        </is>
      </c>
      <c r="W192">
        <f>HYPERLINK("https://klasma.github.io/Logging_2481/artfynd/A 35509-2026 artfynd.xlsx", "A 35509-2026")</f>
        <v/>
      </c>
      <c r="X192">
        <f>HYPERLINK("https://klasma.github.io/Logging_2481/kartor/A 35509-2026 karta.png", "A 35509-2026")</f>
        <v/>
      </c>
      <c r="Y192">
        <f>HYPERLINK("https://klasma.github.io/Logging_2481/kartor_geotiff/A 35509-2026 georefererad karta.tif", "A 35509-2026")</f>
        <v/>
      </c>
      <c r="AA192">
        <f>HYPERLINK("https://klasma.github.io/Logging_2481/klagomål/A 35509-2026 FSC-klagomål.docx", "A 35509-2026")</f>
        <v/>
      </c>
      <c r="AB192">
        <f>HYPERLINK("https://klasma.github.io/Logging_2481/klagomålsmail/A 35509-2026 FSC-klagomål mail.docx", "A 35509-2026")</f>
        <v/>
      </c>
      <c r="AC192">
        <f>HYPERLINK("https://klasma.github.io/Logging_2481/tillsyn/A 35509-2026 tillsynsbegäran.docx", "A 35509-2026")</f>
        <v/>
      </c>
      <c r="AD192">
        <f>HYPERLINK("https://klasma.github.io/Logging_2481/tillsynsmail/A 35509-2026 tillsynsbegäran mail.docx", "A 35509-2026")</f>
        <v/>
      </c>
    </row>
    <row r="193" ht="15" customHeight="1">
      <c r="A193" t="inlineStr">
        <is>
          <t>A 31290-2026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46218</v>
      </c>
      <c r="E193" s="1" t="n">
        <v>46269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10.8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Kolflarnlav</t>
        </is>
      </c>
      <c r="W193">
        <f>HYPERLINK("https://klasma.github.io/Logging_2481/artfynd/A 31290-2026 artfynd.xlsx", "A 31290-2026")</f>
        <v/>
      </c>
      <c r="X193">
        <f>HYPERLINK("https://klasma.github.io/Logging_2481/kartor/A 31290-2026 karta.png", "A 31290-2026")</f>
        <v/>
      </c>
      <c r="Y193">
        <f>HYPERLINK("https://klasma.github.io/Logging_2481/kartor_geotiff/A 31290-2026 georefererad karta.tif", "A 31290-2026")</f>
        <v/>
      </c>
      <c r="AA193">
        <f>HYPERLINK("https://klasma.github.io/Logging_2481/klagomål/A 31290-2026 FSC-klagomål.docx", "A 31290-2026")</f>
        <v/>
      </c>
      <c r="AB193">
        <f>HYPERLINK("https://klasma.github.io/Logging_2481/klagomålsmail/A 31290-2026 FSC-klagomål mail.docx", "A 31290-2026")</f>
        <v/>
      </c>
      <c r="AC193">
        <f>HYPERLINK("https://klasma.github.io/Logging_2481/tillsyn/A 31290-2026 tillsynsbegäran.docx", "A 31290-2026")</f>
        <v/>
      </c>
      <c r="AD193">
        <f>HYPERLINK("https://klasma.github.io/Logging_2481/tillsynsmail/A 31290-2026 tillsynsbegäran mail.docx", "A 31290-2026")</f>
        <v/>
      </c>
    </row>
    <row r="194" ht="15" customHeight="1">
      <c r="A194" t="inlineStr">
        <is>
          <t>A 35751-2026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46269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11.7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Skarp dropptaggsvamp</t>
        </is>
      </c>
      <c r="W194">
        <f>HYPERLINK("https://klasma.github.io/Logging_2481/artfynd/A 35751-2026 artfynd.xlsx", "A 35751-2026")</f>
        <v/>
      </c>
      <c r="X194">
        <f>HYPERLINK("https://klasma.github.io/Logging_2481/kartor/A 35751-2026 karta.png", "A 35751-2026")</f>
        <v/>
      </c>
      <c r="Y194">
        <f>HYPERLINK("https://klasma.github.io/Logging_2481/kartor_geotiff/A 35751-2026 georefererad karta.tif", "A 35751-2026")</f>
        <v/>
      </c>
      <c r="AA194">
        <f>HYPERLINK("https://klasma.github.io/Logging_2481/klagomål/A 35751-2026 FSC-klagomål.docx", "A 35751-2026")</f>
        <v/>
      </c>
      <c r="AB194">
        <f>HYPERLINK("https://klasma.github.io/Logging_2481/klagomålsmail/A 35751-2026 FSC-klagomål mail.docx", "A 35751-2026")</f>
        <v/>
      </c>
      <c r="AC194">
        <f>HYPERLINK("https://klasma.github.io/Logging_2481/tillsyn/A 35751-2026 tillsynsbegäran.docx", "A 35751-2026")</f>
        <v/>
      </c>
      <c r="AD194">
        <f>HYPERLINK("https://klasma.github.io/Logging_2481/tillsynsmail/A 35751-2026 tillsynsbegäran mail.docx", "A 35751-2026")</f>
        <v/>
      </c>
    </row>
    <row r="195" ht="15" customHeight="1">
      <c r="A195" t="inlineStr">
        <is>
          <t>A 219-2025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45660</v>
      </c>
      <c r="E195" s="1" t="n">
        <v>46269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Dropptaggsvamp</t>
        </is>
      </c>
      <c r="W195">
        <f>HYPERLINK("https://klasma.github.io/Logging_2481/artfynd/A 219-2025 artfynd.xlsx", "A 219-2025")</f>
        <v/>
      </c>
      <c r="X195">
        <f>HYPERLINK("https://klasma.github.io/Logging_2481/kartor/A 219-2025 karta.png", "A 219-2025")</f>
        <v/>
      </c>
      <c r="Y195">
        <f>HYPERLINK("https://klasma.github.io/Logging_2481/kartor_geotiff/A 219-2025 georefererad karta.tif", "A 219-2025")</f>
        <v/>
      </c>
      <c r="AA195">
        <f>HYPERLINK("https://klasma.github.io/Logging_2481/klagomål/A 219-2025 FSC-klagomål.docx", "A 219-2025")</f>
        <v/>
      </c>
      <c r="AB195">
        <f>HYPERLINK("https://klasma.github.io/Logging_2481/klagomålsmail/A 219-2025 FSC-klagomål mail.docx", "A 219-2025")</f>
        <v/>
      </c>
      <c r="AC195">
        <f>HYPERLINK("https://klasma.github.io/Logging_2481/tillsyn/A 219-2025 tillsynsbegäran.docx", "A 219-2025")</f>
        <v/>
      </c>
      <c r="AD195">
        <f>HYPERLINK("https://klasma.github.io/Logging_2481/tillsynsmail/A 219-2025 tillsynsbegäran mail.docx", "A 219-2025")</f>
        <v/>
      </c>
    </row>
    <row r="196" ht="15" customHeight="1">
      <c r="A196" t="inlineStr">
        <is>
          <t>A 496-2024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45299</v>
      </c>
      <c r="E196" s="1" t="n">
        <v>46269</v>
      </c>
      <c r="F196" t="inlineStr">
        <is>
          <t>VÄSTERBOTTENS LÄN</t>
        </is>
      </c>
      <c r="G196" t="inlineStr">
        <is>
          <t>LYCKSELE</t>
        </is>
      </c>
      <c r="I196" t="n">
        <v>5.2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7</v>
      </c>
      <c r="U196" t="n">
        <v>7</v>
      </c>
      <c r="V196" s="2" t="inlineStr">
        <is>
          <t>Tretåig hackspett</t>
        </is>
      </c>
      <c r="W196">
        <f>HYPERLINK("https://klasma.github.io/Logging_2481/artfynd/A 496-2024 artfynd.xlsx", "A 496-2024")</f>
        <v/>
      </c>
      <c r="X196">
        <f>HYPERLINK("https://klasma.github.io/Logging_2481/kartor/A 496-2024 karta.png", "A 496-2024")</f>
        <v/>
      </c>
      <c r="Y196">
        <f>HYPERLINK("https://klasma.github.io/Logging_2481/kartor_geotiff/A 496-2024 georefererad karta.tif", "A 496-2024")</f>
        <v/>
      </c>
      <c r="AA196">
        <f>HYPERLINK("https://klasma.github.io/Logging_2481/klagomål/A 496-2024 FSC-klagomål.docx", "A 496-2024")</f>
        <v/>
      </c>
      <c r="AB196">
        <f>HYPERLINK("https://klasma.github.io/Logging_2481/klagomålsmail/A 496-2024 FSC-klagomål mail.docx", "A 496-2024")</f>
        <v/>
      </c>
      <c r="AC196">
        <f>HYPERLINK("https://klasma.github.io/Logging_2481/tillsyn/A 496-2024 tillsynsbegäran.docx", "A 496-2024")</f>
        <v/>
      </c>
      <c r="AD196">
        <f>HYPERLINK("https://klasma.github.io/Logging_2481/tillsynsmail/A 496-2024 tillsynsbegäran mail.docx", "A 496-2024")</f>
        <v/>
      </c>
      <c r="AE196">
        <f>HYPERLINK("https://klasma.github.io/Logging_2481/fåglar/A 496-2024 prioriterade fågelarter.docx", "A 496-2024")</f>
        <v/>
      </c>
    </row>
    <row r="197" ht="15" customHeight="1">
      <c r="A197" t="inlineStr">
        <is>
          <t>S 156-2023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44943</v>
      </c>
      <c r="E197" s="1" t="n">
        <v>46269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356.6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Norrlandslav</t>
        </is>
      </c>
      <c r="W197">
        <f>HYPERLINK("https://klasma.github.io/Logging_2481/artfynd/S 156-2023 artfynd.xlsx", "S 156-2023")</f>
        <v/>
      </c>
      <c r="X197">
        <f>HYPERLINK("https://klasma.github.io/Logging_2481/kartor/S 156-2023 karta.png", "S 156-2023")</f>
        <v/>
      </c>
      <c r="Y197">
        <f>HYPERLINK("https://klasma.github.io/Logging_2481/kartor_geotiff/S 156-2023 georefererad karta.tif", "S 156-2023")</f>
        <v/>
      </c>
      <c r="AA197">
        <f>HYPERLINK("https://klasma.github.io/Logging_2481/klagomål/S 156-2023 FSC-klagomål.docx", "S 156-2023")</f>
        <v/>
      </c>
      <c r="AB197">
        <f>HYPERLINK("https://klasma.github.io/Logging_2481/klagomålsmail/S 156-2023 FSC-klagomål mail.docx", "S 156-2023")</f>
        <v/>
      </c>
      <c r="AC197">
        <f>HYPERLINK("https://klasma.github.io/Logging_2481/tillsyn/S 156-2023 tillsynsbegäran.docx", "S 156-2023")</f>
        <v/>
      </c>
      <c r="AD197">
        <f>HYPERLINK("https://klasma.github.io/Logging_2481/tillsynsmail/S 156-2023 tillsynsbegäran mail.docx", "S 156-2023")</f>
        <v/>
      </c>
    </row>
    <row r="198" ht="15" customHeight="1">
      <c r="A198" t="inlineStr">
        <is>
          <t>S 454-2025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45701</v>
      </c>
      <c r="E198" s="1" t="n">
        <v>46269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74.3</v>
      </c>
      <c r="J198" t="n">
        <v>1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Doftticka</t>
        </is>
      </c>
      <c r="W198">
        <f>HYPERLINK("https://klasma.github.io/Logging_2481/artfynd/S 454-2025 artfynd.xlsx", "S 454-2025")</f>
        <v/>
      </c>
      <c r="X198">
        <f>HYPERLINK("https://klasma.github.io/Logging_2481/kartor/S 454-2025 karta.png", "S 454-2025")</f>
        <v/>
      </c>
      <c r="Y198">
        <f>HYPERLINK("https://klasma.github.io/Logging_2481/kartor_geotiff/S 454-2025 georefererad karta.tif", "S 454-2025")</f>
        <v/>
      </c>
      <c r="AA198">
        <f>HYPERLINK("https://klasma.github.io/Logging_2481/klagomål/S 454-2025 FSC-klagomål.docx", "S 454-2025")</f>
        <v/>
      </c>
      <c r="AB198">
        <f>HYPERLINK("https://klasma.github.io/Logging_2481/klagomålsmail/S 454-2025 FSC-klagomål mail.docx", "S 454-2025")</f>
        <v/>
      </c>
      <c r="AC198">
        <f>HYPERLINK("https://klasma.github.io/Logging_2481/tillsyn/S 454-2025 tillsynsbegäran.docx", "S 454-2025")</f>
        <v/>
      </c>
      <c r="AD198">
        <f>HYPERLINK("https://klasma.github.io/Logging_2481/tillsynsmail/S 454-2025 tillsynsbegäran mail.docx", "S 454-2025")</f>
        <v/>
      </c>
    </row>
    <row r="199" ht="15" customHeight="1">
      <c r="A199" t="inlineStr">
        <is>
          <t>A 36846-2022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44805</v>
      </c>
      <c r="E199" s="1" t="n">
        <v>46269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44567</v>
      </c>
      <c r="E200" s="1" t="n">
        <v>46269</v>
      </c>
      <c r="F200" t="inlineStr">
        <is>
          <t>VÄSTERBOTTENS LÄN</t>
        </is>
      </c>
      <c r="G200" t="inlineStr">
        <is>
          <t>LYCKSELE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57821-2021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44484</v>
      </c>
      <c r="E201" s="1" t="n">
        <v>46269</v>
      </c>
      <c r="F201" t="inlineStr">
        <is>
          <t>VÄSTERBOTTENS LÄN</t>
        </is>
      </c>
      <c r="G201" t="inlineStr">
        <is>
          <t>LYCKSELE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46269</v>
      </c>
      <c r="F202" t="inlineStr">
        <is>
          <t>VÄSTERBOTTENS LÄN</t>
        </is>
      </c>
      <c r="G202" t="inlineStr">
        <is>
          <t>LYCKSELE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44446</v>
      </c>
      <c r="E203" s="1" t="n">
        <v>46269</v>
      </c>
      <c r="F203" t="inlineStr">
        <is>
          <t>VÄSTERBOTTENS LÄN</t>
        </is>
      </c>
      <c r="G203" t="inlineStr">
        <is>
          <t>LYCKSELE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53979-2021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46269</v>
      </c>
      <c r="F204" t="inlineStr">
        <is>
          <t>VÄSTERBOTTENS LÄN</t>
        </is>
      </c>
      <c r="G204" t="inlineStr">
        <is>
          <t>LYCKSELE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70213-2021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44535</v>
      </c>
      <c r="E205" s="1" t="n">
        <v>46269</v>
      </c>
      <c r="F205" t="inlineStr">
        <is>
          <t>VÄSTERBOTTENS LÄN</t>
        </is>
      </c>
      <c r="G205" t="inlineStr">
        <is>
          <t>LYCKSELE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33235-2022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44785</v>
      </c>
      <c r="E206" s="1" t="n">
        <v>46269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44874</v>
      </c>
      <c r="E207" s="1" t="n">
        <v>46269</v>
      </c>
      <c r="F207" t="inlineStr">
        <is>
          <t>VÄSTERBOTTENS LÄN</t>
        </is>
      </c>
      <c r="G207" t="inlineStr">
        <is>
          <t>LYCKSELE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46269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22076-2022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44711</v>
      </c>
      <c r="E209" s="1" t="n">
        <v>46269</v>
      </c>
      <c r="F209" t="inlineStr">
        <is>
          <t>VÄSTERBOTTENS LÄN</t>
        </is>
      </c>
      <c r="G209" t="inlineStr">
        <is>
          <t>LYCKSELE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46269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55565-2021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46269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44784</v>
      </c>
      <c r="E212" s="1" t="n">
        <v>46269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44622</v>
      </c>
      <c r="E213" s="1" t="n">
        <v>46269</v>
      </c>
      <c r="F213" t="inlineStr">
        <is>
          <t>VÄSTERBOTTENS LÄN</t>
        </is>
      </c>
      <c r="G213" t="inlineStr">
        <is>
          <t>LYCKSELE</t>
        </is>
      </c>
      <c r="I213" t="n">
        <v>13.8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46269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46269</v>
      </c>
      <c r="F215" t="inlineStr">
        <is>
          <t>VÄSTERBOTTENS LÄN</t>
        </is>
      </c>
      <c r="G215" t="inlineStr">
        <is>
          <t>LYCKSELE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46269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44761</v>
      </c>
      <c r="E217" s="1" t="n">
        <v>46269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44742</v>
      </c>
      <c r="E219" s="1" t="n">
        <v>46269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22075-2022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44711</v>
      </c>
      <c r="E220" s="1" t="n">
        <v>46269</v>
      </c>
      <c r="F220" t="inlineStr">
        <is>
          <t>VÄSTERBOTTENS LÄN</t>
        </is>
      </c>
      <c r="G220" t="inlineStr">
        <is>
          <t>LYCKSELE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46269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46269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44502</v>
      </c>
      <c r="E223" s="1" t="n">
        <v>46269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46269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65487-2021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46269</v>
      </c>
      <c r="F225" t="inlineStr">
        <is>
          <t>VÄSTERBOTTENS LÄN</t>
        </is>
      </c>
      <c r="G225" t="inlineStr">
        <is>
          <t>LYCKSELE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65231-2021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44513</v>
      </c>
      <c r="E226" s="1" t="n">
        <v>46269</v>
      </c>
      <c r="F226" t="inlineStr">
        <is>
          <t>VÄSTERBOTTENS LÄN</t>
        </is>
      </c>
      <c r="G226" t="inlineStr">
        <is>
          <t>LYCKSELE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61651-2021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46269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57848-2021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46269</v>
      </c>
      <c r="F228" t="inlineStr">
        <is>
          <t>VÄSTERBOTTENS LÄN</t>
        </is>
      </c>
      <c r="G228" t="inlineStr">
        <is>
          <t>LYCKSELE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28994-2022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44749</v>
      </c>
      <c r="E229" s="1" t="n">
        <v>46269</v>
      </c>
      <c r="F229" t="inlineStr">
        <is>
          <t>VÄSTERBOTTENS LÄN</t>
        </is>
      </c>
      <c r="G229" t="inlineStr">
        <is>
          <t>LYCKSELE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46269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46269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46269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46269</v>
      </c>
      <c r="F233" t="inlineStr">
        <is>
          <t>VÄSTERBOTTENS LÄN</t>
        </is>
      </c>
      <c r="G233" t="inlineStr">
        <is>
          <t>LYCKSELE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53974-2021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44469</v>
      </c>
      <c r="E234" s="1" t="n">
        <v>46269</v>
      </c>
      <c r="F234" t="inlineStr">
        <is>
          <t>VÄSTERBOTTENS LÄN</t>
        </is>
      </c>
      <c r="G234" t="inlineStr">
        <is>
          <t>LYCKSELE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63827-2021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44509</v>
      </c>
      <c r="E235" s="1" t="n">
        <v>46269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44875</v>
      </c>
      <c r="E236" s="1" t="n">
        <v>46269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56898-2021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44481</v>
      </c>
      <c r="E237" s="1" t="n">
        <v>46269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46269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69226-2021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44531</v>
      </c>
      <c r="E239" s="1" t="n">
        <v>46269</v>
      </c>
      <c r="F239" t="inlineStr">
        <is>
          <t>VÄSTERBOTTENS LÄN</t>
        </is>
      </c>
      <c r="G239" t="inlineStr">
        <is>
          <t>LYCKSELE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61554-2021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44501</v>
      </c>
      <c r="E240" s="1" t="n">
        <v>46269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46269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46269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70817-2021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44537</v>
      </c>
      <c r="E243" s="1" t="n">
        <v>46269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Naturvårdsverket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72332-2021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46269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25308-2022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44731</v>
      </c>
      <c r="E245" s="1" t="n">
        <v>46269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46269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46269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46269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47067-2021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44446</v>
      </c>
      <c r="E249" s="1" t="n">
        <v>46269</v>
      </c>
      <c r="F249" t="inlineStr">
        <is>
          <t>VÄSTERBOTTENS LÄN</t>
        </is>
      </c>
      <c r="G249" t="inlineStr">
        <is>
          <t>LYCKSELE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44454</v>
      </c>
      <c r="E250" s="1" t="n">
        <v>46269</v>
      </c>
      <c r="F250" t="inlineStr">
        <is>
          <t>VÄSTERBOTTENS LÄN</t>
        </is>
      </c>
      <c r="G250" t="inlineStr">
        <is>
          <t>LYCKSELE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45964-2022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44846</v>
      </c>
      <c r="E251" s="1" t="n">
        <v>46269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46269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69627-2021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45526</v>
      </c>
      <c r="E255" s="1" t="n">
        <v>46269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72377-2021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44544</v>
      </c>
      <c r="E256" s="1" t="n">
        <v>46269</v>
      </c>
      <c r="F256" t="inlineStr">
        <is>
          <t>VÄSTERBOTTENS LÄN</t>
        </is>
      </c>
      <c r="G256" t="inlineStr">
        <is>
          <t>LYCKSELE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46269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71407-2021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44540</v>
      </c>
      <c r="E258" s="1" t="n">
        <v>46269</v>
      </c>
      <c r="F258" t="inlineStr">
        <is>
          <t>VÄSTERBOTTENS LÄN</t>
        </is>
      </c>
      <c r="G258" t="inlineStr">
        <is>
          <t>LYCKSELE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45560</v>
      </c>
      <c r="E259" s="1" t="n">
        <v>46269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46269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46269</v>
      </c>
      <c r="F261" t="inlineStr">
        <is>
          <t>VÄSTERBOTTENS LÄN</t>
        </is>
      </c>
      <c r="G261" t="inlineStr">
        <is>
          <t>LYCKSELE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44826</v>
      </c>
      <c r="E262" s="1" t="n">
        <v>46269</v>
      </c>
      <c r="F262" t="inlineStr">
        <is>
          <t>VÄSTERBOTTENS LÄN</t>
        </is>
      </c>
      <c r="G262" t="inlineStr">
        <is>
          <t>LYCKSELE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45786</v>
      </c>
      <c r="E263" s="1" t="n">
        <v>46269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45786</v>
      </c>
      <c r="E264" s="1" t="n">
        <v>46269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46269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45786</v>
      </c>
      <c r="E266" s="1" t="n">
        <v>46269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41101-2022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46269</v>
      </c>
      <c r="F267" t="inlineStr">
        <is>
          <t>VÄSTERBOTTENS LÄN</t>
        </is>
      </c>
      <c r="G267" t="inlineStr">
        <is>
          <t>LYCKSELE</t>
        </is>
      </c>
      <c r="I267" t="n">
        <v>13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46269</v>
      </c>
      <c r="F268" t="inlineStr">
        <is>
          <t>VÄSTERBOTTENS LÄN</t>
        </is>
      </c>
      <c r="G268" t="inlineStr">
        <is>
          <t>LYCKSELE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45498</v>
      </c>
      <c r="E269" s="1" t="n">
        <v>46269</v>
      </c>
      <c r="F269" t="inlineStr">
        <is>
          <t>VÄSTERBOTTENS LÄN</t>
        </is>
      </c>
      <c r="G269" t="inlineStr">
        <is>
          <t>LYCKSELE</t>
        </is>
      </c>
      <c r="I269" t="n">
        <v>14.4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32474-2024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45513</v>
      </c>
      <c r="E270" s="1" t="n">
        <v>46269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46269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46269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46269</v>
      </c>
      <c r="F273" t="inlineStr">
        <is>
          <t>VÄSTERBOTTENS LÄN</t>
        </is>
      </c>
      <c r="G273" t="inlineStr">
        <is>
          <t>LYCKSELE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22759-2025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45789</v>
      </c>
      <c r="E274" s="1" t="n">
        <v>46269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25.5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45576</v>
      </c>
      <c r="E275" s="1" t="n">
        <v>46269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46269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45006</v>
      </c>
      <c r="E277" s="1" t="n">
        <v>46269</v>
      </c>
      <c r="F277" t="inlineStr">
        <is>
          <t>VÄSTERBOTTENS LÄN</t>
        </is>
      </c>
      <c r="G277" t="inlineStr">
        <is>
          <t>LYCKSELE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45786</v>
      </c>
      <c r="E278" s="1" t="n">
        <v>46269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SCA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46269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45775</v>
      </c>
      <c r="E280" s="1" t="n">
        <v>46269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12336-2024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46269</v>
      </c>
      <c r="F281" t="inlineStr">
        <is>
          <t>VÄSTERBOTTENS LÄN</t>
        </is>
      </c>
      <c r="G281" t="inlineStr">
        <is>
          <t>LYCKSELE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46269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45135</v>
      </c>
      <c r="E283" s="1" t="n">
        <v>46269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44735</v>
      </c>
      <c r="E284" s="1" t="n">
        <v>46269</v>
      </c>
      <c r="F284" t="inlineStr">
        <is>
          <t>VÄSTERBOTTENS LÄN</t>
        </is>
      </c>
      <c r="G284" t="inlineStr">
        <is>
          <t>LYCKSELE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46269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64663-2023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45281</v>
      </c>
      <c r="E286" s="1" t="n">
        <v>46269</v>
      </c>
      <c r="F286" t="inlineStr">
        <is>
          <t>VÄSTERBOTTENS LÄN</t>
        </is>
      </c>
      <c r="G286" t="inlineStr">
        <is>
          <t>LYCKSELE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48997-2021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44453</v>
      </c>
      <c r="E287" s="1" t="n">
        <v>46269</v>
      </c>
      <c r="F287" t="inlineStr">
        <is>
          <t>VÄSTERBOTTENS LÄN</t>
        </is>
      </c>
      <c r="G287" t="inlineStr">
        <is>
          <t>LYCKSELE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46269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60226-2022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44910</v>
      </c>
      <c r="E289" s="1" t="n">
        <v>46269</v>
      </c>
      <c r="F289" t="inlineStr">
        <is>
          <t>VÄSTERBOTTENS LÄN</t>
        </is>
      </c>
      <c r="G289" t="inlineStr">
        <is>
          <t>LYCKSELE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24129-2025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45796</v>
      </c>
      <c r="E290" s="1" t="n">
        <v>46269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45265</v>
      </c>
      <c r="E291" s="1" t="n">
        <v>46269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46269</v>
      </c>
      <c r="F292" t="inlineStr">
        <is>
          <t>VÄSTERBOTTENS LÄN</t>
        </is>
      </c>
      <c r="G292" t="inlineStr">
        <is>
          <t>LYCKSELE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46269</v>
      </c>
      <c r="F293" t="inlineStr">
        <is>
          <t>VÄSTERBOTTENS LÄN</t>
        </is>
      </c>
      <c r="G293" t="inlineStr">
        <is>
          <t>LYCKSELE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46269</v>
      </c>
      <c r="F294" t="inlineStr">
        <is>
          <t>VÄSTERBOTTENS LÄN</t>
        </is>
      </c>
      <c r="G294" t="inlineStr">
        <is>
          <t>LYCKSELE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45750</v>
      </c>
      <c r="E295" s="1" t="n">
        <v>46269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59516-2021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44491</v>
      </c>
      <c r="E296" s="1" t="n">
        <v>46269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11626-2024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45373</v>
      </c>
      <c r="E297" s="1" t="n">
        <v>46269</v>
      </c>
      <c r="F297" t="inlineStr">
        <is>
          <t>VÄSTERBOTTENS LÄN</t>
        </is>
      </c>
      <c r="G297" t="inlineStr">
        <is>
          <t>LYCKSELE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23295-2023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45075</v>
      </c>
      <c r="E298" s="1" t="n">
        <v>46269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46269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23315-2024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46269</v>
      </c>
      <c r="F300" t="inlineStr">
        <is>
          <t>VÄSTERBOTTENS LÄN</t>
        </is>
      </c>
      <c r="G300" t="inlineStr">
        <is>
          <t>LYCKSELE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46269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45208</v>
      </c>
      <c r="E302" s="1" t="n">
        <v>46269</v>
      </c>
      <c r="F302" t="inlineStr">
        <is>
          <t>VÄSTERBOTTENS LÄN</t>
        </is>
      </c>
      <c r="G302" t="inlineStr">
        <is>
          <t>LYCKSELE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44933</v>
      </c>
      <c r="E303" s="1" t="n">
        <v>46269</v>
      </c>
      <c r="F303" t="inlineStr">
        <is>
          <t>VÄSTERBOTTENS LÄN</t>
        </is>
      </c>
      <c r="G303" t="inlineStr">
        <is>
          <t>LYCKSELE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46269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46269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46269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46269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46269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45614</v>
      </c>
      <c r="E309" s="1" t="n">
        <v>46269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46269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46269</v>
      </c>
      <c r="F311" t="inlineStr">
        <is>
          <t>VÄSTERBOTTENS LÄN</t>
        </is>
      </c>
      <c r="G311" t="inlineStr">
        <is>
          <t>LYCKSELE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46269</v>
      </c>
      <c r="F312" t="inlineStr">
        <is>
          <t>VÄSTERBOTTENS LÄN</t>
        </is>
      </c>
      <c r="G312" t="inlineStr">
        <is>
          <t>LYCKSELE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46269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61281-2022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44909</v>
      </c>
      <c r="E314" s="1" t="n">
        <v>46269</v>
      </c>
      <c r="F314" t="inlineStr">
        <is>
          <t>VÄSTERBOTTENS LÄN</t>
        </is>
      </c>
      <c r="G314" t="inlineStr">
        <is>
          <t>LYCKSELE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46269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46269</v>
      </c>
      <c r="F316" t="inlineStr">
        <is>
          <t>VÄSTERBOTTENS LÄN</t>
        </is>
      </c>
      <c r="G316" t="inlineStr">
        <is>
          <t>LYCKSELE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46269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13.7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46269</v>
      </c>
      <c r="F318" t="inlineStr">
        <is>
          <t>VÄSTERBOTTENS LÄN</t>
        </is>
      </c>
      <c r="G318" t="inlineStr">
        <is>
          <t>LYCKSELE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46269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8.5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45637</v>
      </c>
      <c r="E320" s="1" t="n">
        <v>46269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46269</v>
      </c>
      <c r="F321" t="inlineStr">
        <is>
          <t>VÄSTERBOTTENS LÄN</t>
        </is>
      </c>
      <c r="G321" t="inlineStr">
        <is>
          <t>LYCKSELE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46269</v>
      </c>
      <c r="F322" t="inlineStr">
        <is>
          <t>VÄSTERBOTTENS LÄN</t>
        </is>
      </c>
      <c r="G322" t="inlineStr">
        <is>
          <t>LYCKSELE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46269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46269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46269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46269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60714-2022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44912</v>
      </c>
      <c r="E327" s="1" t="n">
        <v>46269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45457</v>
      </c>
      <c r="E328" s="1" t="n">
        <v>46269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45432</v>
      </c>
      <c r="E329" s="1" t="n">
        <v>46269</v>
      </c>
      <c r="F329" t="inlineStr">
        <is>
          <t>VÄSTERBOTTENS LÄN</t>
        </is>
      </c>
      <c r="G329" t="inlineStr">
        <is>
          <t>LYCKSELE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46269</v>
      </c>
      <c r="F330" t="inlineStr">
        <is>
          <t>VÄSTERBOTTENS LÄN</t>
        </is>
      </c>
      <c r="G330" t="inlineStr">
        <is>
          <t>LYCKSELE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53320-2021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44468</v>
      </c>
      <c r="E331" s="1" t="n">
        <v>46269</v>
      </c>
      <c r="F331" t="inlineStr">
        <is>
          <t>VÄSTERBOTTENS LÄN</t>
        </is>
      </c>
      <c r="G331" t="inlineStr">
        <is>
          <t>LYCKSELE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45457</v>
      </c>
      <c r="E332" s="1" t="n">
        <v>46269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45468</v>
      </c>
      <c r="E333" s="1" t="n">
        <v>46269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46269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46269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45621</v>
      </c>
      <c r="E336" s="1" t="n">
        <v>46269</v>
      </c>
      <c r="F336" t="inlineStr">
        <is>
          <t>VÄSTERBOTTENS LÄN</t>
        </is>
      </c>
      <c r="G336" t="inlineStr">
        <is>
          <t>LYCKSELE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45810</v>
      </c>
      <c r="E337" s="1" t="n">
        <v>46269</v>
      </c>
      <c r="F337" t="inlineStr">
        <is>
          <t>VÄSTERBOTTENS LÄN</t>
        </is>
      </c>
      <c r="G337" t="inlineStr">
        <is>
          <t>LYCKSELE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44925</v>
      </c>
      <c r="E338" s="1" t="n">
        <v>46269</v>
      </c>
      <c r="F338" t="inlineStr">
        <is>
          <t>VÄSTERBOTTENS LÄN</t>
        </is>
      </c>
      <c r="G338" t="inlineStr">
        <is>
          <t>LYCKSELE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46269</v>
      </c>
      <c r="F339" t="inlineStr">
        <is>
          <t>VÄSTERBOTTENS LÄN</t>
        </is>
      </c>
      <c r="G339" t="inlineStr">
        <is>
          <t>LYCKSELE</t>
        </is>
      </c>
      <c r="I339" t="n">
        <v>20.5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46269</v>
      </c>
      <c r="F340" t="inlineStr">
        <is>
          <t>VÄSTERBOTTENS LÄN</t>
        </is>
      </c>
      <c r="G340" t="inlineStr">
        <is>
          <t>LYCKSELE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59559-2022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44900</v>
      </c>
      <c r="E341" s="1" t="n">
        <v>46269</v>
      </c>
      <c r="F341" t="inlineStr">
        <is>
          <t>VÄSTERBOTTENS LÄN</t>
        </is>
      </c>
      <c r="G341" t="inlineStr">
        <is>
          <t>LYCKSELE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45457</v>
      </c>
      <c r="E342" s="1" t="n">
        <v>46269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58975-2022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46269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45488</v>
      </c>
      <c r="E344" s="1" t="n">
        <v>46269</v>
      </c>
      <c r="F344" t="inlineStr">
        <is>
          <t>VÄSTERBOTTENS LÄN</t>
        </is>
      </c>
      <c r="G344" t="inlineStr">
        <is>
          <t>LYCKSELE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48330-2024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45590</v>
      </c>
      <c r="E345" s="1" t="n">
        <v>46269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45652</v>
      </c>
      <c r="E346" s="1" t="n">
        <v>46269</v>
      </c>
      <c r="F346" t="inlineStr">
        <is>
          <t>VÄSTERBOTTENS LÄN</t>
        </is>
      </c>
      <c r="G346" t="inlineStr">
        <is>
          <t>LYCKSELE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46269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46269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46269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45516</v>
      </c>
      <c r="E350" s="1" t="n">
        <v>46269</v>
      </c>
      <c r="F350" t="inlineStr">
        <is>
          <t>VÄSTERBOTTENS LÄN</t>
        </is>
      </c>
      <c r="G350" t="inlineStr">
        <is>
          <t>LYCKSELE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45142</v>
      </c>
      <c r="E351" s="1" t="n">
        <v>46269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46269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45807</v>
      </c>
      <c r="E353" s="1" t="n">
        <v>46269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46269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45608</v>
      </c>
      <c r="E355" s="1" t="n">
        <v>46269</v>
      </c>
      <c r="F355" t="inlineStr">
        <is>
          <t>VÄSTERBOTTENS LÄN</t>
        </is>
      </c>
      <c r="G355" t="inlineStr">
        <is>
          <t>LYCKSELE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45807</v>
      </c>
      <c r="E356" s="1" t="n">
        <v>46269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45672</v>
      </c>
      <c r="E357" s="1" t="n">
        <v>46269</v>
      </c>
      <c r="F357" t="inlineStr">
        <is>
          <t>VÄSTERBOTTENS LÄN</t>
        </is>
      </c>
      <c r="G357" t="inlineStr">
        <is>
          <t>LYCKSELE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9090-2025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45713</v>
      </c>
      <c r="E358" s="1" t="n">
        <v>46269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45408</v>
      </c>
      <c r="E359" s="1" t="n">
        <v>46269</v>
      </c>
      <c r="F359" t="inlineStr">
        <is>
          <t>VÄSTERBOTTENS LÄN</t>
        </is>
      </c>
      <c r="G359" t="inlineStr">
        <is>
          <t>LYCKSELE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45515</v>
      </c>
      <c r="E360" s="1" t="n">
        <v>46269</v>
      </c>
      <c r="F360" t="inlineStr">
        <is>
          <t>VÄSTERBOTTENS LÄN</t>
        </is>
      </c>
      <c r="G360" t="inlineStr">
        <is>
          <t>LYCKSELE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46269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46269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46269</v>
      </c>
      <c r="F363" t="inlineStr">
        <is>
          <t>VÄSTERBOTTENS LÄN</t>
        </is>
      </c>
      <c r="G363" t="inlineStr">
        <is>
          <t>LYCKSELE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46269</v>
      </c>
      <c r="F364" t="inlineStr">
        <is>
          <t>VÄSTERBOTTENS LÄN</t>
        </is>
      </c>
      <c r="G364" t="inlineStr">
        <is>
          <t>LYCKSELE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60267-2022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46269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47182-2024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45586</v>
      </c>
      <c r="E366" s="1" t="n">
        <v>46269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44733</v>
      </c>
      <c r="E367" s="1" t="n">
        <v>46269</v>
      </c>
      <c r="F367" t="inlineStr">
        <is>
          <t>VÄSTERBOTTENS LÄN</t>
        </is>
      </c>
      <c r="G367" t="inlineStr">
        <is>
          <t>LYCKSELE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46269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45681</v>
      </c>
      <c r="E369" s="1" t="n">
        <v>46269</v>
      </c>
      <c r="F369" t="inlineStr">
        <is>
          <t>VÄSTERBOTTENS LÄN</t>
        </is>
      </c>
      <c r="G369" t="inlineStr">
        <is>
          <t>LYCKSELE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45006</v>
      </c>
      <c r="E370" s="1" t="n">
        <v>46269</v>
      </c>
      <c r="F370" t="inlineStr">
        <is>
          <t>VÄSTERBOTTENS LÄN</t>
        </is>
      </c>
      <c r="G370" t="inlineStr">
        <is>
          <t>LYCKSELE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45813</v>
      </c>
      <c r="E371" s="1" t="n">
        <v>46269</v>
      </c>
      <c r="F371" t="inlineStr">
        <is>
          <t>VÄSTERBOTTENS LÄN</t>
        </is>
      </c>
      <c r="G371" t="inlineStr">
        <is>
          <t>LYCKSELE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45813</v>
      </c>
      <c r="E372" s="1" t="n">
        <v>46269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15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45503</v>
      </c>
      <c r="E373" s="1" t="n">
        <v>46269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46269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58716-2024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45635</v>
      </c>
      <c r="E375" s="1" t="n">
        <v>46269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45468</v>
      </c>
      <c r="E376" s="1" t="n">
        <v>46269</v>
      </c>
      <c r="F376" t="inlineStr">
        <is>
          <t>VÄSTERBOTTENS LÄN</t>
        </is>
      </c>
      <c r="G376" t="inlineStr">
        <is>
          <t>LYCKSELE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45105</v>
      </c>
      <c r="E377" s="1" t="n">
        <v>46269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Naturvårdsverket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45488</v>
      </c>
      <c r="E378" s="1" t="n">
        <v>46269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46269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36875-2023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46269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46269</v>
      </c>
      <c r="F381" t="inlineStr">
        <is>
          <t>VÄSTERBOTTENS LÄN</t>
        </is>
      </c>
      <c r="G381" t="inlineStr">
        <is>
          <t>LYCKSELE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46269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60117-2022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44909</v>
      </c>
      <c r="E383" s="1" t="n">
        <v>46269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46269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26351-2022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44735</v>
      </c>
      <c r="E385" s="1" t="n">
        <v>46269</v>
      </c>
      <c r="F385" t="inlineStr">
        <is>
          <t>VÄSTERBOTTENS LÄN</t>
        </is>
      </c>
      <c r="G385" t="inlineStr">
        <is>
          <t>LYCKSELE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46269</v>
      </c>
      <c r="F386" t="inlineStr">
        <is>
          <t>VÄSTERBOTTENS LÄN</t>
        </is>
      </c>
      <c r="G386" t="inlineStr">
        <is>
          <t>LYCKSELE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45708</v>
      </c>
      <c r="E387" s="1" t="n">
        <v>46269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28486-2025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45819</v>
      </c>
      <c r="E388" s="1" t="n">
        <v>46269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28833-2025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45820</v>
      </c>
      <c r="E389" s="1" t="n">
        <v>46269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46269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45154</v>
      </c>
      <c r="E391" s="1" t="n">
        <v>46269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46269</v>
      </c>
      <c r="F392" t="inlineStr">
        <is>
          <t>VÄSTERBOTTENS LÄN</t>
        </is>
      </c>
      <c r="G392" t="inlineStr">
        <is>
          <t>LYCKSELE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45630</v>
      </c>
      <c r="E393" s="1" t="n">
        <v>46269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46269</v>
      </c>
      <c r="F394" t="inlineStr">
        <is>
          <t>VÄSTERBOTTENS LÄN</t>
        </is>
      </c>
      <c r="G394" t="inlineStr">
        <is>
          <t>LYCKSELE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45821</v>
      </c>
      <c r="E395" s="1" t="n">
        <v>46269</v>
      </c>
      <c r="F395" t="inlineStr">
        <is>
          <t>VÄSTERBOTTENS LÄN</t>
        </is>
      </c>
      <c r="G395" t="inlineStr">
        <is>
          <t>LYCKSELE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45821</v>
      </c>
      <c r="E396" s="1" t="n">
        <v>46269</v>
      </c>
      <c r="F396" t="inlineStr">
        <is>
          <t>VÄSTERBOTTENS LÄN</t>
        </is>
      </c>
      <c r="G396" t="inlineStr">
        <is>
          <t>LYCKSELE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45198</v>
      </c>
      <c r="E397" s="1" t="n">
        <v>46269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46269</v>
      </c>
      <c r="F398" t="inlineStr">
        <is>
          <t>VÄSTERBOTTENS LÄN</t>
        </is>
      </c>
      <c r="G398" t="inlineStr">
        <is>
          <t>LYCKSELE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46269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46269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45187</v>
      </c>
      <c r="E401" s="1" t="n">
        <v>46269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46269</v>
      </c>
      <c r="F402" t="inlineStr">
        <is>
          <t>VÄSTERBOTTENS LÄN</t>
        </is>
      </c>
      <c r="G402" t="inlineStr">
        <is>
          <t>LYCKSELE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46269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45827</v>
      </c>
      <c r="E404" s="1" t="n">
        <v>46269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19.5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38178-2022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44812</v>
      </c>
      <c r="E405" s="1" t="n">
        <v>46269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46269</v>
      </c>
      <c r="F406" t="inlineStr">
        <is>
          <t>VÄSTERBOTTENS LÄN</t>
        </is>
      </c>
      <c r="G406" t="inlineStr">
        <is>
          <t>LYCKSELE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45832</v>
      </c>
      <c r="E407" s="1" t="n">
        <v>46269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46269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45428</v>
      </c>
      <c r="E409" s="1" t="n">
        <v>46269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11.1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46269</v>
      </c>
      <c r="F410" t="inlineStr">
        <is>
          <t>VÄSTERBOTTENS LÄN</t>
        </is>
      </c>
      <c r="G410" t="inlineStr">
        <is>
          <t>LYCKSELE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46269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18.9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70195-2021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44534</v>
      </c>
      <c r="E412" s="1" t="n">
        <v>46269</v>
      </c>
      <c r="F412" t="inlineStr">
        <is>
          <t>VÄSTERBOTTENS LÄN</t>
        </is>
      </c>
      <c r="G412" t="inlineStr">
        <is>
          <t>LYCKSELE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45666</v>
      </c>
      <c r="E413" s="1" t="n">
        <v>46269</v>
      </c>
      <c r="F413" t="inlineStr">
        <is>
          <t>VÄSTERBOTTENS LÄN</t>
        </is>
      </c>
      <c r="G413" t="inlineStr">
        <is>
          <t>LYCKSELE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29449-2024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45483</v>
      </c>
      <c r="E414" s="1" t="n">
        <v>46269</v>
      </c>
      <c r="F414" t="inlineStr">
        <is>
          <t>VÄSTERBOTTENS LÄN</t>
        </is>
      </c>
      <c r="G414" t="inlineStr">
        <is>
          <t>LYCKSELE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31897-2025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45834</v>
      </c>
      <c r="E415" s="1" t="n">
        <v>46269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15037-2025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45743</v>
      </c>
      <c r="E416" s="1" t="n">
        <v>46269</v>
      </c>
      <c r="F416" t="inlineStr">
        <is>
          <t>VÄSTERBOTTENS LÄN</t>
        </is>
      </c>
      <c r="G416" t="inlineStr">
        <is>
          <t>LYCKSELE</t>
        </is>
      </c>
      <c r="I416" t="n">
        <v>12.1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44820</v>
      </c>
      <c r="E417" s="1" t="n">
        <v>46269</v>
      </c>
      <c r="F417" t="inlineStr">
        <is>
          <t>VÄSTERBOTTENS LÄN</t>
        </is>
      </c>
      <c r="G417" t="inlineStr">
        <is>
          <t>LYCKSELE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45469</v>
      </c>
      <c r="E418" s="1" t="n">
        <v>46269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66460-2021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44518</v>
      </c>
      <c r="E419" s="1" t="n">
        <v>46269</v>
      </c>
      <c r="F419" t="inlineStr">
        <is>
          <t>VÄSTERBOTTENS LÄN</t>
        </is>
      </c>
      <c r="G419" t="inlineStr">
        <is>
          <t>LYCKSELE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45176</v>
      </c>
      <c r="E420" s="1" t="n">
        <v>46269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59653-2022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44907</v>
      </c>
      <c r="E421" s="1" t="n">
        <v>46269</v>
      </c>
      <c r="F421" t="inlineStr">
        <is>
          <t>VÄSTERBOTTENS LÄN</t>
        </is>
      </c>
      <c r="G421" t="inlineStr">
        <is>
          <t>LYCKSELE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45393</v>
      </c>
      <c r="E422" s="1" t="n">
        <v>46269</v>
      </c>
      <c r="F422" t="inlineStr">
        <is>
          <t>VÄSTERBOTTENS LÄN</t>
        </is>
      </c>
      <c r="G422" t="inlineStr">
        <is>
          <t>LYCKSELE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46269</v>
      </c>
      <c r="F423" t="inlineStr">
        <is>
          <t>VÄSTERBOTTENS LÄN</t>
        </is>
      </c>
      <c r="G423" t="inlineStr">
        <is>
          <t>LYCKSELE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46269</v>
      </c>
      <c r="F424" t="inlineStr">
        <is>
          <t>VÄSTERBOTTENS LÄN</t>
        </is>
      </c>
      <c r="G424" t="inlineStr">
        <is>
          <t>LYCKSELE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41419-2022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44826</v>
      </c>
      <c r="E425" s="1" t="n">
        <v>46269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Naturvårdsverket</t>
        </is>
      </c>
      <c r="I425" t="n">
        <v>32.1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45176</v>
      </c>
      <c r="E426" s="1" t="n">
        <v>46269</v>
      </c>
      <c r="F426" t="inlineStr">
        <is>
          <t>VÄSTERBOTTENS LÄN</t>
        </is>
      </c>
      <c r="G426" t="inlineStr">
        <is>
          <t>LYCKSELE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46269</v>
      </c>
      <c r="F427" t="inlineStr">
        <is>
          <t>VÄSTERBOTTENS LÄN</t>
        </is>
      </c>
      <c r="G427" t="inlineStr">
        <is>
          <t>LYCKSELE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45479</v>
      </c>
      <c r="E428" s="1" t="n">
        <v>46269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46269</v>
      </c>
      <c r="F429" t="inlineStr">
        <is>
          <t>VÄSTERBOTTENS LÄN</t>
        </is>
      </c>
      <c r="G429" t="inlineStr">
        <is>
          <t>LYCKSELE</t>
        </is>
      </c>
      <c r="I429" t="n">
        <v>10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46269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45840</v>
      </c>
      <c r="E431" s="1" t="n">
        <v>46269</v>
      </c>
      <c r="F431" t="inlineStr">
        <is>
          <t>VÄSTERBOTTENS LÄN</t>
        </is>
      </c>
      <c r="G431" t="inlineStr">
        <is>
          <t>LYCKSELE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64346-2023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45279</v>
      </c>
      <c r="E432" s="1" t="n">
        <v>46269</v>
      </c>
      <c r="F432" t="inlineStr">
        <is>
          <t>VÄSTERBOTTENS LÄN</t>
        </is>
      </c>
      <c r="G432" t="inlineStr">
        <is>
          <t>LYCKSELE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47016-2022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44851</v>
      </c>
      <c r="E433" s="1" t="n">
        <v>46269</v>
      </c>
      <c r="F433" t="inlineStr">
        <is>
          <t>VÄSTERBOTTENS LÄN</t>
        </is>
      </c>
      <c r="G433" t="inlineStr">
        <is>
          <t>LYCKSELE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45842</v>
      </c>
      <c r="E434" s="1" t="n">
        <v>46269</v>
      </c>
      <c r="F434" t="inlineStr">
        <is>
          <t>VÄSTERBOTTENS LÄN</t>
        </is>
      </c>
      <c r="G434" t="inlineStr">
        <is>
          <t>LYCKSELE</t>
        </is>
      </c>
      <c r="I434" t="n">
        <v>12.5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52370-2022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44874</v>
      </c>
      <c r="E435" s="1" t="n">
        <v>46269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33527-2025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45841</v>
      </c>
      <c r="E436" s="1" t="n">
        <v>46269</v>
      </c>
      <c r="F436" t="inlineStr">
        <is>
          <t>VÄSTERBOTTENS LÄN</t>
        </is>
      </c>
      <c r="G436" t="inlineStr">
        <is>
          <t>LYCKSELE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2758-2023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44943</v>
      </c>
      <c r="E437" s="1" t="n">
        <v>46269</v>
      </c>
      <c r="F437" t="inlineStr">
        <is>
          <t>VÄSTERBOTTENS LÄN</t>
        </is>
      </c>
      <c r="G437" t="inlineStr">
        <is>
          <t>LYCKSELE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33431-2025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45841</v>
      </c>
      <c r="E438" s="1" t="n">
        <v>46269</v>
      </c>
      <c r="F438" t="inlineStr">
        <is>
          <t>VÄSTERBOTTENS LÄN</t>
        </is>
      </c>
      <c r="G438" t="inlineStr">
        <is>
          <t>LYCKSELE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33415-2025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45841</v>
      </c>
      <c r="E439" s="1" t="n">
        <v>46269</v>
      </c>
      <c r="F439" t="inlineStr">
        <is>
          <t>VÄSTERBOTTENS LÄN</t>
        </is>
      </c>
      <c r="G439" t="inlineStr">
        <is>
          <t>LYCKSELE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33423-2025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45841</v>
      </c>
      <c r="E440" s="1" t="n">
        <v>46269</v>
      </c>
      <c r="F440" t="inlineStr">
        <is>
          <t>VÄSTERBOTTENS LÄN</t>
        </is>
      </c>
      <c r="G440" t="inlineStr">
        <is>
          <t>LYCKSELE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45742</v>
      </c>
      <c r="E441" s="1" t="n">
        <v>46269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50.1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44670</v>
      </c>
      <c r="E442" s="1" t="n">
        <v>46269</v>
      </c>
      <c r="F442" t="inlineStr">
        <is>
          <t>VÄSTERBOTTENS LÄN</t>
        </is>
      </c>
      <c r="G442" t="inlineStr">
        <is>
          <t>LYCKSELE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33992-2025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45843</v>
      </c>
      <c r="E443" s="1" t="n">
        <v>46269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45505</v>
      </c>
      <c r="E444" s="1" t="n">
        <v>46269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45845</v>
      </c>
      <c r="E445" s="1" t="n">
        <v>46269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45685</v>
      </c>
      <c r="E446" s="1" t="n">
        <v>46269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33991-2025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45843</v>
      </c>
      <c r="E447" s="1" t="n">
        <v>46269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64893-2021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44512</v>
      </c>
      <c r="E448" s="1" t="n">
        <v>46269</v>
      </c>
      <c r="F448" t="inlineStr">
        <is>
          <t>VÄSTERBOTTENS LÄN</t>
        </is>
      </c>
      <c r="G448" t="inlineStr">
        <is>
          <t>LYCKSELE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45847</v>
      </c>
      <c r="E449" s="1" t="n">
        <v>46269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26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45307</v>
      </c>
      <c r="E450" s="1" t="n">
        <v>46269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46269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46269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45687</v>
      </c>
      <c r="E453" s="1" t="n">
        <v>46269</v>
      </c>
      <c r="F453" t="inlineStr">
        <is>
          <t>VÄSTERBOTTENS LÄN</t>
        </is>
      </c>
      <c r="G453" t="inlineStr">
        <is>
          <t>LYCKSELE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73113-2021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44550</v>
      </c>
      <c r="E454" s="1" t="n">
        <v>46269</v>
      </c>
      <c r="F454" t="inlineStr">
        <is>
          <t>VÄSTERBOTTENS LÄN</t>
        </is>
      </c>
      <c r="G454" t="inlineStr">
        <is>
          <t>LYCKSELE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34918-2025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46269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45849</v>
      </c>
      <c r="E456" s="1" t="n">
        <v>46269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45849</v>
      </c>
      <c r="E457" s="1" t="n">
        <v>46269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57108-2024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45629</v>
      </c>
      <c r="E458" s="1" t="n">
        <v>46269</v>
      </c>
      <c r="F458" t="inlineStr">
        <is>
          <t>VÄSTERBOTTENS LÄN</t>
        </is>
      </c>
      <c r="G458" t="inlineStr">
        <is>
          <t>LYCKSELE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46269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44637</v>
      </c>
      <c r="E460" s="1" t="n">
        <v>46269</v>
      </c>
      <c r="F460" t="inlineStr">
        <is>
          <t>VÄSTERBOTTENS LÄN</t>
        </is>
      </c>
      <c r="G460" t="inlineStr">
        <is>
          <t>LYCKSELE</t>
        </is>
      </c>
      <c r="I460" t="n">
        <v>30.8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53614-2021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44469</v>
      </c>
      <c r="E461" s="1" t="n">
        <v>46269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45849</v>
      </c>
      <c r="E462" s="1" t="n">
        <v>46269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45852</v>
      </c>
      <c r="E463" s="1" t="n">
        <v>46269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35303-2025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45854</v>
      </c>
      <c r="E464" s="1" t="n">
        <v>46269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60685-2022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44911</v>
      </c>
      <c r="E465" s="1" t="n">
        <v>46269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47697-2021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44448</v>
      </c>
      <c r="E466" s="1" t="n">
        <v>46269</v>
      </c>
      <c r="F466" t="inlineStr">
        <is>
          <t>VÄSTERBOTTENS LÄN</t>
        </is>
      </c>
      <c r="G466" t="inlineStr">
        <is>
          <t>LYCKSELE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35333-2025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45854</v>
      </c>
      <c r="E467" s="1" t="n">
        <v>46269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46269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35234-2025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45853</v>
      </c>
      <c r="E469" s="1" t="n">
        <v>46269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45853</v>
      </c>
      <c r="E470" s="1" t="n">
        <v>46269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45853</v>
      </c>
      <c r="E471" s="1" t="n">
        <v>46269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45853</v>
      </c>
      <c r="E472" s="1" t="n">
        <v>46269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46269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45709</v>
      </c>
      <c r="E474" s="1" t="n">
        <v>46269</v>
      </c>
      <c r="F474" t="inlineStr">
        <is>
          <t>VÄSTERBOTTENS LÄN</t>
        </is>
      </c>
      <c r="G474" t="inlineStr">
        <is>
          <t>LYCKSELE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9892-2022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44620</v>
      </c>
      <c r="E475" s="1" t="n">
        <v>46269</v>
      </c>
      <c r="F475" t="inlineStr">
        <is>
          <t>VÄSTERBOTTENS LÄN</t>
        </is>
      </c>
      <c r="G475" t="inlineStr">
        <is>
          <t>LYCKSELE</t>
        </is>
      </c>
      <c r="I475" t="n">
        <v>14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45545</v>
      </c>
      <c r="E476" s="1" t="n">
        <v>46269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46269</v>
      </c>
      <c r="F477" t="inlineStr">
        <is>
          <t>VÄSTERBOTTENS LÄN</t>
        </is>
      </c>
      <c r="G477" t="inlineStr">
        <is>
          <t>LYCKSELE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44642</v>
      </c>
      <c r="E478" s="1" t="n">
        <v>46269</v>
      </c>
      <c r="F478" t="inlineStr">
        <is>
          <t>VÄSTERBOTTENS LÄN</t>
        </is>
      </c>
      <c r="G478" t="inlineStr">
        <is>
          <t>LYCKSELE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57818-2021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46269</v>
      </c>
      <c r="F479" t="inlineStr">
        <is>
          <t>VÄSTERBOTTENS LÄN</t>
        </is>
      </c>
      <c r="G479" t="inlineStr">
        <is>
          <t>LYCKSELE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35662-2025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45859</v>
      </c>
      <c r="E480" s="1" t="n">
        <v>46269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38114-2024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45545</v>
      </c>
      <c r="E481" s="1" t="n">
        <v>46269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45859</v>
      </c>
      <c r="E482" s="1" t="n">
        <v>46269</v>
      </c>
      <c r="F482" t="inlineStr">
        <is>
          <t>VÄSTERBOTTENS LÄN</t>
        </is>
      </c>
      <c r="G482" t="inlineStr">
        <is>
          <t>LYCKSELE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35671-2025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45859</v>
      </c>
      <c r="E483" s="1" t="n">
        <v>46269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27964-2023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45098</v>
      </c>
      <c r="E484" s="1" t="n">
        <v>46269</v>
      </c>
      <c r="F484" t="inlineStr">
        <is>
          <t>VÄSTERBOTTENS LÄN</t>
        </is>
      </c>
      <c r="G484" t="inlineStr">
        <is>
          <t>LYCKSELE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46269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45861</v>
      </c>
      <c r="E486" s="1" t="n">
        <v>46269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35920-2025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45862</v>
      </c>
      <c r="E487" s="1" t="n">
        <v>46269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45491</v>
      </c>
      <c r="E488" s="1" t="n">
        <v>46269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45106</v>
      </c>
      <c r="E489" s="1" t="n">
        <v>46269</v>
      </c>
      <c r="F489" t="inlineStr">
        <is>
          <t>VÄSTERBOTTENS LÄN</t>
        </is>
      </c>
      <c r="G489" t="inlineStr">
        <is>
          <t>LYCKSELE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44571</v>
      </c>
      <c r="E490" s="1" t="n">
        <v>46269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26357-2023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45091</v>
      </c>
      <c r="E491" s="1" t="n">
        <v>46269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42887-2024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45566</v>
      </c>
      <c r="E492" s="1" t="n">
        <v>46269</v>
      </c>
      <c r="F492" t="inlineStr">
        <is>
          <t>VÄSTERBOTTENS LÄN</t>
        </is>
      </c>
      <c r="G492" t="inlineStr">
        <is>
          <t>LYCKSELE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45861</v>
      </c>
      <c r="E493" s="1" t="n">
        <v>46269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45441</v>
      </c>
      <c r="E494" s="1" t="n">
        <v>46269</v>
      </c>
      <c r="F494" t="inlineStr">
        <is>
          <t>VÄSTERBOTTENS LÄN</t>
        </is>
      </c>
      <c r="G494" t="inlineStr">
        <is>
          <t>LYCKSELE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49175-2023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45210</v>
      </c>
      <c r="E495" s="1" t="n">
        <v>46269</v>
      </c>
      <c r="F495" t="inlineStr">
        <is>
          <t>VÄSTERBOTTENS LÄN</t>
        </is>
      </c>
      <c r="G495" t="inlineStr">
        <is>
          <t>LYCKSELE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36542-2025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45869</v>
      </c>
      <c r="E496" s="1" t="n">
        <v>46269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46269</v>
      </c>
      <c r="F497" t="inlineStr">
        <is>
          <t>VÄSTERBOTTENS LÄN</t>
        </is>
      </c>
      <c r="G497" t="inlineStr">
        <is>
          <t>LYCKSELE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45869</v>
      </c>
      <c r="E498" s="1" t="n">
        <v>46269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53241-2022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44876</v>
      </c>
      <c r="E499" s="1" t="n">
        <v>46269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56401-2021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44477</v>
      </c>
      <c r="E500" s="1" t="n">
        <v>46269</v>
      </c>
      <c r="F500" t="inlineStr">
        <is>
          <t>VÄSTERBOTTENS LÄN</t>
        </is>
      </c>
      <c r="G500" t="inlineStr">
        <is>
          <t>LYCKSELE</t>
        </is>
      </c>
      <c r="I500" t="n">
        <v>11.5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45544</v>
      </c>
      <c r="E501" s="1" t="n">
        <v>46269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53323-2021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44468</v>
      </c>
      <c r="E502" s="1" t="n">
        <v>46269</v>
      </c>
      <c r="F502" t="inlineStr">
        <is>
          <t>VÄSTERBOTTENS LÄN</t>
        </is>
      </c>
      <c r="G502" t="inlineStr">
        <is>
          <t>LYCKSELE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45455</v>
      </c>
      <c r="E503" s="1" t="n">
        <v>46269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46269</v>
      </c>
      <c r="F504" t="inlineStr">
        <is>
          <t>VÄSTERBOTTENS LÄN</t>
        </is>
      </c>
      <c r="G504" t="inlineStr">
        <is>
          <t>LYCKSELE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45873</v>
      </c>
      <c r="E505" s="1" t="n">
        <v>46269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45688</v>
      </c>
      <c r="E506" s="1" t="n">
        <v>46269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46269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39605-2024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45552</v>
      </c>
      <c r="E508" s="1" t="n">
        <v>46269</v>
      </c>
      <c r="F508" t="inlineStr">
        <is>
          <t>VÄSTERBOTTENS LÄN</t>
        </is>
      </c>
      <c r="G508" t="inlineStr">
        <is>
          <t>LYCKSELE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45516</v>
      </c>
      <c r="E509" s="1" t="n">
        <v>46269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46269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45873</v>
      </c>
      <c r="E511" s="1" t="n">
        <v>46269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20.1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45873</v>
      </c>
      <c r="E512" s="1" t="n">
        <v>46269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52699-2021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44466</v>
      </c>
      <c r="E513" s="1" t="n">
        <v>46269</v>
      </c>
      <c r="F513" t="inlineStr">
        <is>
          <t>VÄSTERBOTTENS LÄN</t>
        </is>
      </c>
      <c r="G513" t="inlineStr">
        <is>
          <t>LYCKSELE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45406</v>
      </c>
      <c r="E514" s="1" t="n">
        <v>46269</v>
      </c>
      <c r="F514" t="inlineStr">
        <is>
          <t>VÄSTERBOTTENS LÄN</t>
        </is>
      </c>
      <c r="G514" t="inlineStr">
        <is>
          <t>LYCKSELE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46269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58594-2022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44902</v>
      </c>
      <c r="E516" s="1" t="n">
        <v>46269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45751</v>
      </c>
      <c r="E517" s="1" t="n">
        <v>46269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43134-2023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45182</v>
      </c>
      <c r="E518" s="1" t="n">
        <v>46269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37078-2025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45875</v>
      </c>
      <c r="E519" s="1" t="n">
        <v>46269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45226</v>
      </c>
      <c r="E520" s="1" t="n">
        <v>46269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46176-2023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46269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61094-2023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45261</v>
      </c>
      <c r="E522" s="1" t="n">
        <v>46269</v>
      </c>
      <c r="F522" t="inlineStr">
        <is>
          <t>VÄSTERBOTTENS LÄN</t>
        </is>
      </c>
      <c r="G522" t="inlineStr">
        <is>
          <t>LYCKSELE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45732</v>
      </c>
      <c r="E523" s="1" t="n">
        <v>46269</v>
      </c>
      <c r="F523" t="inlineStr">
        <is>
          <t>VÄSTERBOTTENS LÄN</t>
        </is>
      </c>
      <c r="G523" t="inlineStr">
        <is>
          <t>LYCKSELE</t>
        </is>
      </c>
      <c r="I523" t="n">
        <v>15.5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36150-2024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45534</v>
      </c>
      <c r="E524" s="1" t="n">
        <v>46269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37817-2024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45544</v>
      </c>
      <c r="E525" s="1" t="n">
        <v>46269</v>
      </c>
      <c r="F525" t="inlineStr">
        <is>
          <t>VÄSTERBOTTENS LÄN</t>
        </is>
      </c>
      <c r="G525" t="inlineStr">
        <is>
          <t>LYCKSELE</t>
        </is>
      </c>
      <c r="I525" t="n">
        <v>12.3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44903</v>
      </c>
      <c r="E526" s="1" t="n">
        <v>46269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46269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31689-2023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46269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14276-2025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45740</v>
      </c>
      <c r="E529" s="1" t="n">
        <v>46269</v>
      </c>
      <c r="F529" t="inlineStr">
        <is>
          <t>VÄSTERBOTTENS LÄN</t>
        </is>
      </c>
      <c r="G529" t="inlineStr">
        <is>
          <t>LYCKSELE</t>
        </is>
      </c>
      <c r="I529" t="n">
        <v>34.9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44934</v>
      </c>
      <c r="E530" s="1" t="n">
        <v>46269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15221-2025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45744</v>
      </c>
      <c r="E531" s="1" t="n">
        <v>46269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12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4673-2023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44952</v>
      </c>
      <c r="E532" s="1" t="n">
        <v>46269</v>
      </c>
      <c r="F532" t="inlineStr">
        <is>
          <t>VÄSTERBOTTENS LÄN</t>
        </is>
      </c>
      <c r="G532" t="inlineStr">
        <is>
          <t>LYCKSELE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55170-2022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44886</v>
      </c>
      <c r="E533" s="1" t="n">
        <v>46269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45769</v>
      </c>
      <c r="E534" s="1" t="n">
        <v>46269</v>
      </c>
      <c r="F534" t="inlineStr">
        <is>
          <t>VÄSTERBOTTENS LÄN</t>
        </is>
      </c>
      <c r="G534" t="inlineStr">
        <is>
          <t>LYCKSELE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62874-2023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45271</v>
      </c>
      <c r="E535" s="1" t="n">
        <v>46269</v>
      </c>
      <c r="F535" t="inlineStr">
        <is>
          <t>VÄSTERBOTTENS LÄN</t>
        </is>
      </c>
      <c r="G535" t="inlineStr">
        <is>
          <t>LYCKSELE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41977-2024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46269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53839-2023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45231</v>
      </c>
      <c r="E537" s="1" t="n">
        <v>46269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23164-2022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44719</v>
      </c>
      <c r="E538" s="1" t="n">
        <v>46269</v>
      </c>
      <c r="F538" t="inlineStr">
        <is>
          <t>VÄSTERBOTTENS LÄN</t>
        </is>
      </c>
      <c r="G538" t="inlineStr">
        <is>
          <t>LYCKSELE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44994</v>
      </c>
      <c r="E539" s="1" t="n">
        <v>46269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46269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46269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20.6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45251</v>
      </c>
      <c r="E542" s="1" t="n">
        <v>46269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44459</v>
      </c>
      <c r="E543" s="1" t="n">
        <v>46269</v>
      </c>
      <c r="F543" t="inlineStr">
        <is>
          <t>VÄSTERBOTTENS LÄN</t>
        </is>
      </c>
      <c r="G543" t="inlineStr">
        <is>
          <t>LYCKSELE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45201</v>
      </c>
      <c r="E544" s="1" t="n">
        <v>46269</v>
      </c>
      <c r="F544" t="inlineStr">
        <is>
          <t>VÄSTERBOTTENS LÄN</t>
        </is>
      </c>
      <c r="G544" t="inlineStr">
        <is>
          <t>LYCKSELE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45124</v>
      </c>
      <c r="E545" s="1" t="n">
        <v>46269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42208-2022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44830</v>
      </c>
      <c r="E546" s="1" t="n">
        <v>46269</v>
      </c>
      <c r="F546" t="inlineStr">
        <is>
          <t>VÄSTERBOTTENS LÄN</t>
        </is>
      </c>
      <c r="G546" t="inlineStr">
        <is>
          <t>LYCKSELE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45135</v>
      </c>
      <c r="E547" s="1" t="n">
        <v>46269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46269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45128</v>
      </c>
      <c r="E549" s="1" t="n">
        <v>46269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45392</v>
      </c>
      <c r="E550" s="1" t="n">
        <v>46269</v>
      </c>
      <c r="F550" t="inlineStr">
        <is>
          <t>VÄSTERBOTTENS LÄN</t>
        </is>
      </c>
      <c r="G550" t="inlineStr">
        <is>
          <t>LYCKSELE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46269</v>
      </c>
      <c r="F551" t="inlineStr">
        <is>
          <t>VÄSTERBOTTENS LÄN</t>
        </is>
      </c>
      <c r="G551" t="inlineStr">
        <is>
          <t>LYCKSELE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46269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55456-2022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44887</v>
      </c>
      <c r="E553" s="1" t="n">
        <v>46269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19701-2026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46134</v>
      </c>
      <c r="E554" s="1" t="n">
        <v>46269</v>
      </c>
      <c r="F554" t="inlineStr">
        <is>
          <t>VÄSTERBOTTENS LÄN</t>
        </is>
      </c>
      <c r="G554" t="inlineStr">
        <is>
          <t>LYCKSELE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44973</v>
      </c>
      <c r="E555" s="1" t="n">
        <v>46269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33706-2024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45520</v>
      </c>
      <c r="E556" s="1" t="n">
        <v>46269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45520</v>
      </c>
      <c r="E557" s="1" t="n">
        <v>46269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7.5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50044-2021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44456</v>
      </c>
      <c r="E558" s="1" t="n">
        <v>46269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30470-2022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44761</v>
      </c>
      <c r="E559" s="1" t="n">
        <v>46269</v>
      </c>
      <c r="F559" t="inlineStr">
        <is>
          <t>VÄSTERBOTTENS LÄN</t>
        </is>
      </c>
      <c r="G559" t="inlineStr">
        <is>
          <t>LYCKSELE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46269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24041-2023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45078</v>
      </c>
      <c r="E561" s="1" t="n">
        <v>46269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46269</v>
      </c>
      <c r="F562" t="inlineStr">
        <is>
          <t>VÄSTERBOTTENS LÄN</t>
        </is>
      </c>
      <c r="G562" t="inlineStr">
        <is>
          <t>LYCKSELE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45513</v>
      </c>
      <c r="E563" s="1" t="n">
        <v>46269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46269</v>
      </c>
      <c r="F564" t="inlineStr">
        <is>
          <t>VÄSTERBOTTENS LÄN</t>
        </is>
      </c>
      <c r="G564" t="inlineStr">
        <is>
          <t>LYCKSELE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58439-2022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44901</v>
      </c>
      <c r="E565" s="1" t="n">
        <v>46269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67092-2021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44522</v>
      </c>
      <c r="E566" s="1" t="n">
        <v>46269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45888</v>
      </c>
      <c r="E567" s="1" t="n">
        <v>46269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45888</v>
      </c>
      <c r="E568" s="1" t="n">
        <v>46269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64668-2023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46269</v>
      </c>
      <c r="F569" t="inlineStr">
        <is>
          <t>VÄSTERBOTTENS LÄN</t>
        </is>
      </c>
      <c r="G569" t="inlineStr">
        <is>
          <t>LYCKSELE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53035-2023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46269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46269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12.7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46269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46269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45887</v>
      </c>
      <c r="E574" s="1" t="n">
        <v>46269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45887</v>
      </c>
      <c r="E575" s="1" t="n">
        <v>46269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60859-2022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46269</v>
      </c>
      <c r="F576" t="inlineStr">
        <is>
          <t>VÄSTERBOTTENS LÄN</t>
        </is>
      </c>
      <c r="G576" t="inlineStr">
        <is>
          <t>LYCKSELE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8941-2025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45713</v>
      </c>
      <c r="E577" s="1" t="n">
        <v>46269</v>
      </c>
      <c r="F577" t="inlineStr">
        <is>
          <t>VÄSTERBOTTENS LÄN</t>
        </is>
      </c>
      <c r="G577" t="inlineStr">
        <is>
          <t>LYCKSELE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16289-2025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45751</v>
      </c>
      <c r="E578" s="1" t="n">
        <v>46269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46269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39517-2025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45890</v>
      </c>
      <c r="E580" s="1" t="n">
        <v>46269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39543-2025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45890</v>
      </c>
      <c r="E581" s="1" t="n">
        <v>46269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39562-2025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45890</v>
      </c>
      <c r="E582" s="1" t="n">
        <v>46269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39239-2025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45889</v>
      </c>
      <c r="E583" s="1" t="n">
        <v>46269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45889</v>
      </c>
      <c r="E584" s="1" t="n">
        <v>46269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39458-2025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45889</v>
      </c>
      <c r="E585" s="1" t="n">
        <v>46269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45890</v>
      </c>
      <c r="E586" s="1" t="n">
        <v>46269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45889</v>
      </c>
      <c r="E587" s="1" t="n">
        <v>46269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39552-2025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45890</v>
      </c>
      <c r="E588" s="1" t="n">
        <v>46269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70197-2021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44534</v>
      </c>
      <c r="E589" s="1" t="n">
        <v>46269</v>
      </c>
      <c r="F589" t="inlineStr">
        <is>
          <t>VÄSTERBOTTENS LÄN</t>
        </is>
      </c>
      <c r="G589" t="inlineStr">
        <is>
          <t>LYCKSELE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39482-2025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45890</v>
      </c>
      <c r="E590" s="1" t="n">
        <v>46269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12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53740-2022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44880</v>
      </c>
      <c r="E591" s="1" t="n">
        <v>46269</v>
      </c>
      <c r="F591" t="inlineStr">
        <is>
          <t>VÄSTERBOTTENS LÄN</t>
        </is>
      </c>
      <c r="G591" t="inlineStr">
        <is>
          <t>LYCKSELE</t>
        </is>
      </c>
      <c r="I591" t="n">
        <v>10.5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45411</v>
      </c>
      <c r="E592" s="1" t="n">
        <v>46269</v>
      </c>
      <c r="F592" t="inlineStr">
        <is>
          <t>VÄSTERBOTTENS LÄN</t>
        </is>
      </c>
      <c r="G592" t="inlineStr">
        <is>
          <t>LYCKSELE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45894</v>
      </c>
      <c r="E593" s="1" t="n">
        <v>46269</v>
      </c>
      <c r="F593" t="inlineStr">
        <is>
          <t>VÄSTERBOTTENS LÄN</t>
        </is>
      </c>
      <c r="G593" t="inlineStr">
        <is>
          <t>LYCKSELE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22050-2024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45443</v>
      </c>
      <c r="E594" s="1" t="n">
        <v>46269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45894</v>
      </c>
      <c r="E595" s="1" t="n">
        <v>46269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45021</v>
      </c>
      <c r="E596" s="1" t="n">
        <v>46269</v>
      </c>
      <c r="F596" t="inlineStr">
        <is>
          <t>VÄSTERBOTTENS LÄN</t>
        </is>
      </c>
      <c r="G596" t="inlineStr">
        <is>
          <t>LYCKSELE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64656-2023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46269</v>
      </c>
      <c r="F597" t="inlineStr">
        <is>
          <t>VÄSTERBOTTENS LÄN</t>
        </is>
      </c>
      <c r="G597" t="inlineStr">
        <is>
          <t>LYCKSELE</t>
        </is>
      </c>
      <c r="I597" t="n">
        <v>12.3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57666-2021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44484</v>
      </c>
      <c r="E598" s="1" t="n">
        <v>46269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29524-2023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46269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46269</v>
      </c>
      <c r="F600" t="inlineStr">
        <is>
          <t>VÄSTERBOTTENS LÄN</t>
        </is>
      </c>
      <c r="G600" t="inlineStr">
        <is>
          <t>LYCKSELE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46269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Naturvårdsverket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35569-2024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46269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45040</v>
      </c>
      <c r="E603" s="1" t="n">
        <v>46269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22.9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45533</v>
      </c>
      <c r="E604" s="1" t="n">
        <v>46269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62547-2022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44924</v>
      </c>
      <c r="E605" s="1" t="n">
        <v>46269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45014</v>
      </c>
      <c r="E606" s="1" t="n">
        <v>46269</v>
      </c>
      <c r="F606" t="inlineStr">
        <is>
          <t>VÄSTERBOTTENS LÄN</t>
        </is>
      </c>
      <c r="G606" t="inlineStr">
        <is>
          <t>LYCKSELE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41087-2025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45898</v>
      </c>
      <c r="E607" s="1" t="n">
        <v>46269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14343-2025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45741</v>
      </c>
      <c r="E608" s="1" t="n">
        <v>46269</v>
      </c>
      <c r="F608" t="inlineStr">
        <is>
          <t>VÄSTERBOTTENS LÄN</t>
        </is>
      </c>
      <c r="G608" t="inlineStr">
        <is>
          <t>LYCKSELE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47113-2025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45929</v>
      </c>
      <c r="E609" s="1" t="n">
        <v>46269</v>
      </c>
      <c r="F609" t="inlineStr">
        <is>
          <t>VÄSTERBOTTENS LÄN</t>
        </is>
      </c>
      <c r="G609" t="inlineStr">
        <is>
          <t>LYCKSELE</t>
        </is>
      </c>
      <c r="I609" t="n">
        <v>8.5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42075-2025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45902</v>
      </c>
      <c r="E610" s="1" t="n">
        <v>46269</v>
      </c>
      <c r="F610" t="inlineStr">
        <is>
          <t>VÄSTERBOTTENS LÄN</t>
        </is>
      </c>
      <c r="G610" t="inlineStr">
        <is>
          <t>LYCKSELE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48585-2025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45936</v>
      </c>
      <c r="E611" s="1" t="n">
        <v>46269</v>
      </c>
      <c r="F611" t="inlineStr">
        <is>
          <t>VÄSTERBOTTENS LÄN</t>
        </is>
      </c>
      <c r="G611" t="inlineStr">
        <is>
          <t>LYCKSELE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45901</v>
      </c>
      <c r="E612" s="1" t="n">
        <v>46269</v>
      </c>
      <c r="F612" t="inlineStr">
        <is>
          <t>VÄSTERBOTTENS LÄN</t>
        </is>
      </c>
      <c r="G612" t="inlineStr">
        <is>
          <t>LYCKSELE</t>
        </is>
      </c>
      <c r="I612" t="n">
        <v>16.6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45479</v>
      </c>
      <c r="E613" s="1" t="n">
        <v>46269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45479</v>
      </c>
      <c r="E614" s="1" t="n">
        <v>46269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45903</v>
      </c>
      <c r="E615" s="1" t="n">
        <v>46269</v>
      </c>
      <c r="F615" t="inlineStr">
        <is>
          <t>VÄSTERBOTTENS LÄN</t>
        </is>
      </c>
      <c r="G615" t="inlineStr">
        <is>
          <t>LYCKSELE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29835-2023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46269</v>
      </c>
      <c r="F616" t="inlineStr">
        <is>
          <t>VÄSTERBOTTENS LÄN</t>
        </is>
      </c>
      <c r="G616" t="inlineStr">
        <is>
          <t>LYCKSELE</t>
        </is>
      </c>
      <c r="I616" t="n">
        <v>17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46269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41911-2025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45903</v>
      </c>
      <c r="E618" s="1" t="n">
        <v>46269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9.4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45903</v>
      </c>
      <c r="E619" s="1" t="n">
        <v>46269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42028-2025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45903</v>
      </c>
      <c r="E620" s="1" t="n">
        <v>46269</v>
      </c>
      <c r="F620" t="inlineStr">
        <is>
          <t>VÄSTERBOTTENS LÄN</t>
        </is>
      </c>
      <c r="G620" t="inlineStr">
        <is>
          <t>LYCKSELE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42500-2025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46269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24.3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60425-2021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46269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42616-2025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45905</v>
      </c>
      <c r="E623" s="1" t="n">
        <v>46269</v>
      </c>
      <c r="F623" t="inlineStr">
        <is>
          <t>VÄSTERBOTTENS LÄN</t>
        </is>
      </c>
      <c r="G623" t="inlineStr">
        <is>
          <t>LYCKSELE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45266</v>
      </c>
      <c r="E624" s="1" t="n">
        <v>46269</v>
      </c>
      <c r="F624" t="inlineStr">
        <is>
          <t>VÄSTERBOTTENS LÄN</t>
        </is>
      </c>
      <c r="G624" t="inlineStr">
        <is>
          <t>LYCKSELE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35284-2023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45145</v>
      </c>
      <c r="E625" s="1" t="n">
        <v>46269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45772</v>
      </c>
      <c r="E626" s="1" t="n">
        <v>46269</v>
      </c>
      <c r="F626" t="inlineStr">
        <is>
          <t>VÄSTERBOTTENS LÄN</t>
        </is>
      </c>
      <c r="G626" t="inlineStr">
        <is>
          <t>LYCKSELE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57984-2025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45982</v>
      </c>
      <c r="E627" s="1" t="n">
        <v>46269</v>
      </c>
      <c r="F627" t="inlineStr">
        <is>
          <t>VÄSTERBOTTENS LÄN</t>
        </is>
      </c>
      <c r="G627" t="inlineStr">
        <is>
          <t>LYCKSELE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42405-2025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45905</v>
      </c>
      <c r="E628" s="1" t="n">
        <v>46269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23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42984-2025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45909</v>
      </c>
      <c r="E629" s="1" t="n">
        <v>46269</v>
      </c>
      <c r="F629" t="inlineStr">
        <is>
          <t>VÄSTERBOTTENS LÄN</t>
        </is>
      </c>
      <c r="G629" t="inlineStr">
        <is>
          <t>LYCKSELE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45313</v>
      </c>
      <c r="E630" s="1" t="n">
        <v>46269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Naturvårdsverket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42986-2025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46269</v>
      </c>
      <c r="F631" t="inlineStr">
        <is>
          <t>VÄSTERBOTTENS LÄN</t>
        </is>
      </c>
      <c r="G631" t="inlineStr">
        <is>
          <t>LYCKSELE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45361-2024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45576</v>
      </c>
      <c r="E632" s="1" t="n">
        <v>46269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58263-2025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45985</v>
      </c>
      <c r="E633" s="1" t="n">
        <v>46269</v>
      </c>
      <c r="F633" t="inlineStr">
        <is>
          <t>VÄSTERBOTTENS LÄN</t>
        </is>
      </c>
      <c r="G633" t="inlineStr">
        <is>
          <t>LYCKSELE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44581</v>
      </c>
      <c r="E634" s="1" t="n">
        <v>46269</v>
      </c>
      <c r="F634" t="inlineStr">
        <is>
          <t>VÄSTERBOTTENS LÄN</t>
        </is>
      </c>
      <c r="G634" t="inlineStr">
        <is>
          <t>LYCKSELE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45447-2024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45576</v>
      </c>
      <c r="E635" s="1" t="n">
        <v>46269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Naturvårdsverket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45527</v>
      </c>
      <c r="E636" s="1" t="n">
        <v>46269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44340-2025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45916</v>
      </c>
      <c r="E637" s="1" t="n">
        <v>46269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19.6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43931-2025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45915</v>
      </c>
      <c r="E638" s="1" t="n">
        <v>46269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9.9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44299-2025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45916</v>
      </c>
      <c r="E639" s="1" t="n">
        <v>46269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18.1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44337-2025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45916</v>
      </c>
      <c r="E640" s="1" t="n">
        <v>46269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44345-2025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45916</v>
      </c>
      <c r="E641" s="1" t="n">
        <v>46269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45406-2024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45576</v>
      </c>
      <c r="E642" s="1" t="n">
        <v>46269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Naturvårdsverket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43924-2025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45915</v>
      </c>
      <c r="E643" s="1" t="n">
        <v>46269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6.9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45312-2024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45576</v>
      </c>
      <c r="E644" s="1" t="n">
        <v>46269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10.8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45352-2024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45576</v>
      </c>
      <c r="E645" s="1" t="n">
        <v>46269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46269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9.9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43929-2025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45915</v>
      </c>
      <c r="E647" s="1" t="n">
        <v>46269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18674-2025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45763</v>
      </c>
      <c r="E648" s="1" t="n">
        <v>46269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19390-2024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45429</v>
      </c>
      <c r="E649" s="1" t="n">
        <v>46269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29034-2025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45821</v>
      </c>
      <c r="E650" s="1" t="n">
        <v>46269</v>
      </c>
      <c r="F650" t="inlineStr">
        <is>
          <t>VÄSTERBOTTENS LÄN</t>
        </is>
      </c>
      <c r="G650" t="inlineStr">
        <is>
          <t>LYCKSELE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54680-2024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45618</v>
      </c>
      <c r="E651" s="1" t="n">
        <v>46269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44342-2025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45916</v>
      </c>
      <c r="E652" s="1" t="n">
        <v>46269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45916</v>
      </c>
      <c r="E653" s="1" t="n">
        <v>46269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18.4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44098-2025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45915</v>
      </c>
      <c r="E654" s="1" t="n">
        <v>46269</v>
      </c>
      <c r="F654" t="inlineStr">
        <is>
          <t>VÄSTERBOTTENS LÄN</t>
        </is>
      </c>
      <c r="G654" t="inlineStr">
        <is>
          <t>LYCKSELE</t>
        </is>
      </c>
      <c r="I654" t="n">
        <v>8.4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44087-2025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45915</v>
      </c>
      <c r="E655" s="1" t="n">
        <v>46269</v>
      </c>
      <c r="F655" t="inlineStr">
        <is>
          <t>VÄSTERBOTTENS LÄN</t>
        </is>
      </c>
      <c r="G655" t="inlineStr">
        <is>
          <t>LYCKSELE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46269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31.5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62584-2022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44924</v>
      </c>
      <c r="E657" s="1" t="n">
        <v>46269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44107-2025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45915</v>
      </c>
      <c r="E658" s="1" t="n">
        <v>46269</v>
      </c>
      <c r="F658" t="inlineStr">
        <is>
          <t>VÄSTERBOTTENS LÄN</t>
        </is>
      </c>
      <c r="G658" t="inlineStr">
        <is>
          <t>LYCKSELE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45139-2025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45919</v>
      </c>
      <c r="E659" s="1" t="n">
        <v>46269</v>
      </c>
      <c r="F659" t="inlineStr">
        <is>
          <t>VÄSTERBOTTENS LÄN</t>
        </is>
      </c>
      <c r="G659" t="inlineStr">
        <is>
          <t>LYCKSELE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44092-2025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45915</v>
      </c>
      <c r="E660" s="1" t="n">
        <v>46269</v>
      </c>
      <c r="F660" t="inlineStr">
        <is>
          <t>VÄSTERBOTTENS LÄN</t>
        </is>
      </c>
      <c r="G660" t="inlineStr">
        <is>
          <t>LYCKSELE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44094-2025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45915</v>
      </c>
      <c r="E661" s="1" t="n">
        <v>46269</v>
      </c>
      <c r="F661" t="inlineStr">
        <is>
          <t>VÄSTERBOTTENS LÄN</t>
        </is>
      </c>
      <c r="G661" t="inlineStr">
        <is>
          <t>LYCKSELE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44547-2025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45917</v>
      </c>
      <c r="E662" s="1" t="n">
        <v>46269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46269</v>
      </c>
      <c r="F663" t="inlineStr">
        <is>
          <t>VÄSTERBOTTENS LÄN</t>
        </is>
      </c>
      <c r="G663" t="inlineStr">
        <is>
          <t>LYCKSELE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60081-2025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45993</v>
      </c>
      <c r="E664" s="1" t="n">
        <v>46269</v>
      </c>
      <c r="F664" t="inlineStr">
        <is>
          <t>VÄSTERBOTTENS LÄN</t>
        </is>
      </c>
      <c r="G664" t="inlineStr">
        <is>
          <t>LYCKSELE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20242-2026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46269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45174-2025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45919</v>
      </c>
      <c r="E666" s="1" t="n">
        <v>46269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61975-2025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46003</v>
      </c>
      <c r="E667" s="1" t="n">
        <v>46269</v>
      </c>
      <c r="F667" t="inlineStr">
        <is>
          <t>VÄSTERBOTTENS LÄN</t>
        </is>
      </c>
      <c r="G667" t="inlineStr">
        <is>
          <t>LYCKSELE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51466-2024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45604</v>
      </c>
      <c r="E668" s="1" t="n">
        <v>46269</v>
      </c>
      <c r="F668" t="inlineStr">
        <is>
          <t>VÄSTERBOTTENS LÄN</t>
        </is>
      </c>
      <c r="G668" t="inlineStr">
        <is>
          <t>LYCKSELE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45837-2025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45923</v>
      </c>
      <c r="E669" s="1" t="n">
        <v>46269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44564</v>
      </c>
      <c r="E670" s="1" t="n">
        <v>46269</v>
      </c>
      <c r="F670" t="inlineStr">
        <is>
          <t>VÄSTERBOTTENS LÄN</t>
        </is>
      </c>
      <c r="G670" t="inlineStr">
        <is>
          <t>LYCKSELE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50365-2024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45600</v>
      </c>
      <c r="E671" s="1" t="n">
        <v>46269</v>
      </c>
      <c r="F671" t="inlineStr">
        <is>
          <t>VÄSTERBOTTENS LÄN</t>
        </is>
      </c>
      <c r="G671" t="inlineStr">
        <is>
          <t>LYCKSELE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46074-2025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45924</v>
      </c>
      <c r="E672" s="1" t="n">
        <v>46269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57109-2024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45629</v>
      </c>
      <c r="E673" s="1" t="n">
        <v>46269</v>
      </c>
      <c r="F673" t="inlineStr">
        <is>
          <t>VÄSTERBOTTENS LÄN</t>
        </is>
      </c>
      <c r="G673" t="inlineStr">
        <is>
          <t>LYCKSELE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46077-2025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45924</v>
      </c>
      <c r="E674" s="1" t="n">
        <v>46269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19059-2026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46132</v>
      </c>
      <c r="E675" s="1" t="n">
        <v>46269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26717-2024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45470</v>
      </c>
      <c r="E676" s="1" t="n">
        <v>46269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40342-2025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45895</v>
      </c>
      <c r="E677" s="1" t="n">
        <v>46269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25573-2025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45803</v>
      </c>
      <c r="E678" s="1" t="n">
        <v>46269</v>
      </c>
      <c r="F678" t="inlineStr">
        <is>
          <t>VÄSTERBOTTENS LÄN</t>
        </is>
      </c>
      <c r="G678" t="inlineStr">
        <is>
          <t>LYCKSELE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47461-2025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45930</v>
      </c>
      <c r="E679" s="1" t="n">
        <v>46269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47456-2025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45930</v>
      </c>
      <c r="E680" s="1" t="n">
        <v>46269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44566</v>
      </c>
      <c r="E681" s="1" t="n">
        <v>46269</v>
      </c>
      <c r="F681" t="inlineStr">
        <is>
          <t>VÄSTERBOTTENS LÄN</t>
        </is>
      </c>
      <c r="G681" t="inlineStr">
        <is>
          <t>LYCKSELE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47459-2025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45930</v>
      </c>
      <c r="E682" s="1" t="n">
        <v>46269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62877-2023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46269</v>
      </c>
      <c r="F683" t="inlineStr">
        <is>
          <t>VÄSTERBOTTENS LÄN</t>
        </is>
      </c>
      <c r="G683" t="inlineStr">
        <is>
          <t>LYCKSELE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45931</v>
      </c>
      <c r="E684" s="1" t="n">
        <v>46269</v>
      </c>
      <c r="F684" t="inlineStr">
        <is>
          <t>VÄSTERBOTTENS LÄN</t>
        </is>
      </c>
      <c r="G684" t="inlineStr">
        <is>
          <t>LYCKSELE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47930-2025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45932</v>
      </c>
      <c r="E685" s="1" t="n">
        <v>46269</v>
      </c>
      <c r="F685" t="inlineStr">
        <is>
          <t>VÄSTERBOTTENS LÄN</t>
        </is>
      </c>
      <c r="G685" t="inlineStr">
        <is>
          <t>LYCKSELE</t>
        </is>
      </c>
      <c r="I685" t="n">
        <v>17.8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23769-2023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45077</v>
      </c>
      <c r="E686" s="1" t="n">
        <v>46269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48379-2024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45590</v>
      </c>
      <c r="E687" s="1" t="n">
        <v>46269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43875-2023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45187</v>
      </c>
      <c r="E688" s="1" t="n">
        <v>46269</v>
      </c>
      <c r="F688" t="inlineStr">
        <is>
          <t>VÄSTERBOTTENS LÄN</t>
        </is>
      </c>
      <c r="G688" t="inlineStr">
        <is>
          <t>LYCKSELE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3632-2024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45320</v>
      </c>
      <c r="E689" s="1" t="n">
        <v>46269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11199-2024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46269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55.8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51152-2024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46269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50468-2024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45601</v>
      </c>
      <c r="E692" s="1" t="n">
        <v>46269</v>
      </c>
      <c r="F692" t="inlineStr">
        <is>
          <t>VÄSTERBOTTENS LÄN</t>
        </is>
      </c>
      <c r="G692" t="inlineStr">
        <is>
          <t>LYCKSELE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46146</v>
      </c>
      <c r="E693" s="1" t="n">
        <v>46269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46269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48493-2025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45936</v>
      </c>
      <c r="E695" s="1" t="n">
        <v>46269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48208-2025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45933</v>
      </c>
      <c r="E696" s="1" t="n">
        <v>46269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Holmen skog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23679-2025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45793</v>
      </c>
      <c r="E697" s="1" t="n">
        <v>46269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29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46146</v>
      </c>
      <c r="E698" s="1" t="n">
        <v>46269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24509-2025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45798</v>
      </c>
      <c r="E699" s="1" t="n">
        <v>46269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46269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21052-2026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46146</v>
      </c>
      <c r="E701" s="1" t="n">
        <v>46269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21079-2026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46269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54287-2024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45617</v>
      </c>
      <c r="E703" s="1" t="n">
        <v>46269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21090-2026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46269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13.8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48205-2025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45933</v>
      </c>
      <c r="E705" s="1" t="n">
        <v>46269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22720-2025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45789</v>
      </c>
      <c r="E706" s="1" t="n">
        <v>46269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46146</v>
      </c>
      <c r="E707" s="1" t="n">
        <v>46269</v>
      </c>
      <c r="F707" t="inlineStr">
        <is>
          <t>VÄSTERBOTTENS LÄN</t>
        </is>
      </c>
      <c r="G707" t="inlineStr">
        <is>
          <t>LYCKSELE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45798</v>
      </c>
      <c r="E708" s="1" t="n">
        <v>46269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24511-2025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45798</v>
      </c>
      <c r="E709" s="1" t="n">
        <v>46269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49196-2025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45938</v>
      </c>
      <c r="E710" s="1" t="n">
        <v>46269</v>
      </c>
      <c r="F710" t="inlineStr">
        <is>
          <t>VÄSTERBOTTENS LÄN</t>
        </is>
      </c>
      <c r="G710" t="inlineStr">
        <is>
          <t>LYCKSELE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46269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46269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46269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9879-2022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44620</v>
      </c>
      <c r="E714" s="1" t="n">
        <v>46269</v>
      </c>
      <c r="F714" t="inlineStr">
        <is>
          <t>VÄSTERBOTTENS LÄN</t>
        </is>
      </c>
      <c r="G714" t="inlineStr">
        <is>
          <t>LYCKSELE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40912-2024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45558</v>
      </c>
      <c r="E715" s="1" t="n">
        <v>46269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26999-2023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45093</v>
      </c>
      <c r="E716" s="1" t="n">
        <v>46269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21317-2026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46147</v>
      </c>
      <c r="E717" s="1" t="n">
        <v>46269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45940</v>
      </c>
      <c r="E718" s="1" t="n">
        <v>46269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53011-2024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45611</v>
      </c>
      <c r="E719" s="1" t="n">
        <v>46269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20287-2022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44698</v>
      </c>
      <c r="E720" s="1" t="n">
        <v>46269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49968-2025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45941</v>
      </c>
      <c r="E721" s="1" t="n">
        <v>46269</v>
      </c>
      <c r="F721" t="inlineStr">
        <is>
          <t>VÄSTERBOTTENS LÄN</t>
        </is>
      </c>
      <c r="G721" t="inlineStr">
        <is>
          <t>LYCKSELE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46269</v>
      </c>
      <c r="F722" t="inlineStr">
        <is>
          <t>VÄSTERBOTTENS LÄN</t>
        </is>
      </c>
      <c r="G722" t="inlineStr">
        <is>
          <t>LYCKSELE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49977-2025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45942</v>
      </c>
      <c r="E723" s="1" t="n">
        <v>46269</v>
      </c>
      <c r="F723" t="inlineStr">
        <is>
          <t>VÄSTERBOTTENS LÄN</t>
        </is>
      </c>
      <c r="G723" t="inlineStr">
        <is>
          <t>LYCKSELE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50021-2025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45943</v>
      </c>
      <c r="E724" s="1" t="n">
        <v>46269</v>
      </c>
      <c r="F724" t="inlineStr">
        <is>
          <t>VÄSTERBOTTENS LÄN</t>
        </is>
      </c>
      <c r="G724" t="inlineStr">
        <is>
          <t>LYCKSELE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21918-2026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46150</v>
      </c>
      <c r="E725" s="1" t="n">
        <v>46269</v>
      </c>
      <c r="F725" t="inlineStr">
        <is>
          <t>VÄSTERBOTTENS LÄN</t>
        </is>
      </c>
      <c r="G725" t="inlineStr">
        <is>
          <t>LYCKSELE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49514-2022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44861</v>
      </c>
      <c r="E726" s="1" t="n">
        <v>46269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51207-2025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45947</v>
      </c>
      <c r="E727" s="1" t="n">
        <v>46269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2323-2025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45673</v>
      </c>
      <c r="E728" s="1" t="n">
        <v>46269</v>
      </c>
      <c r="F728" t="inlineStr">
        <is>
          <t>VÄSTERBOTTENS LÄN</t>
        </is>
      </c>
      <c r="G728" t="inlineStr">
        <is>
          <t>LYCKSELE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46269</v>
      </c>
      <c r="F729" t="inlineStr">
        <is>
          <t>VÄSTERBOTTENS LÄN</t>
        </is>
      </c>
      <c r="G729" t="inlineStr">
        <is>
          <t>LYCKSELE</t>
        </is>
      </c>
      <c r="I729" t="n">
        <v>9.9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14249-2025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45740</v>
      </c>
      <c r="E730" s="1" t="n">
        <v>46269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22367-2026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46154</v>
      </c>
      <c r="E731" s="1" t="n">
        <v>46269</v>
      </c>
      <c r="F731" t="inlineStr">
        <is>
          <t>VÄSTERBOTTENS LÄN</t>
        </is>
      </c>
      <c r="G731" t="inlineStr">
        <is>
          <t>LYCKSELE</t>
        </is>
      </c>
      <c r="I731" t="n">
        <v>18.8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22285-2026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46154</v>
      </c>
      <c r="E732" s="1" t="n">
        <v>46269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51859-2025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45952</v>
      </c>
      <c r="E733" s="1" t="n">
        <v>46269</v>
      </c>
      <c r="F733" t="inlineStr">
        <is>
          <t>VÄSTERBOTTENS LÄN</t>
        </is>
      </c>
      <c r="G733" t="inlineStr">
        <is>
          <t>LYCKSELE</t>
        </is>
      </c>
      <c r="I733" t="n">
        <v>13.5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51748-2025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45951</v>
      </c>
      <c r="E734" s="1" t="n">
        <v>46269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19.8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52956-2022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44875</v>
      </c>
      <c r="E735" s="1" t="n">
        <v>46269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46269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33716-2024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45520</v>
      </c>
      <c r="E737" s="1" t="n">
        <v>46269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33717-2024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45520</v>
      </c>
      <c r="E738" s="1" t="n">
        <v>46269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45561</v>
      </c>
      <c r="E739" s="1" t="n">
        <v>46269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33704-2024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45520</v>
      </c>
      <c r="E740" s="1" t="n">
        <v>46269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26531-2024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45469</v>
      </c>
      <c r="E741" s="1" t="n">
        <v>46269</v>
      </c>
      <c r="F741" t="inlineStr">
        <is>
          <t>VÄSTERBOTTENS LÄN</t>
        </is>
      </c>
      <c r="G741" t="inlineStr">
        <is>
          <t>LYCKSELE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46541-2022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44847</v>
      </c>
      <c r="E742" s="1" t="n">
        <v>46269</v>
      </c>
      <c r="F742" t="inlineStr">
        <is>
          <t>VÄSTERBOTTENS LÄN</t>
        </is>
      </c>
      <c r="G742" t="inlineStr">
        <is>
          <t>LYCKSELE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46269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36357-2024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45534</v>
      </c>
      <c r="E744" s="1" t="n">
        <v>46269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46156</v>
      </c>
      <c r="E745" s="1" t="n">
        <v>46269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25327-2024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45462</v>
      </c>
      <c r="E746" s="1" t="n">
        <v>46269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52941-2025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45957</v>
      </c>
      <c r="E747" s="1" t="n">
        <v>46269</v>
      </c>
      <c r="F747" t="inlineStr">
        <is>
          <t>VÄSTERBOTTENS LÄN</t>
        </is>
      </c>
      <c r="G747" t="inlineStr">
        <is>
          <t>LYCKSELE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52945-2025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45957</v>
      </c>
      <c r="E748" s="1" t="n">
        <v>46269</v>
      </c>
      <c r="F748" t="inlineStr">
        <is>
          <t>VÄSTERBOTTENS LÄN</t>
        </is>
      </c>
      <c r="G748" t="inlineStr">
        <is>
          <t>LYCKSELE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53451-2025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45959</v>
      </c>
      <c r="E749" s="1" t="n">
        <v>46269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23274-2026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46162</v>
      </c>
      <c r="E750" s="1" t="n">
        <v>46269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46162</v>
      </c>
      <c r="E751" s="1" t="n">
        <v>46269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10.2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61506-2021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44501</v>
      </c>
      <c r="E752" s="1" t="n">
        <v>46269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6.4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42216-2022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44830</v>
      </c>
      <c r="E753" s="1" t="n">
        <v>46269</v>
      </c>
      <c r="F753" t="inlineStr">
        <is>
          <t>VÄSTERBOTTENS LÄN</t>
        </is>
      </c>
      <c r="G753" t="inlineStr">
        <is>
          <t>LYCKSELE</t>
        </is>
      </c>
      <c r="I753" t="n">
        <v>15.9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40115-2024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45554</v>
      </c>
      <c r="E754" s="1" t="n">
        <v>46269</v>
      </c>
      <c r="F754" t="inlineStr">
        <is>
          <t>VÄSTERBOTTENS LÄN</t>
        </is>
      </c>
      <c r="G754" t="inlineStr">
        <is>
          <t>LYCKSELE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51842-2025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45952</v>
      </c>
      <c r="E755" s="1" t="n">
        <v>46269</v>
      </c>
      <c r="F755" t="inlineStr">
        <is>
          <t>VÄSTERBOTTENS LÄN</t>
        </is>
      </c>
      <c r="G755" t="inlineStr">
        <is>
          <t>LYCKSELE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7063-2022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44603</v>
      </c>
      <c r="E756" s="1" t="n">
        <v>46269</v>
      </c>
      <c r="F756" t="inlineStr">
        <is>
          <t>VÄSTERBOTTENS LÄN</t>
        </is>
      </c>
      <c r="G756" t="inlineStr">
        <is>
          <t>LYCKSELE</t>
        </is>
      </c>
      <c r="I756" t="n">
        <v>14.2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54906-2025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45967</v>
      </c>
      <c r="E757" s="1" t="n">
        <v>46269</v>
      </c>
      <c r="F757" t="inlineStr">
        <is>
          <t>VÄSTERBOTTENS LÄN</t>
        </is>
      </c>
      <c r="G757" t="inlineStr">
        <is>
          <t>LYCKSELE</t>
        </is>
      </c>
      <c r="I757" t="n">
        <v>24.9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54943-2025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45967</v>
      </c>
      <c r="E758" s="1" t="n">
        <v>46269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55216-2025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45968</v>
      </c>
      <c r="E759" s="1" t="n">
        <v>46269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Naturvårdsverket</t>
        </is>
      </c>
      <c r="I759" t="n">
        <v>8.699999999999999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54942-2025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45967</v>
      </c>
      <c r="E760" s="1" t="n">
        <v>46269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55187-2025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45968</v>
      </c>
      <c r="E761" s="1" t="n">
        <v>46269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8.9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1746-2026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46034</v>
      </c>
      <c r="E762" s="1" t="n">
        <v>46269</v>
      </c>
      <c r="F762" t="inlineStr">
        <is>
          <t>VÄSTERBOTTENS LÄN</t>
        </is>
      </c>
      <c r="G762" t="inlineStr">
        <is>
          <t>LYCKSELE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55627-2025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45972</v>
      </c>
      <c r="E763" s="1" t="n">
        <v>46269</v>
      </c>
      <c r="F763" t="inlineStr">
        <is>
          <t>VÄSTERBOTTENS LÄN</t>
        </is>
      </c>
      <c r="G763" t="inlineStr">
        <is>
          <t>LYCKSELE</t>
        </is>
      </c>
      <c r="I763" t="n">
        <v>14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55545-2025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45971</v>
      </c>
      <c r="E764" s="1" t="n">
        <v>46269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55666-2025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45972</v>
      </c>
      <c r="E765" s="1" t="n">
        <v>46269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46269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55333-2025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45971</v>
      </c>
      <c r="E767" s="1" t="n">
        <v>46269</v>
      </c>
      <c r="F767" t="inlineStr">
        <is>
          <t>VÄSTERBOTTENS LÄN</t>
        </is>
      </c>
      <c r="G767" t="inlineStr">
        <is>
          <t>LYCKSELE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56172-2025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45974</v>
      </c>
      <c r="E768" s="1" t="n">
        <v>46269</v>
      </c>
      <c r="F768" t="inlineStr">
        <is>
          <t>VÄSTERBOTTENS LÄN</t>
        </is>
      </c>
      <c r="G768" t="inlineStr">
        <is>
          <t>LYCKSELE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24205-2026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46269</v>
      </c>
      <c r="F769" t="inlineStr">
        <is>
          <t>VÄSTERBOTTENS LÄN</t>
        </is>
      </c>
      <c r="G769" t="inlineStr">
        <is>
          <t>LYCKSELE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59174-2024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46269</v>
      </c>
      <c r="F770" t="inlineStr">
        <is>
          <t>VÄSTERBOTTENS LÄN</t>
        </is>
      </c>
      <c r="G770" t="inlineStr">
        <is>
          <t>LYCKSELE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53369-2022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44874</v>
      </c>
      <c r="E771" s="1" t="n">
        <v>46269</v>
      </c>
      <c r="F771" t="inlineStr">
        <is>
          <t>VÄSTERBOTTENS LÄN</t>
        </is>
      </c>
      <c r="G771" t="inlineStr">
        <is>
          <t>LYCKSELE</t>
        </is>
      </c>
      <c r="I771" t="n">
        <v>9.1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46269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56343-2022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44890</v>
      </c>
      <c r="E773" s="1" t="n">
        <v>46269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46269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56744-2025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45978</v>
      </c>
      <c r="E775" s="1" t="n">
        <v>46269</v>
      </c>
      <c r="F775" t="inlineStr">
        <is>
          <t>VÄSTERBOTTENS LÄN</t>
        </is>
      </c>
      <c r="G775" t="inlineStr">
        <is>
          <t>LYCKSELE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23988-2026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46167</v>
      </c>
      <c r="E776" s="1" t="n">
        <v>46269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57330-2025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45980</v>
      </c>
      <c r="E777" s="1" t="n">
        <v>46269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9.300000000000001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22451-2026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46153</v>
      </c>
      <c r="E778" s="1" t="n">
        <v>46269</v>
      </c>
      <c r="F778" t="inlineStr">
        <is>
          <t>VÄSTERBOTTENS LÄN</t>
        </is>
      </c>
      <c r="G778" t="inlineStr">
        <is>
          <t>LYCKSELE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57531-2025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45980</v>
      </c>
      <c r="E779" s="1" t="n">
        <v>46269</v>
      </c>
      <c r="F779" t="inlineStr">
        <is>
          <t>VÄSTERBOTTENS LÄN</t>
        </is>
      </c>
      <c r="G779" t="inlineStr">
        <is>
          <t>LYCKSELE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46269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57241-2025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45979</v>
      </c>
      <c r="E781" s="1" t="n">
        <v>46269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24763-2026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46171</v>
      </c>
      <c r="E782" s="1" t="n">
        <v>46269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57669-2025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45981</v>
      </c>
      <c r="E783" s="1" t="n">
        <v>46269</v>
      </c>
      <c r="F783" t="inlineStr">
        <is>
          <t>VÄSTERBOTTENS LÄN</t>
        </is>
      </c>
      <c r="G783" t="inlineStr">
        <is>
          <t>LYCKSELE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51669-2024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45606</v>
      </c>
      <c r="E784" s="1" t="n">
        <v>46269</v>
      </c>
      <c r="F784" t="inlineStr">
        <is>
          <t>VÄSTERBOTTENS LÄN</t>
        </is>
      </c>
      <c r="G784" t="inlineStr">
        <is>
          <t>LYCKSELE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58094-2025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45982</v>
      </c>
      <c r="E785" s="1" t="n">
        <v>46269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57668-2025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45981</v>
      </c>
      <c r="E786" s="1" t="n">
        <v>46269</v>
      </c>
      <c r="F786" t="inlineStr">
        <is>
          <t>VÄSTERBOTTENS LÄN</t>
        </is>
      </c>
      <c r="G786" t="inlineStr">
        <is>
          <t>LYCKSELE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61367-2024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46269</v>
      </c>
      <c r="F787" t="inlineStr">
        <is>
          <t>VÄSTERBOTTENS LÄN</t>
        </is>
      </c>
      <c r="G787" t="inlineStr">
        <is>
          <t>LYCKSELE</t>
        </is>
      </c>
      <c r="I787" t="n">
        <v>10.4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24574-2026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46269</v>
      </c>
      <c r="F788" t="inlineStr">
        <is>
          <t>VÄSTERBOTTENS LÄN</t>
        </is>
      </c>
      <c r="G788" t="inlineStr">
        <is>
          <t>LYCKSELE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58171-2025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45982</v>
      </c>
      <c r="E789" s="1" t="n">
        <v>46269</v>
      </c>
      <c r="F789" t="inlineStr">
        <is>
          <t>VÄSTERBOTTENS LÄN</t>
        </is>
      </c>
      <c r="G789" t="inlineStr">
        <is>
          <t>LYCKSELE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58097-2025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45982</v>
      </c>
      <c r="E790" s="1" t="n">
        <v>46269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45981</v>
      </c>
      <c r="E791" s="1" t="n">
        <v>46269</v>
      </c>
      <c r="F791" t="inlineStr">
        <is>
          <t>VÄSTERBOTTENS LÄN</t>
        </is>
      </c>
      <c r="G791" t="inlineStr">
        <is>
          <t>LYCKSELE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41756-2024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45561</v>
      </c>
      <c r="E792" s="1" t="n">
        <v>46269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24954-2026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46269</v>
      </c>
      <c r="F793" t="inlineStr">
        <is>
          <t>VÄSTERBOTTENS LÄN</t>
        </is>
      </c>
      <c r="G793" t="inlineStr">
        <is>
          <t>LYCKSELE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46269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46269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58610-2025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45986</v>
      </c>
      <c r="E796" s="1" t="n">
        <v>46269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45559-2022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44845</v>
      </c>
      <c r="E797" s="1" t="n">
        <v>46269</v>
      </c>
      <c r="F797" t="inlineStr">
        <is>
          <t>VÄSTERBOTTENS LÄN</t>
        </is>
      </c>
      <c r="G797" t="inlineStr">
        <is>
          <t>LYCKSELE</t>
        </is>
      </c>
      <c r="I797" t="n">
        <v>17.8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25080-2026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46269</v>
      </c>
      <c r="F798" t="inlineStr">
        <is>
          <t>VÄSTERBOTTENS LÄN</t>
        </is>
      </c>
      <c r="G798" t="inlineStr">
        <is>
          <t>LYCKSELE</t>
        </is>
      </c>
      <c r="I798" t="n">
        <v>13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41358-2022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44826</v>
      </c>
      <c r="E799" s="1" t="n">
        <v>46269</v>
      </c>
      <c r="F799" t="inlineStr">
        <is>
          <t>VÄSTERBOTTENS LÄN</t>
        </is>
      </c>
      <c r="G799" t="inlineStr">
        <is>
          <t>LYCKSELE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59080-2025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45988</v>
      </c>
      <c r="E800" s="1" t="n">
        <v>46269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25039-2026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46174</v>
      </c>
      <c r="E801" s="1" t="n">
        <v>46269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25490-2026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46177</v>
      </c>
      <c r="E802" s="1" t="n">
        <v>46269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14.5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46269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10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44580</v>
      </c>
      <c r="E804" s="1" t="n">
        <v>46269</v>
      </c>
      <c r="F804" t="inlineStr">
        <is>
          <t>VÄSTERBOTTENS LÄN</t>
        </is>
      </c>
      <c r="G804" t="inlineStr">
        <is>
          <t>LYCKSELE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59736-2025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45992</v>
      </c>
      <c r="E805" s="1" t="n">
        <v>46269</v>
      </c>
      <c r="F805" t="inlineStr">
        <is>
          <t>VÄSTERBOTTENS LÄN</t>
        </is>
      </c>
      <c r="G805" t="inlineStr">
        <is>
          <t>LYCKSELE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46269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46176</v>
      </c>
      <c r="E807" s="1" t="n">
        <v>46269</v>
      </c>
      <c r="F807" t="inlineStr">
        <is>
          <t>VÄSTERBOTTENS LÄN</t>
        </is>
      </c>
      <c r="G807" t="inlineStr">
        <is>
          <t>LYCKSELE</t>
        </is>
      </c>
      <c r="I807" t="n">
        <v>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45992</v>
      </c>
      <c r="E808" s="1" t="n">
        <v>46269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46269</v>
      </c>
      <c r="F809" t="inlineStr">
        <is>
          <t>VÄSTERBOTTENS LÄN</t>
        </is>
      </c>
      <c r="G809" t="inlineStr">
        <is>
          <t>LYCKSELE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25453-2026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46269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59812-2025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45992</v>
      </c>
      <c r="E811" s="1" t="n">
        <v>46269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57571-2025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45980</v>
      </c>
      <c r="E812" s="1" t="n">
        <v>46269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38347-2025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45883</v>
      </c>
      <c r="E813" s="1" t="n">
        <v>46269</v>
      </c>
      <c r="F813" t="inlineStr">
        <is>
          <t>VÄSTERBOTTENS LÄN</t>
        </is>
      </c>
      <c r="G813" t="inlineStr">
        <is>
          <t>LYCKSELE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46269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21666-2024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45441</v>
      </c>
      <c r="E815" s="1" t="n">
        <v>46269</v>
      </c>
      <c r="F815" t="inlineStr">
        <is>
          <t>VÄSTERBOTTENS LÄN</t>
        </is>
      </c>
      <c r="G815" t="inlineStr">
        <is>
          <t>LYCKSELE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25492-2026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46177</v>
      </c>
      <c r="E816" s="1" t="n">
        <v>46269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60309-2025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45994</v>
      </c>
      <c r="E817" s="1" t="n">
        <v>46269</v>
      </c>
      <c r="F817" t="inlineStr">
        <is>
          <t>VÄSTERBOTTENS LÄN</t>
        </is>
      </c>
      <c r="G817" t="inlineStr">
        <is>
          <t>LYCKSELE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59927-2025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45993</v>
      </c>
      <c r="E818" s="1" t="n">
        <v>46269</v>
      </c>
      <c r="F818" t="inlineStr">
        <is>
          <t>VÄSTERBOTTENS LÄN</t>
        </is>
      </c>
      <c r="G818" t="inlineStr">
        <is>
          <t>LYCKSELE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25727-2026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46269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25709-2026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46269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25716-2026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46269</v>
      </c>
      <c r="F821" t="inlineStr">
        <is>
          <t>VÄSTERBOTTENS LÄN</t>
        </is>
      </c>
      <c r="G821" t="inlineStr">
        <is>
          <t>LYCKSELE</t>
        </is>
      </c>
      <c r="I821" t="n">
        <v>7.7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60594-2025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45996</v>
      </c>
      <c r="E822" s="1" t="n">
        <v>46269</v>
      </c>
      <c r="F822" t="inlineStr">
        <is>
          <t>VÄSTERBOTTENS LÄN</t>
        </is>
      </c>
      <c r="G822" t="inlineStr">
        <is>
          <t>LYCKSELE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25946-2026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46181</v>
      </c>
      <c r="E823" s="1" t="n">
        <v>46269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25718-2026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46269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61088-2025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46000</v>
      </c>
      <c r="E825" s="1" t="n">
        <v>46269</v>
      </c>
      <c r="F825" t="inlineStr">
        <is>
          <t>VÄSTERBOTTENS LÄN</t>
        </is>
      </c>
      <c r="G825" t="inlineStr">
        <is>
          <t>LYCKSELE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61096-2025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46000</v>
      </c>
      <c r="E826" s="1" t="n">
        <v>46269</v>
      </c>
      <c r="F826" t="inlineStr">
        <is>
          <t>VÄSTERBOTTENS LÄN</t>
        </is>
      </c>
      <c r="G826" t="inlineStr">
        <is>
          <t>LYCKSELE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54167-2022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44881</v>
      </c>
      <c r="E827" s="1" t="n">
        <v>46269</v>
      </c>
      <c r="F827" t="inlineStr">
        <is>
          <t>VÄSTERBOTTENS LÄN</t>
        </is>
      </c>
      <c r="G827" t="inlineStr">
        <is>
          <t>LYCKSELE</t>
        </is>
      </c>
      <c r="I827" t="n">
        <v>11.3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25746-2026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46178</v>
      </c>
      <c r="E828" s="1" t="n">
        <v>46269</v>
      </c>
      <c r="F828" t="inlineStr">
        <is>
          <t>VÄSTERBOTTENS LÄN</t>
        </is>
      </c>
      <c r="G828" t="inlineStr">
        <is>
          <t>LYCKSELE</t>
        </is>
      </c>
      <c r="I828" t="n">
        <v>22.3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61091-2025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46000</v>
      </c>
      <c r="E829" s="1" t="n">
        <v>46269</v>
      </c>
      <c r="F829" t="inlineStr">
        <is>
          <t>VÄSTERBOTTENS LÄN</t>
        </is>
      </c>
      <c r="G829" t="inlineStr">
        <is>
          <t>LYCKSELE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37391-2024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45540</v>
      </c>
      <c r="E830" s="1" t="n">
        <v>46269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6.7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61086-2025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46000</v>
      </c>
      <c r="E831" s="1" t="n">
        <v>46269</v>
      </c>
      <c r="F831" t="inlineStr">
        <is>
          <t>VÄSTERBOTTENS LÄN</t>
        </is>
      </c>
      <c r="G831" t="inlineStr">
        <is>
          <t>LYCKSELE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21289-2025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45779</v>
      </c>
      <c r="E832" s="1" t="n">
        <v>46269</v>
      </c>
      <c r="F832" t="inlineStr">
        <is>
          <t>VÄSTERBOTTENS LÄN</t>
        </is>
      </c>
      <c r="G832" t="inlineStr">
        <is>
          <t>LYCKSELE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61353-2025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46001</v>
      </c>
      <c r="E833" s="1" t="n">
        <v>46269</v>
      </c>
      <c r="F833" t="inlineStr">
        <is>
          <t>VÄSTERBOTTENS LÄN</t>
        </is>
      </c>
      <c r="G833" t="inlineStr">
        <is>
          <t>LYCKSELE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26485-2026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46183</v>
      </c>
      <c r="E834" s="1" t="n">
        <v>46269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5.4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61335-2025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46001</v>
      </c>
      <c r="E835" s="1" t="n">
        <v>46269</v>
      </c>
      <c r="F835" t="inlineStr">
        <is>
          <t>VÄSTERBOTTENS LÄN</t>
        </is>
      </c>
      <c r="G835" t="inlineStr">
        <is>
          <t>LYCKSELE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61351-2025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46001</v>
      </c>
      <c r="E836" s="1" t="n">
        <v>46269</v>
      </c>
      <c r="F836" t="inlineStr">
        <is>
          <t>VÄSTERBOTTENS LÄN</t>
        </is>
      </c>
      <c r="G836" t="inlineStr">
        <is>
          <t>LYCKSELE</t>
        </is>
      </c>
      <c r="I836" t="n">
        <v>8.199999999999999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26276-2026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46182</v>
      </c>
      <c r="E837" s="1" t="n">
        <v>46269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26246-2026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46182</v>
      </c>
      <c r="E838" s="1" t="n">
        <v>46269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26387-2026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46183</v>
      </c>
      <c r="E839" s="1" t="n">
        <v>46269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9.9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61590-2025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46002</v>
      </c>
      <c r="E840" s="1" t="n">
        <v>46269</v>
      </c>
      <c r="F840" t="inlineStr">
        <is>
          <t>VÄSTERBOTTENS LÄN</t>
        </is>
      </c>
      <c r="G840" t="inlineStr">
        <is>
          <t>LYCKSELE</t>
        </is>
      </c>
      <c r="I840" t="n">
        <v>12.4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61472-2025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46001</v>
      </c>
      <c r="E841" s="1" t="n">
        <v>46269</v>
      </c>
      <c r="F841" t="inlineStr">
        <is>
          <t>VÄSTERBOTTENS LÄN</t>
        </is>
      </c>
      <c r="G841" t="inlineStr">
        <is>
          <t>LYCKSELE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26511-2026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46183</v>
      </c>
      <c r="E842" s="1" t="n">
        <v>46269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33.8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61334-2025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46001</v>
      </c>
      <c r="E843" s="1" t="n">
        <v>46269</v>
      </c>
      <c r="F843" t="inlineStr">
        <is>
          <t>VÄSTERBOTTENS LÄN</t>
        </is>
      </c>
      <c r="G843" t="inlineStr">
        <is>
          <t>LYCKSELE</t>
        </is>
      </c>
      <c r="I843" t="n">
        <v>8.9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61593-2025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46269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27219-2026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46184</v>
      </c>
      <c r="E845" s="1" t="n">
        <v>46269</v>
      </c>
      <c r="F845" t="inlineStr">
        <is>
          <t>VÄSTERBOTTENS LÄN</t>
        </is>
      </c>
      <c r="G845" t="inlineStr">
        <is>
          <t>LYCKSELE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46182</v>
      </c>
      <c r="E846" s="1" t="n">
        <v>46269</v>
      </c>
      <c r="F846" t="inlineStr">
        <is>
          <t>VÄSTERBOTTENS LÄN</t>
        </is>
      </c>
      <c r="G846" t="inlineStr">
        <is>
          <t>LYCKSELE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26435-2026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46269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61854-2025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46003</v>
      </c>
      <c r="E848" s="1" t="n">
        <v>46269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15046-2023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45015</v>
      </c>
      <c r="E849" s="1" t="n">
        <v>46269</v>
      </c>
      <c r="F849" t="inlineStr">
        <is>
          <t>VÄSTERBOTTENS LÄN</t>
        </is>
      </c>
      <c r="G849" t="inlineStr">
        <is>
          <t>LYCKSELE</t>
        </is>
      </c>
      <c r="I849" t="n">
        <v>13.4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26916-2026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46269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62476-2025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46007</v>
      </c>
      <c r="E851" s="1" t="n">
        <v>46269</v>
      </c>
      <c r="F851" t="inlineStr">
        <is>
          <t>VÄSTERBOTTENS LÄN</t>
        </is>
      </c>
      <c r="G851" t="inlineStr">
        <is>
          <t>LYCKSELE</t>
        </is>
      </c>
      <c r="I851" t="n">
        <v>36.8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26980-2026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46269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26988-2026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46269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31819-2026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46230</v>
      </c>
      <c r="E854" s="1" t="n">
        <v>46269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4.5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31788-2026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46230</v>
      </c>
      <c r="E855" s="1" t="n">
        <v>46269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51943-2023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45223</v>
      </c>
      <c r="E856" s="1" t="n">
        <v>46269</v>
      </c>
      <c r="F856" t="inlineStr">
        <is>
          <t>VÄSTERBOTTENS LÄN</t>
        </is>
      </c>
      <c r="G856" t="inlineStr">
        <is>
          <t>LYCKSELE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63096-2025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46009</v>
      </c>
      <c r="E857" s="1" t="n">
        <v>46269</v>
      </c>
      <c r="F857" t="inlineStr">
        <is>
          <t>VÄSTERBOTTENS LÄN</t>
        </is>
      </c>
      <c r="G857" t="inlineStr">
        <is>
          <t>LYCKSELE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57298-2025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45979</v>
      </c>
      <c r="E858" s="1" t="n">
        <v>46269</v>
      </c>
      <c r="F858" t="inlineStr">
        <is>
          <t>VÄSTERBOTTENS LÄN</t>
        </is>
      </c>
      <c r="G858" t="inlineStr">
        <is>
          <t>LYCKSELE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63100-2025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46009</v>
      </c>
      <c r="E859" s="1" t="n">
        <v>46269</v>
      </c>
      <c r="F859" t="inlineStr">
        <is>
          <t>VÄSTERBOTTENS LÄN</t>
        </is>
      </c>
      <c r="G859" t="inlineStr">
        <is>
          <t>LYCKSELE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27436-2026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46189</v>
      </c>
      <c r="E860" s="1" t="n">
        <v>46269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41950-2024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45561</v>
      </c>
      <c r="E861" s="1" t="n">
        <v>46269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11.8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46189</v>
      </c>
      <c r="E862" s="1" t="n">
        <v>46269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62906-2025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46009</v>
      </c>
      <c r="E863" s="1" t="n">
        <v>46269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63315-2025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46010</v>
      </c>
      <c r="E864" s="1" t="n">
        <v>46269</v>
      </c>
      <c r="F864" t="inlineStr">
        <is>
          <t>VÄSTERBOTTENS LÄN</t>
        </is>
      </c>
      <c r="G864" t="inlineStr">
        <is>
          <t>LYCKSELE</t>
        </is>
      </c>
      <c r="I864" t="n">
        <v>9.199999999999999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15564-2023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45020</v>
      </c>
      <c r="E865" s="1" t="n">
        <v>46269</v>
      </c>
      <c r="F865" t="inlineStr">
        <is>
          <t>VÄSTERBOTTENS LÄN</t>
        </is>
      </c>
      <c r="G865" t="inlineStr">
        <is>
          <t>LYCKSELE</t>
        </is>
      </c>
      <c r="I865" t="n">
        <v>5.9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27427-2026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46269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63639-2025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46014</v>
      </c>
      <c r="E867" s="1" t="n">
        <v>46269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27854-2026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46191</v>
      </c>
      <c r="E868" s="1" t="n">
        <v>46269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32112-2026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46234</v>
      </c>
      <c r="E869" s="1" t="n">
        <v>46269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33.3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27842-2026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46269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27843-2026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46191</v>
      </c>
      <c r="E871" s="1" t="n">
        <v>46269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26396-2022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44735</v>
      </c>
      <c r="E872" s="1" t="n">
        <v>46269</v>
      </c>
      <c r="F872" t="inlineStr">
        <is>
          <t>VÄSTERBOTTENS LÄN</t>
        </is>
      </c>
      <c r="G872" t="inlineStr">
        <is>
          <t>LYCKSELE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46181-2025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45924</v>
      </c>
      <c r="E873" s="1" t="n">
        <v>46269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11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27883-2026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46191</v>
      </c>
      <c r="E874" s="1" t="n">
        <v>46269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24289-2023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45079</v>
      </c>
      <c r="E875" s="1" t="n">
        <v>46269</v>
      </c>
      <c r="F875" t="inlineStr">
        <is>
          <t>VÄSTERBOTTENS LÄN</t>
        </is>
      </c>
      <c r="G875" t="inlineStr">
        <is>
          <t>LYCKSELE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32245-2026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46237</v>
      </c>
      <c r="E876" s="1" t="n">
        <v>46269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32214-2026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46237</v>
      </c>
      <c r="E877" s="1" t="n">
        <v>46269</v>
      </c>
      <c r="F877" t="inlineStr">
        <is>
          <t>VÄSTERBOTTENS LÄN</t>
        </is>
      </c>
      <c r="G877" t="inlineStr">
        <is>
          <t>LYCKSELE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54619-2024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45617</v>
      </c>
      <c r="E878" s="1" t="n">
        <v>46269</v>
      </c>
      <c r="F878" t="inlineStr">
        <is>
          <t>VÄSTERBOTTENS LÄN</t>
        </is>
      </c>
      <c r="G878" t="inlineStr">
        <is>
          <t>LYCKSELE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1103-2026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46269</v>
      </c>
      <c r="F879" t="inlineStr">
        <is>
          <t>VÄSTERBOTTENS LÄN</t>
        </is>
      </c>
      <c r="G879" t="inlineStr">
        <is>
          <t>LYCKSELE</t>
        </is>
      </c>
      <c r="I879" t="n">
        <v>16.3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32201-2026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46237</v>
      </c>
      <c r="E880" s="1" t="n">
        <v>46269</v>
      </c>
      <c r="F880" t="inlineStr">
        <is>
          <t>VÄSTERBOTTENS LÄN</t>
        </is>
      </c>
      <c r="G880" t="inlineStr">
        <is>
          <t>LYCKSELE</t>
        </is>
      </c>
      <c r="I880" t="n">
        <v>7.4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32289-2026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46237</v>
      </c>
      <c r="E881" s="1" t="n">
        <v>46269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1085-2026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46269</v>
      </c>
      <c r="F882" t="inlineStr">
        <is>
          <t>VÄSTERBOTTENS LÄN</t>
        </is>
      </c>
      <c r="G882" t="inlineStr">
        <is>
          <t>LYCKSELE</t>
        </is>
      </c>
      <c r="I882" t="n">
        <v>5.5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32167-2026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46237</v>
      </c>
      <c r="E883" s="1" t="n">
        <v>46269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32174-2026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46237</v>
      </c>
      <c r="E884" s="1" t="n">
        <v>46269</v>
      </c>
      <c r="F884" t="inlineStr">
        <is>
          <t>VÄSTERBOTTENS LÄN</t>
        </is>
      </c>
      <c r="G884" t="inlineStr">
        <is>
          <t>LYCKSELE</t>
        </is>
      </c>
      <c r="I884" t="n">
        <v>20.2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43566-2024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45569</v>
      </c>
      <c r="E885" s="1" t="n">
        <v>46269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46269</v>
      </c>
      <c r="F886" t="inlineStr">
        <is>
          <t>VÄSTERBOTTENS LÄN</t>
        </is>
      </c>
      <c r="G886" t="inlineStr">
        <is>
          <t>LYCKSELE</t>
        </is>
      </c>
      <c r="I886" t="n">
        <v>8.4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32229-2026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46237</v>
      </c>
      <c r="E887" s="1" t="n">
        <v>46269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8.6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1613-2026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46034</v>
      </c>
      <c r="E888" s="1" t="n">
        <v>46269</v>
      </c>
      <c r="F888" t="inlineStr">
        <is>
          <t>VÄSTERBOTTENS LÄN</t>
        </is>
      </c>
      <c r="G888" t="inlineStr">
        <is>
          <t>LYCKSELE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28421-2026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46197</v>
      </c>
      <c r="E889" s="1" t="n">
        <v>46269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32608-2026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46240</v>
      </c>
      <c r="E890" s="1" t="n">
        <v>46269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46269</v>
      </c>
      <c r="F891" t="inlineStr">
        <is>
          <t>VÄSTERBOTTENS LÄN</t>
        </is>
      </c>
      <c r="G891" t="inlineStr">
        <is>
          <t>LYCKSELE</t>
        </is>
      </c>
      <c r="I891" t="n">
        <v>10.7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3947-2023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44952</v>
      </c>
      <c r="E892" s="1" t="n">
        <v>46269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28217-2026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46196</v>
      </c>
      <c r="E893" s="1" t="n">
        <v>46269</v>
      </c>
      <c r="F893" t="inlineStr">
        <is>
          <t>VÄSTERBOTTENS LÄN</t>
        </is>
      </c>
      <c r="G893" t="inlineStr">
        <is>
          <t>LYCKSELE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32611-2026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46240</v>
      </c>
      <c r="E894" s="1" t="n">
        <v>46269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29314-2026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46197</v>
      </c>
      <c r="E895" s="1" t="n">
        <v>46269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Kommuner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46240</v>
      </c>
      <c r="E896" s="1" t="n">
        <v>46269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32619-2026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46240</v>
      </c>
      <c r="E897" s="1" t="n">
        <v>46269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59272-2022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44904</v>
      </c>
      <c r="E898" s="1" t="n">
        <v>46269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19233-2023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45048</v>
      </c>
      <c r="E899" s="1" t="n">
        <v>46269</v>
      </c>
      <c r="F899" t="inlineStr">
        <is>
          <t>VÄSTERBOTTENS LÄN</t>
        </is>
      </c>
      <c r="G899" t="inlineStr">
        <is>
          <t>LYCKSELE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28586-2026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46197</v>
      </c>
      <c r="E900" s="1" t="n">
        <v>46269</v>
      </c>
      <c r="F900" t="inlineStr">
        <is>
          <t>VÄSTERBOTTENS LÄN</t>
        </is>
      </c>
      <c r="G900" t="inlineStr">
        <is>
          <t>LYCKSELE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32644-2026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46240</v>
      </c>
      <c r="E901" s="1" t="n">
        <v>46269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8.4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32716-2026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46241</v>
      </c>
      <c r="E902" s="1" t="n">
        <v>46269</v>
      </c>
      <c r="F902" t="inlineStr">
        <is>
          <t>VÄSTERBOTTENS LÄN</t>
        </is>
      </c>
      <c r="G902" t="inlineStr">
        <is>
          <t>LYCKSELE</t>
        </is>
      </c>
      <c r="I902" t="n">
        <v>16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46199</v>
      </c>
      <c r="E903" s="1" t="n">
        <v>46269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28829-2026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46269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28907-2026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46199</v>
      </c>
      <c r="E905" s="1" t="n">
        <v>46269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7.5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28910-2026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46199</v>
      </c>
      <c r="E906" s="1" t="n">
        <v>46269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46044</v>
      </c>
      <c r="E907" s="1" t="n">
        <v>46269</v>
      </c>
      <c r="F907" t="inlineStr">
        <is>
          <t>VÄSTERBOTTENS LÄN</t>
        </is>
      </c>
      <c r="G907" t="inlineStr">
        <is>
          <t>LYCKSELE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46044</v>
      </c>
      <c r="E908" s="1" t="n">
        <v>46269</v>
      </c>
      <c r="F908" t="inlineStr">
        <is>
          <t>VÄSTERBOTTENS LÄN</t>
        </is>
      </c>
      <c r="G908" t="inlineStr">
        <is>
          <t>LYCKSELE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9551-2025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45715</v>
      </c>
      <c r="E909" s="1" t="n">
        <v>46269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7001-2022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44603</v>
      </c>
      <c r="E910" s="1" t="n">
        <v>46269</v>
      </c>
      <c r="F910" t="inlineStr">
        <is>
          <t>VÄSTERBOTTENS LÄN</t>
        </is>
      </c>
      <c r="G910" t="inlineStr">
        <is>
          <t>LYCKSELE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27595-2023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45097</v>
      </c>
      <c r="E911" s="1" t="n">
        <v>46269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56518-2023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45238</v>
      </c>
      <c r="E912" s="1" t="n">
        <v>46269</v>
      </c>
      <c r="F912" t="inlineStr">
        <is>
          <t>VÄSTERBOTTENS LÄN</t>
        </is>
      </c>
      <c r="G912" t="inlineStr">
        <is>
          <t>LYCKSELE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46269</v>
      </c>
      <c r="F913" t="inlineStr">
        <is>
          <t>VÄSTERBOTTENS LÄN</t>
        </is>
      </c>
      <c r="G913" t="inlineStr">
        <is>
          <t>LYCKSELE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46269</v>
      </c>
      <c r="F914" t="inlineStr">
        <is>
          <t>VÄSTERBOTTENS LÄN</t>
        </is>
      </c>
      <c r="G914" t="inlineStr">
        <is>
          <t>LYCKSELE</t>
        </is>
      </c>
      <c r="I914" t="n">
        <v>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29424-2026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46203</v>
      </c>
      <c r="E915" s="1" t="n">
        <v>46269</v>
      </c>
      <c r="F915" t="inlineStr">
        <is>
          <t>VÄSTERBOTTENS LÄN</t>
        </is>
      </c>
      <c r="G915" t="inlineStr">
        <is>
          <t>LYCKSELE</t>
        </is>
      </c>
      <c r="I915" t="n">
        <v>7.1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29279-2026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46202</v>
      </c>
      <c r="E916" s="1" t="n">
        <v>46269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29149-2026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46202</v>
      </c>
      <c r="E917" s="1" t="n">
        <v>46269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38.4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5026-2026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46049</v>
      </c>
      <c r="E918" s="1" t="n">
        <v>46269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24.6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18365-2023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45041</v>
      </c>
      <c r="E919" s="1" t="n">
        <v>46269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22.4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5508-2026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46050</v>
      </c>
      <c r="E920" s="1" t="n">
        <v>46269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33147-2026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46269</v>
      </c>
      <c r="F921" t="inlineStr">
        <is>
          <t>VÄSTERBOTTENS LÄN</t>
        </is>
      </c>
      <c r="G921" t="inlineStr">
        <is>
          <t>LYCKSELE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29151-2026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46202</v>
      </c>
      <c r="E922" s="1" t="n">
        <v>46269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29395-2026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46203</v>
      </c>
      <c r="E923" s="1" t="n">
        <v>46269</v>
      </c>
      <c r="F923" t="inlineStr">
        <is>
          <t>VÄSTERBOTTENS LÄN</t>
        </is>
      </c>
      <c r="G923" t="inlineStr">
        <is>
          <t>LYCKSELE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29425-2026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46203</v>
      </c>
      <c r="E924" s="1" t="n">
        <v>46269</v>
      </c>
      <c r="F924" t="inlineStr">
        <is>
          <t>VÄSTERBOTTENS LÄN</t>
        </is>
      </c>
      <c r="G924" t="inlineStr">
        <is>
          <t>LYCKSELE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25170-2024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45462</v>
      </c>
      <c r="E925" s="1" t="n">
        <v>46269</v>
      </c>
      <c r="F925" t="inlineStr">
        <is>
          <t>VÄSTERBOTTENS LÄN</t>
        </is>
      </c>
      <c r="G925" t="inlineStr">
        <is>
          <t>LYCKSELE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29301-2026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46202</v>
      </c>
      <c r="E926" s="1" t="n">
        <v>46269</v>
      </c>
      <c r="F926" t="inlineStr">
        <is>
          <t>VÄSTERBOTTENS LÄN</t>
        </is>
      </c>
      <c r="G926" t="inlineStr">
        <is>
          <t>LYCKSELE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29823-2026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46205</v>
      </c>
      <c r="E927" s="1" t="n">
        <v>46269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5.8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37491-2023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45156</v>
      </c>
      <c r="E928" s="1" t="n">
        <v>46269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29730-2026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46204</v>
      </c>
      <c r="E929" s="1" t="n">
        <v>46269</v>
      </c>
      <c r="F929" t="inlineStr">
        <is>
          <t>VÄSTERBOTTENS LÄN</t>
        </is>
      </c>
      <c r="G929" t="inlineStr">
        <is>
          <t>LYCKSELE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58775-2025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45986</v>
      </c>
      <c r="E930" s="1" t="n">
        <v>46269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3021-2026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46038</v>
      </c>
      <c r="E931" s="1" t="n">
        <v>46269</v>
      </c>
      <c r="F931" t="inlineStr">
        <is>
          <t>VÄSTERBOTTENS LÄN</t>
        </is>
      </c>
      <c r="G931" t="inlineStr">
        <is>
          <t>LYCKSELE</t>
        </is>
      </c>
      <c r="I931" t="n">
        <v>6.7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29848-2026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46205</v>
      </c>
      <c r="E932" s="1" t="n">
        <v>46269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33670-2026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46248</v>
      </c>
      <c r="E933" s="1" t="n">
        <v>46269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25.8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29836-2026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46205</v>
      </c>
      <c r="E934" s="1" t="n">
        <v>46269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8.6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29839-2026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46205</v>
      </c>
      <c r="E935" s="1" t="n">
        <v>46269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5.9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29844-2026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46205</v>
      </c>
      <c r="E936" s="1" t="n">
        <v>46269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29852-2026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46205</v>
      </c>
      <c r="E937" s="1" t="n">
        <v>46269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33467-2026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46247</v>
      </c>
      <c r="E938" s="1" t="n">
        <v>46269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7842-2026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46269</v>
      </c>
      <c r="F939" t="inlineStr">
        <is>
          <t>VÄSTERBOTTENS LÄN</t>
        </is>
      </c>
      <c r="G939" t="inlineStr">
        <is>
          <t>LYCKSELE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7829-2026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46062</v>
      </c>
      <c r="E940" s="1" t="n">
        <v>46269</v>
      </c>
      <c r="F940" t="inlineStr">
        <is>
          <t>VÄSTERBOTTENS LÄN</t>
        </is>
      </c>
      <c r="G940" t="inlineStr">
        <is>
          <t>LYCKSELE</t>
        </is>
      </c>
      <c r="I940" t="n">
        <v>5.3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33667-2026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46248</v>
      </c>
      <c r="E941" s="1" t="n">
        <v>46269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8272-2026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46064</v>
      </c>
      <c r="E942" s="1" t="n">
        <v>46269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Naturvårdsverket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29719-2026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46204</v>
      </c>
      <c r="E943" s="1" t="n">
        <v>46269</v>
      </c>
      <c r="F943" t="inlineStr">
        <is>
          <t>VÄSTERBOTTENS LÄN</t>
        </is>
      </c>
      <c r="G943" t="inlineStr">
        <is>
          <t>LYCKSELE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33604-2026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46248</v>
      </c>
      <c r="E944" s="1" t="n">
        <v>46269</v>
      </c>
      <c r="F944" t="inlineStr">
        <is>
          <t>VÄSTERBOTTENS LÄN</t>
        </is>
      </c>
      <c r="G944" t="inlineStr">
        <is>
          <t>LYCKSELE</t>
        </is>
      </c>
      <c r="I944" t="n">
        <v>4.8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8018-2026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46269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Naturvårdsverket</t>
        </is>
      </c>
      <c r="I945" t="n">
        <v>11.4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7954-2026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46063</v>
      </c>
      <c r="E946" s="1" t="n">
        <v>46269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Naturvårdsverket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29436-2026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46203</v>
      </c>
      <c r="E947" s="1" t="n">
        <v>46269</v>
      </c>
      <c r="F947" t="inlineStr">
        <is>
          <t>VÄSTERBOTTENS LÄN</t>
        </is>
      </c>
      <c r="G947" t="inlineStr">
        <is>
          <t>LYCKSELE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8273-2026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46269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Naturvårdsverket</t>
        </is>
      </c>
      <c r="I948" t="n">
        <v>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8467-2026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46065</v>
      </c>
      <c r="E949" s="1" t="n">
        <v>46269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6.8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33547-2026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46248</v>
      </c>
      <c r="E950" s="1" t="n">
        <v>46269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5.4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29706-2026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46204</v>
      </c>
      <c r="E951" s="1" t="n">
        <v>46269</v>
      </c>
      <c r="F951" t="inlineStr">
        <is>
          <t>VÄSTERBOTTENS LÄN</t>
        </is>
      </c>
      <c r="G951" t="inlineStr">
        <is>
          <t>LYCKSELE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29904-2026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46269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46269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37599-2024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45541</v>
      </c>
      <c r="E954" s="1" t="n">
        <v>46269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33879-2026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46251</v>
      </c>
      <c r="E955" s="1" t="n">
        <v>46269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33881-2026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46251</v>
      </c>
      <c r="E956" s="1" t="n">
        <v>46269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8485-2026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46065</v>
      </c>
      <c r="E957" s="1" t="n">
        <v>46269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12.1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33878-2026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46251</v>
      </c>
      <c r="E958" s="1" t="n">
        <v>46269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33932-2026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46248</v>
      </c>
      <c r="E959" s="1" t="n">
        <v>46269</v>
      </c>
      <c r="F959" t="inlineStr">
        <is>
          <t>VÄSTERBOTTENS LÄN</t>
        </is>
      </c>
      <c r="G959" t="inlineStr">
        <is>
          <t>LYCKSELE</t>
        </is>
      </c>
      <c r="I959" t="n">
        <v>11.5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30360-2026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46209</v>
      </c>
      <c r="E960" s="1" t="n">
        <v>46269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30290-2026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46269</v>
      </c>
      <c r="F961" t="inlineStr">
        <is>
          <t>VÄSTERBOTTENS LÄN</t>
        </is>
      </c>
      <c r="G961" t="inlineStr">
        <is>
          <t>LYCKSELE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34273-2024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45524</v>
      </c>
      <c r="E962" s="1" t="n">
        <v>46269</v>
      </c>
      <c r="F962" t="inlineStr">
        <is>
          <t>VÄSTERBOTTENS LÄN</t>
        </is>
      </c>
      <c r="G962" t="inlineStr">
        <is>
          <t>LYCKSELE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9310-2026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46070</v>
      </c>
      <c r="E963" s="1" t="n">
        <v>46269</v>
      </c>
      <c r="F963" t="inlineStr">
        <is>
          <t>VÄSTERBOTTENS LÄN</t>
        </is>
      </c>
      <c r="G963" t="inlineStr">
        <is>
          <t>LYCKSELE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12430-2025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45730</v>
      </c>
      <c r="E964" s="1" t="n">
        <v>46269</v>
      </c>
      <c r="F964" t="inlineStr">
        <is>
          <t>VÄSTERBOTTENS LÄN</t>
        </is>
      </c>
      <c r="G964" t="inlineStr">
        <is>
          <t>LYCKSELE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33975-2026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46252</v>
      </c>
      <c r="E965" s="1" t="n">
        <v>46269</v>
      </c>
      <c r="F965" t="inlineStr">
        <is>
          <t>VÄSTERBOTTENS LÄN</t>
        </is>
      </c>
      <c r="G965" t="inlineStr">
        <is>
          <t>LYCKSELE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30447-2026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46209</v>
      </c>
      <c r="E966" s="1" t="n">
        <v>46269</v>
      </c>
      <c r="F966" t="inlineStr">
        <is>
          <t>VÄSTERBOTTENS LÄN</t>
        </is>
      </c>
      <c r="G966" t="inlineStr">
        <is>
          <t>LYCKSELE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34007-2026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46252</v>
      </c>
      <c r="E967" s="1" t="n">
        <v>46269</v>
      </c>
      <c r="F967" t="inlineStr">
        <is>
          <t>VÄSTERBOTTENS LÄN</t>
        </is>
      </c>
      <c r="G967" t="inlineStr">
        <is>
          <t>LYCKSELE</t>
        </is>
      </c>
      <c r="I967" t="n">
        <v>17.7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9716-2026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46072</v>
      </c>
      <c r="E968" s="1" t="n">
        <v>46269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30288-2026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46269</v>
      </c>
      <c r="F969" t="inlineStr">
        <is>
          <t>VÄSTERBOTTENS LÄN</t>
        </is>
      </c>
      <c r="G969" t="inlineStr">
        <is>
          <t>LYCKSELE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33846-2026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46251</v>
      </c>
      <c r="E970" s="1" t="n">
        <v>46269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10.1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10478-2026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46077</v>
      </c>
      <c r="E971" s="1" t="n">
        <v>46269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7.3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10321-2026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46076</v>
      </c>
      <c r="E972" s="1" t="n">
        <v>46269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10230-2026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46076</v>
      </c>
      <c r="E973" s="1" t="n">
        <v>46269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11.5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10174-2026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46076</v>
      </c>
      <c r="E974" s="1" t="n">
        <v>46269</v>
      </c>
      <c r="F974" t="inlineStr">
        <is>
          <t>VÄSTERBOTTENS LÄN</t>
        </is>
      </c>
      <c r="G974" t="inlineStr">
        <is>
          <t>LYCKSELE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34016-2026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46252</v>
      </c>
      <c r="E975" s="1" t="n">
        <v>46269</v>
      </c>
      <c r="F975" t="inlineStr">
        <is>
          <t>VÄSTERBOTTENS LÄN</t>
        </is>
      </c>
      <c r="G975" t="inlineStr">
        <is>
          <t>LYCKSELE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10180-2026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46076</v>
      </c>
      <c r="E976" s="1" t="n">
        <v>46269</v>
      </c>
      <c r="F976" t="inlineStr">
        <is>
          <t>VÄSTERBOTTENS LÄN</t>
        </is>
      </c>
      <c r="G976" t="inlineStr">
        <is>
          <t>LYCKSELE</t>
        </is>
      </c>
      <c r="I976" t="n">
        <v>5.1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46251</v>
      </c>
      <c r="E977" s="1" t="n">
        <v>46269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35227-2023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45145</v>
      </c>
      <c r="E978" s="1" t="n">
        <v>46269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41728-2023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45176</v>
      </c>
      <c r="E979" s="1" t="n">
        <v>46269</v>
      </c>
      <c r="F979" t="inlineStr">
        <is>
          <t>VÄSTERBOTTENS LÄN</t>
        </is>
      </c>
      <c r="G979" t="inlineStr">
        <is>
          <t>LYCKSELE</t>
        </is>
      </c>
      <c r="I979" t="n">
        <v>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30631-2026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46211</v>
      </c>
      <c r="E980" s="1" t="n">
        <v>46269</v>
      </c>
      <c r="F980" t="inlineStr">
        <is>
          <t>VÄSTERBOTTENS LÄN</t>
        </is>
      </c>
      <c r="G980" t="inlineStr">
        <is>
          <t>LYCKSELE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34197-2026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46253</v>
      </c>
      <c r="E981" s="1" t="n">
        <v>46269</v>
      </c>
      <c r="F981" t="inlineStr">
        <is>
          <t>VÄSTERBOTTENS LÄN</t>
        </is>
      </c>
      <c r="G981" t="inlineStr">
        <is>
          <t>LYCKSELE</t>
        </is>
      </c>
      <c r="I981" t="n">
        <v>4.4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30306-2024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45490</v>
      </c>
      <c r="E982" s="1" t="n">
        <v>46269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68665-2021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44529</v>
      </c>
      <c r="E983" s="1" t="n">
        <v>46269</v>
      </c>
      <c r="F983" t="inlineStr">
        <is>
          <t>VÄSTERBOTTENS LÄN</t>
        </is>
      </c>
      <c r="G983" t="inlineStr">
        <is>
          <t>LYCKSELE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31372-2024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45503</v>
      </c>
      <c r="E984" s="1" t="n">
        <v>46269</v>
      </c>
      <c r="F984" t="inlineStr">
        <is>
          <t>VÄSTERBOTTENS LÄN</t>
        </is>
      </c>
      <c r="G984" t="inlineStr">
        <is>
          <t>LYCKSELE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30589-2026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46210</v>
      </c>
      <c r="E985" s="1" t="n">
        <v>46269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6.9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34323-2026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46254</v>
      </c>
      <c r="E986" s="1" t="n">
        <v>46269</v>
      </c>
      <c r="F986" t="inlineStr">
        <is>
          <t>VÄSTERBOTTENS LÄN</t>
        </is>
      </c>
      <c r="G986" t="inlineStr">
        <is>
          <t>LYCKSELE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11870-2026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46085</v>
      </c>
      <c r="E987" s="1" t="n">
        <v>46269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12302-2026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46087</v>
      </c>
      <c r="E988" s="1" t="n">
        <v>46269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12327-2026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46087</v>
      </c>
      <c r="E989" s="1" t="n">
        <v>46269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34326-2026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46254</v>
      </c>
      <c r="E990" s="1" t="n">
        <v>46269</v>
      </c>
      <c r="F990" t="inlineStr">
        <is>
          <t>VÄSTERBOTTENS LÄN</t>
        </is>
      </c>
      <c r="G990" t="inlineStr">
        <is>
          <t>LYCKSELE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34331-2026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46254</v>
      </c>
      <c r="E991" s="1" t="n">
        <v>46269</v>
      </c>
      <c r="F991" t="inlineStr">
        <is>
          <t>VÄSTERBOTTENS LÄN</t>
        </is>
      </c>
      <c r="G991" t="inlineStr">
        <is>
          <t>LYCKSELE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12083-2026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46086</v>
      </c>
      <c r="E992" s="1" t="n">
        <v>46269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30890-2026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46213</v>
      </c>
      <c r="E993" s="1" t="n">
        <v>46269</v>
      </c>
      <c r="F993" t="inlineStr">
        <is>
          <t>VÄSTERBOTTENS LÄN</t>
        </is>
      </c>
      <c r="G993" t="inlineStr">
        <is>
          <t>LYCKSELE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34669-2026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46258</v>
      </c>
      <c r="E994" s="1" t="n">
        <v>46269</v>
      </c>
      <c r="F994" t="inlineStr">
        <is>
          <t>VÄSTERBOTTENS LÄN</t>
        </is>
      </c>
      <c r="G994" t="inlineStr">
        <is>
          <t>LYCKSELE</t>
        </is>
      </c>
      <c r="I994" t="n">
        <v>9.5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34778-2026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46258</v>
      </c>
      <c r="E995" s="1" t="n">
        <v>46269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7.6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34667-2026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46258</v>
      </c>
      <c r="E996" s="1" t="n">
        <v>46269</v>
      </c>
      <c r="F996" t="inlineStr">
        <is>
          <t>VÄSTERBOTTENS LÄN</t>
        </is>
      </c>
      <c r="G996" t="inlineStr">
        <is>
          <t>LYCKSELE</t>
        </is>
      </c>
      <c r="I996" t="n">
        <v>2.7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27929-2024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45475</v>
      </c>
      <c r="E997" s="1" t="n">
        <v>46269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Naturvårdsverket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27932-2024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45475</v>
      </c>
      <c r="E998" s="1" t="n">
        <v>46269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Naturvårdsverket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12662-2026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46091</v>
      </c>
      <c r="E999" s="1" t="n">
        <v>46269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34640-2026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46255</v>
      </c>
      <c r="E1000" s="1" t="n">
        <v>46269</v>
      </c>
      <c r="F1000" t="inlineStr">
        <is>
          <t>VÄSTERBOTTENS LÄN</t>
        </is>
      </c>
      <c r="G1000" t="inlineStr">
        <is>
          <t>LYCKSELE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12436-2026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46090</v>
      </c>
      <c r="E1001" s="1" t="n">
        <v>46269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12735-2026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46091</v>
      </c>
      <c r="E1002" s="1" t="n">
        <v>46269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21109-2023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45061</v>
      </c>
      <c r="E1003" s="1" t="n">
        <v>46269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34825-2026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46258</v>
      </c>
      <c r="E1004" s="1" t="n">
        <v>46269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59569-2024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45638</v>
      </c>
      <c r="E1005" s="1" t="n">
        <v>46269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26358-2023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45091</v>
      </c>
      <c r="E1006" s="1" t="n">
        <v>46269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12998-2026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46092</v>
      </c>
      <c r="E1007" s="1" t="n">
        <v>46269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30945-2026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46213</v>
      </c>
      <c r="E1008" s="1" t="n">
        <v>46269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44924</v>
      </c>
      <c r="E1009" s="1" t="n">
        <v>46269</v>
      </c>
      <c r="F1009" t="inlineStr">
        <is>
          <t>VÄSTERBOTTENS LÄN</t>
        </is>
      </c>
      <c r="G1009" t="inlineStr">
        <is>
          <t>LYCKSELE</t>
        </is>
      </c>
      <c r="I1009" t="n">
        <v>11.9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30939-2026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46269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24.3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25020-2024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45461</v>
      </c>
      <c r="E1011" s="1" t="n">
        <v>46269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6800-2025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45700</v>
      </c>
      <c r="E1012" s="1" t="n">
        <v>46269</v>
      </c>
      <c r="F1012" t="inlineStr">
        <is>
          <t>VÄSTERBOTTENS LÄN</t>
        </is>
      </c>
      <c r="G1012" t="inlineStr">
        <is>
          <t>LYCKSELE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30425-2024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45491</v>
      </c>
      <c r="E1013" s="1" t="n">
        <v>46269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12889-2026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46092</v>
      </c>
      <c r="E1014" s="1" t="n">
        <v>46269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47131-2024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45586</v>
      </c>
      <c r="E1015" s="1" t="n">
        <v>46269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13384-2026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46094</v>
      </c>
      <c r="E1016" s="1" t="n">
        <v>46269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10.9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13436-2026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46094</v>
      </c>
      <c r="E1017" s="1" t="n">
        <v>46269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4.5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30962-2026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46213</v>
      </c>
      <c r="E1018" s="1" t="n">
        <v>46269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13627-2026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46097</v>
      </c>
      <c r="E1019" s="1" t="n">
        <v>46269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13477-2026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46094</v>
      </c>
      <c r="E1020" s="1" t="n">
        <v>46269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4.2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13413-2026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46094</v>
      </c>
      <c r="E1021" s="1" t="n">
        <v>46269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13480-2026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46094</v>
      </c>
      <c r="E1022" s="1" t="n">
        <v>46269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34508-2026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46255</v>
      </c>
      <c r="E1023" s="1" t="n">
        <v>46269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6.5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46094</v>
      </c>
      <c r="E1024" s="1" t="n">
        <v>46269</v>
      </c>
      <c r="F1024" t="inlineStr">
        <is>
          <t>VÄSTERBOTTENS LÄN</t>
        </is>
      </c>
      <c r="G1024" t="inlineStr">
        <is>
          <t>LYCKSELE</t>
        </is>
      </c>
      <c r="I1024" t="n">
        <v>4.8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13518-2026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46094</v>
      </c>
      <c r="E1025" s="1" t="n">
        <v>46269</v>
      </c>
      <c r="F1025" t="inlineStr">
        <is>
          <t>VÄSTERBOTTENS LÄN</t>
        </is>
      </c>
      <c r="G1025" t="inlineStr">
        <is>
          <t>LYCKSELE</t>
        </is>
      </c>
      <c r="I1025" t="n">
        <v>12.7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37969-2024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45544</v>
      </c>
      <c r="E1026" s="1" t="n">
        <v>46269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21660-2023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45063</v>
      </c>
      <c r="E1027" s="1" t="n">
        <v>46269</v>
      </c>
      <c r="F1027" t="inlineStr">
        <is>
          <t>VÄSTERBOTTENS LÄN</t>
        </is>
      </c>
      <c r="G1027" t="inlineStr">
        <is>
          <t>LYCKSELE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33693-2024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46269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14235-2026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46269</v>
      </c>
      <c r="F1029" t="inlineStr">
        <is>
          <t>VÄSTERBOTTENS LÄN</t>
        </is>
      </c>
      <c r="G1029" t="inlineStr">
        <is>
          <t>LYCKSELE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14243-2026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46099</v>
      </c>
      <c r="E1030" s="1" t="n">
        <v>46269</v>
      </c>
      <c r="F1030" t="inlineStr">
        <is>
          <t>VÄSTERBOTTENS LÄN</t>
        </is>
      </c>
      <c r="G1030" t="inlineStr">
        <is>
          <t>LYCKSELE</t>
        </is>
      </c>
      <c r="I1030" t="n">
        <v>11.8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16504-2025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45751</v>
      </c>
      <c r="E1031" s="1" t="n">
        <v>46269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3.2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13954-2026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46098</v>
      </c>
      <c r="E1032" s="1" t="n">
        <v>46269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13921-2026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46098</v>
      </c>
      <c r="E1033" s="1" t="n">
        <v>46269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46692-2025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45926</v>
      </c>
      <c r="E1034" s="1" t="n">
        <v>46269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49130-2024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45594</v>
      </c>
      <c r="E1035" s="1" t="n">
        <v>46269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34960-2026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46259</v>
      </c>
      <c r="E1036" s="1" t="n">
        <v>46269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34961-2026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46259</v>
      </c>
      <c r="E1037" s="1" t="n">
        <v>46269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37262-2023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45155</v>
      </c>
      <c r="E1038" s="1" t="n">
        <v>46269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58714-2024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45635</v>
      </c>
      <c r="E1039" s="1" t="n">
        <v>46269</v>
      </c>
      <c r="F1039" t="inlineStr">
        <is>
          <t>VÄSTERBOTTENS LÄN</t>
        </is>
      </c>
      <c r="G1039" t="inlineStr">
        <is>
          <t>LYCKSELE</t>
        </is>
      </c>
      <c r="I1039" t="n">
        <v>25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14404-2026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46100</v>
      </c>
      <c r="E1040" s="1" t="n">
        <v>46269</v>
      </c>
      <c r="F1040" t="inlineStr">
        <is>
          <t>VÄSTERBOTTENS LÄN</t>
        </is>
      </c>
      <c r="G1040" t="inlineStr">
        <is>
          <t>LYCKSELE</t>
        </is>
      </c>
      <c r="I1040" t="n">
        <v>4.4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1962-2024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45308</v>
      </c>
      <c r="E1041" s="1" t="n">
        <v>46269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46817-2024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45583</v>
      </c>
      <c r="E1042" s="1" t="n">
        <v>46269</v>
      </c>
      <c r="F1042" t="inlineStr">
        <is>
          <t>VÄSTERBOTTENS LÄN</t>
        </is>
      </c>
      <c r="G1042" t="inlineStr">
        <is>
          <t>LYCKSELE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55203-2024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45621</v>
      </c>
      <c r="E1043" s="1" t="n">
        <v>46269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14675-2026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46101</v>
      </c>
      <c r="E1044" s="1" t="n">
        <v>46269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14725-2026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46269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43770-2025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45912</v>
      </c>
      <c r="E1046" s="1" t="n">
        <v>46269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9.5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34111-2025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46269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8.4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46562-2025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45926</v>
      </c>
      <c r="E1048" s="1" t="n">
        <v>46269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14405-2026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46100</v>
      </c>
      <c r="E1049" s="1" t="n">
        <v>46269</v>
      </c>
      <c r="F1049" t="inlineStr">
        <is>
          <t>VÄSTERBOTTENS LÄN</t>
        </is>
      </c>
      <c r="G1049" t="inlineStr">
        <is>
          <t>LYCKSELE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60482-2024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45643</v>
      </c>
      <c r="E1050" s="1" t="n">
        <v>46269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7.8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14856-2026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46104</v>
      </c>
      <c r="E1051" s="1" t="n">
        <v>46269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11.1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29709-2025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45825</v>
      </c>
      <c r="E1052" s="1" t="n">
        <v>46269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52.4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14845-2026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46104</v>
      </c>
      <c r="E1053" s="1" t="n">
        <v>46269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12.5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46654-2025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45926</v>
      </c>
      <c r="E1054" s="1" t="n">
        <v>46269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49631-2023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45211</v>
      </c>
      <c r="E1055" s="1" t="n">
        <v>46269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Kommuner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31371-2026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46219</v>
      </c>
      <c r="E1056" s="1" t="n">
        <v>46269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31289-2026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46218</v>
      </c>
      <c r="E1057" s="1" t="n">
        <v>46269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15696-2026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46107</v>
      </c>
      <c r="E1058" s="1" t="n">
        <v>46269</v>
      </c>
      <c r="F1058" t="inlineStr">
        <is>
          <t>VÄSTERBOTTENS LÄN</t>
        </is>
      </c>
      <c r="G1058" t="inlineStr">
        <is>
          <t>LYCKSELE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31275-2026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46218</v>
      </c>
      <c r="E1059" s="1" t="n">
        <v>46269</v>
      </c>
      <c r="F1059" t="inlineStr">
        <is>
          <t>VÄSTERBOTTENS LÄN</t>
        </is>
      </c>
      <c r="G1059" t="inlineStr">
        <is>
          <t>LYCKSELE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15655-2026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46106</v>
      </c>
      <c r="E1060" s="1" t="n">
        <v>46269</v>
      </c>
      <c r="F1060" t="inlineStr">
        <is>
          <t>VÄSTERBOTTENS LÄN</t>
        </is>
      </c>
      <c r="G1060" t="inlineStr">
        <is>
          <t>LYCKSELE</t>
        </is>
      </c>
      <c r="I1060" t="n">
        <v>5.8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31354-2026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46219</v>
      </c>
      <c r="E1061" s="1" t="n">
        <v>46269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6.7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15389-2026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46106</v>
      </c>
      <c r="E1062" s="1" t="n">
        <v>46269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12.9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35379-2026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46261</v>
      </c>
      <c r="E1063" s="1" t="n">
        <v>46269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31288-2026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46218</v>
      </c>
      <c r="E1064" s="1" t="n">
        <v>46269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5.6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37658-2024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45541</v>
      </c>
      <c r="E1065" s="1" t="n">
        <v>46269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31369-2026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46219</v>
      </c>
      <c r="E1066" s="1" t="n">
        <v>46269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31358-2026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46219</v>
      </c>
      <c r="E1067" s="1" t="n">
        <v>46269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16.3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16397-2026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46111</v>
      </c>
      <c r="E1068" s="1" t="n">
        <v>46269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16138-2026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46108</v>
      </c>
      <c r="E1069" s="1" t="n">
        <v>46269</v>
      </c>
      <c r="F1069" t="inlineStr">
        <is>
          <t>VÄSTERBOTTENS LÄN</t>
        </is>
      </c>
      <c r="G1069" t="inlineStr">
        <is>
          <t>LYCKSELE</t>
        </is>
      </c>
      <c r="I1069" t="n">
        <v>13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31408-2026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46220</v>
      </c>
      <c r="E1070" s="1" t="n">
        <v>46269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28409-2023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45101</v>
      </c>
      <c r="E1071" s="1" t="n">
        <v>46269</v>
      </c>
      <c r="F1071" t="inlineStr">
        <is>
          <t>VÄSTERBOTTENS LÄN</t>
        </is>
      </c>
      <c r="G1071" t="inlineStr">
        <is>
          <t>LYCKSELE</t>
        </is>
      </c>
      <c r="I1071" t="n">
        <v>12.9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31400-2026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46220</v>
      </c>
      <c r="E1072" s="1" t="n">
        <v>46269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33796-2026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46251</v>
      </c>
      <c r="E1073" s="1" t="n">
        <v>46269</v>
      </c>
      <c r="F1073" t="inlineStr">
        <is>
          <t>VÄSTERBOTTENS LÄN</t>
        </is>
      </c>
      <c r="G1073" t="inlineStr">
        <is>
          <t>LYCKSELE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16731-2026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46113</v>
      </c>
      <c r="E1074" s="1" t="n">
        <v>46269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16733-2026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46113</v>
      </c>
      <c r="E1075" s="1" t="n">
        <v>46269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16643-2026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46112</v>
      </c>
      <c r="E1076" s="1" t="n">
        <v>46269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16.8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16646-2026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46112</v>
      </c>
      <c r="E1077" s="1" t="n">
        <v>46269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13.9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16729-2026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46113</v>
      </c>
      <c r="E1078" s="1" t="n">
        <v>46269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16540-2026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46112</v>
      </c>
      <c r="E1079" s="1" t="n">
        <v>46269</v>
      </c>
      <c r="F1079" t="inlineStr">
        <is>
          <t>VÄSTERBOTTENS LÄN</t>
        </is>
      </c>
      <c r="G1079" t="inlineStr">
        <is>
          <t>LYCKSELE</t>
        </is>
      </c>
      <c r="I1079" t="n">
        <v>17.1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35847-2026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46265</v>
      </c>
      <c r="E1080" s="1" t="n">
        <v>46269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16642-2026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46112</v>
      </c>
      <c r="E1081" s="1" t="n">
        <v>46269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35605-2026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46263</v>
      </c>
      <c r="E1082" s="1" t="n">
        <v>46269</v>
      </c>
      <c r="F1082" t="inlineStr">
        <is>
          <t>VÄSTERBOTTENS LÄN</t>
        </is>
      </c>
      <c r="G1082" t="inlineStr">
        <is>
          <t>LYCKSELE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54446-2023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45233</v>
      </c>
      <c r="E1083" s="1" t="n">
        <v>46269</v>
      </c>
      <c r="F1083" t="inlineStr">
        <is>
          <t>VÄSTERBOTTENS LÄN</t>
        </is>
      </c>
      <c r="G1083" t="inlineStr">
        <is>
          <t>LYCKSELE</t>
        </is>
      </c>
      <c r="I1083" t="n">
        <v>21.4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46220</v>
      </c>
      <c r="E1084" s="1" t="n">
        <v>46269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16986-2026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46114</v>
      </c>
      <c r="E1085" s="1" t="n">
        <v>46269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17329-2026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46119</v>
      </c>
      <c r="E1086" s="1" t="n">
        <v>46269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12.1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40527-2024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46269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8.9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35754-2026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46265</v>
      </c>
      <c r="E1088" s="1" t="n">
        <v>46269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35800-2026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46265</v>
      </c>
      <c r="E1089" s="1" t="n">
        <v>46269</v>
      </c>
      <c r="F1089" t="inlineStr">
        <is>
          <t>VÄSTERBOTTENS LÄN</t>
        </is>
      </c>
      <c r="G1089" t="inlineStr">
        <is>
          <t>LYCKSELE</t>
        </is>
      </c>
      <c r="I1089" t="n">
        <v>4.5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35801-2026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46265</v>
      </c>
      <c r="E1090" s="1" t="n">
        <v>46269</v>
      </c>
      <c r="F1090" t="inlineStr">
        <is>
          <t>VÄSTERBOTTENS LÄN</t>
        </is>
      </c>
      <c r="G1090" t="inlineStr">
        <is>
          <t>LYCKSELE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31398-2026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46220</v>
      </c>
      <c r="E1091" s="1" t="n">
        <v>46269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2.8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35617-2026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46265</v>
      </c>
      <c r="E1092" s="1" t="n">
        <v>46269</v>
      </c>
      <c r="F1092" t="inlineStr">
        <is>
          <t>VÄSTERBOTTENS LÄN</t>
        </is>
      </c>
      <c r="G1092" t="inlineStr">
        <is>
          <t>LYCKSELE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17650-2026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46121</v>
      </c>
      <c r="E1093" s="1" t="n">
        <v>46269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48992-2023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45209</v>
      </c>
      <c r="E1094" s="1" t="n">
        <v>46269</v>
      </c>
      <c r="F1094" t="inlineStr">
        <is>
          <t>VÄSTERBOTTENS LÄN</t>
        </is>
      </c>
      <c r="G1094" t="inlineStr">
        <is>
          <t>LYCKSELE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35625-2026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46265</v>
      </c>
      <c r="E1095" s="1" t="n">
        <v>46269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8.199999999999999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33708-2024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45520</v>
      </c>
      <c r="E1096" s="1" t="n">
        <v>46269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33714-2024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46269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16669-2022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44672</v>
      </c>
      <c r="E1098" s="1" t="n">
        <v>46269</v>
      </c>
      <c r="F1098" t="inlineStr">
        <is>
          <t>VÄSTERBOTTENS LÄN</t>
        </is>
      </c>
      <c r="G1098" t="inlineStr">
        <is>
          <t>LYCKSELE</t>
        </is>
      </c>
      <c r="I1098" t="n">
        <v>12.8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31653-2026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46225</v>
      </c>
      <c r="E1099" s="1" t="n">
        <v>46269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57898-2021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44486</v>
      </c>
      <c r="E1100" s="1" t="n">
        <v>46269</v>
      </c>
      <c r="F1100" t="inlineStr">
        <is>
          <t>VÄSTERBOTTENS LÄN</t>
        </is>
      </c>
      <c r="G1100" t="inlineStr">
        <is>
          <t>LYCKSELE</t>
        </is>
      </c>
      <c r="I1100" t="n">
        <v>14.7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32408-2024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45512</v>
      </c>
      <c r="E1101" s="1" t="n">
        <v>46269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Naturvårdsverket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36243-2026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46268</v>
      </c>
      <c r="E1102" s="1" t="n">
        <v>46269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18581-2026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46127</v>
      </c>
      <c r="E1103" s="1" t="n">
        <v>46269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6.4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36048-2026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46267</v>
      </c>
      <c r="E1104" s="1" t="n">
        <v>46269</v>
      </c>
      <c r="F1104" t="inlineStr">
        <is>
          <t>VÄSTERBOTTENS LÄN</t>
        </is>
      </c>
      <c r="G1104" t="inlineStr">
        <is>
          <t>LYCKSELE</t>
        </is>
      </c>
      <c r="I1104" t="n">
        <v>7.8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18789-2026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46128</v>
      </c>
      <c r="E1105" s="1" t="n">
        <v>46269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5.1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39321-2024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45551</v>
      </c>
      <c r="E1106" s="1" t="n">
        <v>46269</v>
      </c>
      <c r="F1106" t="inlineStr">
        <is>
          <t>VÄSTERBOTTENS LÄN</t>
        </is>
      </c>
      <c r="G1106" t="inlineStr">
        <is>
          <t>LYCKSELE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36254-2026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46268</v>
      </c>
      <c r="E1107" s="1" t="n">
        <v>46269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36165-2026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46267</v>
      </c>
      <c r="E1108" s="1" t="n">
        <v>46269</v>
      </c>
      <c r="F1108" t="inlineStr">
        <is>
          <t>VÄSTERBOTTENS LÄN</t>
        </is>
      </c>
      <c r="G1108" t="inlineStr">
        <is>
          <t>LYCKSELE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71412-2021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44540</v>
      </c>
      <c r="E1109" s="1" t="n">
        <v>46269</v>
      </c>
      <c r="F1109" t="inlineStr">
        <is>
          <t>VÄSTERBOTTENS LÄN</t>
        </is>
      </c>
      <c r="G1109" t="inlineStr">
        <is>
          <t>LYCKSELE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19058-2026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46132</v>
      </c>
      <c r="E1110" s="1" t="n">
        <v>46269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10331-2023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44980</v>
      </c>
      <c r="E1111" s="1" t="n">
        <v>46269</v>
      </c>
      <c r="F1111" t="inlineStr">
        <is>
          <t>VÄSTERBOTTENS LÄN</t>
        </is>
      </c>
      <c r="G1111" t="inlineStr">
        <is>
          <t>LYCKSELE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19062-2026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46132</v>
      </c>
      <c r="E1112" s="1" t="n">
        <v>46269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9.699999999999999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10208-2024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45364</v>
      </c>
      <c r="E1113" s="1" t="n">
        <v>46269</v>
      </c>
      <c r="F1113" t="inlineStr">
        <is>
          <t>VÄSTERBOTTENS LÄN</t>
        </is>
      </c>
      <c r="G1113" t="inlineStr">
        <is>
          <t>LYCKSELE</t>
        </is>
      </c>
      <c r="I1113" t="n">
        <v>9.4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47807-2024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45588</v>
      </c>
      <c r="E1114" s="1" t="n">
        <v>46269</v>
      </c>
      <c r="F1114" t="inlineStr">
        <is>
          <t>VÄSTERBOTTENS LÄN</t>
        </is>
      </c>
      <c r="G1114" t="inlineStr">
        <is>
          <t>LYCKSELE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44465-2022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44840</v>
      </c>
      <c r="E1115" s="1" t="n">
        <v>46269</v>
      </c>
      <c r="F1115" t="inlineStr">
        <is>
          <t>VÄSTERBOTTENS LÄN</t>
        </is>
      </c>
      <c r="G1115" t="inlineStr">
        <is>
          <t>LYCKSELE</t>
        </is>
      </c>
      <c r="I1115" t="n">
        <v>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34810-2024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45526</v>
      </c>
      <c r="E1116" s="1" t="n">
        <v>46269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54428-2024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45617</v>
      </c>
      <c r="E1117" s="1" t="n">
        <v>46269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41361-2023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45174</v>
      </c>
      <c r="E1118" s="1" t="n">
        <v>46269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6.6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37271-2023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45155</v>
      </c>
      <c r="E1119" s="1" t="n">
        <v>46269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64336-2023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45279</v>
      </c>
      <c r="E1120" s="1" t="n">
        <v>46269</v>
      </c>
      <c r="F1120" t="inlineStr">
        <is>
          <t>VÄSTERBOTTENS LÄN</t>
        </is>
      </c>
      <c r="G1120" t="inlineStr">
        <is>
          <t>LYCKSELE</t>
        </is>
      </c>
      <c r="I1120" t="n">
        <v>6.4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9517-2025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45715</v>
      </c>
      <c r="E1121" s="1" t="n">
        <v>46269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4.5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11640-2024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45373</v>
      </c>
      <c r="E1122" s="1" t="n">
        <v>46269</v>
      </c>
      <c r="F1122" t="inlineStr">
        <is>
          <t>VÄSTERBOTTENS LÄN</t>
        </is>
      </c>
      <c r="G1122" t="inlineStr">
        <is>
          <t>LYCKSELE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41992-2022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44830</v>
      </c>
      <c r="E1123" s="1" t="n">
        <v>46269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3.5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17688-2025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45758</v>
      </c>
      <c r="E1124" s="1" t="n">
        <v>46269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3.5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60542-2024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45643</v>
      </c>
      <c r="E1125" s="1" t="n">
        <v>46269</v>
      </c>
      <c r="F1125" t="inlineStr">
        <is>
          <t>VÄSTERBOTTENS LÄN</t>
        </is>
      </c>
      <c r="G1125" t="inlineStr">
        <is>
          <t>LYCKSELE</t>
        </is>
      </c>
      <c r="I1125" t="n">
        <v>4.4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60143-2022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44909</v>
      </c>
      <c r="E1126" s="1" t="n">
        <v>46269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15239-2025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45744</v>
      </c>
      <c r="E1127" s="1" t="n">
        <v>46269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38478-2024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45546</v>
      </c>
      <c r="E1128" s="1" t="n">
        <v>46269</v>
      </c>
      <c r="F1128" t="inlineStr">
        <is>
          <t>VÄSTERBOTTENS LÄN</t>
        </is>
      </c>
      <c r="G1128" t="inlineStr">
        <is>
          <t>LYCKSELE</t>
        </is>
      </c>
      <c r="I1128" t="n">
        <v>0.1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2794-2025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45677</v>
      </c>
      <c r="E1129" s="1" t="n">
        <v>46269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14623-2025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45742</v>
      </c>
      <c r="E1130" s="1" t="n">
        <v>46269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Naturvårdsverket</t>
        </is>
      </c>
      <c r="I1130" t="n">
        <v>10.4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38112-2024</t>
        </is>
      </c>
      <c r="B1131" t="inlineStr">
        <is>
          <t>avverkningsanmälan</t>
        </is>
      </c>
      <c r="C1131" t="inlineStr">
        <is>
          <t>Avverkning för att bevara och utveckla /försöksver</t>
        </is>
      </c>
      <c r="D1131" s="1" t="n">
        <v>45545</v>
      </c>
      <c r="E1131" s="1" t="n">
        <v>46269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13883-2025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45737</v>
      </c>
      <c r="E1132" s="1" t="n">
        <v>46269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Naturvårdsverket</t>
        </is>
      </c>
      <c r="I1132" t="n">
        <v>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9976-2024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45363</v>
      </c>
      <c r="E1133" s="1" t="n">
        <v>46269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24234-2023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45079</v>
      </c>
      <c r="E1134" s="1" t="n">
        <v>46269</v>
      </c>
      <c r="F1134" t="inlineStr">
        <is>
          <t>VÄSTERBOTTENS LÄN</t>
        </is>
      </c>
      <c r="G1134" t="inlineStr">
        <is>
          <t>LYCKSELE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52755-2023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45225</v>
      </c>
      <c r="E1135" s="1" t="n">
        <v>46269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20685-2025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45776</v>
      </c>
      <c r="E1136" s="1" t="n">
        <v>46269</v>
      </c>
      <c r="F1136" t="inlineStr">
        <is>
          <t>VÄSTERBOTTENS LÄN</t>
        </is>
      </c>
      <c r="G1136" t="inlineStr">
        <is>
          <t>LYCKSELE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20979-2025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45777</v>
      </c>
      <c r="E1137" s="1" t="n">
        <v>46269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21266-2025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45779</v>
      </c>
      <c r="E1138" s="1" t="n">
        <v>46269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3.3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21861-2025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45784</v>
      </c>
      <c r="E1139" s="1" t="n">
        <v>46269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10.5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21888-2025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45784</v>
      </c>
      <c r="E1140" s="1" t="n">
        <v>46269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22309-2025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45786</v>
      </c>
      <c r="E1141" s="1" t="n">
        <v>46269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3.1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64391-2023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45280</v>
      </c>
      <c r="E1142" s="1" t="n">
        <v>46269</v>
      </c>
      <c r="F1142" t="inlineStr">
        <is>
          <t>VÄSTERBOTTENS LÄN</t>
        </is>
      </c>
      <c r="G1142" t="inlineStr">
        <is>
          <t>LYCKSELE</t>
        </is>
      </c>
      <c r="I1142" t="n">
        <v>5.8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22453-2025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45786</v>
      </c>
      <c r="E1143" s="1" t="n">
        <v>46269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46269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827-2022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44603</v>
      </c>
      <c r="E1145" s="1" t="n">
        <v>46269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42.7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165-2022</t>
        </is>
      </c>
      <c r="B1146" t="inlineStr">
        <is>
          <t>samrådsanmälan</t>
        </is>
      </c>
      <c r="C1146" t="inlineStr">
        <is>
          <t>Skogsbilväg</t>
        </is>
      </c>
      <c r="D1146" s="1" t="n">
        <v>44572</v>
      </c>
      <c r="E1146" s="1" t="n">
        <v>46269</v>
      </c>
      <c r="F1146" t="inlineStr">
        <is>
          <t>VÄSTERBOTTENS LÄN</t>
        </is>
      </c>
      <c r="G1146" t="inlineStr">
        <is>
          <t>LYCKSELE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897-2022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44607</v>
      </c>
      <c r="E1147" s="1" t="n">
        <v>46269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264.9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1133-2024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45393</v>
      </c>
      <c r="E1148" s="1" t="n">
        <v>46269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6646-2021</t>
        </is>
      </c>
      <c r="B1149" t="inlineStr">
        <is>
          <t>samrådsanmälan</t>
        </is>
      </c>
      <c r="C1149" t="inlineStr">
        <is>
          <t>Basväg</t>
        </is>
      </c>
      <c r="D1149" s="1" t="n">
        <v>44455</v>
      </c>
      <c r="E1149" s="1" t="n">
        <v>46269</v>
      </c>
      <c r="F1149" t="inlineStr">
        <is>
          <t>VÄSTERBOTTENS LÄN</t>
        </is>
      </c>
      <c r="G1149" t="inlineStr">
        <is>
          <t>LYCKSELE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4195-2023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45250</v>
      </c>
      <c r="E1150" s="1" t="n">
        <v>46269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63.8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1398-2023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45040</v>
      </c>
      <c r="E1151" s="1" t="n">
        <v>46269</v>
      </c>
      <c r="F1151" t="inlineStr">
        <is>
          <t>VÄSTERBOTTENS LÄN</t>
        </is>
      </c>
      <c r="G1151" t="inlineStr">
        <is>
          <t>LYCKSELE</t>
        </is>
      </c>
      <c r="I1151" t="n">
        <v>21.5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1378-2023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45040</v>
      </c>
      <c r="E1152" s="1" t="n">
        <v>46269</v>
      </c>
      <c r="F1152" t="inlineStr">
        <is>
          <t>VÄSTERBOTTENS LÄN</t>
        </is>
      </c>
      <c r="G1152" t="inlineStr">
        <is>
          <t>LYCKSELE</t>
        </is>
      </c>
      <c r="I1152" t="n">
        <v>33.1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1656-2024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45426</v>
      </c>
      <c r="E1153" s="1" t="n">
        <v>46269</v>
      </c>
      <c r="F1153" t="inlineStr">
        <is>
          <t>VÄSTERBOTTENS LÄN</t>
        </is>
      </c>
      <c r="G1153" t="inlineStr">
        <is>
          <t>LYCKSELE</t>
        </is>
      </c>
      <c r="I1153" t="n">
        <v>56.6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523-2024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45348</v>
      </c>
      <c r="E1154" s="1" t="n">
        <v>46269</v>
      </c>
      <c r="F1154" t="inlineStr">
        <is>
          <t>VÄSTERBOTTENS LÄN</t>
        </is>
      </c>
      <c r="G1154" t="inlineStr">
        <is>
          <t>LYCKSELE</t>
        </is>
      </c>
      <c r="I1154" t="n">
        <v>19.9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3789-2024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45558</v>
      </c>
      <c r="E1155" s="1" t="n">
        <v>46269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9.800000000000001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271-2024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45323</v>
      </c>
      <c r="E1156" s="1" t="n">
        <v>46269</v>
      </c>
      <c r="F1156" t="inlineStr">
        <is>
          <t>VÄSTERBOTTENS LÄN</t>
        </is>
      </c>
      <c r="G1156" t="inlineStr">
        <is>
          <t>LYCKSELE</t>
        </is>
      </c>
      <c r="I1156" t="n">
        <v>48.7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1132-2024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45393</v>
      </c>
      <c r="E1157" s="1" t="n">
        <v>46269</v>
      </c>
      <c r="F1157" t="inlineStr">
        <is>
          <t>VÄSTERBOTTENS LÄN</t>
        </is>
      </c>
      <c r="G1157" t="inlineStr">
        <is>
          <t>LYCKSELE</t>
        </is>
      </c>
      <c r="I1157" t="n">
        <v>19.2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46269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46269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46269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46269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46269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46269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46269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46269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46269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46269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2026-09-04T02:05:10Z</dcterms:created>
  <dcterms:modified xmlns:dcterms="http://purl.org/dc/terms/" xmlns:xsi="http://www.w3.org/2001/XMLSchema-instance" xsi:type="dcterms:W3CDTF">2026-09-04T02:05:11Z</dcterms:modified>
</cp:coreProperties>
</file>