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46217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46217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46217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46217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46217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46217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37406-2025 artfynd.xlsx", "A 37406-2025")</f>
        <v/>
      </c>
      <c r="W7">
        <f>HYPERLINK("https://klasma.github.io/Logging_2481/kartor/A 37406-2025 karta.png", "A 37406-2025")</f>
        <v/>
      </c>
      <c r="X7">
        <f>HYPERLINK("https://klasma.github.io/Logging_2481/knärot/A 37406-2025 karta knärot.png", "A 37406-2025")</f>
        <v/>
      </c>
      <c r="Y7">
        <f>HYPERLINK("https://klasma.github.io/Logging_2481/klagomål/A 37406-2025 FSC-klagomål.docx", "A 37406-2025")</f>
        <v/>
      </c>
      <c r="Z7">
        <f>HYPERLINK("https://klasma.github.io/Logging_2481/klagomålsmail/A 37406-2025 FSC-klagomål mail.docx", "A 37406-2025")</f>
        <v/>
      </c>
      <c r="AA7">
        <f>HYPERLINK("https://klasma.github.io/Logging_2481/tillsyn/A 37406-2025 tillsynsbegäran.docx", "A 37406-2025")</f>
        <v/>
      </c>
      <c r="AB7">
        <f>HYPERLINK("https://klasma.github.io/Logging_2481/tillsynsmail/A 37406-2025 tillsynsbegäran mail.docx", "A 37406-2025")</f>
        <v/>
      </c>
      <c r="AC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46217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s="2" t="inlineStr">
        <is>
          <t>Garnlav
Knärot
Harticka
Lunglav
Skrovellav
Talltita
Violmussling
Bårdlav
Luddlav
Stuplav
Fläcknycklar
Revlummer</t>
        </is>
      </c>
      <c r="V8">
        <f>HYPERLINK("https://klasma.github.io/Logging_2481/artfynd/A 53141-2024 artfynd.xlsx", "A 53141-2024")</f>
        <v/>
      </c>
      <c r="W8">
        <f>HYPERLINK("https://klasma.github.io/Logging_2481/kartor/A 53141-2024 karta.png", "A 53141-2024")</f>
        <v/>
      </c>
      <c r="X8">
        <f>HYPERLINK("https://klasma.github.io/Logging_2481/knärot/A 53141-2024 karta knärot.png", "A 53141-2024")</f>
        <v/>
      </c>
      <c r="Y8">
        <f>HYPERLINK("https://klasma.github.io/Logging_2481/klagomål/A 53141-2024 FSC-klagomål.docx", "A 53141-2024")</f>
        <v/>
      </c>
      <c r="Z8">
        <f>HYPERLINK("https://klasma.github.io/Logging_2481/klagomålsmail/A 53141-2024 FSC-klagomål mail.docx", "A 53141-2024")</f>
        <v/>
      </c>
      <c r="AA8">
        <f>HYPERLINK("https://klasma.github.io/Logging_2481/tillsyn/A 53141-2024 tillsynsbegäran.docx", "A 53141-2024")</f>
        <v/>
      </c>
      <c r="AB8">
        <f>HYPERLINK("https://klasma.github.io/Logging_2481/tillsynsmail/A 53141-2024 tillsynsbegäran mail.docx", "A 53141-2024")</f>
        <v/>
      </c>
      <c r="AC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46217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9">
        <f>HYPERLINK("https://klasma.github.io/Logging_2481/artfynd/A 24811-2024 artfynd.xlsx", "A 24811-2024")</f>
        <v/>
      </c>
      <c r="W9">
        <f>HYPERLINK("https://klasma.github.io/Logging_2481/kartor/A 24811-2024 karta.png", "A 24811-2024")</f>
        <v/>
      </c>
      <c r="Y9">
        <f>HYPERLINK("https://klasma.github.io/Logging_2481/klagomål/A 24811-2024 FSC-klagomål.docx", "A 24811-2024")</f>
        <v/>
      </c>
      <c r="Z9">
        <f>HYPERLINK("https://klasma.github.io/Logging_2481/klagomålsmail/A 24811-2024 FSC-klagomål mail.docx", "A 24811-2024")</f>
        <v/>
      </c>
      <c r="AA9">
        <f>HYPERLINK("https://klasma.github.io/Logging_2481/tillsyn/A 24811-2024 tillsynsbegäran.docx", "A 24811-2024")</f>
        <v/>
      </c>
      <c r="AB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46217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46217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s="2" t="inlineStr">
        <is>
          <t>Garnlav
Laxporing
Nordtagging
Talltita
Tretåig hackspett
Ullticka
Vedticka
Spillkråka
Videsparv</t>
        </is>
      </c>
      <c r="V11">
        <f>HYPERLINK("https://klasma.github.io/Logging_2481/artfynd/A 38157-2023 artfynd.xlsx", "A 38157-2023")</f>
        <v/>
      </c>
      <c r="W11">
        <f>HYPERLINK("https://klasma.github.io/Logging_2481/kartor/A 38157-2023 karta.png", "A 38157-2023")</f>
        <v/>
      </c>
      <c r="Y11">
        <f>HYPERLINK("https://klasma.github.io/Logging_2481/klagomål/A 38157-2023 FSC-klagomål.docx", "A 38157-2023")</f>
        <v/>
      </c>
      <c r="Z11">
        <f>HYPERLINK("https://klasma.github.io/Logging_2481/klagomålsmail/A 38157-2023 FSC-klagomål mail.docx", "A 38157-2023")</f>
        <v/>
      </c>
      <c r="AA11">
        <f>HYPERLINK("https://klasma.github.io/Logging_2481/tillsyn/A 38157-2023 tillsynsbegäran.docx", "A 38157-2023")</f>
        <v/>
      </c>
      <c r="AB11">
        <f>HYPERLINK("https://klasma.github.io/Logging_2481/tillsynsmail/A 38157-2023 tillsynsbegäran mail.docx", "A 38157-2023")</f>
        <v/>
      </c>
      <c r="AC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46217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s="2" t="inlineStr">
        <is>
          <t>Garnlav
Skeletocutis delicata
Ulltickeporing
Harticka
Lunglav
Oljetagging
Rosenticka
Ullticka
Stuplav</t>
        </is>
      </c>
      <c r="V12">
        <f>HYPERLINK("https://klasma.github.io/Logging_2481/artfynd/A 23232-2026 artfynd.xlsx", "A 23232-2026")</f>
        <v/>
      </c>
      <c r="W12">
        <f>HYPERLINK("https://klasma.github.io/Logging_2481/kartor/A 23232-2026 karta.png", "A 23232-2026")</f>
        <v/>
      </c>
      <c r="Y12">
        <f>HYPERLINK("https://klasma.github.io/Logging_2481/klagomål/A 23232-2026 FSC-klagomål.docx", "A 23232-2026")</f>
        <v/>
      </c>
      <c r="Z12">
        <f>HYPERLINK("https://klasma.github.io/Logging_2481/klagomålsmail/A 23232-2026 FSC-klagomål mail.docx", "A 23232-2026")</f>
        <v/>
      </c>
      <c r="AA12">
        <f>HYPERLINK("https://klasma.github.io/Logging_2481/tillsyn/A 23232-2026 tillsynsbegäran.docx", "A 23232-2026")</f>
        <v/>
      </c>
      <c r="AB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46217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s="2" t="inlineStr">
        <is>
          <t>Garnlav
Doftskinn
Gammelgransskål
Lunglav
Tretåig hackspett
Norrlandslav
Skinnlav
Tjäder
Revlummer</t>
        </is>
      </c>
      <c r="V13">
        <f>HYPERLINK("https://klasma.github.io/Logging_2481/artfynd/A 36650-2023 artfynd.xlsx", "A 36650-2023")</f>
        <v/>
      </c>
      <c r="W13">
        <f>HYPERLINK("https://klasma.github.io/Logging_2481/kartor/A 36650-2023 karta.png", "A 36650-2023")</f>
        <v/>
      </c>
      <c r="Y13">
        <f>HYPERLINK("https://klasma.github.io/Logging_2481/klagomål/A 36650-2023 FSC-klagomål.docx", "A 36650-2023")</f>
        <v/>
      </c>
      <c r="Z13">
        <f>HYPERLINK("https://klasma.github.io/Logging_2481/klagomålsmail/A 36650-2023 FSC-klagomål mail.docx", "A 36650-2023")</f>
        <v/>
      </c>
      <c r="AA13">
        <f>HYPERLINK("https://klasma.github.io/Logging_2481/tillsyn/A 36650-2023 tillsynsbegäran.docx", "A 36650-2023")</f>
        <v/>
      </c>
      <c r="AB13">
        <f>HYPERLINK("https://klasma.github.io/Logging_2481/tillsynsmail/A 36650-2023 tillsynsbegäran mail.docx", "A 36650-2023")</f>
        <v/>
      </c>
      <c r="AC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46217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s="2" t="inlineStr">
        <is>
          <t>Garnlav
Gammelgransskål
Kolflarnlav
Motaggsvamp
Tallriska
Tretåig hackspett
Vitgrynig nållav
Huggorm
Revlummer</t>
        </is>
      </c>
      <c r="V14">
        <f>HYPERLINK("https://klasma.github.io/Logging_2481/artfynd/A 34015-2025 artfynd.xlsx", "A 34015-2025")</f>
        <v/>
      </c>
      <c r="W14">
        <f>HYPERLINK("https://klasma.github.io/Logging_2481/kartor/A 34015-2025 karta.png", "A 34015-2025")</f>
        <v/>
      </c>
      <c r="Y14">
        <f>HYPERLINK("https://klasma.github.io/Logging_2481/klagomål/A 34015-2025 FSC-klagomål.docx", "A 34015-2025")</f>
        <v/>
      </c>
      <c r="Z14">
        <f>HYPERLINK("https://klasma.github.io/Logging_2481/klagomålsmail/A 34015-2025 FSC-klagomål mail.docx", "A 34015-2025")</f>
        <v/>
      </c>
      <c r="AA14">
        <f>HYPERLINK("https://klasma.github.io/Logging_2481/tillsyn/A 34015-2025 tillsynsbegäran.docx", "A 34015-2025")</f>
        <v/>
      </c>
      <c r="AB14">
        <f>HYPERLINK("https://klasma.github.io/Logging_2481/tillsynsmail/A 34015-2025 tillsynsbegäran mail.docx", "A 34015-2025")</f>
        <v/>
      </c>
      <c r="AC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46217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46217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46217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46217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46217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46217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46217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46217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s="2" t="inlineStr">
        <is>
          <t>Grynig filtlav
Lunglav
Skrovellav
Skuggblåslav
Stiftgelélav
Skinnlav
Stuplav</t>
        </is>
      </c>
      <c r="V22">
        <f>HYPERLINK("https://klasma.github.io/Logging_2481/artfynd/A 25592-2026 artfynd.xlsx", "A 25592-2026")</f>
        <v/>
      </c>
      <c r="W22">
        <f>HYPERLINK("https://klasma.github.io/Logging_2481/kartor/A 25592-2026 karta.png", "A 25592-2026")</f>
        <v/>
      </c>
      <c r="Y22">
        <f>HYPERLINK("https://klasma.github.io/Logging_2481/klagomål/A 25592-2026 FSC-klagomål.docx", "A 25592-2026")</f>
        <v/>
      </c>
      <c r="Z22">
        <f>HYPERLINK("https://klasma.github.io/Logging_2481/klagomålsmail/A 25592-2026 FSC-klagomål mail.docx", "A 25592-2026")</f>
        <v/>
      </c>
      <c r="AA22">
        <f>HYPERLINK("https://klasma.github.io/Logging_2481/tillsyn/A 25592-2026 tillsynsbegäran.docx", "A 25592-2026")</f>
        <v/>
      </c>
      <c r="AB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46217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Y23">
        <f>HYPERLINK("https://klasma.github.io/Logging_2481/klagomål/A 28479-2026 FSC-klagomål.docx", "A 28479-2026")</f>
        <v/>
      </c>
      <c r="Z23">
        <f>HYPERLINK("https://klasma.github.io/Logging_2481/klagomålsmail/A 28479-2026 FSC-klagomål mail.docx", "A 28479-2026")</f>
        <v/>
      </c>
      <c r="AA23">
        <f>HYPERLINK("https://klasma.github.io/Logging_2481/tillsyn/A 28479-2026 tillsynsbegäran.docx", "A 28479-2026")</f>
        <v/>
      </c>
      <c r="AB23">
        <f>HYPERLINK("https://klasma.github.io/Logging_2481/tillsynsmail/A 28479-2026 tillsynsbegäran mail.docx", "A 28479-2026")</f>
        <v/>
      </c>
      <c r="AC23">
        <f>HYPERLINK("https://klasma.github.io/Logging_2481/fåglar/A 28479-2026 prioriterade fågelarter.docx", "A 28479-2026")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46217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s="2" t="inlineStr">
        <is>
          <t>Doftticka
Blå taggsvamp
Lunglav
Mörk kolflarnlav
Orange taggsvamp
Vaddporing
Vedflamlav</t>
        </is>
      </c>
      <c r="V24">
        <f>HYPERLINK("https://klasma.github.io/Logging_2481/artfynd/A 33340-2025 artfynd.xlsx", "A 33340-2025")</f>
        <v/>
      </c>
      <c r="W24">
        <f>HYPERLINK("https://klasma.github.io/Logging_2481/kartor/A 33340-2025 karta.png", "A 33340-2025")</f>
        <v/>
      </c>
      <c r="Y24">
        <f>HYPERLINK("https://klasma.github.io/Logging_2481/klagomål/A 33340-2025 FSC-klagomål.docx", "A 33340-2025")</f>
        <v/>
      </c>
      <c r="Z24">
        <f>HYPERLINK("https://klasma.github.io/Logging_2481/klagomålsmail/A 33340-2025 FSC-klagomål mail.docx", "A 33340-2025")</f>
        <v/>
      </c>
      <c r="AA24">
        <f>HYPERLINK("https://klasma.github.io/Logging_2481/tillsyn/A 33340-2025 tillsynsbegäran.docx", "A 33340-2025")</f>
        <v/>
      </c>
      <c r="AB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46217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46217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s="2" t="inlineStr">
        <is>
          <t>Garnlav
Gränsticka
Lunglav
Ullticka
Blodticka
Stuplav</t>
        </is>
      </c>
      <c r="V26">
        <f>HYPERLINK("https://klasma.github.io/Logging_2481/artfynd/A 28721-2026 artfynd.xlsx", "A 28721-2026")</f>
        <v/>
      </c>
      <c r="W26">
        <f>HYPERLINK("https://klasma.github.io/Logging_2481/kartor/A 28721-2026 karta.png", "A 28721-2026")</f>
        <v/>
      </c>
      <c r="Y26">
        <f>HYPERLINK("https://klasma.github.io/Logging_2481/klagomål/A 28721-2026 FSC-klagomål.docx", "A 28721-2026")</f>
        <v/>
      </c>
      <c r="Z26">
        <f>HYPERLINK("https://klasma.github.io/Logging_2481/klagomålsmail/A 28721-2026 FSC-klagomål mail.docx", "A 28721-2026")</f>
        <v/>
      </c>
      <c r="AA26">
        <f>HYPERLINK("https://klasma.github.io/Logging_2481/tillsyn/A 28721-2026 tillsynsbegäran.docx", "A 28721-2026")</f>
        <v/>
      </c>
      <c r="AB26">
        <f>HYPERLINK("https://klasma.github.io/Logging_2481/tillsynsmail/A 28721-2026 tillsynsbegäran mail.docx", "A 28721-2026")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46217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s="2" t="inlineStr">
        <is>
          <t>Garnlav
Brunpudrad nållav
Knottrig blåslav
Lunglav
Nordlig nållav
Skrovellav</t>
        </is>
      </c>
      <c r="V27">
        <f>HYPERLINK("https://klasma.github.io/Logging_2481/artfynd/A 14946-2026 artfynd.xlsx", "A 14946-2026")</f>
        <v/>
      </c>
      <c r="W27">
        <f>HYPERLINK("https://klasma.github.io/Logging_2481/kartor/A 14946-2026 karta.png", "A 14946-2026")</f>
        <v/>
      </c>
      <c r="Y27">
        <f>HYPERLINK("https://klasma.github.io/Logging_2481/klagomål/A 14946-2026 FSC-klagomål.docx", "A 14946-2026")</f>
        <v/>
      </c>
      <c r="Z27">
        <f>HYPERLINK("https://klasma.github.io/Logging_2481/klagomålsmail/A 14946-2026 FSC-klagomål mail.docx", "A 14946-2026")</f>
        <v/>
      </c>
      <c r="AA27">
        <f>HYPERLINK("https://klasma.github.io/Logging_2481/tillsyn/A 14946-2026 tillsynsbegäran.docx", "A 14946-2026")</f>
        <v/>
      </c>
      <c r="AB27">
        <f>HYPERLINK("https://klasma.github.io/Logging_2481/tillsynsmail/A 14946-2026 tillsynsbegäran mail.docx", "A 14946-2026")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46217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s="2" t="inlineStr">
        <is>
          <t>Grönfink
Hussvala
Ladusvala
Vitfläckig guldvinge
Gråspett
Grönsiska</t>
        </is>
      </c>
      <c r="V28">
        <f>HYPERLINK("https://klasma.github.io/Logging_2481/artfynd/A 7818-2023 artfynd.xlsx", "A 7818-2023")</f>
        <v/>
      </c>
      <c r="W28">
        <f>HYPERLINK("https://klasma.github.io/Logging_2481/kartor/A 7818-2023 karta.png", "A 7818-2023")</f>
        <v/>
      </c>
      <c r="Y28">
        <f>HYPERLINK("https://klasma.github.io/Logging_2481/klagomål/A 7818-2023 FSC-klagomål.docx", "A 7818-2023")</f>
        <v/>
      </c>
      <c r="Z28">
        <f>HYPERLINK("https://klasma.github.io/Logging_2481/klagomålsmail/A 7818-2023 FSC-klagomål mail.docx", "A 7818-2023")</f>
        <v/>
      </c>
      <c r="AA28">
        <f>HYPERLINK("https://klasma.github.io/Logging_2481/tillsyn/A 7818-2023 tillsynsbegäran.docx", "A 7818-2023")</f>
        <v/>
      </c>
      <c r="AB28">
        <f>HYPERLINK("https://klasma.github.io/Logging_2481/tillsynsmail/A 7818-2023 tillsynsbegäran mail.docx", "A 7818-2023")</f>
        <v/>
      </c>
      <c r="AC28">
        <f>HYPERLINK("https://klasma.github.io/Logging_2481/fåglar/A 7818-2023 prioriterade fågelarter.docx", "A 7818-2023")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46217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s="2" t="inlineStr">
        <is>
          <t>Dropptaggsvamp
Gammelgransskål
Kolflarnlav
Grönpyrola
Stuplav
Spillkråka</t>
        </is>
      </c>
      <c r="V29">
        <f>HYPERLINK("https://klasma.github.io/Logging_2481/artfynd/A 35215-2025 artfynd.xlsx", "A 35215-2025")</f>
        <v/>
      </c>
      <c r="W29">
        <f>HYPERLINK("https://klasma.github.io/Logging_2481/kartor/A 35215-2025 karta.png", "A 35215-2025")</f>
        <v/>
      </c>
      <c r="Y29">
        <f>HYPERLINK("https://klasma.github.io/Logging_2481/klagomål/A 35215-2025 FSC-klagomål.docx", "A 35215-2025")</f>
        <v/>
      </c>
      <c r="Z29">
        <f>HYPERLINK("https://klasma.github.io/Logging_2481/klagomålsmail/A 35215-2025 FSC-klagomål mail.docx", "A 35215-2025")</f>
        <v/>
      </c>
      <c r="AA29">
        <f>HYPERLINK("https://klasma.github.io/Logging_2481/tillsyn/A 35215-2025 tillsynsbegäran.docx", "A 35215-2025")</f>
        <v/>
      </c>
      <c r="AB29">
        <f>HYPERLINK("https://klasma.github.io/Logging_2481/tillsynsmail/A 35215-2025 tillsynsbegäran mail.docx", "A 35215-2025")</f>
        <v/>
      </c>
      <c r="AC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46217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46217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46217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s="2" t="inlineStr">
        <is>
          <t>Fläckporing
Garnlav
Dropptaggsvamp
Kolflarnlav
Ullticka</t>
        </is>
      </c>
      <c r="V32">
        <f>HYPERLINK("https://klasma.github.io/Logging_2481/artfynd/A 54905-2024 artfynd.xlsx", "A 54905-2024")</f>
        <v/>
      </c>
      <c r="W32">
        <f>HYPERLINK("https://klasma.github.io/Logging_2481/kartor/A 54905-2024 karta.png", "A 54905-2024")</f>
        <v/>
      </c>
      <c r="Y32">
        <f>HYPERLINK("https://klasma.github.io/Logging_2481/klagomål/A 54905-2024 FSC-klagomål.docx", "A 54905-2024")</f>
        <v/>
      </c>
      <c r="Z32">
        <f>HYPERLINK("https://klasma.github.io/Logging_2481/klagomålsmail/A 54905-2024 FSC-klagomål mail.docx", "A 54905-2024")</f>
        <v/>
      </c>
      <c r="AA32">
        <f>HYPERLINK("https://klasma.github.io/Logging_2481/tillsyn/A 54905-2024 tillsynsbegäran.docx", "A 54905-2024")</f>
        <v/>
      </c>
      <c r="AB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46217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Y33">
        <f>HYPERLINK("https://klasma.github.io/Logging_2481/klagomål/A 39528-2025 FSC-klagomål.docx", "A 39528-2025")</f>
        <v/>
      </c>
      <c r="Z33">
        <f>HYPERLINK("https://klasma.github.io/Logging_2481/klagomålsmail/A 39528-2025 FSC-klagomål mail.docx", "A 39528-2025")</f>
        <v/>
      </c>
      <c r="AA33">
        <f>HYPERLINK("https://klasma.github.io/Logging_2481/tillsyn/A 39528-2025 tillsynsbegäran.docx", "A 39528-2025")</f>
        <v/>
      </c>
      <c r="AB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46217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s="2" t="inlineStr">
        <is>
          <t>Blå taggsvamp
Dropptaggsvamp
Kolflarnlav
Mörk kolflarnlav
Orange taggsvamp</t>
        </is>
      </c>
      <c r="V34">
        <f>HYPERLINK("https://klasma.github.io/Logging_2481/artfynd/A 58209-2025 artfynd.xlsx", "A 58209-2025")</f>
        <v/>
      </c>
      <c r="W34">
        <f>HYPERLINK("https://klasma.github.io/Logging_2481/kartor/A 58209-2025 karta.png", "A 58209-2025")</f>
        <v/>
      </c>
      <c r="Y34">
        <f>HYPERLINK("https://klasma.github.io/Logging_2481/klagomål/A 58209-2025 FSC-klagomål.docx", "A 58209-2025")</f>
        <v/>
      </c>
      <c r="Z34">
        <f>HYPERLINK("https://klasma.github.io/Logging_2481/klagomålsmail/A 58209-2025 FSC-klagomål mail.docx", "A 58209-2025")</f>
        <v/>
      </c>
      <c r="AA34">
        <f>HYPERLINK("https://klasma.github.io/Logging_2481/tillsyn/A 58209-2025 tillsynsbegäran.docx", "A 58209-2025")</f>
        <v/>
      </c>
      <c r="AB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46217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s="2" t="inlineStr">
        <is>
          <t>Garnlav
Dropptaggsvamp
Rosenticka
Norrlandslav
Tjäder</t>
        </is>
      </c>
      <c r="V35">
        <f>HYPERLINK("https://klasma.github.io/Logging_2481/artfynd/A 56000-2024 artfynd.xlsx", "A 56000-2024")</f>
        <v/>
      </c>
      <c r="W35">
        <f>HYPERLINK("https://klasma.github.io/Logging_2481/kartor/A 56000-2024 karta.png", "A 56000-2024")</f>
        <v/>
      </c>
      <c r="Y35">
        <f>HYPERLINK("https://klasma.github.io/Logging_2481/klagomål/A 56000-2024 FSC-klagomål.docx", "A 56000-2024")</f>
        <v/>
      </c>
      <c r="Z35">
        <f>HYPERLINK("https://klasma.github.io/Logging_2481/klagomålsmail/A 56000-2024 FSC-klagomål mail.docx", "A 56000-2024")</f>
        <v/>
      </c>
      <c r="AA35">
        <f>HYPERLINK("https://klasma.github.io/Logging_2481/tillsyn/A 56000-2024 tillsynsbegäran.docx", "A 56000-2024")</f>
        <v/>
      </c>
      <c r="AB35">
        <f>HYPERLINK("https://klasma.github.io/Logging_2481/tillsynsmail/A 56000-2024 tillsynsbegäran mail.docx", "A 56000-2024")</f>
        <v/>
      </c>
      <c r="AC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46217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s="2" t="inlineStr">
        <is>
          <t>Lavskrika
Rödvingetrast
Talltita
Bergfink
Orre</t>
        </is>
      </c>
      <c r="V36">
        <f>HYPERLINK("https://klasma.github.io/Logging_2481/artfynd/A 31698-2023 artfynd.xlsx", "A 31698-2023")</f>
        <v/>
      </c>
      <c r="W36">
        <f>HYPERLINK("https://klasma.github.io/Logging_2481/kartor/A 31698-2023 karta.png", "A 31698-2023")</f>
        <v/>
      </c>
      <c r="Y36">
        <f>HYPERLINK("https://klasma.github.io/Logging_2481/klagomål/A 31698-2023 FSC-klagomål.docx", "A 31698-2023")</f>
        <v/>
      </c>
      <c r="Z36">
        <f>HYPERLINK("https://klasma.github.io/Logging_2481/klagomålsmail/A 31698-2023 FSC-klagomål mail.docx", "A 31698-2023")</f>
        <v/>
      </c>
      <c r="AA36">
        <f>HYPERLINK("https://klasma.github.io/Logging_2481/tillsyn/A 31698-2023 tillsynsbegäran.docx", "A 31698-2023")</f>
        <v/>
      </c>
      <c r="AB36">
        <f>HYPERLINK("https://klasma.github.io/Logging_2481/tillsynsmail/A 31698-2023 tillsynsbegäran mail.docx", "A 31698-2023")</f>
        <v/>
      </c>
      <c r="AC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46217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s="2" t="inlineStr">
        <is>
          <t>Garnlav
Blå taggsvamp
Gammelgransskål
Orange taggsvamp
Skarp dropptaggsvamp</t>
        </is>
      </c>
      <c r="V37">
        <f>HYPERLINK("https://klasma.github.io/Logging_2481/artfynd/A 10345-2023 artfynd.xlsx", "A 10345-2023")</f>
        <v/>
      </c>
      <c r="W37">
        <f>HYPERLINK("https://klasma.github.io/Logging_2481/kartor/A 10345-2023 karta.png", "A 10345-2023")</f>
        <v/>
      </c>
      <c r="Y37">
        <f>HYPERLINK("https://klasma.github.io/Logging_2481/klagomål/A 10345-2023 FSC-klagomål.docx", "A 10345-2023")</f>
        <v/>
      </c>
      <c r="Z37">
        <f>HYPERLINK("https://klasma.github.io/Logging_2481/klagomålsmail/A 10345-2023 FSC-klagomål mail.docx", "A 10345-2023")</f>
        <v/>
      </c>
      <c r="AA37">
        <f>HYPERLINK("https://klasma.github.io/Logging_2481/tillsyn/A 10345-2023 tillsynsbegäran.docx", "A 10345-2023")</f>
        <v/>
      </c>
      <c r="AB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46217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s="2" t="inlineStr">
        <is>
          <t>Garnlav
Lavskrika
Ullticka
Spillkråka
Revlummer</t>
        </is>
      </c>
      <c r="V38">
        <f>HYPERLINK("https://klasma.github.io/Logging_2481/artfynd/A 33589-2024 artfynd.xlsx", "A 33589-2024")</f>
        <v/>
      </c>
      <c r="W38">
        <f>HYPERLINK("https://klasma.github.io/Logging_2481/kartor/A 33589-2024 karta.png", "A 33589-2024")</f>
        <v/>
      </c>
      <c r="Y38">
        <f>HYPERLINK("https://klasma.github.io/Logging_2481/klagomål/A 33589-2024 FSC-klagomål.docx", "A 33589-2024")</f>
        <v/>
      </c>
      <c r="Z38">
        <f>HYPERLINK("https://klasma.github.io/Logging_2481/klagomålsmail/A 33589-2024 FSC-klagomål mail.docx", "A 33589-2024")</f>
        <v/>
      </c>
      <c r="AA38">
        <f>HYPERLINK("https://klasma.github.io/Logging_2481/tillsyn/A 33589-2024 tillsynsbegäran.docx", "A 33589-2024")</f>
        <v/>
      </c>
      <c r="AB38">
        <f>HYPERLINK("https://klasma.github.io/Logging_2481/tillsynsmail/A 33589-2024 tillsynsbegäran mail.docx", "A 33589-2024")</f>
        <v/>
      </c>
      <c r="AC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46217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46217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46217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s="2" t="inlineStr">
        <is>
          <t>Garnlav
Lunglav
Skrovellav
Stuplav</t>
        </is>
      </c>
      <c r="V41">
        <f>HYPERLINK("https://klasma.github.io/Logging_2481/artfynd/A 19492-2025 artfynd.xlsx", "A 19492-2025")</f>
        <v/>
      </c>
      <c r="W41">
        <f>HYPERLINK("https://klasma.github.io/Logging_2481/kartor/A 19492-2025 karta.png", "A 19492-2025")</f>
        <v/>
      </c>
      <c r="Y41">
        <f>HYPERLINK("https://klasma.github.io/Logging_2481/klagomål/A 19492-2025 FSC-klagomål.docx", "A 19492-2025")</f>
        <v/>
      </c>
      <c r="Z41">
        <f>HYPERLINK("https://klasma.github.io/Logging_2481/klagomålsmail/A 19492-2025 FSC-klagomål mail.docx", "A 19492-2025")</f>
        <v/>
      </c>
      <c r="AA41">
        <f>HYPERLINK("https://klasma.github.io/Logging_2481/tillsyn/A 19492-2025 tillsynsbegäran.docx", "A 19492-2025")</f>
        <v/>
      </c>
      <c r="AB41">
        <f>HYPERLINK("https://klasma.github.io/Logging_2481/tillsynsmail/A 19492-2025 tillsynsbegäran mail.docx", "A 19492-2025")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46217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s="2" t="inlineStr">
        <is>
          <t>Blå taggsvamp
Kolflarnlav
Lunglav
Motaggsvamp</t>
        </is>
      </c>
      <c r="V42">
        <f>HYPERLINK("https://klasma.github.io/Logging_2481/artfynd/A 53094-2024 artfynd.xlsx", "A 53094-2024")</f>
        <v/>
      </c>
      <c r="W42">
        <f>HYPERLINK("https://klasma.github.io/Logging_2481/kartor/A 53094-2024 karta.png", "A 53094-2024")</f>
        <v/>
      </c>
      <c r="Y42">
        <f>HYPERLINK("https://klasma.github.io/Logging_2481/klagomål/A 53094-2024 FSC-klagomål.docx", "A 53094-2024")</f>
        <v/>
      </c>
      <c r="Z42">
        <f>HYPERLINK("https://klasma.github.io/Logging_2481/klagomålsmail/A 53094-2024 FSC-klagomål mail.docx", "A 53094-2024")</f>
        <v/>
      </c>
      <c r="AA42">
        <f>HYPERLINK("https://klasma.github.io/Logging_2481/tillsyn/A 53094-2024 tillsynsbegäran.docx", "A 53094-2024")</f>
        <v/>
      </c>
      <c r="AB42">
        <f>HYPERLINK("https://klasma.github.io/Logging_2481/tillsynsmail/A 53094-2024 tillsynsbegäran mail.docx", "A 53094-2024")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46217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Garnlav
Dropptaggsvamp
Kolflarnlav
Plattlummer</t>
        </is>
      </c>
      <c r="V43">
        <f>HYPERLINK("https://klasma.github.io/Logging_2481/artfynd/A 43680-2025 artfynd.xlsx", "A 43680-2025")</f>
        <v/>
      </c>
      <c r="W43">
        <f>HYPERLINK("https://klasma.github.io/Logging_2481/kartor/A 43680-2025 karta.png", "A 43680-2025")</f>
        <v/>
      </c>
      <c r="Y43">
        <f>HYPERLINK("https://klasma.github.io/Logging_2481/klagomål/A 43680-2025 FSC-klagomål.docx", "A 43680-2025")</f>
        <v/>
      </c>
      <c r="Z43">
        <f>HYPERLINK("https://klasma.github.io/Logging_2481/klagomålsmail/A 43680-2025 FSC-klagomål mail.docx", "A 43680-2025")</f>
        <v/>
      </c>
      <c r="AA43">
        <f>HYPERLINK("https://klasma.github.io/Logging_2481/tillsyn/A 43680-2025 tillsynsbegäran.docx", "A 43680-2025")</f>
        <v/>
      </c>
      <c r="AB43">
        <f>HYPERLINK("https://klasma.github.io/Logging_2481/tillsynsmail/A 43680-2025 tillsynsbegäran mail.docx", "A 43680-2025")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46217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s="2" t="inlineStr">
        <is>
          <t>Garnlav
Spindelblomster
Fläcknycklar
Revlummer</t>
        </is>
      </c>
      <c r="V44">
        <f>HYPERLINK("https://klasma.github.io/Logging_2481/artfynd/A 58534-2024 artfynd.xlsx", "A 58534-2024")</f>
        <v/>
      </c>
      <c r="W44">
        <f>HYPERLINK("https://klasma.github.io/Logging_2481/kartor/A 58534-2024 karta.png", "A 58534-2024")</f>
        <v/>
      </c>
      <c r="Y44">
        <f>HYPERLINK("https://klasma.github.io/Logging_2481/klagomål/A 58534-2024 FSC-klagomål.docx", "A 58534-2024")</f>
        <v/>
      </c>
      <c r="Z44">
        <f>HYPERLINK("https://klasma.github.io/Logging_2481/klagomålsmail/A 58534-2024 FSC-klagomål mail.docx", "A 58534-2024")</f>
        <v/>
      </c>
      <c r="AA44">
        <f>HYPERLINK("https://klasma.github.io/Logging_2481/tillsyn/A 58534-2024 tillsynsbegäran.docx", "A 58534-2024")</f>
        <v/>
      </c>
      <c r="AB44">
        <f>HYPERLINK("https://klasma.github.io/Logging_2481/tillsynsmail/A 58534-2024 tillsynsbegäran mail.docx", "A 58534-2024")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46217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s="2" t="inlineStr">
        <is>
          <t>Doftticka
Doftskinn
Lunglav
Stiftgelélav</t>
        </is>
      </c>
      <c r="V45">
        <f>HYPERLINK("https://klasma.github.io/Logging_2481/artfynd/A 55509-2025 artfynd.xlsx", "A 55509-2025")</f>
        <v/>
      </c>
      <c r="W45">
        <f>HYPERLINK("https://klasma.github.io/Logging_2481/kartor/A 55509-2025 karta.png", "A 55509-2025")</f>
        <v/>
      </c>
      <c r="Y45">
        <f>HYPERLINK("https://klasma.github.io/Logging_2481/klagomål/A 55509-2025 FSC-klagomål.docx", "A 55509-2025")</f>
        <v/>
      </c>
      <c r="Z45">
        <f>HYPERLINK("https://klasma.github.io/Logging_2481/klagomålsmail/A 55509-2025 FSC-klagomål mail.docx", "A 55509-2025")</f>
        <v/>
      </c>
      <c r="AA45">
        <f>HYPERLINK("https://klasma.github.io/Logging_2481/tillsyn/A 55509-2025 tillsynsbegäran.docx", "A 55509-2025")</f>
        <v/>
      </c>
      <c r="AB45">
        <f>HYPERLINK("https://klasma.github.io/Logging_2481/tillsynsmail/A 55509-2025 tillsynsbegäran mail.docx", "A 55509-2025")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46217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s="2" t="inlineStr">
        <is>
          <t>Garnlav
Gammelgransskål
Tretåig hackspett
Spindelblomster</t>
        </is>
      </c>
      <c r="V46">
        <f>HYPERLINK("https://klasma.github.io/Logging_2481/artfynd/A 73357-2021 artfynd.xlsx", "A 73357-2021")</f>
        <v/>
      </c>
      <c r="W46">
        <f>HYPERLINK("https://klasma.github.io/Logging_2481/kartor/A 73357-2021 karta.png", "A 73357-2021")</f>
        <v/>
      </c>
      <c r="Y46">
        <f>HYPERLINK("https://klasma.github.io/Logging_2481/klagomål/A 73357-2021 FSC-klagomål.docx", "A 73357-2021")</f>
        <v/>
      </c>
      <c r="Z46">
        <f>HYPERLINK("https://klasma.github.io/Logging_2481/klagomålsmail/A 73357-2021 FSC-klagomål mail.docx", "A 73357-2021")</f>
        <v/>
      </c>
      <c r="AA46">
        <f>HYPERLINK("https://klasma.github.io/Logging_2481/tillsyn/A 73357-2021 tillsynsbegäran.docx", "A 73357-2021")</f>
        <v/>
      </c>
      <c r="AB46">
        <f>HYPERLINK("https://klasma.github.io/Logging_2481/tillsynsmail/A 73357-2021 tillsynsbegäran mail.docx", "A 73357-2021")</f>
        <v/>
      </c>
      <c r="AC46">
        <f>HYPERLINK("https://klasma.github.io/Logging_2481/fåglar/A 73357-2021 prioriterade fågelarter.docx", "A 73357-2021")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46217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s="2" t="inlineStr">
        <is>
          <t>Kolflarnlav
Lunglav
Skrovellav
Vedflamlav</t>
        </is>
      </c>
      <c r="V47">
        <f>HYPERLINK("https://klasma.github.io/Logging_2481/artfynd/A 30083-2026 artfynd.xlsx", "A 30083-2026")</f>
        <v/>
      </c>
      <c r="W47">
        <f>HYPERLINK("https://klasma.github.io/Logging_2481/kartor/A 30083-2026 karta.png", "A 30083-2026")</f>
        <v/>
      </c>
      <c r="Y47">
        <f>HYPERLINK("https://klasma.github.io/Logging_2481/klagomål/A 30083-2026 FSC-klagomål.docx", "A 30083-2026")</f>
        <v/>
      </c>
      <c r="Z47">
        <f>HYPERLINK("https://klasma.github.io/Logging_2481/klagomålsmail/A 30083-2026 FSC-klagomål mail.docx", "A 30083-2026")</f>
        <v/>
      </c>
      <c r="AA47">
        <f>HYPERLINK("https://klasma.github.io/Logging_2481/tillsyn/A 30083-2026 tillsynsbegäran.docx", "A 30083-2026")</f>
        <v/>
      </c>
      <c r="AB47">
        <f>HYPERLINK("https://klasma.github.io/Logging_2481/tillsynsmail/A 30083-2026 tillsynsbegäran mail.docx", "A 30083-2026")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46217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Blå taggsvamp
Dropptaggsvamp
Kolflarnlav
Motaggsvamp</t>
        </is>
      </c>
      <c r="V48">
        <f>HYPERLINK("https://klasma.github.io/Logging_2481/artfynd/A 27068-2025 artfynd.xlsx", "A 27068-2025")</f>
        <v/>
      </c>
      <c r="W48">
        <f>HYPERLINK("https://klasma.github.io/Logging_2481/kartor/A 27068-2025 karta.png", "A 27068-2025")</f>
        <v/>
      </c>
      <c r="Y48">
        <f>HYPERLINK("https://klasma.github.io/Logging_2481/klagomål/A 27068-2025 FSC-klagomål.docx", "A 27068-2025")</f>
        <v/>
      </c>
      <c r="Z48">
        <f>HYPERLINK("https://klasma.github.io/Logging_2481/klagomålsmail/A 27068-2025 FSC-klagomål mail.docx", "A 27068-2025")</f>
        <v/>
      </c>
      <c r="AA48">
        <f>HYPERLINK("https://klasma.github.io/Logging_2481/tillsyn/A 27068-2025 tillsynsbegäran.docx", "A 27068-2025")</f>
        <v/>
      </c>
      <c r="AB48">
        <f>HYPERLINK("https://klasma.github.io/Logging_2481/tillsynsmail/A 27068-2025 tillsynsbegäran mail.docx", "A 27068-2025")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46217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s="2" t="inlineStr">
        <is>
          <t>Dropptaggsvamp
Fjällig taggsvamp s.str.
Vaddporing</t>
        </is>
      </c>
      <c r="V49">
        <f>HYPERLINK("https://klasma.github.io/Logging_2481/artfynd/A 61747-2021 artfynd.xlsx", "A 61747-2021")</f>
        <v/>
      </c>
      <c r="W49">
        <f>HYPERLINK("https://klasma.github.io/Logging_2481/kartor/A 61747-2021 karta.png", "A 61747-2021")</f>
        <v/>
      </c>
      <c r="Y49">
        <f>HYPERLINK("https://klasma.github.io/Logging_2481/klagomål/A 61747-2021 FSC-klagomål.docx", "A 61747-2021")</f>
        <v/>
      </c>
      <c r="Z49">
        <f>HYPERLINK("https://klasma.github.io/Logging_2481/klagomålsmail/A 61747-2021 FSC-klagomål mail.docx", "A 61747-2021")</f>
        <v/>
      </c>
      <c r="AA49">
        <f>HYPERLINK("https://klasma.github.io/Logging_2481/tillsyn/A 61747-2021 tillsynsbegäran.docx", "A 61747-2021")</f>
        <v/>
      </c>
      <c r="AB49">
        <f>HYPERLINK("https://klasma.github.io/Logging_2481/tillsynsmail/A 61747-2021 tillsynsbegäran mail.docx", "A 61747-2021")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46217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s="2" t="inlineStr">
        <is>
          <t>Blanksvart spiklav
Tretåig hackspett
Vedflamlav</t>
        </is>
      </c>
      <c r="V50">
        <f>HYPERLINK("https://klasma.github.io/Logging_2481/artfynd/A 70179-2021 artfynd.xlsx", "A 70179-2021")</f>
        <v/>
      </c>
      <c r="W50">
        <f>HYPERLINK("https://klasma.github.io/Logging_2481/kartor/A 70179-2021 karta.png", "A 70179-2021")</f>
        <v/>
      </c>
      <c r="Y50">
        <f>HYPERLINK("https://klasma.github.io/Logging_2481/klagomål/A 70179-2021 FSC-klagomål.docx", "A 70179-2021")</f>
        <v/>
      </c>
      <c r="Z50">
        <f>HYPERLINK("https://klasma.github.io/Logging_2481/klagomålsmail/A 70179-2021 FSC-klagomål mail.docx", "A 70179-2021")</f>
        <v/>
      </c>
      <c r="AA50">
        <f>HYPERLINK("https://klasma.github.io/Logging_2481/tillsyn/A 70179-2021 tillsynsbegäran.docx", "A 70179-2021")</f>
        <v/>
      </c>
      <c r="AB50">
        <f>HYPERLINK("https://klasma.github.io/Logging_2481/tillsynsmail/A 70179-2021 tillsynsbegäran mail.docx", "A 70179-2021")</f>
        <v/>
      </c>
      <c r="AC50">
        <f>HYPERLINK("https://klasma.github.io/Logging_2481/fåglar/A 70179-2021 prioriterade fågelarter.docx", "A 70179-2021")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46217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46217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46217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s="2" t="inlineStr">
        <is>
          <t>Doftticka
Blå taggsvamp
Dropptaggsvamp</t>
        </is>
      </c>
      <c r="V53">
        <f>HYPERLINK("https://klasma.github.io/Logging_2481/artfynd/A 54802-2024 artfynd.xlsx", "A 54802-2024")</f>
        <v/>
      </c>
      <c r="W53">
        <f>HYPERLINK("https://klasma.github.io/Logging_2481/kartor/A 54802-2024 karta.png", "A 54802-2024")</f>
        <v/>
      </c>
      <c r="Y53">
        <f>HYPERLINK("https://klasma.github.io/Logging_2481/klagomål/A 54802-2024 FSC-klagomål.docx", "A 54802-2024")</f>
        <v/>
      </c>
      <c r="Z53">
        <f>HYPERLINK("https://klasma.github.io/Logging_2481/klagomålsmail/A 54802-2024 FSC-klagomål mail.docx", "A 54802-2024")</f>
        <v/>
      </c>
      <c r="AA53">
        <f>HYPERLINK("https://klasma.github.io/Logging_2481/tillsyn/A 54802-2024 tillsynsbegäran.docx", "A 54802-2024")</f>
        <v/>
      </c>
      <c r="AB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46217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s="2" t="inlineStr">
        <is>
          <t>Garnlav
Blanksvart spiklav
Vedflamlav</t>
        </is>
      </c>
      <c r="V54">
        <f>HYPERLINK("https://klasma.github.io/Logging_2481/artfynd/A 58624-2022 artfynd.xlsx", "A 58624-2022")</f>
        <v/>
      </c>
      <c r="W54">
        <f>HYPERLINK("https://klasma.github.io/Logging_2481/kartor/A 58624-2022 karta.png", "A 58624-2022")</f>
        <v/>
      </c>
      <c r="Y54">
        <f>HYPERLINK("https://klasma.github.io/Logging_2481/klagomål/A 58624-2022 FSC-klagomål.docx", "A 58624-2022")</f>
        <v/>
      </c>
      <c r="Z54">
        <f>HYPERLINK("https://klasma.github.io/Logging_2481/klagomålsmail/A 58624-2022 FSC-klagomål mail.docx", "A 58624-2022")</f>
        <v/>
      </c>
      <c r="AA54">
        <f>HYPERLINK("https://klasma.github.io/Logging_2481/tillsyn/A 58624-2022 tillsynsbegäran.docx", "A 58624-2022")</f>
        <v/>
      </c>
      <c r="AB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46217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s="2" t="inlineStr">
        <is>
          <t>Dropptaggsvamp
Kolflarnlav
Motaggsvamp</t>
        </is>
      </c>
      <c r="V55">
        <f>HYPERLINK("https://klasma.github.io/Logging_2481/artfynd/A 60422-2024 artfynd.xlsx", "A 60422-2024")</f>
        <v/>
      </c>
      <c r="W55">
        <f>HYPERLINK("https://klasma.github.io/Logging_2481/kartor/A 60422-2024 karta.png", "A 60422-2024")</f>
        <v/>
      </c>
      <c r="Y55">
        <f>HYPERLINK("https://klasma.github.io/Logging_2481/klagomål/A 60422-2024 FSC-klagomål.docx", "A 60422-2024")</f>
        <v/>
      </c>
      <c r="Z55">
        <f>HYPERLINK("https://klasma.github.io/Logging_2481/klagomålsmail/A 60422-2024 FSC-klagomål mail.docx", "A 60422-2024")</f>
        <v/>
      </c>
      <c r="AA55">
        <f>HYPERLINK("https://klasma.github.io/Logging_2481/tillsyn/A 60422-2024 tillsynsbegäran.docx", "A 60422-2024")</f>
        <v/>
      </c>
      <c r="AB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46217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Doftticka
Lunglav
Stuplav</t>
        </is>
      </c>
      <c r="V56">
        <f>HYPERLINK("https://klasma.github.io/Logging_2481/artfynd/A 38916-2025 artfynd.xlsx", "A 38916-2025")</f>
        <v/>
      </c>
      <c r="W56">
        <f>HYPERLINK("https://klasma.github.io/Logging_2481/kartor/A 38916-2025 karta.png", "A 38916-2025")</f>
        <v/>
      </c>
      <c r="Y56">
        <f>HYPERLINK("https://klasma.github.io/Logging_2481/klagomål/A 38916-2025 FSC-klagomål.docx", "A 38916-2025")</f>
        <v/>
      </c>
      <c r="Z56">
        <f>HYPERLINK("https://klasma.github.io/Logging_2481/klagomålsmail/A 38916-2025 FSC-klagomål mail.docx", "A 38916-2025")</f>
        <v/>
      </c>
      <c r="AA56">
        <f>HYPERLINK("https://klasma.github.io/Logging_2481/tillsyn/A 38916-2025 tillsynsbegäran.docx", "A 38916-2025")</f>
        <v/>
      </c>
      <c r="AB56">
        <f>HYPERLINK("https://klasma.github.io/Logging_2481/tillsynsmail/A 38916-2025 tillsynsbegäran mail.docx", "A 38916-2025")</f>
        <v/>
      </c>
    </row>
    <row r="57" ht="15" customHeight="1">
      <c r="A57" t="inlineStr">
        <is>
          <t>A 53115-2024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45611</v>
      </c>
      <c r="E57" s="1" t="n">
        <v>46217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4.1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s="2" t="inlineStr">
        <is>
          <t>Blå taggsvamp
Kolflarnlav
Orange taggsvamp</t>
        </is>
      </c>
      <c r="V57">
        <f>HYPERLINK("https://klasma.github.io/Logging_2481/artfynd/A 53115-2024 artfynd.xlsx", "A 53115-2024")</f>
        <v/>
      </c>
      <c r="W57">
        <f>HYPERLINK("https://klasma.github.io/Logging_2481/kartor/A 53115-2024 karta.png", "A 53115-2024")</f>
        <v/>
      </c>
      <c r="Y57">
        <f>HYPERLINK("https://klasma.github.io/Logging_2481/klagomål/A 53115-2024 FSC-klagomål.docx", "A 53115-2024")</f>
        <v/>
      </c>
      <c r="Z57">
        <f>HYPERLINK("https://klasma.github.io/Logging_2481/klagomålsmail/A 53115-2024 FSC-klagomål mail.docx", "A 53115-2024")</f>
        <v/>
      </c>
      <c r="AA57">
        <f>HYPERLINK("https://klasma.github.io/Logging_2481/tillsyn/A 53115-2024 tillsynsbegäran.docx", "A 53115-2024")</f>
        <v/>
      </c>
      <c r="AB57">
        <f>HYPERLINK("https://klasma.github.io/Logging_2481/tillsynsmail/A 53115-2024 tillsynsbegäran mail.docx", "A 53115-2024")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46217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Doftticka
Kolflarnlav
Lunglav</t>
        </is>
      </c>
      <c r="V58">
        <f>HYPERLINK("https://klasma.github.io/Logging_2481/artfynd/A 43726-2025 artfynd.xlsx", "A 43726-2025")</f>
        <v/>
      </c>
      <c r="W58">
        <f>HYPERLINK("https://klasma.github.io/Logging_2481/kartor/A 43726-2025 karta.png", "A 43726-2025")</f>
        <v/>
      </c>
      <c r="Y58">
        <f>HYPERLINK("https://klasma.github.io/Logging_2481/klagomål/A 43726-2025 FSC-klagomål.docx", "A 43726-2025")</f>
        <v/>
      </c>
      <c r="Z58">
        <f>HYPERLINK("https://klasma.github.io/Logging_2481/klagomålsmail/A 43726-2025 FSC-klagomål mail.docx", "A 43726-2025")</f>
        <v/>
      </c>
      <c r="AA58">
        <f>HYPERLINK("https://klasma.github.io/Logging_2481/tillsyn/A 43726-2025 tillsynsbegäran.docx", "A 43726-2025")</f>
        <v/>
      </c>
      <c r="AB58">
        <f>HYPERLINK("https://klasma.github.io/Logging_2481/tillsynsmail/A 43726-2025 tillsynsbegäran mail.docx", "A 43726-2025")</f>
        <v/>
      </c>
    </row>
    <row r="59" ht="15" customHeight="1">
      <c r="A59" t="inlineStr">
        <is>
          <t>A 6684-2023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44963</v>
      </c>
      <c r="E59" s="1" t="n">
        <v>46217</v>
      </c>
      <c r="F59" t="inlineStr">
        <is>
          <t>VÄSTERBOTTENS LÄN</t>
        </is>
      </c>
      <c r="G59" t="inlineStr">
        <is>
          <t>LYCKSELE</t>
        </is>
      </c>
      <c r="I59" t="n">
        <v>2.7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s="2" t="inlineStr">
        <is>
          <t>Garnlav
Lunglav
Stuplav</t>
        </is>
      </c>
      <c r="V59">
        <f>HYPERLINK("https://klasma.github.io/Logging_2481/artfynd/A 6684-2023 artfynd.xlsx", "A 6684-2023")</f>
        <v/>
      </c>
      <c r="W59">
        <f>HYPERLINK("https://klasma.github.io/Logging_2481/kartor/A 6684-2023 karta.png", "A 6684-2023")</f>
        <v/>
      </c>
      <c r="Y59">
        <f>HYPERLINK("https://klasma.github.io/Logging_2481/klagomål/A 6684-2023 FSC-klagomål.docx", "A 6684-2023")</f>
        <v/>
      </c>
      <c r="Z59">
        <f>HYPERLINK("https://klasma.github.io/Logging_2481/klagomålsmail/A 6684-2023 FSC-klagomål mail.docx", "A 6684-2023")</f>
        <v/>
      </c>
      <c r="AA59">
        <f>HYPERLINK("https://klasma.github.io/Logging_2481/tillsyn/A 6684-2023 tillsynsbegäran.docx", "A 6684-2023")</f>
        <v/>
      </c>
      <c r="AB59">
        <f>HYPERLINK("https://klasma.github.io/Logging_2481/tillsynsmail/A 6684-2023 tillsynsbegäran mail.docx", "A 6684-2023")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46217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Garnlav
Strutbräken
Stuplav</t>
        </is>
      </c>
      <c r="V60">
        <f>HYPERLINK("https://klasma.github.io/Logging_2481/artfynd/A 57179-2025 artfynd.xlsx", "A 57179-2025")</f>
        <v/>
      </c>
      <c r="W60">
        <f>HYPERLINK("https://klasma.github.io/Logging_2481/kartor/A 57179-2025 karta.png", "A 57179-2025")</f>
        <v/>
      </c>
      <c r="Y60">
        <f>HYPERLINK("https://klasma.github.io/Logging_2481/klagomål/A 57179-2025 FSC-klagomål.docx", "A 57179-2025")</f>
        <v/>
      </c>
      <c r="Z60">
        <f>HYPERLINK("https://klasma.github.io/Logging_2481/klagomålsmail/A 57179-2025 FSC-klagomål mail.docx", "A 57179-2025")</f>
        <v/>
      </c>
      <c r="AA60">
        <f>HYPERLINK("https://klasma.github.io/Logging_2481/tillsyn/A 57179-2025 tillsynsbegäran.docx", "A 57179-2025")</f>
        <v/>
      </c>
      <c r="AB60">
        <f>HYPERLINK("https://klasma.github.io/Logging_2481/tillsynsmail/A 57179-2025 tillsynsbegäran mail.docx", "A 57179-2025")</f>
        <v/>
      </c>
    </row>
    <row r="61" ht="15" customHeight="1">
      <c r="A61" t="inlineStr">
        <is>
          <t>A 26500-2026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46183</v>
      </c>
      <c r="E61" s="1" t="n">
        <v>46217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7.3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Gammelgransskål
Lunglav
Tjäder</t>
        </is>
      </c>
      <c r="V61">
        <f>HYPERLINK("https://klasma.github.io/Logging_2481/artfynd/A 26500-2026 artfynd.xlsx", "A 26500-2026")</f>
        <v/>
      </c>
      <c r="W61">
        <f>HYPERLINK("https://klasma.github.io/Logging_2481/kartor/A 26500-2026 karta.png", "A 26500-2026")</f>
        <v/>
      </c>
      <c r="Y61">
        <f>HYPERLINK("https://klasma.github.io/Logging_2481/klagomål/A 26500-2026 FSC-klagomål.docx", "A 26500-2026")</f>
        <v/>
      </c>
      <c r="Z61">
        <f>HYPERLINK("https://klasma.github.io/Logging_2481/klagomålsmail/A 26500-2026 FSC-klagomål mail.docx", "A 26500-2026")</f>
        <v/>
      </c>
      <c r="AA61">
        <f>HYPERLINK("https://klasma.github.io/Logging_2481/tillsyn/A 26500-2026 tillsynsbegäran.docx", "A 26500-2026")</f>
        <v/>
      </c>
      <c r="AB61">
        <f>HYPERLINK("https://klasma.github.io/Logging_2481/tillsynsmail/A 26500-2026 tillsynsbegäran mail.docx", "A 26500-2026")</f>
        <v/>
      </c>
      <c r="AC61">
        <f>HYPERLINK("https://klasma.github.io/Logging_2481/fåglar/A 26500-2026 prioriterade fågelarter.docx", "A 26500-2026")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46217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s="2" t="inlineStr">
        <is>
          <t>Blå taggsvamp
Kolflarnlav
Lunglav</t>
        </is>
      </c>
      <c r="V62">
        <f>HYPERLINK("https://klasma.github.io/Logging_2481/artfynd/A 21905-2026 artfynd.xlsx", "A 21905-2026")</f>
        <v/>
      </c>
      <c r="W62">
        <f>HYPERLINK("https://klasma.github.io/Logging_2481/kartor/A 21905-2026 karta.png", "A 21905-2026")</f>
        <v/>
      </c>
      <c r="Y62">
        <f>HYPERLINK("https://klasma.github.io/Logging_2481/klagomål/A 21905-2026 FSC-klagomål.docx", "A 21905-2026")</f>
        <v/>
      </c>
      <c r="Z62">
        <f>HYPERLINK("https://klasma.github.io/Logging_2481/klagomålsmail/A 21905-2026 FSC-klagomål mail.docx", "A 21905-2026")</f>
        <v/>
      </c>
      <c r="AA62">
        <f>HYPERLINK("https://klasma.github.io/Logging_2481/tillsyn/A 21905-2026 tillsynsbegäran.docx", "A 21905-2026")</f>
        <v/>
      </c>
      <c r="AB62">
        <f>HYPERLINK("https://klasma.github.io/Logging_2481/tillsynsmail/A 21905-2026 tillsynsbegäran mail.docx", "A 21905-2026")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46217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s="2" t="inlineStr">
        <is>
          <t>Vedflamlav
Brandticka
Gullgröppa</t>
        </is>
      </c>
      <c r="V63">
        <f>HYPERLINK("https://klasma.github.io/Logging_2481/artfynd/A 53808-2023 artfynd.xlsx", "A 53808-2023")</f>
        <v/>
      </c>
      <c r="W63">
        <f>HYPERLINK("https://klasma.github.io/Logging_2481/kartor/A 53808-2023 karta.png", "A 53808-2023")</f>
        <v/>
      </c>
      <c r="Y63">
        <f>HYPERLINK("https://klasma.github.io/Logging_2481/klagomål/A 53808-2023 FSC-klagomål.docx", "A 53808-2023")</f>
        <v/>
      </c>
      <c r="Z63">
        <f>HYPERLINK("https://klasma.github.io/Logging_2481/klagomålsmail/A 53808-2023 FSC-klagomål mail.docx", "A 53808-2023")</f>
        <v/>
      </c>
      <c r="AA63">
        <f>HYPERLINK("https://klasma.github.io/Logging_2481/tillsyn/A 53808-2023 tillsynsbegäran.docx", "A 53808-2023")</f>
        <v/>
      </c>
      <c r="AB63">
        <f>HYPERLINK("https://klasma.github.io/Logging_2481/tillsynsmail/A 53808-2023 tillsynsbegäran mail.docx", "A 53808-2023")</f>
        <v/>
      </c>
    </row>
    <row r="64" ht="15" customHeight="1">
      <c r="A64" t="inlineStr">
        <is>
          <t>A 52891-2024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46217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5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7</v>
      </c>
      <c r="U64" s="2" t="inlineStr">
        <is>
          <t>Garnlav
Lunglav
Bårdlav</t>
        </is>
      </c>
      <c r="V64">
        <f>HYPERLINK("https://klasma.github.io/Logging_2481/artfynd/A 52891-2024 artfynd.xlsx", "A 52891-2024")</f>
        <v/>
      </c>
      <c r="W64">
        <f>HYPERLINK("https://klasma.github.io/Logging_2481/kartor/A 52891-2024 karta.png", "A 52891-2024")</f>
        <v/>
      </c>
      <c r="Y64">
        <f>HYPERLINK("https://klasma.github.io/Logging_2481/klagomål/A 52891-2024 FSC-klagomål.docx", "A 52891-2024")</f>
        <v/>
      </c>
      <c r="Z64">
        <f>HYPERLINK("https://klasma.github.io/Logging_2481/klagomålsmail/A 52891-2024 FSC-klagomål mail.docx", "A 52891-2024")</f>
        <v/>
      </c>
      <c r="AA64">
        <f>HYPERLINK("https://klasma.github.io/Logging_2481/tillsyn/A 52891-2024 tillsynsbegäran.docx", "A 52891-2024")</f>
        <v/>
      </c>
      <c r="AB64">
        <f>HYPERLINK("https://klasma.github.io/Logging_2481/tillsynsmail/A 52891-2024 tillsynsbegäran mail.docx", "A 52891-2024")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46217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s="2" t="inlineStr">
        <is>
          <t>Gammelgransskål
Tretåig hackspett
Vitgrynig nållav</t>
        </is>
      </c>
      <c r="V65">
        <f>HYPERLINK("https://klasma.github.io/Logging_2481/artfynd/A 55046-2024 artfynd.xlsx", "A 55046-2024")</f>
        <v/>
      </c>
      <c r="W65">
        <f>HYPERLINK("https://klasma.github.io/Logging_2481/kartor/A 55046-2024 karta.png", "A 55046-2024")</f>
        <v/>
      </c>
      <c r="Y65">
        <f>HYPERLINK("https://klasma.github.io/Logging_2481/klagomål/A 55046-2024 FSC-klagomål.docx", "A 55046-2024")</f>
        <v/>
      </c>
      <c r="Z65">
        <f>HYPERLINK("https://klasma.github.io/Logging_2481/klagomålsmail/A 55046-2024 FSC-klagomål mail.docx", "A 55046-2024")</f>
        <v/>
      </c>
      <c r="AA65">
        <f>HYPERLINK("https://klasma.github.io/Logging_2481/tillsyn/A 55046-2024 tillsynsbegäran.docx", "A 55046-2024")</f>
        <v/>
      </c>
      <c r="AB65">
        <f>HYPERLINK("https://klasma.github.io/Logging_2481/tillsynsmail/A 55046-2024 tillsynsbegäran mail.docx", "A 55046-2024")</f>
        <v/>
      </c>
      <c r="AC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46217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s="2" t="inlineStr">
        <is>
          <t>Knärot
Källmossa
Lopplummer (aggregat)</t>
        </is>
      </c>
      <c r="V66">
        <f>HYPERLINK("https://klasma.github.io/Logging_2481/artfynd/A 56566-2025 artfynd.xlsx", "A 56566-2025")</f>
        <v/>
      </c>
      <c r="W66">
        <f>HYPERLINK("https://klasma.github.io/Logging_2481/kartor/A 56566-2025 karta.png", "A 56566-2025")</f>
        <v/>
      </c>
      <c r="X66">
        <f>HYPERLINK("https://klasma.github.io/Logging_2481/knärot/A 56566-2025 karta knärot.png", "A 56566-2025")</f>
        <v/>
      </c>
      <c r="Y66">
        <f>HYPERLINK("https://klasma.github.io/Logging_2481/klagomål/A 56566-2025 FSC-klagomål.docx", "A 56566-2025")</f>
        <v/>
      </c>
      <c r="Z66">
        <f>HYPERLINK("https://klasma.github.io/Logging_2481/klagomålsmail/A 56566-2025 FSC-klagomål mail.docx", "A 56566-2025")</f>
        <v/>
      </c>
      <c r="AA66">
        <f>HYPERLINK("https://klasma.github.io/Logging_2481/tillsyn/A 56566-2025 tillsynsbegäran.docx", "A 56566-2025")</f>
        <v/>
      </c>
      <c r="AB66">
        <f>HYPERLINK("https://klasma.github.io/Logging_2481/tillsynsmail/A 56566-2025 tillsynsbegäran mail.docx", "A 56566-2025")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46217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s="2" t="inlineStr">
        <is>
          <t>Dropptaggsvamp
Kolflarnlav
Motaggsvamp</t>
        </is>
      </c>
      <c r="V67">
        <f>HYPERLINK("https://klasma.github.io/Logging_2481/artfynd/A 59276-2024 artfynd.xlsx", "A 59276-2024")</f>
        <v/>
      </c>
      <c r="W67">
        <f>HYPERLINK("https://klasma.github.io/Logging_2481/kartor/A 59276-2024 karta.png", "A 59276-2024")</f>
        <v/>
      </c>
      <c r="Y67">
        <f>HYPERLINK("https://klasma.github.io/Logging_2481/klagomål/A 59276-2024 FSC-klagomål.docx", "A 59276-2024")</f>
        <v/>
      </c>
      <c r="Z67">
        <f>HYPERLINK("https://klasma.github.io/Logging_2481/klagomålsmail/A 59276-2024 FSC-klagomål mail.docx", "A 59276-2024")</f>
        <v/>
      </c>
      <c r="AA67">
        <f>HYPERLINK("https://klasma.github.io/Logging_2481/tillsyn/A 59276-2024 tillsynsbegäran.docx", "A 59276-2024")</f>
        <v/>
      </c>
      <c r="AB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46217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s="2" t="inlineStr">
        <is>
          <t>Garnlav
Skrovellav
Luddlav</t>
        </is>
      </c>
      <c r="V68">
        <f>HYPERLINK("https://klasma.github.io/Logging_2481/artfynd/A 679-2024 artfynd.xlsx", "A 679-2024")</f>
        <v/>
      </c>
      <c r="W68">
        <f>HYPERLINK("https://klasma.github.io/Logging_2481/kartor/A 679-2024 karta.png", "A 679-2024")</f>
        <v/>
      </c>
      <c r="Y68">
        <f>HYPERLINK("https://klasma.github.io/Logging_2481/klagomål/A 679-2024 FSC-klagomål.docx", "A 679-2024")</f>
        <v/>
      </c>
      <c r="Z68">
        <f>HYPERLINK("https://klasma.github.io/Logging_2481/klagomålsmail/A 679-2024 FSC-klagomål mail.docx", "A 679-2024")</f>
        <v/>
      </c>
      <c r="AA68">
        <f>HYPERLINK("https://klasma.github.io/Logging_2481/tillsyn/A 679-2024 tillsynsbegäran.docx", "A 679-2024")</f>
        <v/>
      </c>
      <c r="AB68">
        <f>HYPERLINK("https://klasma.github.io/Logging_2481/tillsynsmail/A 679-2024 tillsynsbegäran mail.docx", "A 679-2024")</f>
        <v/>
      </c>
    </row>
    <row r="69" ht="15" customHeight="1">
      <c r="A69" t="inlineStr">
        <is>
          <t>A 57357-2024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46217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9.699999999999999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s="2" t="inlineStr">
        <is>
          <t>Garnlav
Doftskinn
Gammelgransskål</t>
        </is>
      </c>
      <c r="V69">
        <f>HYPERLINK("https://klasma.github.io/Logging_2481/artfynd/A 57357-2024 artfynd.xlsx", "A 57357-2024")</f>
        <v/>
      </c>
      <c r="W69">
        <f>HYPERLINK("https://klasma.github.io/Logging_2481/kartor/A 57357-2024 karta.png", "A 57357-2024")</f>
        <v/>
      </c>
      <c r="Y69">
        <f>HYPERLINK("https://klasma.github.io/Logging_2481/klagomål/A 57357-2024 FSC-klagomål.docx", "A 57357-2024")</f>
        <v/>
      </c>
      <c r="Z69">
        <f>HYPERLINK("https://klasma.github.io/Logging_2481/klagomålsmail/A 57357-2024 FSC-klagomål mail.docx", "A 57357-2024")</f>
        <v/>
      </c>
      <c r="AA69">
        <f>HYPERLINK("https://klasma.github.io/Logging_2481/tillsyn/A 57357-2024 tillsynsbegäran.docx", "A 57357-2024")</f>
        <v/>
      </c>
      <c r="AB69">
        <f>HYPERLINK("https://klasma.github.io/Logging_2481/tillsynsmail/A 57357-2024 tillsynsbegäran mail.docx", "A 57357-2024")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46217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s="2" t="inlineStr">
        <is>
          <t>Blå taggsvamp
Dropptaggsvamp
Kolflarnlav</t>
        </is>
      </c>
      <c r="V70">
        <f>HYPERLINK("https://klasma.github.io/Logging_2481/artfynd/A 22123-2025 artfynd.xlsx", "A 22123-2025")</f>
        <v/>
      </c>
      <c r="W70">
        <f>HYPERLINK("https://klasma.github.io/Logging_2481/kartor/A 22123-2025 karta.png", "A 22123-2025")</f>
        <v/>
      </c>
      <c r="Y70">
        <f>HYPERLINK("https://klasma.github.io/Logging_2481/klagomål/A 22123-2025 FSC-klagomål.docx", "A 22123-2025")</f>
        <v/>
      </c>
      <c r="Z70">
        <f>HYPERLINK("https://klasma.github.io/Logging_2481/klagomålsmail/A 22123-2025 FSC-klagomål mail.docx", "A 22123-2025")</f>
        <v/>
      </c>
      <c r="AA70">
        <f>HYPERLINK("https://klasma.github.io/Logging_2481/tillsyn/A 22123-2025 tillsynsbegäran.docx", "A 22123-2025")</f>
        <v/>
      </c>
      <c r="AB70">
        <f>HYPERLINK("https://klasma.github.io/Logging_2481/tillsynsmail/A 22123-2025 tillsynsbegäran mail.docx", "A 22123-2025")</f>
        <v/>
      </c>
    </row>
    <row r="71" ht="15" customHeight="1">
      <c r="A71" t="inlineStr">
        <is>
          <t>A 30608-2025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45831</v>
      </c>
      <c r="E71" s="1" t="n">
        <v>46217</v>
      </c>
      <c r="F71" t="inlineStr">
        <is>
          <t>VÄSTERBOTTENS LÄN</t>
        </is>
      </c>
      <c r="G71" t="inlineStr">
        <is>
          <t>LYCKSELE</t>
        </is>
      </c>
      <c r="H71" t="inlineStr">
        <is>
          <t>Holmen skog AB</t>
        </is>
      </c>
      <c r="I71" t="n">
        <v>3.2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4</v>
      </c>
      <c r="U71" s="2" t="inlineStr">
        <is>
          <t>Myrstarr
Lunglav
Fläcknycklar</t>
        </is>
      </c>
      <c r="V71">
        <f>HYPERLINK("https://klasma.github.io/Logging_2481/artfynd/A 30608-2025 artfynd.xlsx", "A 30608-2025")</f>
        <v/>
      </c>
      <c r="W71">
        <f>HYPERLINK("https://klasma.github.io/Logging_2481/kartor/A 30608-2025 karta.png", "A 30608-2025")</f>
        <v/>
      </c>
      <c r="Y71">
        <f>HYPERLINK("https://klasma.github.io/Logging_2481/klagomål/A 30608-2025 FSC-klagomål.docx", "A 30608-2025")</f>
        <v/>
      </c>
      <c r="Z71">
        <f>HYPERLINK("https://klasma.github.io/Logging_2481/klagomålsmail/A 30608-2025 FSC-klagomål mail.docx", "A 30608-2025")</f>
        <v/>
      </c>
      <c r="AA71">
        <f>HYPERLINK("https://klasma.github.io/Logging_2481/tillsyn/A 30608-2025 tillsynsbegäran.docx", "A 30608-2025")</f>
        <v/>
      </c>
      <c r="AB71">
        <f>HYPERLINK("https://klasma.github.io/Logging_2481/tillsynsmail/A 30608-2025 tillsynsbegäran mail.docx", "A 30608-2025")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46217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46217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46217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Blå taggsvamp
Orange taggsvamp</t>
        </is>
      </c>
      <c r="V74">
        <f>HYPERLINK("https://klasma.github.io/Logging_2481/artfynd/A 20111-2025 artfynd.xlsx", "A 20111-2025")</f>
        <v/>
      </c>
      <c r="W74">
        <f>HYPERLINK("https://klasma.github.io/Logging_2481/kartor/A 20111-2025 karta.png", "A 20111-2025")</f>
        <v/>
      </c>
      <c r="Y74">
        <f>HYPERLINK("https://klasma.github.io/Logging_2481/klagomål/A 20111-2025 FSC-klagomål.docx", "A 20111-2025")</f>
        <v/>
      </c>
      <c r="Z74">
        <f>HYPERLINK("https://klasma.github.io/Logging_2481/klagomålsmail/A 20111-2025 FSC-klagomål mail.docx", "A 20111-2025")</f>
        <v/>
      </c>
      <c r="AA74">
        <f>HYPERLINK("https://klasma.github.io/Logging_2481/tillsyn/A 20111-2025 tillsynsbegäran.docx", "A 20111-2025")</f>
        <v/>
      </c>
      <c r="AB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46217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s="2" t="inlineStr">
        <is>
          <t>Lunglav
Tallticka</t>
        </is>
      </c>
      <c r="V75">
        <f>HYPERLINK("https://klasma.github.io/Logging_2481/artfynd/A 28515-2023 artfynd.xlsx", "A 28515-2023")</f>
        <v/>
      </c>
      <c r="W75">
        <f>HYPERLINK("https://klasma.github.io/Logging_2481/kartor/A 28515-2023 karta.png", "A 28515-2023")</f>
        <v/>
      </c>
      <c r="Y75">
        <f>HYPERLINK("https://klasma.github.io/Logging_2481/klagomål/A 28515-2023 FSC-klagomål.docx", "A 28515-2023")</f>
        <v/>
      </c>
      <c r="Z75">
        <f>HYPERLINK("https://klasma.github.io/Logging_2481/klagomålsmail/A 28515-2023 FSC-klagomål mail.docx", "A 28515-2023")</f>
        <v/>
      </c>
      <c r="AA75">
        <f>HYPERLINK("https://klasma.github.io/Logging_2481/tillsyn/A 28515-2023 tillsynsbegäran.docx", "A 28515-2023")</f>
        <v/>
      </c>
      <c r="AB75">
        <f>HYPERLINK("https://klasma.github.io/Logging_2481/tillsynsmail/A 28515-2023 tillsynsbegäran mail.docx", "A 28515-2023")</f>
        <v/>
      </c>
    </row>
    <row r="76" ht="15" customHeight="1">
      <c r="A76" t="inlineStr">
        <is>
          <t>A 2893-2023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46217</v>
      </c>
      <c r="F76" t="inlineStr">
        <is>
          <t>VÄSTERBOTTENS LÄN</t>
        </is>
      </c>
      <c r="G76" t="inlineStr">
        <is>
          <t>LYCKSELE</t>
        </is>
      </c>
      <c r="H76" t="inlineStr">
        <is>
          <t>Kyrkan</t>
        </is>
      </c>
      <c r="I76" t="n">
        <v>3.5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7</v>
      </c>
      <c r="U76" s="2" t="inlineStr">
        <is>
          <t>Garnlav
Dropptaggsvamp</t>
        </is>
      </c>
      <c r="V76">
        <f>HYPERLINK("https://klasma.github.io/Logging_2481/artfynd/A 2893-2023 artfynd.xlsx", "A 2893-2023")</f>
        <v/>
      </c>
      <c r="W76">
        <f>HYPERLINK("https://klasma.github.io/Logging_2481/kartor/A 2893-2023 karta.png", "A 2893-2023")</f>
        <v/>
      </c>
      <c r="Y76">
        <f>HYPERLINK("https://klasma.github.io/Logging_2481/klagomål/A 2893-2023 FSC-klagomål.docx", "A 2893-2023")</f>
        <v/>
      </c>
      <c r="Z76">
        <f>HYPERLINK("https://klasma.github.io/Logging_2481/klagomålsmail/A 2893-2023 FSC-klagomål mail.docx", "A 2893-2023")</f>
        <v/>
      </c>
      <c r="AA76">
        <f>HYPERLINK("https://klasma.github.io/Logging_2481/tillsyn/A 2893-2023 tillsynsbegäran.docx", "A 2893-2023")</f>
        <v/>
      </c>
      <c r="AB76">
        <f>HYPERLINK("https://klasma.github.io/Logging_2481/tillsynsmail/A 2893-2023 tillsynsbegäran mail.docx", "A 2893-2023")</f>
        <v/>
      </c>
    </row>
    <row r="77" ht="15" customHeight="1">
      <c r="A77" t="inlineStr">
        <is>
          <t>A 38475-2023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46217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Blå taggsvamp
Mörk kolflarnlav</t>
        </is>
      </c>
      <c r="V77">
        <f>HYPERLINK("https://klasma.github.io/Logging_2481/artfynd/A 38475-2023 artfynd.xlsx", "A 38475-2023")</f>
        <v/>
      </c>
      <c r="W77">
        <f>HYPERLINK("https://klasma.github.io/Logging_2481/kartor/A 38475-2023 karta.png", "A 38475-2023")</f>
        <v/>
      </c>
      <c r="Y77">
        <f>HYPERLINK("https://klasma.github.io/Logging_2481/klagomål/A 38475-2023 FSC-klagomål.docx", "A 38475-2023")</f>
        <v/>
      </c>
      <c r="Z77">
        <f>HYPERLINK("https://klasma.github.io/Logging_2481/klagomålsmail/A 38475-2023 FSC-klagomål mail.docx", "A 38475-2023")</f>
        <v/>
      </c>
      <c r="AA77">
        <f>HYPERLINK("https://klasma.github.io/Logging_2481/tillsyn/A 38475-2023 tillsynsbegäran.docx", "A 38475-2023")</f>
        <v/>
      </c>
      <c r="AB77">
        <f>HYPERLINK("https://klasma.github.io/Logging_2481/tillsynsmail/A 38475-2023 tillsynsbegäran mail.docx", "A 38475-2023")</f>
        <v/>
      </c>
    </row>
    <row r="78" ht="15" customHeight="1">
      <c r="A78" t="inlineStr">
        <is>
          <t>A 12760-2022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46217</v>
      </c>
      <c r="F78" t="inlineStr">
        <is>
          <t>VÄSTERBOTTENS LÄN</t>
        </is>
      </c>
      <c r="G78" t="inlineStr">
        <is>
          <t>LYCKSELE</t>
        </is>
      </c>
      <c r="I78" t="n">
        <v>11.6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s="2" t="inlineStr">
        <is>
          <t>Garnlav
Järpe</t>
        </is>
      </c>
      <c r="V78">
        <f>HYPERLINK("https://klasma.github.io/Logging_2481/artfynd/A 12760-2022 artfynd.xlsx", "A 12760-2022")</f>
        <v/>
      </c>
      <c r="W78">
        <f>HYPERLINK("https://klasma.github.io/Logging_2481/kartor/A 12760-2022 karta.png", "A 12760-2022")</f>
        <v/>
      </c>
      <c r="Y78">
        <f>HYPERLINK("https://klasma.github.io/Logging_2481/klagomål/A 12760-2022 FSC-klagomål.docx", "A 12760-2022")</f>
        <v/>
      </c>
      <c r="Z78">
        <f>HYPERLINK("https://klasma.github.io/Logging_2481/klagomålsmail/A 12760-2022 FSC-klagomål mail.docx", "A 12760-2022")</f>
        <v/>
      </c>
      <c r="AA78">
        <f>HYPERLINK("https://klasma.github.io/Logging_2481/tillsyn/A 12760-2022 tillsynsbegäran.docx", "A 12760-2022")</f>
        <v/>
      </c>
      <c r="AB78">
        <f>HYPERLINK("https://klasma.github.io/Logging_2481/tillsynsmail/A 12760-2022 tillsynsbegäran mail.docx", "A 12760-2022")</f>
        <v/>
      </c>
      <c r="AC78">
        <f>HYPERLINK("https://klasma.github.io/Logging_2481/fåglar/A 12760-2022 prioriterade fågelarter.docx", "A 12760-2022")</f>
        <v/>
      </c>
    </row>
    <row r="79" ht="15" customHeight="1">
      <c r="A79" t="inlineStr">
        <is>
          <t>A 37458-2025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46217</v>
      </c>
      <c r="F79" t="inlineStr">
        <is>
          <t>VÄSTERBOTTENS LÄN</t>
        </is>
      </c>
      <c r="G79" t="inlineStr">
        <is>
          <t>LYCKSELE</t>
        </is>
      </c>
      <c r="H79" t="inlineStr">
        <is>
          <t>Holmen skog AB</t>
        </is>
      </c>
      <c r="I79" t="n">
        <v>5.1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s="2" t="inlineStr">
        <is>
          <t>Garnlav
Lavskrika</t>
        </is>
      </c>
      <c r="V79">
        <f>HYPERLINK("https://klasma.github.io/Logging_2481/artfynd/A 37458-2025 artfynd.xlsx", "A 37458-2025")</f>
        <v/>
      </c>
      <c r="W79">
        <f>HYPERLINK("https://klasma.github.io/Logging_2481/kartor/A 37458-2025 karta.png", "A 37458-2025")</f>
        <v/>
      </c>
      <c r="Y79">
        <f>HYPERLINK("https://klasma.github.io/Logging_2481/klagomål/A 37458-2025 FSC-klagomål.docx", "A 37458-2025")</f>
        <v/>
      </c>
      <c r="Z79">
        <f>HYPERLINK("https://klasma.github.io/Logging_2481/klagomålsmail/A 37458-2025 FSC-klagomål mail.docx", "A 37458-2025")</f>
        <v/>
      </c>
      <c r="AA79">
        <f>HYPERLINK("https://klasma.github.io/Logging_2481/tillsyn/A 37458-2025 tillsynsbegäran.docx", "A 37458-2025")</f>
        <v/>
      </c>
      <c r="AB79">
        <f>HYPERLINK("https://klasma.github.io/Logging_2481/tillsynsmail/A 37458-2025 tillsynsbegäran mail.docx", "A 37458-2025")</f>
        <v/>
      </c>
      <c r="AC79">
        <f>HYPERLINK("https://klasma.github.io/Logging_2481/fåglar/A 37458-2025 prioriterade fågelarter.docx", "A 37458-2025")</f>
        <v/>
      </c>
    </row>
    <row r="80" ht="15" customHeight="1">
      <c r="A80" t="inlineStr">
        <is>
          <t>A 10485-2023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44981</v>
      </c>
      <c r="E80" s="1" t="n">
        <v>46217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2.9</v>
      </c>
      <c r="J80" t="n">
        <v>2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Knärot
Lavskrika</t>
        </is>
      </c>
      <c r="V80">
        <f>HYPERLINK("https://klasma.github.io/Logging_2481/artfynd/A 10485-2023 artfynd.xlsx", "A 10485-2023")</f>
        <v/>
      </c>
      <c r="W80">
        <f>HYPERLINK("https://klasma.github.io/Logging_2481/kartor/A 10485-2023 karta.png", "A 10485-2023")</f>
        <v/>
      </c>
      <c r="X80">
        <f>HYPERLINK("https://klasma.github.io/Logging_2481/knärot/A 10485-2023 karta knärot.png", "A 10485-2023")</f>
        <v/>
      </c>
      <c r="Y80">
        <f>HYPERLINK("https://klasma.github.io/Logging_2481/klagomål/A 10485-2023 FSC-klagomål.docx", "A 10485-2023")</f>
        <v/>
      </c>
      <c r="Z80">
        <f>HYPERLINK("https://klasma.github.io/Logging_2481/klagomålsmail/A 10485-2023 FSC-klagomål mail.docx", "A 10485-2023")</f>
        <v/>
      </c>
      <c r="AA80">
        <f>HYPERLINK("https://klasma.github.io/Logging_2481/tillsyn/A 10485-2023 tillsynsbegäran.docx", "A 10485-2023")</f>
        <v/>
      </c>
      <c r="AB80">
        <f>HYPERLINK("https://klasma.github.io/Logging_2481/tillsynsmail/A 10485-2023 tillsynsbegäran mail.docx", "A 10485-2023")</f>
        <v/>
      </c>
      <c r="AC80">
        <f>HYPERLINK("https://klasma.github.io/Logging_2481/fåglar/A 10485-2023 prioriterade fågelarter.docx", "A 10485-2023")</f>
        <v/>
      </c>
    </row>
    <row r="81" ht="15" customHeight="1">
      <c r="A81" t="inlineStr">
        <is>
          <t>A 38776-2025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46217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Dropptaggsvamp
Kolflarnlav</t>
        </is>
      </c>
      <c r="V81">
        <f>HYPERLINK("https://klasma.github.io/Logging_2481/artfynd/A 38776-2025 artfynd.xlsx", "A 38776-2025")</f>
        <v/>
      </c>
      <c r="W81">
        <f>HYPERLINK("https://klasma.github.io/Logging_2481/kartor/A 38776-2025 karta.png", "A 38776-2025")</f>
        <v/>
      </c>
      <c r="Y81">
        <f>HYPERLINK("https://klasma.github.io/Logging_2481/klagomål/A 38776-2025 FSC-klagomål.docx", "A 38776-2025")</f>
        <v/>
      </c>
      <c r="Z81">
        <f>HYPERLINK("https://klasma.github.io/Logging_2481/klagomålsmail/A 38776-2025 FSC-klagomål mail.docx", "A 38776-2025")</f>
        <v/>
      </c>
      <c r="AA81">
        <f>HYPERLINK("https://klasma.github.io/Logging_2481/tillsyn/A 38776-2025 tillsynsbegäran.docx", "A 38776-2025")</f>
        <v/>
      </c>
      <c r="AB81">
        <f>HYPERLINK("https://klasma.github.io/Logging_2481/tillsynsmail/A 38776-2025 tillsynsbegäran mail.docx", "A 38776-2025")</f>
        <v/>
      </c>
    </row>
    <row r="82" ht="15" customHeight="1">
      <c r="A82" t="inlineStr">
        <is>
          <t>A 25713-2026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46217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10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s="2" t="inlineStr">
        <is>
          <t>Kolflarnlav
Mörk kolflarnlav</t>
        </is>
      </c>
      <c r="V82">
        <f>HYPERLINK("https://klasma.github.io/Logging_2481/artfynd/A 25713-2026 artfynd.xlsx", "A 25713-2026")</f>
        <v/>
      </c>
      <c r="W82">
        <f>HYPERLINK("https://klasma.github.io/Logging_2481/kartor/A 25713-2026 karta.png", "A 25713-2026")</f>
        <v/>
      </c>
      <c r="Y82">
        <f>HYPERLINK("https://klasma.github.io/Logging_2481/klagomål/A 25713-2026 FSC-klagomål.docx", "A 25713-2026")</f>
        <v/>
      </c>
      <c r="Z82">
        <f>HYPERLINK("https://klasma.github.io/Logging_2481/klagomålsmail/A 25713-2026 FSC-klagomål mail.docx", "A 25713-2026")</f>
        <v/>
      </c>
      <c r="AA82">
        <f>HYPERLINK("https://klasma.github.io/Logging_2481/tillsyn/A 25713-2026 tillsynsbegäran.docx", "A 25713-2026")</f>
        <v/>
      </c>
      <c r="AB82">
        <f>HYPERLINK("https://klasma.github.io/Logging_2481/tillsynsmail/A 25713-2026 tillsynsbegäran mail.docx", "A 25713-2026")</f>
        <v/>
      </c>
    </row>
    <row r="83" ht="15" customHeight="1">
      <c r="A83" t="inlineStr">
        <is>
          <t>A 25722-2026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46217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14.6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Kolflarnlav
Mörk kolflarnlav</t>
        </is>
      </c>
      <c r="V83">
        <f>HYPERLINK("https://klasma.github.io/Logging_2481/artfynd/A 25722-2026 artfynd.xlsx", "A 25722-2026")</f>
        <v/>
      </c>
      <c r="W83">
        <f>HYPERLINK("https://klasma.github.io/Logging_2481/kartor/A 25722-2026 karta.png", "A 25722-2026")</f>
        <v/>
      </c>
      <c r="Y83">
        <f>HYPERLINK("https://klasma.github.io/Logging_2481/klagomål/A 25722-2026 FSC-klagomål.docx", "A 25722-2026")</f>
        <v/>
      </c>
      <c r="Z83">
        <f>HYPERLINK("https://klasma.github.io/Logging_2481/klagomålsmail/A 25722-2026 FSC-klagomål mail.docx", "A 25722-2026")</f>
        <v/>
      </c>
      <c r="AA83">
        <f>HYPERLINK("https://klasma.github.io/Logging_2481/tillsyn/A 25722-2026 tillsynsbegäran.docx", "A 25722-2026")</f>
        <v/>
      </c>
      <c r="AB83">
        <f>HYPERLINK("https://klasma.github.io/Logging_2481/tillsynsmail/A 25722-2026 tillsynsbegäran mail.docx", "A 25722-2026")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46217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42159-2025 artfynd.xlsx", "A 42159-2025")</f>
        <v/>
      </c>
      <c r="W84">
        <f>HYPERLINK("https://klasma.github.io/Logging_2481/kartor/A 42159-2025 karta.png", "A 42159-2025")</f>
        <v/>
      </c>
      <c r="Y84">
        <f>HYPERLINK("https://klasma.github.io/Logging_2481/klagomål/A 42159-2025 FSC-klagomål.docx", "A 42159-2025")</f>
        <v/>
      </c>
      <c r="Z84">
        <f>HYPERLINK("https://klasma.github.io/Logging_2481/klagomålsmail/A 42159-2025 FSC-klagomål mail.docx", "A 42159-2025")</f>
        <v/>
      </c>
      <c r="AA84">
        <f>HYPERLINK("https://klasma.github.io/Logging_2481/tillsyn/A 42159-2025 tillsynsbegäran.docx", "A 42159-2025")</f>
        <v/>
      </c>
      <c r="AB84">
        <f>HYPERLINK("https://klasma.github.io/Logging_2481/tillsynsmail/A 42159-2025 tillsynsbegäran mail.docx", "A 42159-2025")</f>
        <v/>
      </c>
    </row>
    <row r="85" ht="15" customHeight="1">
      <c r="A85" t="inlineStr">
        <is>
          <t>A 52234-2024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46217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2.7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Dropptaggsvamp
Lavskrika</t>
        </is>
      </c>
      <c r="V85">
        <f>HYPERLINK("https://klasma.github.io/Logging_2481/artfynd/A 52234-2024 artfynd.xlsx", "A 52234-2024")</f>
        <v/>
      </c>
      <c r="W85">
        <f>HYPERLINK("https://klasma.github.io/Logging_2481/kartor/A 52234-2024 karta.png", "A 52234-2024")</f>
        <v/>
      </c>
      <c r="Y85">
        <f>HYPERLINK("https://klasma.github.io/Logging_2481/klagomål/A 52234-2024 FSC-klagomål.docx", "A 52234-2024")</f>
        <v/>
      </c>
      <c r="Z85">
        <f>HYPERLINK("https://klasma.github.io/Logging_2481/klagomålsmail/A 52234-2024 FSC-klagomål mail.docx", "A 52234-2024")</f>
        <v/>
      </c>
      <c r="AA85">
        <f>HYPERLINK("https://klasma.github.io/Logging_2481/tillsyn/A 52234-2024 tillsynsbegäran.docx", "A 52234-2024")</f>
        <v/>
      </c>
      <c r="AB85">
        <f>HYPERLINK("https://klasma.github.io/Logging_2481/tillsynsmail/A 52234-2024 tillsynsbegäran mail.docx", "A 52234-2024")</f>
        <v/>
      </c>
      <c r="AC85">
        <f>HYPERLINK("https://klasma.github.io/Logging_2481/fåglar/A 52234-2024 prioriterade fågelarter.docx", "A 52234-2024")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46217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s="2" t="inlineStr">
        <is>
          <t>Garnlav
Tretåig hackspett</t>
        </is>
      </c>
      <c r="V86">
        <f>HYPERLINK("https://klasma.github.io/Logging_2481/artfynd/A 44351-2025 artfynd.xlsx", "A 44351-2025")</f>
        <v/>
      </c>
      <c r="W86">
        <f>HYPERLINK("https://klasma.github.io/Logging_2481/kartor/A 44351-2025 karta.png", "A 44351-2025")</f>
        <v/>
      </c>
      <c r="Y86">
        <f>HYPERLINK("https://klasma.github.io/Logging_2481/klagomål/A 44351-2025 FSC-klagomål.docx", "A 44351-2025")</f>
        <v/>
      </c>
      <c r="Z86">
        <f>HYPERLINK("https://klasma.github.io/Logging_2481/klagomålsmail/A 44351-2025 FSC-klagomål mail.docx", "A 44351-2025")</f>
        <v/>
      </c>
      <c r="AA86">
        <f>HYPERLINK("https://klasma.github.io/Logging_2481/tillsyn/A 44351-2025 tillsynsbegäran.docx", "A 44351-2025")</f>
        <v/>
      </c>
      <c r="AB86">
        <f>HYPERLINK("https://klasma.github.io/Logging_2481/tillsynsmail/A 44351-2025 tillsynsbegäran mail.docx", "A 44351-2025")</f>
        <v/>
      </c>
      <c r="AC86">
        <f>HYPERLINK("https://klasma.github.io/Logging_2481/fåglar/A 44351-2025 prioriterade fågelarter.docx", "A 44351-2025")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46217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s="2" t="inlineStr">
        <is>
          <t>Garnlav
Stuplav</t>
        </is>
      </c>
      <c r="V87">
        <f>HYPERLINK("https://klasma.github.io/Logging_2481/artfynd/A 45359-2025 artfynd.xlsx", "A 45359-2025")</f>
        <v/>
      </c>
      <c r="W87">
        <f>HYPERLINK("https://klasma.github.io/Logging_2481/kartor/A 45359-2025 karta.png", "A 45359-2025")</f>
        <v/>
      </c>
      <c r="Y87">
        <f>HYPERLINK("https://klasma.github.io/Logging_2481/klagomål/A 45359-2025 FSC-klagomål.docx", "A 45359-2025")</f>
        <v/>
      </c>
      <c r="Z87">
        <f>HYPERLINK("https://klasma.github.io/Logging_2481/klagomålsmail/A 45359-2025 FSC-klagomål mail.docx", "A 45359-2025")</f>
        <v/>
      </c>
      <c r="AA87">
        <f>HYPERLINK("https://klasma.github.io/Logging_2481/tillsyn/A 45359-2025 tillsynsbegäran.docx", "A 45359-2025")</f>
        <v/>
      </c>
      <c r="AB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45931</v>
      </c>
      <c r="E88" s="1" t="n">
        <v>46217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47744-2025 artfynd.xlsx", "A 47744-2025")</f>
        <v/>
      </c>
      <c r="W88">
        <f>HYPERLINK("https://klasma.github.io/Logging_2481/kartor/A 47744-2025 karta.png", "A 47744-2025")</f>
        <v/>
      </c>
      <c r="Y88">
        <f>HYPERLINK("https://klasma.github.io/Logging_2481/klagomål/A 47744-2025 FSC-klagomål.docx", "A 47744-2025")</f>
        <v/>
      </c>
      <c r="Z88">
        <f>HYPERLINK("https://klasma.github.io/Logging_2481/klagomålsmail/A 47744-2025 FSC-klagomål mail.docx", "A 47744-2025")</f>
        <v/>
      </c>
      <c r="AA88">
        <f>HYPERLINK("https://klasma.github.io/Logging_2481/tillsyn/A 47744-2025 tillsynsbegäran.docx", "A 47744-2025")</f>
        <v/>
      </c>
      <c r="AB88">
        <f>HYPERLINK("https://klasma.github.io/Logging_2481/tillsynsmail/A 47744-2025 tillsynsbegäran mail.docx", "A 47744-2025")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46217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Kolflarnlav
Mörk kolflarnlav</t>
        </is>
      </c>
      <c r="V89">
        <f>HYPERLINK("https://klasma.github.io/Logging_2481/artfynd/A 49364-2025 artfynd.xlsx", "A 49364-2025")</f>
        <v/>
      </c>
      <c r="W89">
        <f>HYPERLINK("https://klasma.github.io/Logging_2481/kartor/A 49364-2025 karta.png", "A 49364-2025")</f>
        <v/>
      </c>
      <c r="Y89">
        <f>HYPERLINK("https://klasma.github.io/Logging_2481/klagomål/A 49364-2025 FSC-klagomål.docx", "A 49364-2025")</f>
        <v/>
      </c>
      <c r="Z89">
        <f>HYPERLINK("https://klasma.github.io/Logging_2481/klagomålsmail/A 49364-2025 FSC-klagomål mail.docx", "A 49364-2025")</f>
        <v/>
      </c>
      <c r="AA89">
        <f>HYPERLINK("https://klasma.github.io/Logging_2481/tillsyn/A 49364-2025 tillsynsbegäran.docx", "A 49364-2025")</f>
        <v/>
      </c>
      <c r="AB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46217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Kolflarnlav
Mörk kolflarnlav</t>
        </is>
      </c>
      <c r="V90">
        <f>HYPERLINK("https://klasma.github.io/Logging_2481/artfynd/A 49553-2025 artfynd.xlsx", "A 49553-2025")</f>
        <v/>
      </c>
      <c r="W90">
        <f>HYPERLINK("https://klasma.github.io/Logging_2481/kartor/A 49553-2025 karta.png", "A 49553-2025")</f>
        <v/>
      </c>
      <c r="Y90">
        <f>HYPERLINK("https://klasma.github.io/Logging_2481/klagomål/A 49553-2025 FSC-klagomål.docx", "A 49553-2025")</f>
        <v/>
      </c>
      <c r="Z90">
        <f>HYPERLINK("https://klasma.github.io/Logging_2481/klagomålsmail/A 49553-2025 FSC-klagomål mail.docx", "A 49553-2025")</f>
        <v/>
      </c>
      <c r="AA90">
        <f>HYPERLINK("https://klasma.github.io/Logging_2481/tillsyn/A 49553-2025 tillsynsbegäran.docx", "A 49553-2025")</f>
        <v/>
      </c>
      <c r="AB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46217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Kolflarnlav
Mörk kolflarnlav</t>
        </is>
      </c>
      <c r="V91">
        <f>HYPERLINK("https://klasma.github.io/Logging_2481/artfynd/A 49550-2025 artfynd.xlsx", "A 49550-2025")</f>
        <v/>
      </c>
      <c r="W91">
        <f>HYPERLINK("https://klasma.github.io/Logging_2481/kartor/A 49550-2025 karta.png", "A 49550-2025")</f>
        <v/>
      </c>
      <c r="Y91">
        <f>HYPERLINK("https://klasma.github.io/Logging_2481/klagomål/A 49550-2025 FSC-klagomål.docx", "A 49550-2025")</f>
        <v/>
      </c>
      <c r="Z91">
        <f>HYPERLINK("https://klasma.github.io/Logging_2481/klagomålsmail/A 49550-2025 FSC-klagomål mail.docx", "A 49550-2025")</f>
        <v/>
      </c>
      <c r="AA91">
        <f>HYPERLINK("https://klasma.github.io/Logging_2481/tillsyn/A 49550-2025 tillsynsbegäran.docx", "A 49550-2025")</f>
        <v/>
      </c>
      <c r="AB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46217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Kolflarnlav
Mörk kolflarnlav</t>
        </is>
      </c>
      <c r="V92">
        <f>HYPERLINK("https://klasma.github.io/Logging_2481/artfynd/A 49740-2025 artfynd.xlsx", "A 49740-2025")</f>
        <v/>
      </c>
      <c r="W92">
        <f>HYPERLINK("https://klasma.github.io/Logging_2481/kartor/A 49740-2025 karta.png", "A 49740-2025")</f>
        <v/>
      </c>
      <c r="Y92">
        <f>HYPERLINK("https://klasma.github.io/Logging_2481/klagomål/A 49740-2025 FSC-klagomål.docx", "A 49740-2025")</f>
        <v/>
      </c>
      <c r="Z92">
        <f>HYPERLINK("https://klasma.github.io/Logging_2481/klagomålsmail/A 49740-2025 FSC-klagomål mail.docx", "A 49740-2025")</f>
        <v/>
      </c>
      <c r="AA92">
        <f>HYPERLINK("https://klasma.github.io/Logging_2481/tillsyn/A 49740-2025 tillsynsbegäran.docx", "A 49740-2025")</f>
        <v/>
      </c>
      <c r="AB92">
        <f>HYPERLINK("https://klasma.github.io/Logging_2481/tillsynsmail/A 49740-2025 tillsynsbegäran mail.docx", "A 49740-2025")</f>
        <v/>
      </c>
    </row>
    <row r="93" ht="15" customHeight="1">
      <c r="A93" t="inlineStr">
        <is>
          <t>A 26116-2026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46217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Lunglav
Vedticka</t>
        </is>
      </c>
      <c r="V93">
        <f>HYPERLINK("https://klasma.github.io/Logging_2481/artfynd/A 26116-2026 artfynd.xlsx", "A 26116-2026")</f>
        <v/>
      </c>
      <c r="W93">
        <f>HYPERLINK("https://klasma.github.io/Logging_2481/kartor/A 26116-2026 karta.png", "A 26116-2026")</f>
        <v/>
      </c>
      <c r="Y93">
        <f>HYPERLINK("https://klasma.github.io/Logging_2481/klagomål/A 26116-2026 FSC-klagomål.docx", "A 26116-2026")</f>
        <v/>
      </c>
      <c r="Z93">
        <f>HYPERLINK("https://klasma.github.io/Logging_2481/klagomålsmail/A 26116-2026 FSC-klagomål mail.docx", "A 26116-2026")</f>
        <v/>
      </c>
      <c r="AA93">
        <f>HYPERLINK("https://klasma.github.io/Logging_2481/tillsyn/A 26116-2026 tillsynsbegäran.docx", "A 26116-2026")</f>
        <v/>
      </c>
      <c r="AB93">
        <f>HYPERLINK("https://klasma.github.io/Logging_2481/tillsynsmail/A 26116-2026 tillsynsbegäran mail.docx", "A 26116-2026")</f>
        <v/>
      </c>
    </row>
    <row r="94" ht="15" customHeight="1">
      <c r="A94" t="inlineStr">
        <is>
          <t>A 53650-2025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46217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19.1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Tretåig hackspett
Luddlav</t>
        </is>
      </c>
      <c r="V94">
        <f>HYPERLINK("https://klasma.github.io/Logging_2481/artfynd/A 53650-2025 artfynd.xlsx", "A 53650-2025")</f>
        <v/>
      </c>
      <c r="W94">
        <f>HYPERLINK("https://klasma.github.io/Logging_2481/kartor/A 53650-2025 karta.png", "A 53650-2025")</f>
        <v/>
      </c>
      <c r="Y94">
        <f>HYPERLINK("https://klasma.github.io/Logging_2481/klagomål/A 53650-2025 FSC-klagomål.docx", "A 53650-2025")</f>
        <v/>
      </c>
      <c r="Z94">
        <f>HYPERLINK("https://klasma.github.io/Logging_2481/klagomålsmail/A 53650-2025 FSC-klagomål mail.docx", "A 53650-2025")</f>
        <v/>
      </c>
      <c r="AA94">
        <f>HYPERLINK("https://klasma.github.io/Logging_2481/tillsyn/A 53650-2025 tillsynsbegäran.docx", "A 53650-2025")</f>
        <v/>
      </c>
      <c r="AB94">
        <f>HYPERLINK("https://klasma.github.io/Logging_2481/tillsynsmail/A 53650-2025 tillsynsbegäran mail.docx", "A 53650-2025")</f>
        <v/>
      </c>
      <c r="AC94">
        <f>HYPERLINK("https://klasma.github.io/Logging_2481/fåglar/A 53650-2025 prioriterade fågelarter.docx", "A 53650-2025")</f>
        <v/>
      </c>
    </row>
    <row r="95" ht="15" customHeight="1">
      <c r="A95" t="inlineStr">
        <is>
          <t>A 55508-2025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46217</v>
      </c>
      <c r="F95" t="inlineStr">
        <is>
          <t>VÄSTERBOTTENS LÄN</t>
        </is>
      </c>
      <c r="G95" t="inlineStr">
        <is>
          <t>LYCKSELE</t>
        </is>
      </c>
      <c r="I95" t="n">
        <v>10.5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Lunglav
Stuplav</t>
        </is>
      </c>
      <c r="V95">
        <f>HYPERLINK("https://klasma.github.io/Logging_2481/artfynd/A 55508-2025 artfynd.xlsx", "A 55508-2025")</f>
        <v/>
      </c>
      <c r="W95">
        <f>HYPERLINK("https://klasma.github.io/Logging_2481/kartor/A 55508-2025 karta.png", "A 55508-2025")</f>
        <v/>
      </c>
      <c r="Y95">
        <f>HYPERLINK("https://klasma.github.io/Logging_2481/klagomål/A 55508-2025 FSC-klagomål.docx", "A 55508-2025")</f>
        <v/>
      </c>
      <c r="Z95">
        <f>HYPERLINK("https://klasma.github.io/Logging_2481/klagomålsmail/A 55508-2025 FSC-klagomål mail.docx", "A 55508-2025")</f>
        <v/>
      </c>
      <c r="AA95">
        <f>HYPERLINK("https://klasma.github.io/Logging_2481/tillsyn/A 55508-2025 tillsynsbegäran.docx", "A 55508-2025")</f>
        <v/>
      </c>
      <c r="AB95">
        <f>HYPERLINK("https://klasma.github.io/Logging_2481/tillsynsmail/A 55508-2025 tillsynsbegäran mail.docx", "A 55508-2025")</f>
        <v/>
      </c>
    </row>
    <row r="96" ht="15" customHeight="1">
      <c r="A96" t="inlineStr">
        <is>
          <t>A 26927-2026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46185</v>
      </c>
      <c r="E96" s="1" t="n">
        <v>46217</v>
      </c>
      <c r="F96" t="inlineStr">
        <is>
          <t>VÄSTERBOTTENS LÄN</t>
        </is>
      </c>
      <c r="G96" t="inlineStr">
        <is>
          <t>LYCKSELE</t>
        </is>
      </c>
      <c r="H96" t="inlineStr">
        <is>
          <t>SCA</t>
        </is>
      </c>
      <c r="I96" t="n">
        <v>14.6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Korallrot
Fläcknycklar</t>
        </is>
      </c>
      <c r="V96">
        <f>HYPERLINK("https://klasma.github.io/Logging_2481/artfynd/A 26927-2026 artfynd.xlsx", "A 26927-2026")</f>
        <v/>
      </c>
      <c r="W96">
        <f>HYPERLINK("https://klasma.github.io/Logging_2481/kartor/A 26927-2026 karta.png", "A 26927-2026")</f>
        <v/>
      </c>
      <c r="Y96">
        <f>HYPERLINK("https://klasma.github.io/Logging_2481/klagomål/A 26927-2026 FSC-klagomål.docx", "A 26927-2026")</f>
        <v/>
      </c>
      <c r="Z96">
        <f>HYPERLINK("https://klasma.github.io/Logging_2481/klagomålsmail/A 26927-2026 FSC-klagomål mail.docx", "A 26927-2026")</f>
        <v/>
      </c>
      <c r="AA96">
        <f>HYPERLINK("https://klasma.github.io/Logging_2481/tillsyn/A 26927-2026 tillsynsbegäran.docx", "A 26927-2026")</f>
        <v/>
      </c>
      <c r="AB96">
        <f>HYPERLINK("https://klasma.github.io/Logging_2481/tillsynsmail/A 26927-2026 tillsynsbegäran mail.docx", "A 26927-2026")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46217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s="2" t="inlineStr">
        <is>
          <t>Blå taggsvamp
Kolflarnlav</t>
        </is>
      </c>
      <c r="V97">
        <f>HYPERLINK("https://klasma.github.io/Logging_2481/artfynd/A 22688-2026 artfynd.xlsx", "A 22688-2026")</f>
        <v/>
      </c>
      <c r="W97">
        <f>HYPERLINK("https://klasma.github.io/Logging_2481/kartor/A 22688-2026 karta.png", "A 22688-2026")</f>
        <v/>
      </c>
      <c r="Y97">
        <f>HYPERLINK("https://klasma.github.io/Logging_2481/klagomål/A 22688-2026 FSC-klagomål.docx", "A 22688-2026")</f>
        <v/>
      </c>
      <c r="Z97">
        <f>HYPERLINK("https://klasma.github.io/Logging_2481/klagomålsmail/A 22688-2026 FSC-klagomål mail.docx", "A 22688-2026")</f>
        <v/>
      </c>
      <c r="AA97">
        <f>HYPERLINK("https://klasma.github.io/Logging_2481/tillsyn/A 22688-2026 tillsynsbegäran.docx", "A 22688-2026")</f>
        <v/>
      </c>
      <c r="AB97">
        <f>HYPERLINK("https://klasma.github.io/Logging_2481/tillsynsmail/A 22688-2026 tillsynsbegäran mail.docx", "A 22688-2026")</f>
        <v/>
      </c>
    </row>
    <row r="98" ht="15" customHeight="1">
      <c r="A98" t="inlineStr">
        <is>
          <t>A 45935-2024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45580</v>
      </c>
      <c r="E98" s="1" t="n">
        <v>46217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Lunglav
Orange taggsvamp</t>
        </is>
      </c>
      <c r="V98">
        <f>HYPERLINK("https://klasma.github.io/Logging_2481/artfynd/A 45935-2024 artfynd.xlsx", "A 45935-2024")</f>
        <v/>
      </c>
      <c r="W98">
        <f>HYPERLINK("https://klasma.github.io/Logging_2481/kartor/A 45935-2024 karta.png", "A 45935-2024")</f>
        <v/>
      </c>
      <c r="Y98">
        <f>HYPERLINK("https://klasma.github.io/Logging_2481/klagomål/A 45935-2024 FSC-klagomål.docx", "A 45935-2024")</f>
        <v/>
      </c>
      <c r="Z98">
        <f>HYPERLINK("https://klasma.github.io/Logging_2481/klagomålsmail/A 45935-2024 FSC-klagomål mail.docx", "A 45935-2024")</f>
        <v/>
      </c>
      <c r="AA98">
        <f>HYPERLINK("https://klasma.github.io/Logging_2481/tillsyn/A 45935-2024 tillsynsbegäran.docx", "A 45935-2024")</f>
        <v/>
      </c>
      <c r="AB98">
        <f>HYPERLINK("https://klasma.github.io/Logging_2481/tillsynsmail/A 45935-2024 tillsynsbegäran mail.docx", "A 45935-2024")</f>
        <v/>
      </c>
    </row>
    <row r="99" ht="15" customHeight="1">
      <c r="A99" t="inlineStr">
        <is>
          <t>A 16914-2024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46217</v>
      </c>
      <c r="F99" t="inlineStr">
        <is>
          <t>VÄSTERBOTTENS LÄN</t>
        </is>
      </c>
      <c r="G99" t="inlineStr">
        <is>
          <t>LYCKSELE</t>
        </is>
      </c>
      <c r="I99" t="n">
        <v>24.6</v>
      </c>
      <c r="J99" t="n">
        <v>2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Lavskrika
Tretåig hackspett</t>
        </is>
      </c>
      <c r="V99">
        <f>HYPERLINK("https://klasma.github.io/Logging_2481/artfynd/A 16914-2024 artfynd.xlsx", "A 16914-2024")</f>
        <v/>
      </c>
      <c r="W99">
        <f>HYPERLINK("https://klasma.github.io/Logging_2481/kartor/A 16914-2024 karta.png", "A 16914-2024")</f>
        <v/>
      </c>
      <c r="Y99">
        <f>HYPERLINK("https://klasma.github.io/Logging_2481/klagomål/A 16914-2024 FSC-klagomål.docx", "A 16914-2024")</f>
        <v/>
      </c>
      <c r="Z99">
        <f>HYPERLINK("https://klasma.github.io/Logging_2481/klagomålsmail/A 16914-2024 FSC-klagomål mail.docx", "A 16914-2024")</f>
        <v/>
      </c>
      <c r="AA99">
        <f>HYPERLINK("https://klasma.github.io/Logging_2481/tillsyn/A 16914-2024 tillsynsbegäran.docx", "A 16914-2024")</f>
        <v/>
      </c>
      <c r="AB99">
        <f>HYPERLINK("https://klasma.github.io/Logging_2481/tillsynsmail/A 16914-2024 tillsynsbegäran mail.docx", "A 16914-2024")</f>
        <v/>
      </c>
      <c r="AC99">
        <f>HYPERLINK("https://klasma.github.io/Logging_2481/fåglar/A 16914-2024 prioriterade fågelarter.docx", "A 16914-2024")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46217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Harticka
Ullticka</t>
        </is>
      </c>
      <c r="V100">
        <f>HYPERLINK("https://klasma.github.io/Logging_2481/artfynd/A 55566-2024 artfynd.xlsx", "A 55566-2024")</f>
        <v/>
      </c>
      <c r="W100">
        <f>HYPERLINK("https://klasma.github.io/Logging_2481/kartor/A 55566-2024 karta.png", "A 55566-2024")</f>
        <v/>
      </c>
      <c r="Y100">
        <f>HYPERLINK("https://klasma.github.io/Logging_2481/klagomål/A 55566-2024 FSC-klagomål.docx", "A 55566-2024")</f>
        <v/>
      </c>
      <c r="Z100">
        <f>HYPERLINK("https://klasma.github.io/Logging_2481/klagomålsmail/A 55566-2024 FSC-klagomål mail.docx", "A 55566-2024")</f>
        <v/>
      </c>
      <c r="AA100">
        <f>HYPERLINK("https://klasma.github.io/Logging_2481/tillsyn/A 55566-2024 tillsynsbegäran.docx", "A 55566-2024")</f>
        <v/>
      </c>
      <c r="AB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46217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Kolflarnlav
Mörk kolflarnlav</t>
        </is>
      </c>
      <c r="V101">
        <f>HYPERLINK("https://klasma.github.io/Logging_2481/artfynd/A 23096-2026 artfynd.xlsx", "A 23096-2026")</f>
        <v/>
      </c>
      <c r="W101">
        <f>HYPERLINK("https://klasma.github.io/Logging_2481/kartor/A 23096-2026 karta.png", "A 23096-2026")</f>
        <v/>
      </c>
      <c r="Y101">
        <f>HYPERLINK("https://klasma.github.io/Logging_2481/klagomål/A 23096-2026 FSC-klagomål.docx", "A 23096-2026")</f>
        <v/>
      </c>
      <c r="Z101">
        <f>HYPERLINK("https://klasma.github.io/Logging_2481/klagomålsmail/A 23096-2026 FSC-klagomål mail.docx", "A 23096-2026")</f>
        <v/>
      </c>
      <c r="AA101">
        <f>HYPERLINK("https://klasma.github.io/Logging_2481/tillsyn/A 23096-2026 tillsynsbegäran.docx", "A 23096-2026")</f>
        <v/>
      </c>
      <c r="AB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46217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Kolflarnlav
Mörk kolflarnlav</t>
        </is>
      </c>
      <c r="V102">
        <f>HYPERLINK("https://klasma.github.io/Logging_2481/artfynd/A 23098-2026 artfynd.xlsx", "A 23098-2026")</f>
        <v/>
      </c>
      <c r="W102">
        <f>HYPERLINK("https://klasma.github.io/Logging_2481/kartor/A 23098-2026 karta.png", "A 23098-2026")</f>
        <v/>
      </c>
      <c r="Y102">
        <f>HYPERLINK("https://klasma.github.io/Logging_2481/klagomål/A 23098-2026 FSC-klagomål.docx", "A 23098-2026")</f>
        <v/>
      </c>
      <c r="Z102">
        <f>HYPERLINK("https://klasma.github.io/Logging_2481/klagomålsmail/A 23098-2026 FSC-klagomål mail.docx", "A 23098-2026")</f>
        <v/>
      </c>
      <c r="AA102">
        <f>HYPERLINK("https://klasma.github.io/Logging_2481/tillsyn/A 23098-2026 tillsynsbegäran.docx", "A 23098-2026")</f>
        <v/>
      </c>
      <c r="AB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12619-2026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46091</v>
      </c>
      <c r="E103" s="1" t="n">
        <v>46217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3.6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Kungsörn
Orre</t>
        </is>
      </c>
      <c r="V103">
        <f>HYPERLINK("https://klasma.github.io/Logging_2481/artfynd/A 12619-2026 artfynd.xlsx", "A 12619-2026")</f>
        <v/>
      </c>
      <c r="W103">
        <f>HYPERLINK("https://klasma.github.io/Logging_2481/kartor/A 12619-2026 karta.png", "A 12619-2026")</f>
        <v/>
      </c>
      <c r="Y103">
        <f>HYPERLINK("https://klasma.github.io/Logging_2481/klagomål/A 12619-2026 FSC-klagomål.docx", "A 12619-2026")</f>
        <v/>
      </c>
      <c r="Z103">
        <f>HYPERLINK("https://klasma.github.io/Logging_2481/klagomålsmail/A 12619-2026 FSC-klagomål mail.docx", "A 12619-2026")</f>
        <v/>
      </c>
      <c r="AA103">
        <f>HYPERLINK("https://klasma.github.io/Logging_2481/tillsyn/A 12619-2026 tillsynsbegäran.docx", "A 12619-2026")</f>
        <v/>
      </c>
      <c r="AB103">
        <f>HYPERLINK("https://klasma.github.io/Logging_2481/tillsynsmail/A 12619-2026 tillsynsbegäran mail.docx", "A 12619-2026")</f>
        <v/>
      </c>
      <c r="AC103">
        <f>HYPERLINK("https://klasma.github.io/Logging_2481/fåglar/A 12619-2026 prioriterade fågelarter.docx", "A 12619-2026")</f>
        <v/>
      </c>
    </row>
    <row r="104" ht="15" customHeight="1">
      <c r="A104" t="inlineStr">
        <is>
          <t>A 58657-2023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46217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14.4</v>
      </c>
      <c r="J104" t="n">
        <v>1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Talltita
Bollvitmossa</t>
        </is>
      </c>
      <c r="V104">
        <f>HYPERLINK("https://klasma.github.io/Logging_2481/artfynd/A 58657-2023 artfynd.xlsx", "A 58657-2023")</f>
        <v/>
      </c>
      <c r="W104">
        <f>HYPERLINK("https://klasma.github.io/Logging_2481/kartor/A 58657-2023 karta.png", "A 58657-2023")</f>
        <v/>
      </c>
      <c r="Y104">
        <f>HYPERLINK("https://klasma.github.io/Logging_2481/klagomål/A 58657-2023 FSC-klagomål.docx", "A 58657-2023")</f>
        <v/>
      </c>
      <c r="Z104">
        <f>HYPERLINK("https://klasma.github.io/Logging_2481/klagomålsmail/A 58657-2023 FSC-klagomål mail.docx", "A 58657-2023")</f>
        <v/>
      </c>
      <c r="AA104">
        <f>HYPERLINK("https://klasma.github.io/Logging_2481/tillsyn/A 58657-2023 tillsynsbegäran.docx", "A 58657-2023")</f>
        <v/>
      </c>
      <c r="AB104">
        <f>HYPERLINK("https://klasma.github.io/Logging_2481/tillsynsmail/A 58657-2023 tillsynsbegäran mail.docx", "A 58657-2023")</f>
        <v/>
      </c>
      <c r="AC104">
        <f>HYPERLINK("https://klasma.github.io/Logging_2481/fåglar/A 58657-2023 prioriterade fågelarter.docx", "A 58657-2023")</f>
        <v/>
      </c>
    </row>
    <row r="105" ht="15" customHeight="1">
      <c r="A105" t="inlineStr">
        <is>
          <t>A 41776-2024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46217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s="2" t="inlineStr">
        <is>
          <t>Kolflarnlav
Koralltaggsvamp</t>
        </is>
      </c>
      <c r="V105">
        <f>HYPERLINK("https://klasma.github.io/Logging_2481/artfynd/A 41776-2024 artfynd.xlsx", "A 41776-2024")</f>
        <v/>
      </c>
      <c r="W105">
        <f>HYPERLINK("https://klasma.github.io/Logging_2481/kartor/A 41776-2024 karta.png", "A 41776-2024")</f>
        <v/>
      </c>
      <c r="Y105">
        <f>HYPERLINK("https://klasma.github.io/Logging_2481/klagomål/A 41776-2024 FSC-klagomål.docx", "A 41776-2024")</f>
        <v/>
      </c>
      <c r="Z105">
        <f>HYPERLINK("https://klasma.github.io/Logging_2481/klagomålsmail/A 41776-2024 FSC-klagomål mail.docx", "A 41776-2024")</f>
        <v/>
      </c>
      <c r="AA105">
        <f>HYPERLINK("https://klasma.github.io/Logging_2481/tillsyn/A 41776-2024 tillsynsbegäran.docx", "A 41776-2024")</f>
        <v/>
      </c>
      <c r="AB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46217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s="2" t="inlineStr">
        <is>
          <t>Dropptaggsvamp
Vaddporing</t>
        </is>
      </c>
      <c r="V106">
        <f>HYPERLINK("https://klasma.github.io/Logging_2481/artfynd/A 15197-2023 artfynd.xlsx", "A 15197-2023")</f>
        <v/>
      </c>
      <c r="W106">
        <f>HYPERLINK("https://klasma.github.io/Logging_2481/kartor/A 15197-2023 karta.png", "A 15197-2023")</f>
        <v/>
      </c>
      <c r="Y106">
        <f>HYPERLINK("https://klasma.github.io/Logging_2481/klagomål/A 15197-2023 FSC-klagomål.docx", "A 15197-2023")</f>
        <v/>
      </c>
      <c r="Z106">
        <f>HYPERLINK("https://klasma.github.io/Logging_2481/klagomålsmail/A 15197-2023 FSC-klagomål mail.docx", "A 15197-2023")</f>
        <v/>
      </c>
      <c r="AA106">
        <f>HYPERLINK("https://klasma.github.io/Logging_2481/tillsyn/A 15197-2023 tillsynsbegäran.docx", "A 15197-2023")</f>
        <v/>
      </c>
      <c r="AB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46217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Holmen skog AB</t>
        </is>
      </c>
      <c r="I107" t="n">
        <v>5.6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Garnlav
Fläcknycklar</t>
        </is>
      </c>
      <c r="V107">
        <f>HYPERLINK("https://klasma.github.io/Logging_2481/artfynd/A 742-2025 artfynd.xlsx", "A 742-2025")</f>
        <v/>
      </c>
      <c r="W107">
        <f>HYPERLINK("https://klasma.github.io/Logging_2481/kartor/A 742-2025 karta.png", "A 742-2025")</f>
        <v/>
      </c>
      <c r="Y107">
        <f>HYPERLINK("https://klasma.github.io/Logging_2481/klagomål/A 742-2025 FSC-klagomål.docx", "A 742-2025")</f>
        <v/>
      </c>
      <c r="Z107">
        <f>HYPERLINK("https://klasma.github.io/Logging_2481/klagomålsmail/A 742-2025 FSC-klagomål mail.docx", "A 742-2025")</f>
        <v/>
      </c>
      <c r="AA107">
        <f>HYPERLINK("https://klasma.github.io/Logging_2481/tillsyn/A 742-2025 tillsynsbegäran.docx", "A 742-2025")</f>
        <v/>
      </c>
      <c r="AB107">
        <f>HYPERLINK("https://klasma.github.io/Logging_2481/tillsynsmail/A 742-2025 tillsynsbegäran mail.docx", "A 742-2025")</f>
        <v/>
      </c>
    </row>
    <row r="108" ht="15" customHeight="1">
      <c r="A108" t="inlineStr">
        <is>
          <t>A 26271-2025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46217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Gammelgransskål
Lunglav</t>
        </is>
      </c>
      <c r="V108">
        <f>HYPERLINK("https://klasma.github.io/Logging_2481/artfynd/A 26271-2025 artfynd.xlsx", "A 26271-2025")</f>
        <v/>
      </c>
      <c r="W108">
        <f>HYPERLINK("https://klasma.github.io/Logging_2481/kartor/A 26271-2025 karta.png", "A 26271-2025")</f>
        <v/>
      </c>
      <c r="Y108">
        <f>HYPERLINK("https://klasma.github.io/Logging_2481/klagomål/A 26271-2025 FSC-klagomål.docx", "A 26271-2025")</f>
        <v/>
      </c>
      <c r="Z108">
        <f>HYPERLINK("https://klasma.github.io/Logging_2481/klagomålsmail/A 26271-2025 FSC-klagomål mail.docx", "A 26271-2025")</f>
        <v/>
      </c>
      <c r="AA108">
        <f>HYPERLINK("https://klasma.github.io/Logging_2481/tillsyn/A 26271-2025 tillsynsbegäran.docx", "A 26271-2025")</f>
        <v/>
      </c>
      <c r="AB108">
        <f>HYPERLINK("https://klasma.github.io/Logging_2481/tillsynsmail/A 26271-2025 tillsynsbegäran mail.docx", "A 26271-2025")</f>
        <v/>
      </c>
    </row>
    <row r="109" ht="15" customHeight="1">
      <c r="A109" t="inlineStr">
        <is>
          <t>A 30691-2025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46217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s="2" t="inlineStr">
        <is>
          <t>Mörk kolflarnlav
Tretåig hackspett</t>
        </is>
      </c>
      <c r="V109">
        <f>HYPERLINK("https://klasma.github.io/Logging_2481/artfynd/A 30691-2025 artfynd.xlsx", "A 30691-2025")</f>
        <v/>
      </c>
      <c r="W109">
        <f>HYPERLINK("https://klasma.github.io/Logging_2481/kartor/A 30691-2025 karta.png", "A 30691-2025")</f>
        <v/>
      </c>
      <c r="Y109">
        <f>HYPERLINK("https://klasma.github.io/Logging_2481/klagomål/A 30691-2025 FSC-klagomål.docx", "A 30691-2025")</f>
        <v/>
      </c>
      <c r="Z109">
        <f>HYPERLINK("https://klasma.github.io/Logging_2481/klagomålsmail/A 30691-2025 FSC-klagomål mail.docx", "A 30691-2025")</f>
        <v/>
      </c>
      <c r="AA109">
        <f>HYPERLINK("https://klasma.github.io/Logging_2481/tillsyn/A 30691-2025 tillsynsbegäran.docx", "A 30691-2025")</f>
        <v/>
      </c>
      <c r="AB109">
        <f>HYPERLINK("https://klasma.github.io/Logging_2481/tillsynsmail/A 30691-2025 tillsynsbegäran mail.docx", "A 30691-2025")</f>
        <v/>
      </c>
      <c r="AC109">
        <f>HYPERLINK("https://klasma.github.io/Logging_2481/fåglar/A 30691-2025 prioriterade fågelarter.docx", "A 30691-2025")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46217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Knärot
Lavskrika</t>
        </is>
      </c>
      <c r="V110">
        <f>HYPERLINK("https://klasma.github.io/Logging_2481/artfynd/S 754-2023 artfynd.xlsx", "S 754-2023")</f>
        <v/>
      </c>
      <c r="W110">
        <f>HYPERLINK("https://klasma.github.io/Logging_2481/kartor/S 754-2023 karta.png", "S 754-2023")</f>
        <v/>
      </c>
      <c r="X110">
        <f>HYPERLINK("https://klasma.github.io/Logging_2481/knärot/S 754-2023 karta knärot.png", "S 754-2023")</f>
        <v/>
      </c>
      <c r="Y110">
        <f>HYPERLINK("https://klasma.github.io/Logging_2481/klagomål/S 754-2023 FSC-klagomål.docx", "S 754-2023")</f>
        <v/>
      </c>
      <c r="Z110">
        <f>HYPERLINK("https://klasma.github.io/Logging_2481/klagomålsmail/S 754-2023 FSC-klagomål mail.docx", "S 754-2023")</f>
        <v/>
      </c>
      <c r="AA110">
        <f>HYPERLINK("https://klasma.github.io/Logging_2481/tillsyn/S 754-2023 tillsynsbegäran.docx", "S 754-2023")</f>
        <v/>
      </c>
      <c r="AB110">
        <f>HYPERLINK("https://klasma.github.io/Logging_2481/tillsynsmail/S 754-2023 tillsynsbegäran mail.docx", "S 754-2023")</f>
        <v/>
      </c>
      <c r="AC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46217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Bårdlav
Vattenfladdermus</t>
        </is>
      </c>
      <c r="V111">
        <f>HYPERLINK("https://klasma.github.io/Logging_2481/artfynd/S 408-2026 artfynd.xlsx", "S 408-2026")</f>
        <v/>
      </c>
      <c r="W111">
        <f>HYPERLINK("https://klasma.github.io/Logging_2481/kartor/S 408-2026 karta.png", "S 408-2026")</f>
        <v/>
      </c>
      <c r="Y111">
        <f>HYPERLINK("https://klasma.github.io/Logging_2481/klagomål/S 408-2026 FSC-klagomål.docx", "S 408-2026")</f>
        <v/>
      </c>
      <c r="Z111">
        <f>HYPERLINK("https://klasma.github.io/Logging_2481/klagomålsmail/S 408-2026 FSC-klagomål mail.docx", "S 408-2026")</f>
        <v/>
      </c>
      <c r="AA111">
        <f>HYPERLINK("https://klasma.github.io/Logging_2481/tillsyn/S 408-2026 tillsynsbegäran.docx", "S 408-2026")</f>
        <v/>
      </c>
      <c r="AB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46217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HYPERLINK("https://klasma.github.io/Logging_2481/artfynd/A 60045-2021 artfynd.xlsx", "A 60045-2021")</f>
        <v/>
      </c>
      <c r="W112">
        <f>HYPERLINK("https://klasma.github.io/Logging_2481/kartor/A 60045-2021 karta.png", "A 60045-2021")</f>
        <v/>
      </c>
      <c r="Y112">
        <f>HYPERLINK("https://klasma.github.io/Logging_2481/klagomål/A 60045-2021 FSC-klagomål.docx", "A 60045-2021")</f>
        <v/>
      </c>
      <c r="Z112">
        <f>HYPERLINK("https://klasma.github.io/Logging_2481/klagomålsmail/A 60045-2021 FSC-klagomål mail.docx", "A 60045-2021")</f>
        <v/>
      </c>
      <c r="AA112">
        <f>HYPERLINK("https://klasma.github.io/Logging_2481/tillsyn/A 60045-2021 tillsynsbegäran.docx", "A 60045-2021")</f>
        <v/>
      </c>
      <c r="AB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46217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Utter</t>
        </is>
      </c>
      <c r="V113">
        <f>HYPERLINK("https://klasma.github.io/Logging_2481/artfynd/A 9073-2022 artfynd.xlsx", "A 9073-2022")</f>
        <v/>
      </c>
      <c r="W113">
        <f>HYPERLINK("https://klasma.github.io/Logging_2481/kartor/A 9073-2022 karta.png", "A 9073-2022")</f>
        <v/>
      </c>
      <c r="Y113">
        <f>HYPERLINK("https://klasma.github.io/Logging_2481/klagomål/A 9073-2022 FSC-klagomål.docx", "A 9073-2022")</f>
        <v/>
      </c>
      <c r="Z113">
        <f>HYPERLINK("https://klasma.github.io/Logging_2481/klagomålsmail/A 9073-2022 FSC-klagomål mail.docx", "A 9073-2022")</f>
        <v/>
      </c>
      <c r="AA113">
        <f>HYPERLINK("https://klasma.github.io/Logging_2481/tillsyn/A 9073-2022 tillsynsbegäran.docx", "A 9073-2022")</f>
        <v/>
      </c>
      <c r="AB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46217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s="2" t="inlineStr">
        <is>
          <t>Lunglav</t>
        </is>
      </c>
      <c r="V114">
        <f>HYPERLINK("https://klasma.github.io/Logging_2481/artfynd/A 59780-2021 artfynd.xlsx", "A 59780-2021")</f>
        <v/>
      </c>
      <c r="W114">
        <f>HYPERLINK("https://klasma.github.io/Logging_2481/kartor/A 59780-2021 karta.png", "A 59780-2021")</f>
        <v/>
      </c>
      <c r="Y114">
        <f>HYPERLINK("https://klasma.github.io/Logging_2481/klagomål/A 59780-2021 FSC-klagomål.docx", "A 59780-2021")</f>
        <v/>
      </c>
      <c r="Z114">
        <f>HYPERLINK("https://klasma.github.io/Logging_2481/klagomålsmail/A 59780-2021 FSC-klagomål mail.docx", "A 59780-2021")</f>
        <v/>
      </c>
      <c r="AA114">
        <f>HYPERLINK("https://klasma.github.io/Logging_2481/tillsyn/A 59780-2021 tillsynsbegäran.docx", "A 59780-2021")</f>
        <v/>
      </c>
      <c r="AB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46217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HYPERLINK("https://klasma.github.io/Logging_2481/artfynd/A 50279-2021 artfynd.xlsx", "A 50279-2021")</f>
        <v/>
      </c>
      <c r="W115">
        <f>HYPERLINK("https://klasma.github.io/Logging_2481/kartor/A 50279-2021 karta.png", "A 50279-2021")</f>
        <v/>
      </c>
      <c r="Y115">
        <f>HYPERLINK("https://klasma.github.io/Logging_2481/klagomål/A 50279-2021 FSC-klagomål.docx", "A 50279-2021")</f>
        <v/>
      </c>
      <c r="Z115">
        <f>HYPERLINK("https://klasma.github.io/Logging_2481/klagomålsmail/A 50279-2021 FSC-klagomål mail.docx", "A 50279-2021")</f>
        <v/>
      </c>
      <c r="AA115">
        <f>HYPERLINK("https://klasma.github.io/Logging_2481/tillsyn/A 50279-2021 tillsynsbegäran.docx", "A 50279-2021")</f>
        <v/>
      </c>
      <c r="AB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46217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Ullticka</t>
        </is>
      </c>
      <c r="V116">
        <f>HYPERLINK("https://klasma.github.io/Logging_2481/artfynd/A 9341-2022 artfynd.xlsx", "A 9341-2022")</f>
        <v/>
      </c>
      <c r="W116">
        <f>HYPERLINK("https://klasma.github.io/Logging_2481/kartor/A 9341-2022 karta.png", "A 9341-2022")</f>
        <v/>
      </c>
      <c r="Y116">
        <f>HYPERLINK("https://klasma.github.io/Logging_2481/klagomål/A 9341-2022 FSC-klagomål.docx", "A 9341-2022")</f>
        <v/>
      </c>
      <c r="Z116">
        <f>HYPERLINK("https://klasma.github.io/Logging_2481/klagomålsmail/A 9341-2022 FSC-klagomål mail.docx", "A 9341-2022")</f>
        <v/>
      </c>
      <c r="AA116">
        <f>HYPERLINK("https://klasma.github.io/Logging_2481/tillsyn/A 9341-2022 tillsynsbegäran.docx", "A 9341-2022")</f>
        <v/>
      </c>
      <c r="AB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46217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Gammelgransskål</t>
        </is>
      </c>
      <c r="V117">
        <f>HYPERLINK("https://klasma.github.io/Logging_2481/artfynd/A 34809-2022 artfynd.xlsx", "A 34809-2022")</f>
        <v/>
      </c>
      <c r="W117">
        <f>HYPERLINK("https://klasma.github.io/Logging_2481/kartor/A 34809-2022 karta.png", "A 34809-2022")</f>
        <v/>
      </c>
      <c r="Y117">
        <f>HYPERLINK("https://klasma.github.io/Logging_2481/klagomål/A 34809-2022 FSC-klagomål.docx", "A 34809-2022")</f>
        <v/>
      </c>
      <c r="Z117">
        <f>HYPERLINK("https://klasma.github.io/Logging_2481/klagomålsmail/A 34809-2022 FSC-klagomål mail.docx", "A 34809-2022")</f>
        <v/>
      </c>
      <c r="AA117">
        <f>HYPERLINK("https://klasma.github.io/Logging_2481/tillsyn/A 34809-2022 tillsynsbegäran.docx", "A 34809-2022")</f>
        <v/>
      </c>
      <c r="AB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46217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HYPERLINK("https://klasma.github.io/Logging_2481/artfynd/A 27553-2024 artfynd.xlsx", "A 27553-2024")</f>
        <v/>
      </c>
      <c r="W118">
        <f>HYPERLINK("https://klasma.github.io/Logging_2481/kartor/A 27553-2024 karta.png", "A 27553-2024")</f>
        <v/>
      </c>
      <c r="Y118">
        <f>HYPERLINK("https://klasma.github.io/Logging_2481/klagomål/A 27553-2024 FSC-klagomål.docx", "A 27553-2024")</f>
        <v/>
      </c>
      <c r="Z118">
        <f>HYPERLINK("https://klasma.github.io/Logging_2481/klagomålsmail/A 27553-2024 FSC-klagomål mail.docx", "A 27553-2024")</f>
        <v/>
      </c>
      <c r="AA118">
        <f>HYPERLINK("https://klasma.github.io/Logging_2481/tillsyn/A 27553-2024 tillsynsbegäran.docx", "A 27553-2024")</f>
        <v/>
      </c>
      <c r="AB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61910-2024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46217</v>
      </c>
      <c r="F119" t="inlineStr">
        <is>
          <t>VÄSTERBOTTENS LÄN</t>
        </is>
      </c>
      <c r="G119" t="inlineStr">
        <is>
          <t>LYCKSELE</t>
        </is>
      </c>
      <c r="I119" t="n">
        <v>5.8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s="2" t="inlineStr">
        <is>
          <t>Norna</t>
        </is>
      </c>
      <c r="V119">
        <f>HYPERLINK("https://klasma.github.io/Logging_2481/artfynd/A 61910-2024 artfynd.xlsx", "A 61910-2024")</f>
        <v/>
      </c>
      <c r="W119">
        <f>HYPERLINK("https://klasma.github.io/Logging_2481/kartor/A 61910-2024 karta.png", "A 61910-2024")</f>
        <v/>
      </c>
      <c r="Y119">
        <f>HYPERLINK("https://klasma.github.io/Logging_2481/klagomål/A 61910-2024 FSC-klagomål.docx", "A 61910-2024")</f>
        <v/>
      </c>
      <c r="Z119">
        <f>HYPERLINK("https://klasma.github.io/Logging_2481/klagomålsmail/A 61910-2024 FSC-klagomål mail.docx", "A 61910-2024")</f>
        <v/>
      </c>
      <c r="AA119">
        <f>HYPERLINK("https://klasma.github.io/Logging_2481/tillsyn/A 61910-2024 tillsynsbegäran.docx", "A 61910-2024")</f>
        <v/>
      </c>
      <c r="AB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37669-2024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46217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Dropptaggsvamp</t>
        </is>
      </c>
      <c r="V120">
        <f>HYPERLINK("https://klasma.github.io/Logging_2481/artfynd/A 37669-2024 artfynd.xlsx", "A 37669-2024")</f>
        <v/>
      </c>
      <c r="W120">
        <f>HYPERLINK("https://klasma.github.io/Logging_2481/kartor/A 37669-2024 karta.png", "A 37669-2024")</f>
        <v/>
      </c>
      <c r="Y120">
        <f>HYPERLINK("https://klasma.github.io/Logging_2481/klagomål/A 37669-2024 FSC-klagomål.docx", "A 37669-2024")</f>
        <v/>
      </c>
      <c r="Z120">
        <f>HYPERLINK("https://klasma.github.io/Logging_2481/klagomålsmail/A 37669-2024 FSC-klagomål mail.docx", "A 37669-2024")</f>
        <v/>
      </c>
      <c r="AA120">
        <f>HYPERLINK("https://klasma.github.io/Logging_2481/tillsyn/A 37669-2024 tillsynsbegäran.docx", "A 37669-2024")</f>
        <v/>
      </c>
      <c r="AB120">
        <f>HYPERLINK("https://klasma.github.io/Logging_2481/tillsynsmail/A 37669-2024 tillsynsbegäran mail.docx", "A 37669-2024")</f>
        <v/>
      </c>
    </row>
    <row r="121" ht="15" customHeight="1">
      <c r="A121" t="inlineStr">
        <is>
          <t>A 49394-2024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46217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Lunglav</t>
        </is>
      </c>
      <c r="V121">
        <f>HYPERLINK("https://klasma.github.io/Logging_2481/artfynd/A 49394-2024 artfynd.xlsx", "A 49394-2024")</f>
        <v/>
      </c>
      <c r="W121">
        <f>HYPERLINK("https://klasma.github.io/Logging_2481/kartor/A 49394-2024 karta.png", "A 49394-2024")</f>
        <v/>
      </c>
      <c r="Y121">
        <f>HYPERLINK("https://klasma.github.io/Logging_2481/klagomål/A 49394-2024 FSC-klagomål.docx", "A 49394-2024")</f>
        <v/>
      </c>
      <c r="Z121">
        <f>HYPERLINK("https://klasma.github.io/Logging_2481/klagomålsmail/A 49394-2024 FSC-klagomål mail.docx", "A 49394-2024")</f>
        <v/>
      </c>
      <c r="AA121">
        <f>HYPERLINK("https://klasma.github.io/Logging_2481/tillsyn/A 49394-2024 tillsynsbegäran.docx", "A 49394-2024")</f>
        <v/>
      </c>
      <c r="AB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36687-2025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45873</v>
      </c>
      <c r="E122" s="1" t="n">
        <v>46217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Kolflarnlav</t>
        </is>
      </c>
      <c r="V122">
        <f>HYPERLINK("https://klasma.github.io/Logging_2481/artfynd/A 36687-2025 artfynd.xlsx", "A 36687-2025")</f>
        <v/>
      </c>
      <c r="W122">
        <f>HYPERLINK("https://klasma.github.io/Logging_2481/kartor/A 36687-2025 karta.png", "A 36687-2025")</f>
        <v/>
      </c>
      <c r="Y122">
        <f>HYPERLINK("https://klasma.github.io/Logging_2481/klagomål/A 36687-2025 FSC-klagomål.docx", "A 36687-2025")</f>
        <v/>
      </c>
      <c r="Z122">
        <f>HYPERLINK("https://klasma.github.io/Logging_2481/klagomålsmail/A 36687-2025 FSC-klagomål mail.docx", "A 36687-2025")</f>
        <v/>
      </c>
      <c r="AA122">
        <f>HYPERLINK("https://klasma.github.io/Logging_2481/tillsyn/A 36687-2025 tillsynsbegäran.docx", "A 36687-2025")</f>
        <v/>
      </c>
      <c r="AB122">
        <f>HYPERLINK("https://klasma.github.io/Logging_2481/tillsynsmail/A 36687-2025 tillsynsbegäran mail.docx", "A 36687-2025")</f>
        <v/>
      </c>
    </row>
    <row r="123" ht="15" customHeight="1">
      <c r="A123" t="inlineStr">
        <is>
          <t>A 25591-2026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46217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15.9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Gränsticka</t>
        </is>
      </c>
      <c r="V123">
        <f>HYPERLINK("https://klasma.github.io/Logging_2481/artfynd/A 25591-2026 artfynd.xlsx", "A 25591-2026")</f>
        <v/>
      </c>
      <c r="W123">
        <f>HYPERLINK("https://klasma.github.io/Logging_2481/kartor/A 25591-2026 karta.png", "A 25591-2026")</f>
        <v/>
      </c>
      <c r="Y123">
        <f>HYPERLINK("https://klasma.github.io/Logging_2481/klagomål/A 25591-2026 FSC-klagomål.docx", "A 25591-2026")</f>
        <v/>
      </c>
      <c r="Z123">
        <f>HYPERLINK("https://klasma.github.io/Logging_2481/klagomålsmail/A 25591-2026 FSC-klagomål mail.docx", "A 25591-2026")</f>
        <v/>
      </c>
      <c r="AA123">
        <f>HYPERLINK("https://klasma.github.io/Logging_2481/tillsyn/A 25591-2026 tillsynsbegäran.docx", "A 25591-2026")</f>
        <v/>
      </c>
      <c r="AB123">
        <f>HYPERLINK("https://klasma.github.io/Logging_2481/tillsynsmail/A 25591-2026 tillsynsbegäran mail.docx", "A 25591-2026")</f>
        <v/>
      </c>
    </row>
    <row r="124" ht="15" customHeight="1">
      <c r="A124" t="inlineStr">
        <is>
          <t>A 9924-2024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46217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Kolflarnlav</t>
        </is>
      </c>
      <c r="V124">
        <f>HYPERLINK("https://klasma.github.io/Logging_2481/artfynd/A 9924-2024 artfynd.xlsx", "A 9924-2024")</f>
        <v/>
      </c>
      <c r="W124">
        <f>HYPERLINK("https://klasma.github.io/Logging_2481/kartor/A 9924-2024 karta.png", "A 9924-2024")</f>
        <v/>
      </c>
      <c r="Y124">
        <f>HYPERLINK("https://klasma.github.io/Logging_2481/klagomål/A 9924-2024 FSC-klagomål.docx", "A 9924-2024")</f>
        <v/>
      </c>
      <c r="Z124">
        <f>HYPERLINK("https://klasma.github.io/Logging_2481/klagomålsmail/A 9924-2024 FSC-klagomål mail.docx", "A 9924-2024")</f>
        <v/>
      </c>
      <c r="AA124">
        <f>HYPERLINK("https://klasma.github.io/Logging_2481/tillsyn/A 9924-2024 tillsynsbegäran.docx", "A 9924-2024")</f>
        <v/>
      </c>
      <c r="AB124">
        <f>HYPERLINK("https://klasma.github.io/Logging_2481/tillsynsmail/A 9924-2024 tillsynsbegäran mail.docx", "A 9924-2024")</f>
        <v/>
      </c>
    </row>
    <row r="125" ht="15" customHeight="1">
      <c r="A125" t="inlineStr">
        <is>
          <t>A 37823-2025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45881</v>
      </c>
      <c r="E125" s="1" t="n">
        <v>46217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Plattlummer</t>
        </is>
      </c>
      <c r="V125">
        <f>HYPERLINK("https://klasma.github.io/Logging_2481/artfynd/A 37823-2025 artfynd.xlsx", "A 37823-2025")</f>
        <v/>
      </c>
      <c r="W125">
        <f>HYPERLINK("https://klasma.github.io/Logging_2481/kartor/A 37823-2025 karta.png", "A 37823-2025")</f>
        <v/>
      </c>
      <c r="Y125">
        <f>HYPERLINK("https://klasma.github.io/Logging_2481/klagomål/A 37823-2025 FSC-klagomål.docx", "A 37823-2025")</f>
        <v/>
      </c>
      <c r="Z125">
        <f>HYPERLINK("https://klasma.github.io/Logging_2481/klagomålsmail/A 37823-2025 FSC-klagomål mail.docx", "A 37823-2025")</f>
        <v/>
      </c>
      <c r="AA125">
        <f>HYPERLINK("https://klasma.github.io/Logging_2481/tillsyn/A 37823-2025 tillsynsbegäran.docx", "A 37823-2025")</f>
        <v/>
      </c>
      <c r="AB125">
        <f>HYPERLINK("https://klasma.github.io/Logging_2481/tillsynsmail/A 37823-2025 tillsynsbegäran mail.docx", "A 37823-2025")</f>
        <v/>
      </c>
    </row>
    <row r="126" ht="15" customHeight="1">
      <c r="A126" t="inlineStr">
        <is>
          <t>A 39231-2025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46217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Mörk kolflarnlav</t>
        </is>
      </c>
      <c r="V126">
        <f>HYPERLINK("https://klasma.github.io/Logging_2481/artfynd/A 39231-2025 artfynd.xlsx", "A 39231-2025")</f>
        <v/>
      </c>
      <c r="W126">
        <f>HYPERLINK("https://klasma.github.io/Logging_2481/kartor/A 39231-2025 karta.png", "A 39231-2025")</f>
        <v/>
      </c>
      <c r="Y126">
        <f>HYPERLINK("https://klasma.github.io/Logging_2481/klagomål/A 39231-2025 FSC-klagomål.docx", "A 39231-2025")</f>
        <v/>
      </c>
      <c r="Z126">
        <f>HYPERLINK("https://klasma.github.io/Logging_2481/klagomålsmail/A 39231-2025 FSC-klagomål mail.docx", "A 39231-2025")</f>
        <v/>
      </c>
      <c r="AA126">
        <f>HYPERLINK("https://klasma.github.io/Logging_2481/tillsyn/A 39231-2025 tillsynsbegäran.docx", "A 39231-2025")</f>
        <v/>
      </c>
      <c r="AB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39280-2025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46217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Lunglav</t>
        </is>
      </c>
      <c r="V127">
        <f>HYPERLINK("https://klasma.github.io/Logging_2481/artfynd/A 39280-2025 artfynd.xlsx", "A 39280-2025")</f>
        <v/>
      </c>
      <c r="W127">
        <f>HYPERLINK("https://klasma.github.io/Logging_2481/kartor/A 39280-2025 karta.png", "A 39280-2025")</f>
        <v/>
      </c>
      <c r="Y127">
        <f>HYPERLINK("https://klasma.github.io/Logging_2481/klagomål/A 39280-2025 FSC-klagomål.docx", "A 39280-2025")</f>
        <v/>
      </c>
      <c r="Z127">
        <f>HYPERLINK("https://klasma.github.io/Logging_2481/klagomålsmail/A 39280-2025 FSC-klagomål mail.docx", "A 39280-2025")</f>
        <v/>
      </c>
      <c r="AA127">
        <f>HYPERLINK("https://klasma.github.io/Logging_2481/tillsyn/A 39280-2025 tillsynsbegäran.docx", "A 39280-2025")</f>
        <v/>
      </c>
      <c r="AB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25701-2026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46178</v>
      </c>
      <c r="E128" s="1" t="n">
        <v>46217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Skrovellav</t>
        </is>
      </c>
      <c r="V128">
        <f>HYPERLINK("https://klasma.github.io/Logging_2481/artfynd/A 25701-2026 artfynd.xlsx", "A 25701-2026")</f>
        <v/>
      </c>
      <c r="W128">
        <f>HYPERLINK("https://klasma.github.io/Logging_2481/kartor/A 25701-2026 karta.png", "A 25701-2026")</f>
        <v/>
      </c>
      <c r="Y128">
        <f>HYPERLINK("https://klasma.github.io/Logging_2481/klagomål/A 25701-2026 FSC-klagomål.docx", "A 25701-2026")</f>
        <v/>
      </c>
      <c r="Z128">
        <f>HYPERLINK("https://klasma.github.io/Logging_2481/klagomålsmail/A 25701-2026 FSC-klagomål mail.docx", "A 25701-2026")</f>
        <v/>
      </c>
      <c r="AA128">
        <f>HYPERLINK("https://klasma.github.io/Logging_2481/tillsyn/A 25701-2026 tillsynsbegäran.docx", "A 25701-2026")</f>
        <v/>
      </c>
      <c r="AB128">
        <f>HYPERLINK("https://klasma.github.io/Logging_2481/tillsynsmail/A 25701-2026 tillsynsbegäran mail.docx", "A 25701-2026")</f>
        <v/>
      </c>
    </row>
    <row r="129" ht="15" customHeight="1">
      <c r="A129" t="inlineStr">
        <is>
          <t>A 25706-2026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46178</v>
      </c>
      <c r="E129" s="1" t="n">
        <v>46217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7.9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Lunglav</t>
        </is>
      </c>
      <c r="V129">
        <f>HYPERLINK("https://klasma.github.io/Logging_2481/artfynd/A 25706-2026 artfynd.xlsx", "A 25706-2026")</f>
        <v/>
      </c>
      <c r="W129">
        <f>HYPERLINK("https://klasma.github.io/Logging_2481/kartor/A 25706-2026 karta.png", "A 25706-2026")</f>
        <v/>
      </c>
      <c r="Y129">
        <f>HYPERLINK("https://klasma.github.io/Logging_2481/klagomål/A 25706-2026 FSC-klagomål.docx", "A 25706-2026")</f>
        <v/>
      </c>
      <c r="Z129">
        <f>HYPERLINK("https://klasma.github.io/Logging_2481/klagomålsmail/A 25706-2026 FSC-klagomål mail.docx", "A 25706-2026")</f>
        <v/>
      </c>
      <c r="AA129">
        <f>HYPERLINK("https://klasma.github.io/Logging_2481/tillsyn/A 25706-2026 tillsynsbegäran.docx", "A 25706-2026")</f>
        <v/>
      </c>
      <c r="AB129">
        <f>HYPERLINK("https://klasma.github.io/Logging_2481/tillsynsmail/A 25706-2026 tillsynsbegäran mail.docx", "A 25706-2026")</f>
        <v/>
      </c>
    </row>
    <row r="130" ht="15" customHeight="1">
      <c r="A130" t="inlineStr">
        <is>
          <t>A 25720-2026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46178</v>
      </c>
      <c r="E130" s="1" t="n">
        <v>46217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Orange taggsvamp</t>
        </is>
      </c>
      <c r="V130">
        <f>HYPERLINK("https://klasma.github.io/Logging_2481/artfynd/A 25720-2026 artfynd.xlsx", "A 25720-2026")</f>
        <v/>
      </c>
      <c r="W130">
        <f>HYPERLINK("https://klasma.github.io/Logging_2481/kartor/A 25720-2026 karta.png", "A 25720-2026")</f>
        <v/>
      </c>
      <c r="Y130">
        <f>HYPERLINK("https://klasma.github.io/Logging_2481/klagomål/A 25720-2026 FSC-klagomål.docx", "A 25720-2026")</f>
        <v/>
      </c>
      <c r="Z130">
        <f>HYPERLINK("https://klasma.github.io/Logging_2481/klagomålsmail/A 25720-2026 FSC-klagomål mail.docx", "A 25720-2026")</f>
        <v/>
      </c>
      <c r="AA130">
        <f>HYPERLINK("https://klasma.github.io/Logging_2481/tillsyn/A 25720-2026 tillsynsbegäran.docx", "A 25720-2026")</f>
        <v/>
      </c>
      <c r="AB130">
        <f>HYPERLINK("https://klasma.github.io/Logging_2481/tillsynsmail/A 25720-2026 tillsynsbegäran mail.docx", "A 25720-2026")</f>
        <v/>
      </c>
    </row>
    <row r="131" ht="15" customHeight="1">
      <c r="A131" t="inlineStr">
        <is>
          <t>A 44360-2025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46217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Garnlav</t>
        </is>
      </c>
      <c r="V131">
        <f>HYPERLINK("https://klasma.github.io/Logging_2481/artfynd/A 44360-2025 artfynd.xlsx", "A 44360-2025")</f>
        <v/>
      </c>
      <c r="W131">
        <f>HYPERLINK("https://klasma.github.io/Logging_2481/kartor/A 44360-2025 karta.png", "A 44360-2025")</f>
        <v/>
      </c>
      <c r="Y131">
        <f>HYPERLINK("https://klasma.github.io/Logging_2481/klagomål/A 44360-2025 FSC-klagomål.docx", "A 44360-2025")</f>
        <v/>
      </c>
      <c r="Z131">
        <f>HYPERLINK("https://klasma.github.io/Logging_2481/klagomålsmail/A 44360-2025 FSC-klagomål mail.docx", "A 44360-2025")</f>
        <v/>
      </c>
      <c r="AA131">
        <f>HYPERLINK("https://klasma.github.io/Logging_2481/tillsyn/A 44360-2025 tillsynsbegäran.docx", "A 44360-2025")</f>
        <v/>
      </c>
      <c r="AB131">
        <f>HYPERLINK("https://klasma.github.io/Logging_2481/tillsynsmail/A 44360-2025 tillsynsbegäran mail.docx", "A 44360-2025")</f>
        <v/>
      </c>
    </row>
    <row r="132" ht="15" customHeight="1">
      <c r="A132" t="inlineStr">
        <is>
          <t>A 44331-2025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46217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4.8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Kolflarnlav</t>
        </is>
      </c>
      <c r="V132">
        <f>HYPERLINK("https://klasma.github.io/Logging_2481/artfynd/A 44331-2025 artfynd.xlsx", "A 44331-2025")</f>
        <v/>
      </c>
      <c r="W132">
        <f>HYPERLINK("https://klasma.github.io/Logging_2481/kartor/A 44331-2025 karta.png", "A 44331-2025")</f>
        <v/>
      </c>
      <c r="Y132">
        <f>HYPERLINK("https://klasma.github.io/Logging_2481/klagomål/A 44331-2025 FSC-klagomål.docx", "A 44331-2025")</f>
        <v/>
      </c>
      <c r="Z132">
        <f>HYPERLINK("https://klasma.github.io/Logging_2481/klagomålsmail/A 44331-2025 FSC-klagomål mail.docx", "A 44331-2025")</f>
        <v/>
      </c>
      <c r="AA132">
        <f>HYPERLINK("https://klasma.github.io/Logging_2481/tillsyn/A 44331-2025 tillsynsbegäran.docx", "A 44331-2025")</f>
        <v/>
      </c>
      <c r="AB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46217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Kolflarnlav</t>
        </is>
      </c>
      <c r="V133">
        <f>HYPERLINK("https://klasma.github.io/Logging_2481/artfynd/A 45127-2025 artfynd.xlsx", "A 45127-2025")</f>
        <v/>
      </c>
      <c r="W133">
        <f>HYPERLINK("https://klasma.github.io/Logging_2481/kartor/A 45127-2025 karta.png", "A 45127-2025")</f>
        <v/>
      </c>
      <c r="Y133">
        <f>HYPERLINK("https://klasma.github.io/Logging_2481/klagomål/A 45127-2025 FSC-klagomål.docx", "A 45127-2025")</f>
        <v/>
      </c>
      <c r="Z133">
        <f>HYPERLINK("https://klasma.github.io/Logging_2481/klagomålsmail/A 45127-2025 FSC-klagomål mail.docx", "A 45127-2025")</f>
        <v/>
      </c>
      <c r="AA133">
        <f>HYPERLINK("https://klasma.github.io/Logging_2481/tillsyn/A 45127-2025 tillsynsbegäran.docx", "A 45127-2025")</f>
        <v/>
      </c>
      <c r="AB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47454-2025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46217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Motaggsvamp</t>
        </is>
      </c>
      <c r="V134">
        <f>HYPERLINK("https://klasma.github.io/Logging_2481/artfynd/A 47454-2025 artfynd.xlsx", "A 47454-2025")</f>
        <v/>
      </c>
      <c r="W134">
        <f>HYPERLINK("https://klasma.github.io/Logging_2481/kartor/A 47454-2025 karta.png", "A 47454-2025")</f>
        <v/>
      </c>
      <c r="Y134">
        <f>HYPERLINK("https://klasma.github.io/Logging_2481/klagomål/A 47454-2025 FSC-klagomål.docx", "A 47454-2025")</f>
        <v/>
      </c>
      <c r="Z134">
        <f>HYPERLINK("https://klasma.github.io/Logging_2481/klagomålsmail/A 47454-2025 FSC-klagomål mail.docx", "A 47454-2025")</f>
        <v/>
      </c>
      <c r="AA134">
        <f>HYPERLINK("https://klasma.github.io/Logging_2481/tillsyn/A 47454-2025 tillsynsbegäran.docx", "A 47454-2025")</f>
        <v/>
      </c>
      <c r="AB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20404-2026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46217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Utter</t>
        </is>
      </c>
      <c r="V135">
        <f>HYPERLINK("https://klasma.github.io/Logging_2481/artfynd/A 20404-2026 artfynd.xlsx", "A 20404-2026")</f>
        <v/>
      </c>
      <c r="W135">
        <f>HYPERLINK("https://klasma.github.io/Logging_2481/kartor/A 20404-2026 karta.png", "A 20404-2026")</f>
        <v/>
      </c>
      <c r="Y135">
        <f>HYPERLINK("https://klasma.github.io/Logging_2481/klagomål/A 20404-2026 FSC-klagomål.docx", "A 20404-2026")</f>
        <v/>
      </c>
      <c r="Z135">
        <f>HYPERLINK("https://klasma.github.io/Logging_2481/klagomålsmail/A 20404-2026 FSC-klagomål mail.docx", "A 20404-2026")</f>
        <v/>
      </c>
      <c r="AA135">
        <f>HYPERLINK("https://klasma.github.io/Logging_2481/tillsyn/A 20404-2026 tillsynsbegäran.docx", "A 20404-2026")</f>
        <v/>
      </c>
      <c r="AB135">
        <f>HYPERLINK("https://klasma.github.io/Logging_2481/tillsynsmail/A 20404-2026 tillsynsbegäran mail.docx", "A 20404-2026")</f>
        <v/>
      </c>
    </row>
    <row r="136" ht="15" customHeight="1">
      <c r="A136" t="inlineStr">
        <is>
          <t>A 50463-2025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46217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Dropptaggsvamp</t>
        </is>
      </c>
      <c r="V136">
        <f>HYPERLINK("https://klasma.github.io/Logging_2481/artfynd/A 50463-2025 artfynd.xlsx", "A 50463-2025")</f>
        <v/>
      </c>
      <c r="W136">
        <f>HYPERLINK("https://klasma.github.io/Logging_2481/kartor/A 50463-2025 karta.png", "A 50463-2025")</f>
        <v/>
      </c>
      <c r="Y136">
        <f>HYPERLINK("https://klasma.github.io/Logging_2481/klagomål/A 50463-2025 FSC-klagomål.docx", "A 50463-2025")</f>
        <v/>
      </c>
      <c r="Z136">
        <f>HYPERLINK("https://klasma.github.io/Logging_2481/klagomålsmail/A 50463-2025 FSC-klagomål mail.docx", "A 50463-2025")</f>
        <v/>
      </c>
      <c r="AA136">
        <f>HYPERLINK("https://klasma.github.io/Logging_2481/tillsyn/A 50463-2025 tillsynsbegäran.docx", "A 50463-2025")</f>
        <v/>
      </c>
      <c r="AB136">
        <f>HYPERLINK("https://klasma.github.io/Logging_2481/tillsynsmail/A 50463-2025 tillsynsbegäran mail.docx", "A 50463-2025")</f>
        <v/>
      </c>
    </row>
    <row r="137" ht="15" customHeight="1">
      <c r="A137" t="inlineStr">
        <is>
          <t>A 53108-2025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46217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14.1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Bårdlav</t>
        </is>
      </c>
      <c r="V137">
        <f>HYPERLINK("https://klasma.github.io/Logging_2481/artfynd/A 53108-2025 artfynd.xlsx", "A 53108-2025")</f>
        <v/>
      </c>
      <c r="W137">
        <f>HYPERLINK("https://klasma.github.io/Logging_2481/kartor/A 53108-2025 karta.png", "A 53108-2025")</f>
        <v/>
      </c>
      <c r="Y137">
        <f>HYPERLINK("https://klasma.github.io/Logging_2481/klagomål/A 53108-2025 FSC-klagomål.docx", "A 53108-2025")</f>
        <v/>
      </c>
      <c r="Z137">
        <f>HYPERLINK("https://klasma.github.io/Logging_2481/klagomålsmail/A 53108-2025 FSC-klagomål mail.docx", "A 53108-2025")</f>
        <v/>
      </c>
      <c r="AA137">
        <f>HYPERLINK("https://klasma.github.io/Logging_2481/tillsyn/A 53108-2025 tillsynsbegäran.docx", "A 53108-2025")</f>
        <v/>
      </c>
      <c r="AB137">
        <f>HYPERLINK("https://klasma.github.io/Logging_2481/tillsynsmail/A 53108-2025 tillsynsbegäran mail.docx", "A 53108-2025")</f>
        <v/>
      </c>
    </row>
    <row r="138" ht="15" customHeight="1">
      <c r="A138" t="inlineStr">
        <is>
          <t>A 53110-2025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46217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16.2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Kolflarnlav</t>
        </is>
      </c>
      <c r="V138">
        <f>HYPERLINK("https://klasma.github.io/Logging_2481/artfynd/A 53110-2025 artfynd.xlsx", "A 53110-2025")</f>
        <v/>
      </c>
      <c r="W138">
        <f>HYPERLINK("https://klasma.github.io/Logging_2481/kartor/A 53110-2025 karta.png", "A 53110-2025")</f>
        <v/>
      </c>
      <c r="Y138">
        <f>HYPERLINK("https://klasma.github.io/Logging_2481/klagomål/A 53110-2025 FSC-klagomål.docx", "A 53110-2025")</f>
        <v/>
      </c>
      <c r="Z138">
        <f>HYPERLINK("https://klasma.github.io/Logging_2481/klagomålsmail/A 53110-2025 FSC-klagomål mail.docx", "A 53110-2025")</f>
        <v/>
      </c>
      <c r="AA138">
        <f>HYPERLINK("https://klasma.github.io/Logging_2481/tillsyn/A 53110-2025 tillsynsbegäran.docx", "A 53110-2025")</f>
        <v/>
      </c>
      <c r="AB138">
        <f>HYPERLINK("https://klasma.github.io/Logging_2481/tillsynsmail/A 53110-2025 tillsynsbegäran mail.docx", "A 53110-2025")</f>
        <v/>
      </c>
    </row>
    <row r="139" ht="15" customHeight="1">
      <c r="A139" t="inlineStr">
        <is>
          <t>A 54277-2025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46217</v>
      </c>
      <c r="F139" t="inlineStr">
        <is>
          <t>VÄSTERBOTTENS LÄN</t>
        </is>
      </c>
      <c r="G139" t="inlineStr">
        <is>
          <t>LYCKSELE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s="2" t="inlineStr">
        <is>
          <t>Garnlav</t>
        </is>
      </c>
      <c r="V139">
        <f>HYPERLINK("https://klasma.github.io/Logging_2481/artfynd/A 54277-2025 artfynd.xlsx", "A 54277-2025")</f>
        <v/>
      </c>
      <c r="W139">
        <f>HYPERLINK("https://klasma.github.io/Logging_2481/kartor/A 54277-2025 karta.png", "A 54277-2025")</f>
        <v/>
      </c>
      <c r="Y139">
        <f>HYPERLINK("https://klasma.github.io/Logging_2481/klagomål/A 54277-2025 FSC-klagomål.docx", "A 54277-2025")</f>
        <v/>
      </c>
      <c r="Z139">
        <f>HYPERLINK("https://klasma.github.io/Logging_2481/klagomålsmail/A 54277-2025 FSC-klagomål mail.docx", "A 54277-2025")</f>
        <v/>
      </c>
      <c r="AA139">
        <f>HYPERLINK("https://klasma.github.io/Logging_2481/tillsyn/A 54277-2025 tillsynsbegäran.docx", "A 54277-2025")</f>
        <v/>
      </c>
      <c r="AB139">
        <f>HYPERLINK("https://klasma.github.io/Logging_2481/tillsynsmail/A 54277-2025 tillsynsbegäran mail.docx", "A 54277-2025")</f>
        <v/>
      </c>
    </row>
    <row r="140" ht="15" customHeight="1">
      <c r="A140" t="inlineStr">
        <is>
          <t>A 55938-2023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46217</v>
      </c>
      <c r="F140" t="inlineStr">
        <is>
          <t>VÄSTERBOTTENS LÄN</t>
        </is>
      </c>
      <c r="G140" t="inlineStr">
        <is>
          <t>LYCKSELE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Järpe</t>
        </is>
      </c>
      <c r="V140">
        <f>HYPERLINK("https://klasma.github.io/Logging_2481/artfynd/A 55938-2023 artfynd.xlsx", "A 55938-2023")</f>
        <v/>
      </c>
      <c r="W140">
        <f>HYPERLINK("https://klasma.github.io/Logging_2481/kartor/A 55938-2023 karta.png", "A 55938-2023")</f>
        <v/>
      </c>
      <c r="Y140">
        <f>HYPERLINK("https://klasma.github.io/Logging_2481/klagomål/A 55938-2023 FSC-klagomål.docx", "A 55938-2023")</f>
        <v/>
      </c>
      <c r="Z140">
        <f>HYPERLINK("https://klasma.github.io/Logging_2481/klagomålsmail/A 55938-2023 FSC-klagomål mail.docx", "A 55938-2023")</f>
        <v/>
      </c>
      <c r="AA140">
        <f>HYPERLINK("https://klasma.github.io/Logging_2481/tillsyn/A 55938-2023 tillsynsbegäran.docx", "A 55938-2023")</f>
        <v/>
      </c>
      <c r="AB140">
        <f>HYPERLINK("https://klasma.github.io/Logging_2481/tillsynsmail/A 55938-2023 tillsynsbegäran mail.docx", "A 55938-2023")</f>
        <v/>
      </c>
      <c r="AC140">
        <f>HYPERLINK("https://klasma.github.io/Logging_2481/fåglar/A 55938-2023 prioriterade fågelarter.docx", "A 55938-2023")</f>
        <v/>
      </c>
    </row>
    <row r="141" ht="15" customHeight="1">
      <c r="A141" t="inlineStr">
        <is>
          <t>A 28408-2023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45101</v>
      </c>
      <c r="E141" s="1" t="n">
        <v>46217</v>
      </c>
      <c r="F141" t="inlineStr">
        <is>
          <t>VÄSTERBOTTENS LÄN</t>
        </is>
      </c>
      <c r="G141" t="inlineStr">
        <is>
          <t>LYCKSELE</t>
        </is>
      </c>
      <c r="I141" t="n">
        <v>5.7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Blå taggsvamp</t>
        </is>
      </c>
      <c r="V141">
        <f>HYPERLINK("https://klasma.github.io/Logging_2481/artfynd/A 28408-2023 artfynd.xlsx", "A 28408-2023")</f>
        <v/>
      </c>
      <c r="W141">
        <f>HYPERLINK("https://klasma.github.io/Logging_2481/kartor/A 28408-2023 karta.png", "A 28408-2023")</f>
        <v/>
      </c>
      <c r="Y141">
        <f>HYPERLINK("https://klasma.github.io/Logging_2481/klagomål/A 28408-2023 FSC-klagomål.docx", "A 28408-2023")</f>
        <v/>
      </c>
      <c r="Z141">
        <f>HYPERLINK("https://klasma.github.io/Logging_2481/klagomålsmail/A 28408-2023 FSC-klagomål mail.docx", "A 28408-2023")</f>
        <v/>
      </c>
      <c r="AA141">
        <f>HYPERLINK("https://klasma.github.io/Logging_2481/tillsyn/A 28408-2023 tillsynsbegäran.docx", "A 28408-2023")</f>
        <v/>
      </c>
      <c r="AB141">
        <f>HYPERLINK("https://klasma.github.io/Logging_2481/tillsynsmail/A 28408-2023 tillsynsbegäran mail.docx", "A 28408-2023")</f>
        <v/>
      </c>
    </row>
    <row r="142" ht="15" customHeight="1">
      <c r="A142" t="inlineStr">
        <is>
          <t>A 58071-2025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45982</v>
      </c>
      <c r="E142" s="1" t="n">
        <v>46217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Stuplav</t>
        </is>
      </c>
      <c r="V142">
        <f>HYPERLINK("https://klasma.github.io/Logging_2481/artfynd/A 58071-2025 artfynd.xlsx", "A 58071-2025")</f>
        <v/>
      </c>
      <c r="W142">
        <f>HYPERLINK("https://klasma.github.io/Logging_2481/kartor/A 58071-2025 karta.png", "A 58071-2025")</f>
        <v/>
      </c>
      <c r="Y142">
        <f>HYPERLINK("https://klasma.github.io/Logging_2481/klagomål/A 58071-2025 FSC-klagomål.docx", "A 58071-2025")</f>
        <v/>
      </c>
      <c r="Z142">
        <f>HYPERLINK("https://klasma.github.io/Logging_2481/klagomålsmail/A 58071-2025 FSC-klagomål mail.docx", "A 58071-2025")</f>
        <v/>
      </c>
      <c r="AA142">
        <f>HYPERLINK("https://klasma.github.io/Logging_2481/tillsyn/A 58071-2025 tillsynsbegäran.docx", "A 58071-2025")</f>
        <v/>
      </c>
      <c r="AB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58390-2025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46217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9.1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Lunglav</t>
        </is>
      </c>
      <c r="V143">
        <f>HYPERLINK("https://klasma.github.io/Logging_2481/artfynd/A 58390-2025 artfynd.xlsx", "A 58390-2025")</f>
        <v/>
      </c>
      <c r="W143">
        <f>HYPERLINK("https://klasma.github.io/Logging_2481/kartor/A 58390-2025 karta.png", "A 58390-2025")</f>
        <v/>
      </c>
      <c r="Y143">
        <f>HYPERLINK("https://klasma.github.io/Logging_2481/klagomål/A 58390-2025 FSC-klagomål.docx", "A 58390-2025")</f>
        <v/>
      </c>
      <c r="Z143">
        <f>HYPERLINK("https://klasma.github.io/Logging_2481/klagomålsmail/A 58390-2025 FSC-klagomål mail.docx", "A 58390-2025")</f>
        <v/>
      </c>
      <c r="AA143">
        <f>HYPERLINK("https://klasma.github.io/Logging_2481/tillsyn/A 58390-2025 tillsynsbegäran.docx", "A 58390-2025")</f>
        <v/>
      </c>
      <c r="AB143">
        <f>HYPERLINK("https://klasma.github.io/Logging_2481/tillsynsmail/A 58390-2025 tillsynsbegäran mail.docx", "A 58390-2025")</f>
        <v/>
      </c>
    </row>
    <row r="144" ht="15" customHeight="1">
      <c r="A144" t="inlineStr">
        <is>
          <t>A 27161-2026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46217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Lunglav</t>
        </is>
      </c>
      <c r="V144">
        <f>HYPERLINK("https://klasma.github.io/Logging_2481/artfynd/A 27161-2026 artfynd.xlsx", "A 27161-2026")</f>
        <v/>
      </c>
      <c r="W144">
        <f>HYPERLINK("https://klasma.github.io/Logging_2481/kartor/A 27161-2026 karta.png", "A 27161-2026")</f>
        <v/>
      </c>
      <c r="Y144">
        <f>HYPERLINK("https://klasma.github.io/Logging_2481/klagomål/A 27161-2026 FSC-klagomål.docx", "A 27161-2026")</f>
        <v/>
      </c>
      <c r="Z144">
        <f>HYPERLINK("https://klasma.github.io/Logging_2481/klagomålsmail/A 27161-2026 FSC-klagomål mail.docx", "A 27161-2026")</f>
        <v/>
      </c>
      <c r="AA144">
        <f>HYPERLINK("https://klasma.github.io/Logging_2481/tillsyn/A 27161-2026 tillsynsbegäran.docx", "A 27161-2026")</f>
        <v/>
      </c>
      <c r="AB144">
        <f>HYPERLINK("https://klasma.github.io/Logging_2481/tillsynsmail/A 27161-2026 tillsynsbegäran mail.docx", "A 27161-2026")</f>
        <v/>
      </c>
    </row>
    <row r="145" ht="15" customHeight="1">
      <c r="A145" t="inlineStr">
        <is>
          <t>A 27830-2026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46217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Holmen skog AB</t>
        </is>
      </c>
      <c r="I145" t="n">
        <v>1.6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Fläcknycklar</t>
        </is>
      </c>
      <c r="V145">
        <f>HYPERLINK("https://klasma.github.io/Logging_2481/artfynd/A 27830-2026 artfynd.xlsx", "A 27830-2026")</f>
        <v/>
      </c>
      <c r="W145">
        <f>HYPERLINK("https://klasma.github.io/Logging_2481/kartor/A 27830-2026 karta.png", "A 27830-2026")</f>
        <v/>
      </c>
      <c r="Y145">
        <f>HYPERLINK("https://klasma.github.io/Logging_2481/klagomål/A 27830-2026 FSC-klagomål.docx", "A 27830-2026")</f>
        <v/>
      </c>
      <c r="Z145">
        <f>HYPERLINK("https://klasma.github.io/Logging_2481/klagomålsmail/A 27830-2026 FSC-klagomål mail.docx", "A 27830-2026")</f>
        <v/>
      </c>
      <c r="AA145">
        <f>HYPERLINK("https://klasma.github.io/Logging_2481/tillsyn/A 27830-2026 tillsynsbegäran.docx", "A 27830-2026")</f>
        <v/>
      </c>
      <c r="AB145">
        <f>HYPERLINK("https://klasma.github.io/Logging_2481/tillsynsmail/A 27830-2026 tillsynsbegäran mail.docx", "A 27830-2026")</f>
        <v/>
      </c>
    </row>
    <row r="146" ht="15" customHeight="1">
      <c r="A146" t="inlineStr">
        <is>
          <t>A 22120-2026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46217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Kolflarnlav</t>
        </is>
      </c>
      <c r="V146">
        <f>HYPERLINK("https://klasma.github.io/Logging_2481/artfynd/A 22120-2026 artfynd.xlsx", "A 22120-2026")</f>
        <v/>
      </c>
      <c r="W146">
        <f>HYPERLINK("https://klasma.github.io/Logging_2481/kartor/A 22120-2026 karta.png", "A 22120-2026")</f>
        <v/>
      </c>
      <c r="Y146">
        <f>HYPERLINK("https://klasma.github.io/Logging_2481/klagomål/A 22120-2026 FSC-klagomål.docx", "A 22120-2026")</f>
        <v/>
      </c>
      <c r="Z146">
        <f>HYPERLINK("https://klasma.github.io/Logging_2481/klagomålsmail/A 22120-2026 FSC-klagomål mail.docx", "A 22120-2026")</f>
        <v/>
      </c>
      <c r="AA146">
        <f>HYPERLINK("https://klasma.github.io/Logging_2481/tillsyn/A 22120-2026 tillsynsbegäran.docx", "A 22120-2026")</f>
        <v/>
      </c>
      <c r="AB146">
        <f>HYPERLINK("https://klasma.github.io/Logging_2481/tillsynsmail/A 22120-2026 tillsynsbegäran mail.docx", "A 22120-2026")</f>
        <v/>
      </c>
    </row>
    <row r="147" ht="15" customHeight="1">
      <c r="A147" t="inlineStr">
        <is>
          <t>A 20929-2025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46217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Dropptaggsvamp</t>
        </is>
      </c>
      <c r="V147">
        <f>HYPERLINK("https://klasma.github.io/Logging_2481/artfynd/A 20929-2025 artfynd.xlsx", "A 20929-2025")</f>
        <v/>
      </c>
      <c r="W147">
        <f>HYPERLINK("https://klasma.github.io/Logging_2481/kartor/A 20929-2025 karta.png", "A 20929-2025")</f>
        <v/>
      </c>
      <c r="Y147">
        <f>HYPERLINK("https://klasma.github.io/Logging_2481/klagomål/A 20929-2025 FSC-klagomål.docx", "A 20929-2025")</f>
        <v/>
      </c>
      <c r="Z147">
        <f>HYPERLINK("https://klasma.github.io/Logging_2481/klagomålsmail/A 20929-2025 FSC-klagomål mail.docx", "A 20929-2025")</f>
        <v/>
      </c>
      <c r="AA147">
        <f>HYPERLINK("https://klasma.github.io/Logging_2481/tillsyn/A 20929-2025 tillsynsbegäran.docx", "A 20929-2025")</f>
        <v/>
      </c>
      <c r="AB147">
        <f>HYPERLINK("https://klasma.github.io/Logging_2481/tillsynsmail/A 20929-2025 tillsynsbegäran mail.docx", "A 20929-2025")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46217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Lunglav</t>
        </is>
      </c>
      <c r="V148">
        <f>HYPERLINK("https://klasma.github.io/Logging_2481/artfynd/A 59883-2025 artfynd.xlsx", "A 59883-2025")</f>
        <v/>
      </c>
      <c r="W148">
        <f>HYPERLINK("https://klasma.github.io/Logging_2481/kartor/A 59883-2025 karta.png", "A 59883-2025")</f>
        <v/>
      </c>
      <c r="Y148">
        <f>HYPERLINK("https://klasma.github.io/Logging_2481/klagomål/A 59883-2025 FSC-klagomål.docx", "A 59883-2025")</f>
        <v/>
      </c>
      <c r="Z148">
        <f>HYPERLINK("https://klasma.github.io/Logging_2481/klagomålsmail/A 59883-2025 FSC-klagomål mail.docx", "A 59883-2025")</f>
        <v/>
      </c>
      <c r="AA148">
        <f>HYPERLINK("https://klasma.github.io/Logging_2481/tillsyn/A 59883-2025 tillsynsbegäran.docx", "A 59883-2025")</f>
        <v/>
      </c>
      <c r="AB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72131-2021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46217</v>
      </c>
      <c r="F149" t="inlineStr">
        <is>
          <t>VÄSTERBOTTENS LÄN</t>
        </is>
      </c>
      <c r="G149" t="inlineStr">
        <is>
          <t>LYCKSELE</t>
        </is>
      </c>
      <c r="I149" t="n">
        <v>19.1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Tretåig hackspett</t>
        </is>
      </c>
      <c r="V149">
        <f>HYPERLINK("https://klasma.github.io/Logging_2481/artfynd/A 72131-2021 artfynd.xlsx", "A 72131-2021")</f>
        <v/>
      </c>
      <c r="W149">
        <f>HYPERLINK("https://klasma.github.io/Logging_2481/kartor/A 72131-2021 karta.png", "A 72131-2021")</f>
        <v/>
      </c>
      <c r="Y149">
        <f>HYPERLINK("https://klasma.github.io/Logging_2481/klagomål/A 72131-2021 FSC-klagomål.docx", "A 72131-2021")</f>
        <v/>
      </c>
      <c r="Z149">
        <f>HYPERLINK("https://klasma.github.io/Logging_2481/klagomålsmail/A 72131-2021 FSC-klagomål mail.docx", "A 72131-2021")</f>
        <v/>
      </c>
      <c r="AA149">
        <f>HYPERLINK("https://klasma.github.io/Logging_2481/tillsyn/A 72131-2021 tillsynsbegäran.docx", "A 72131-2021")</f>
        <v/>
      </c>
      <c r="AB149">
        <f>HYPERLINK("https://klasma.github.io/Logging_2481/tillsynsmail/A 72131-2021 tillsynsbegäran mail.docx", "A 72131-2021")</f>
        <v/>
      </c>
      <c r="AC149">
        <f>HYPERLINK("https://klasma.github.io/Logging_2481/fåglar/A 72131-2021 prioriterade fågelarter.docx", "A 72131-2021")</f>
        <v/>
      </c>
    </row>
    <row r="150" ht="15" customHeight="1">
      <c r="A150" t="inlineStr">
        <is>
          <t>A 62317-2025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46217</v>
      </c>
      <c r="F150" t="inlineStr">
        <is>
          <t>VÄSTERBOTTENS LÄN</t>
        </is>
      </c>
      <c r="G150" t="inlineStr">
        <is>
          <t>LYCKSELE</t>
        </is>
      </c>
      <c r="I150" t="n">
        <v>0.9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Plattlummer</t>
        </is>
      </c>
      <c r="V150">
        <f>HYPERLINK("https://klasma.github.io/Logging_2481/artfynd/A 62317-2025 artfynd.xlsx", "A 62317-2025")</f>
        <v/>
      </c>
      <c r="W150">
        <f>HYPERLINK("https://klasma.github.io/Logging_2481/kartor/A 62317-2025 karta.png", "A 62317-2025")</f>
        <v/>
      </c>
      <c r="Y150">
        <f>HYPERLINK("https://klasma.github.io/Logging_2481/klagomål/A 62317-2025 FSC-klagomål.docx", "A 62317-2025")</f>
        <v/>
      </c>
      <c r="Z150">
        <f>HYPERLINK("https://klasma.github.io/Logging_2481/klagomålsmail/A 62317-2025 FSC-klagomål mail.docx", "A 62317-2025")</f>
        <v/>
      </c>
      <c r="AA150">
        <f>HYPERLINK("https://klasma.github.io/Logging_2481/tillsyn/A 62317-2025 tillsynsbegäran.docx", "A 62317-2025")</f>
        <v/>
      </c>
      <c r="AB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28806-2026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46217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Holmen skog AB</t>
        </is>
      </c>
      <c r="I151" t="n">
        <v>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Skinnlav</t>
        </is>
      </c>
      <c r="V151">
        <f>HYPERLINK("https://klasma.github.io/Logging_2481/artfynd/A 28806-2026 artfynd.xlsx", "A 28806-2026")</f>
        <v/>
      </c>
      <c r="W151">
        <f>HYPERLINK("https://klasma.github.io/Logging_2481/kartor/A 28806-2026 karta.png", "A 28806-2026")</f>
        <v/>
      </c>
      <c r="Y151">
        <f>HYPERLINK("https://klasma.github.io/Logging_2481/klagomål/A 28806-2026 FSC-klagomål.docx", "A 28806-2026")</f>
        <v/>
      </c>
      <c r="Z151">
        <f>HYPERLINK("https://klasma.github.io/Logging_2481/klagomålsmail/A 28806-2026 FSC-klagomål mail.docx", "A 28806-2026")</f>
        <v/>
      </c>
      <c r="AA151">
        <f>HYPERLINK("https://klasma.github.io/Logging_2481/tillsyn/A 28806-2026 tillsynsbegäran.docx", "A 28806-2026")</f>
        <v/>
      </c>
      <c r="AB151">
        <f>HYPERLINK("https://klasma.github.io/Logging_2481/tillsynsmail/A 28806-2026 tillsynsbegäran mail.docx", "A 28806-2026")</f>
        <v/>
      </c>
    </row>
    <row r="152" ht="15" customHeight="1">
      <c r="A152" t="inlineStr">
        <is>
          <t>A 28459-2026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46217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SCA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Fläcknycklar</t>
        </is>
      </c>
      <c r="V152">
        <f>HYPERLINK("https://klasma.github.io/Logging_2481/artfynd/A 28459-2026 artfynd.xlsx", "A 28459-2026")</f>
        <v/>
      </c>
      <c r="W152">
        <f>HYPERLINK("https://klasma.github.io/Logging_2481/kartor/A 28459-2026 karta.png", "A 28459-2026")</f>
        <v/>
      </c>
      <c r="Y152">
        <f>HYPERLINK("https://klasma.github.io/Logging_2481/klagomål/A 28459-2026 FSC-klagomål.docx", "A 28459-2026")</f>
        <v/>
      </c>
      <c r="Z152">
        <f>HYPERLINK("https://klasma.github.io/Logging_2481/klagomålsmail/A 28459-2026 FSC-klagomål mail.docx", "A 28459-2026")</f>
        <v/>
      </c>
      <c r="AA152">
        <f>HYPERLINK("https://klasma.github.io/Logging_2481/tillsyn/A 28459-2026 tillsynsbegäran.docx", "A 28459-2026")</f>
        <v/>
      </c>
      <c r="AB152">
        <f>HYPERLINK("https://klasma.github.io/Logging_2481/tillsynsmail/A 28459-2026 tillsynsbegäran mail.docx", "A 28459-2026")</f>
        <v/>
      </c>
    </row>
    <row r="153" ht="15" customHeight="1">
      <c r="A153" t="inlineStr">
        <is>
          <t>A 28838-2024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46217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Kolflarnlav</t>
        </is>
      </c>
      <c r="V153">
        <f>HYPERLINK("https://klasma.github.io/Logging_2481/artfynd/A 28838-2024 artfynd.xlsx", "A 28838-2024")</f>
        <v/>
      </c>
      <c r="W153">
        <f>HYPERLINK("https://klasma.github.io/Logging_2481/kartor/A 28838-2024 karta.png", "A 28838-2024")</f>
        <v/>
      </c>
      <c r="Y153">
        <f>HYPERLINK("https://klasma.github.io/Logging_2481/klagomål/A 28838-2024 FSC-klagomål.docx", "A 28838-2024")</f>
        <v/>
      </c>
      <c r="Z153">
        <f>HYPERLINK("https://klasma.github.io/Logging_2481/klagomålsmail/A 28838-2024 FSC-klagomål mail.docx", "A 28838-2024")</f>
        <v/>
      </c>
      <c r="AA153">
        <f>HYPERLINK("https://klasma.github.io/Logging_2481/tillsyn/A 28838-2024 tillsynsbegäran.docx", "A 28838-2024")</f>
        <v/>
      </c>
      <c r="AB153">
        <f>HYPERLINK("https://klasma.github.io/Logging_2481/tillsynsmail/A 28838-2024 tillsynsbegäran mail.docx", "A 28838-2024")</f>
        <v/>
      </c>
    </row>
    <row r="154" ht="15" customHeight="1">
      <c r="A154" t="inlineStr">
        <is>
          <t>A 1339-2026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46217</v>
      </c>
      <c r="F154" t="inlineStr">
        <is>
          <t>VÄSTERBOTTENS LÄN</t>
        </is>
      </c>
      <c r="G154" t="inlineStr">
        <is>
          <t>LYCKSELE</t>
        </is>
      </c>
      <c r="I154" t="n">
        <v>4.9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7</v>
      </c>
      <c r="U154" s="2" t="inlineStr">
        <is>
          <t>Norna</t>
        </is>
      </c>
      <c r="V154">
        <f>HYPERLINK("https://klasma.github.io/Logging_2481/artfynd/A 1339-2026 artfynd.xlsx", "A 1339-2026")</f>
        <v/>
      </c>
      <c r="W154">
        <f>HYPERLINK("https://klasma.github.io/Logging_2481/kartor/A 1339-2026 karta.png", "A 1339-2026")</f>
        <v/>
      </c>
      <c r="Y154">
        <f>HYPERLINK("https://klasma.github.io/Logging_2481/klagomål/A 1339-2026 FSC-klagomål.docx", "A 1339-2026")</f>
        <v/>
      </c>
      <c r="Z154">
        <f>HYPERLINK("https://klasma.github.io/Logging_2481/klagomålsmail/A 1339-2026 FSC-klagomål mail.docx", "A 1339-2026")</f>
        <v/>
      </c>
      <c r="AA154">
        <f>HYPERLINK("https://klasma.github.io/Logging_2481/tillsyn/A 1339-2026 tillsynsbegäran.docx", "A 1339-2026")</f>
        <v/>
      </c>
      <c r="AB154">
        <f>HYPERLINK("https://klasma.github.io/Logging_2481/tillsynsmail/A 1339-2026 tillsynsbegäran mail.docx", "A 1339-2026")</f>
        <v/>
      </c>
    </row>
    <row r="155" ht="15" customHeight="1">
      <c r="A155" t="inlineStr">
        <is>
          <t>A 22680-2026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46156</v>
      </c>
      <c r="E155" s="1" t="n">
        <v>46217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22.2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Lunglav</t>
        </is>
      </c>
      <c r="V155">
        <f>HYPERLINK("https://klasma.github.io/Logging_2481/artfynd/A 22680-2026 artfynd.xlsx", "A 22680-2026")</f>
        <v/>
      </c>
      <c r="W155">
        <f>HYPERLINK("https://klasma.github.io/Logging_2481/kartor/A 22680-2026 karta.png", "A 22680-2026")</f>
        <v/>
      </c>
      <c r="Y155">
        <f>HYPERLINK("https://klasma.github.io/Logging_2481/klagomål/A 22680-2026 FSC-klagomål.docx", "A 22680-2026")</f>
        <v/>
      </c>
      <c r="Z155">
        <f>HYPERLINK("https://klasma.github.io/Logging_2481/klagomålsmail/A 22680-2026 FSC-klagomål mail.docx", "A 22680-2026")</f>
        <v/>
      </c>
      <c r="AA155">
        <f>HYPERLINK("https://klasma.github.io/Logging_2481/tillsyn/A 22680-2026 tillsynsbegäran.docx", "A 22680-2026")</f>
        <v/>
      </c>
      <c r="AB155">
        <f>HYPERLINK("https://klasma.github.io/Logging_2481/tillsynsmail/A 22680-2026 tillsynsbegäran mail.docx", "A 22680-2026")</f>
        <v/>
      </c>
    </row>
    <row r="156" ht="15" customHeight="1">
      <c r="A156" t="inlineStr">
        <is>
          <t>A 28716-2026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46217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11.2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Kolflarnlav</t>
        </is>
      </c>
      <c r="V156">
        <f>HYPERLINK("https://klasma.github.io/Logging_2481/artfynd/A 28716-2026 artfynd.xlsx", "A 28716-2026")</f>
        <v/>
      </c>
      <c r="W156">
        <f>HYPERLINK("https://klasma.github.io/Logging_2481/kartor/A 28716-2026 karta.png", "A 28716-2026")</f>
        <v/>
      </c>
      <c r="Y156">
        <f>HYPERLINK("https://klasma.github.io/Logging_2481/klagomål/A 28716-2026 FSC-klagomål.docx", "A 28716-2026")</f>
        <v/>
      </c>
      <c r="Z156">
        <f>HYPERLINK("https://klasma.github.io/Logging_2481/klagomålsmail/A 28716-2026 FSC-klagomål mail.docx", "A 28716-2026")</f>
        <v/>
      </c>
      <c r="AA156">
        <f>HYPERLINK("https://klasma.github.io/Logging_2481/tillsyn/A 28716-2026 tillsynsbegäran.docx", "A 28716-2026")</f>
        <v/>
      </c>
      <c r="AB156">
        <f>HYPERLINK("https://klasma.github.io/Logging_2481/tillsynsmail/A 28716-2026 tillsynsbegäran mail.docx", "A 28716-2026")</f>
        <v/>
      </c>
    </row>
    <row r="157" ht="15" customHeight="1">
      <c r="A157" t="inlineStr">
        <is>
          <t>A 2499-2026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46217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19.3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Fläcknycklar</t>
        </is>
      </c>
      <c r="V157">
        <f>HYPERLINK("https://klasma.github.io/Logging_2481/artfynd/A 2499-2026 artfynd.xlsx", "A 2499-2026")</f>
        <v/>
      </c>
      <c r="W157">
        <f>HYPERLINK("https://klasma.github.io/Logging_2481/kartor/A 2499-2026 karta.png", "A 2499-2026")</f>
        <v/>
      </c>
      <c r="Y157">
        <f>HYPERLINK("https://klasma.github.io/Logging_2481/klagomål/A 2499-2026 FSC-klagomål.docx", "A 2499-2026")</f>
        <v/>
      </c>
      <c r="Z157">
        <f>HYPERLINK("https://klasma.github.io/Logging_2481/klagomålsmail/A 2499-2026 FSC-klagomål mail.docx", "A 2499-2026")</f>
        <v/>
      </c>
      <c r="AA157">
        <f>HYPERLINK("https://klasma.github.io/Logging_2481/tillsyn/A 2499-2026 tillsynsbegäran.docx", "A 2499-2026")</f>
        <v/>
      </c>
      <c r="AB157">
        <f>HYPERLINK("https://klasma.github.io/Logging_2481/tillsynsmail/A 2499-2026 tillsynsbegäran mail.docx", "A 2499-2026")</f>
        <v/>
      </c>
    </row>
    <row r="158" ht="15" customHeight="1">
      <c r="A158" t="inlineStr">
        <is>
          <t>A 57243-2025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46217</v>
      </c>
      <c r="F158" t="inlineStr">
        <is>
          <t>VÄSTERBOTTENS LÄN</t>
        </is>
      </c>
      <c r="G158" t="inlineStr">
        <is>
          <t>LYCKSELE</t>
        </is>
      </c>
      <c r="I158" t="n">
        <v>2.1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Lunglav</t>
        </is>
      </c>
      <c r="V158">
        <f>HYPERLINK("https://klasma.github.io/Logging_2481/artfynd/A 57243-2025 artfynd.xlsx", "A 57243-2025")</f>
        <v/>
      </c>
      <c r="W158">
        <f>HYPERLINK("https://klasma.github.io/Logging_2481/kartor/A 57243-2025 karta.png", "A 57243-2025")</f>
        <v/>
      </c>
      <c r="Y158">
        <f>HYPERLINK("https://klasma.github.io/Logging_2481/klagomål/A 57243-2025 FSC-klagomål.docx", "A 57243-2025")</f>
        <v/>
      </c>
      <c r="Z158">
        <f>HYPERLINK("https://klasma.github.io/Logging_2481/klagomålsmail/A 57243-2025 FSC-klagomål mail.docx", "A 57243-2025")</f>
        <v/>
      </c>
      <c r="AA158">
        <f>HYPERLINK("https://klasma.github.io/Logging_2481/tillsyn/A 57243-2025 tillsynsbegäran.docx", "A 57243-2025")</f>
        <v/>
      </c>
      <c r="AB158">
        <f>HYPERLINK("https://klasma.github.io/Logging_2481/tillsynsmail/A 57243-2025 tillsynsbegäran mail.docx", "A 57243-2025")</f>
        <v/>
      </c>
    </row>
    <row r="159" ht="15" customHeight="1">
      <c r="A159" t="inlineStr">
        <is>
          <t>A 35559-2023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46217</v>
      </c>
      <c r="F159" t="inlineStr">
        <is>
          <t>VÄSTERBOTTENS LÄN</t>
        </is>
      </c>
      <c r="G159" t="inlineStr">
        <is>
          <t>LYCKSELE</t>
        </is>
      </c>
      <c r="I159" t="n">
        <v>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Stjärntagging</t>
        </is>
      </c>
      <c r="V159">
        <f>HYPERLINK("https://klasma.github.io/Logging_2481/artfynd/A 35559-2023 artfynd.xlsx", "A 35559-2023")</f>
        <v/>
      </c>
      <c r="W159">
        <f>HYPERLINK("https://klasma.github.io/Logging_2481/kartor/A 35559-2023 karta.png", "A 35559-2023")</f>
        <v/>
      </c>
      <c r="Y159">
        <f>HYPERLINK("https://klasma.github.io/Logging_2481/klagomål/A 35559-2023 FSC-klagomål.docx", "A 35559-2023")</f>
        <v/>
      </c>
      <c r="Z159">
        <f>HYPERLINK("https://klasma.github.io/Logging_2481/klagomålsmail/A 35559-2023 FSC-klagomål mail.docx", "A 35559-2023")</f>
        <v/>
      </c>
      <c r="AA159">
        <f>HYPERLINK("https://klasma.github.io/Logging_2481/tillsyn/A 35559-2023 tillsynsbegäran.docx", "A 35559-2023")</f>
        <v/>
      </c>
      <c r="AB159">
        <f>HYPERLINK("https://klasma.github.io/Logging_2481/tillsynsmail/A 35559-2023 tillsynsbegäran mail.docx", "A 35559-2023")</f>
        <v/>
      </c>
    </row>
    <row r="160" ht="15" customHeight="1">
      <c r="A160" t="inlineStr">
        <is>
          <t>A 23396-2026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46217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SCA</t>
        </is>
      </c>
      <c r="I160" t="n">
        <v>6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Källpraktmossa</t>
        </is>
      </c>
      <c r="V160">
        <f>HYPERLINK("https://klasma.github.io/Logging_2481/artfynd/A 23396-2026 artfynd.xlsx", "A 23396-2026")</f>
        <v/>
      </c>
      <c r="W160">
        <f>HYPERLINK("https://klasma.github.io/Logging_2481/kartor/A 23396-2026 karta.png", "A 23396-2026")</f>
        <v/>
      </c>
      <c r="Y160">
        <f>HYPERLINK("https://klasma.github.io/Logging_2481/klagomål/A 23396-2026 FSC-klagomål.docx", "A 23396-2026")</f>
        <v/>
      </c>
      <c r="Z160">
        <f>HYPERLINK("https://klasma.github.io/Logging_2481/klagomålsmail/A 23396-2026 FSC-klagomål mail.docx", "A 23396-2026")</f>
        <v/>
      </c>
      <c r="AA160">
        <f>HYPERLINK("https://klasma.github.io/Logging_2481/tillsyn/A 23396-2026 tillsynsbegäran.docx", "A 23396-2026")</f>
        <v/>
      </c>
      <c r="AB160">
        <f>HYPERLINK("https://klasma.github.io/Logging_2481/tillsynsmail/A 23396-2026 tillsynsbegäran mail.docx", "A 23396-2026")</f>
        <v/>
      </c>
    </row>
    <row r="161" ht="15" customHeight="1">
      <c r="A161" t="inlineStr">
        <is>
          <t>A 33726-2022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44789</v>
      </c>
      <c r="E161" s="1" t="n">
        <v>46217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SCA</t>
        </is>
      </c>
      <c r="I161" t="n">
        <v>12.7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Pärluggla</t>
        </is>
      </c>
      <c r="V161">
        <f>HYPERLINK("https://klasma.github.io/Logging_2481/artfynd/A 33726-2022 artfynd.xlsx", "A 33726-2022")</f>
        <v/>
      </c>
      <c r="W161">
        <f>HYPERLINK("https://klasma.github.io/Logging_2481/kartor/A 33726-2022 karta.png", "A 33726-2022")</f>
        <v/>
      </c>
      <c r="Y161">
        <f>HYPERLINK("https://klasma.github.io/Logging_2481/klagomål/A 33726-2022 FSC-klagomål.docx", "A 33726-2022")</f>
        <v/>
      </c>
      <c r="Z161">
        <f>HYPERLINK("https://klasma.github.io/Logging_2481/klagomålsmail/A 33726-2022 FSC-klagomål mail.docx", "A 33726-2022")</f>
        <v/>
      </c>
      <c r="AA161">
        <f>HYPERLINK("https://klasma.github.io/Logging_2481/tillsyn/A 33726-2022 tillsynsbegäran.docx", "A 33726-2022")</f>
        <v/>
      </c>
      <c r="AB161">
        <f>HYPERLINK("https://klasma.github.io/Logging_2481/tillsynsmail/A 33726-2022 tillsynsbegäran mail.docx", "A 33726-2022")</f>
        <v/>
      </c>
      <c r="AC161">
        <f>HYPERLINK("https://klasma.github.io/Logging_2481/fåglar/A 33726-2022 prioriterade fågelarter.docx", "A 33726-2022")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46217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Lunglav</t>
        </is>
      </c>
      <c r="V162">
        <f>HYPERLINK("https://klasma.github.io/Logging_2481/artfynd/A 8491-2026 artfynd.xlsx", "A 8491-2026")</f>
        <v/>
      </c>
      <c r="W162">
        <f>HYPERLINK("https://klasma.github.io/Logging_2481/kartor/A 8491-2026 karta.png", "A 8491-2026")</f>
        <v/>
      </c>
      <c r="Y162">
        <f>HYPERLINK("https://klasma.github.io/Logging_2481/klagomål/A 8491-2026 FSC-klagomål.docx", "A 8491-2026")</f>
        <v/>
      </c>
      <c r="Z162">
        <f>HYPERLINK("https://klasma.github.io/Logging_2481/klagomålsmail/A 8491-2026 FSC-klagomål mail.docx", "A 8491-2026")</f>
        <v/>
      </c>
      <c r="AA162">
        <f>HYPERLINK("https://klasma.github.io/Logging_2481/tillsyn/A 8491-2026 tillsynsbegäran.docx", "A 8491-2026")</f>
        <v/>
      </c>
      <c r="AB162">
        <f>HYPERLINK("https://klasma.github.io/Logging_2481/tillsynsmail/A 8491-2026 tillsynsbegäran mail.docx", "A 8491-2026")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46217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HYPERLINK("https://klasma.github.io/Logging_2481/artfynd/A 9722-2026 artfynd.xlsx", "A 9722-2026")</f>
        <v/>
      </c>
      <c r="W163">
        <f>HYPERLINK("https://klasma.github.io/Logging_2481/kartor/A 9722-2026 karta.png", "A 9722-2026")</f>
        <v/>
      </c>
      <c r="Y163">
        <f>HYPERLINK("https://klasma.github.io/Logging_2481/klagomål/A 9722-2026 FSC-klagomål.docx", "A 9722-2026")</f>
        <v/>
      </c>
      <c r="Z163">
        <f>HYPERLINK("https://klasma.github.io/Logging_2481/klagomålsmail/A 9722-2026 FSC-klagomål mail.docx", "A 9722-2026")</f>
        <v/>
      </c>
      <c r="AA163">
        <f>HYPERLINK("https://klasma.github.io/Logging_2481/tillsyn/A 9722-2026 tillsynsbegäran.docx", "A 9722-2026")</f>
        <v/>
      </c>
      <c r="AB163">
        <f>HYPERLINK("https://klasma.github.io/Logging_2481/tillsynsmail/A 9722-2026 tillsynsbegäran mail.docx", "A 9722-2026")</f>
        <v/>
      </c>
    </row>
    <row r="164" ht="15" customHeight="1">
      <c r="A164" t="inlineStr">
        <is>
          <t>A 53869-2023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46217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Dropptaggsvamp</t>
        </is>
      </c>
      <c r="V164">
        <f>HYPERLINK("https://klasma.github.io/Logging_2481/artfynd/A 53869-2023 artfynd.xlsx", "A 53869-2023")</f>
        <v/>
      </c>
      <c r="W164">
        <f>HYPERLINK("https://klasma.github.io/Logging_2481/kartor/A 53869-2023 karta.png", "A 53869-2023")</f>
        <v/>
      </c>
      <c r="Y164">
        <f>HYPERLINK("https://klasma.github.io/Logging_2481/klagomål/A 53869-2023 FSC-klagomål.docx", "A 53869-2023")</f>
        <v/>
      </c>
      <c r="Z164">
        <f>HYPERLINK("https://klasma.github.io/Logging_2481/klagomålsmail/A 53869-2023 FSC-klagomål mail.docx", "A 53869-2023")</f>
        <v/>
      </c>
      <c r="AA164">
        <f>HYPERLINK("https://klasma.github.io/Logging_2481/tillsyn/A 53869-2023 tillsynsbegäran.docx", "A 53869-2023")</f>
        <v/>
      </c>
      <c r="AB164">
        <f>HYPERLINK("https://klasma.github.io/Logging_2481/tillsynsmail/A 53869-2023 tillsynsbegäran mail.docx", "A 53869-2023")</f>
        <v/>
      </c>
    </row>
    <row r="165" ht="15" customHeight="1">
      <c r="A165" t="inlineStr">
        <is>
          <t>A 59283-2024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46217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Dropptaggsvamp</t>
        </is>
      </c>
      <c r="V165">
        <f>HYPERLINK("https://klasma.github.io/Logging_2481/artfynd/A 59283-2024 artfynd.xlsx", "A 59283-2024")</f>
        <v/>
      </c>
      <c r="W165">
        <f>HYPERLINK("https://klasma.github.io/Logging_2481/kartor/A 59283-2024 karta.png", "A 59283-2024")</f>
        <v/>
      </c>
      <c r="Y165">
        <f>HYPERLINK("https://klasma.github.io/Logging_2481/klagomål/A 59283-2024 FSC-klagomål.docx", "A 59283-2024")</f>
        <v/>
      </c>
      <c r="Z165">
        <f>HYPERLINK("https://klasma.github.io/Logging_2481/klagomålsmail/A 59283-2024 FSC-klagomål mail.docx", "A 59283-2024")</f>
        <v/>
      </c>
      <c r="AA165">
        <f>HYPERLINK("https://klasma.github.io/Logging_2481/tillsyn/A 59283-2024 tillsynsbegäran.docx", "A 59283-2024")</f>
        <v/>
      </c>
      <c r="AB165">
        <f>HYPERLINK("https://klasma.github.io/Logging_2481/tillsynsmail/A 59283-2024 tillsynsbegäran mail.docx", "A 59283-2024")</f>
        <v/>
      </c>
    </row>
    <row r="166" ht="15" customHeight="1">
      <c r="A166" t="inlineStr">
        <is>
          <t>A 29828-2026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46217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Kolflarnlav</t>
        </is>
      </c>
      <c r="V166">
        <f>HYPERLINK("https://klasma.github.io/Logging_2481/artfynd/A 29828-2026 artfynd.xlsx", "A 29828-2026")</f>
        <v/>
      </c>
      <c r="W166">
        <f>HYPERLINK("https://klasma.github.io/Logging_2481/kartor/A 29828-2026 karta.png", "A 29828-2026")</f>
        <v/>
      </c>
      <c r="Y166">
        <f>HYPERLINK("https://klasma.github.io/Logging_2481/klagomål/A 29828-2026 FSC-klagomål.docx", "A 29828-2026")</f>
        <v/>
      </c>
      <c r="Z166">
        <f>HYPERLINK("https://klasma.github.io/Logging_2481/klagomålsmail/A 29828-2026 FSC-klagomål mail.docx", "A 29828-2026")</f>
        <v/>
      </c>
      <c r="AA166">
        <f>HYPERLINK("https://klasma.github.io/Logging_2481/tillsyn/A 29828-2026 tillsynsbegäran.docx", "A 29828-2026")</f>
        <v/>
      </c>
      <c r="AB166">
        <f>HYPERLINK("https://klasma.github.io/Logging_2481/tillsynsmail/A 29828-2026 tillsynsbegäran mail.docx", "A 29828-2026")</f>
        <v/>
      </c>
    </row>
    <row r="167" ht="15" customHeight="1">
      <c r="A167" t="inlineStr">
        <is>
          <t>A 38507-2023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46217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Blå taggsvamp</t>
        </is>
      </c>
      <c r="V167">
        <f>HYPERLINK("https://klasma.github.io/Logging_2481/artfynd/A 38507-2023 artfynd.xlsx", "A 38507-2023")</f>
        <v/>
      </c>
      <c r="W167">
        <f>HYPERLINK("https://klasma.github.io/Logging_2481/kartor/A 38507-2023 karta.png", "A 38507-2023")</f>
        <v/>
      </c>
      <c r="Y167">
        <f>HYPERLINK("https://klasma.github.io/Logging_2481/klagomål/A 38507-2023 FSC-klagomål.docx", "A 38507-2023")</f>
        <v/>
      </c>
      <c r="Z167">
        <f>HYPERLINK("https://klasma.github.io/Logging_2481/klagomålsmail/A 38507-2023 FSC-klagomål mail.docx", "A 38507-2023")</f>
        <v/>
      </c>
      <c r="AA167">
        <f>HYPERLINK("https://klasma.github.io/Logging_2481/tillsyn/A 38507-2023 tillsynsbegäran.docx", "A 38507-2023")</f>
        <v/>
      </c>
      <c r="AB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50826-2024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46217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Dropptaggsvamp</t>
        </is>
      </c>
      <c r="V168">
        <f>HYPERLINK("https://klasma.github.io/Logging_2481/artfynd/A 50826-2024 artfynd.xlsx", "A 50826-2024")</f>
        <v/>
      </c>
      <c r="W168">
        <f>HYPERLINK("https://klasma.github.io/Logging_2481/kartor/A 50826-2024 karta.png", "A 50826-2024")</f>
        <v/>
      </c>
      <c r="Y168">
        <f>HYPERLINK("https://klasma.github.io/Logging_2481/klagomål/A 50826-2024 FSC-klagomål.docx", "A 50826-2024")</f>
        <v/>
      </c>
      <c r="Z168">
        <f>HYPERLINK("https://klasma.github.io/Logging_2481/klagomålsmail/A 50826-2024 FSC-klagomål mail.docx", "A 50826-2024")</f>
        <v/>
      </c>
      <c r="AA168">
        <f>HYPERLINK("https://klasma.github.io/Logging_2481/tillsyn/A 50826-2024 tillsynsbegäran.docx", "A 50826-2024")</f>
        <v/>
      </c>
      <c r="AB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30994-2026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46217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Violettgrå tagellav</t>
        </is>
      </c>
      <c r="V169">
        <f>HYPERLINK("https://klasma.github.io/Logging_2481/artfynd/A 30994-2026 artfynd.xlsx", "A 30994-2026")</f>
        <v/>
      </c>
      <c r="W169">
        <f>HYPERLINK("https://klasma.github.io/Logging_2481/kartor/A 30994-2026 karta.png", "A 30994-2026")</f>
        <v/>
      </c>
      <c r="Y169">
        <f>HYPERLINK("https://klasma.github.io/Logging_2481/klagomål/A 30994-2026 FSC-klagomål.docx", "A 30994-2026")</f>
        <v/>
      </c>
      <c r="Z169">
        <f>HYPERLINK("https://klasma.github.io/Logging_2481/klagomålsmail/A 30994-2026 FSC-klagomål mail.docx", "A 30994-2026")</f>
        <v/>
      </c>
      <c r="AA169">
        <f>HYPERLINK("https://klasma.github.io/Logging_2481/tillsyn/A 30994-2026 tillsynsbegäran.docx", "A 30994-2026")</f>
        <v/>
      </c>
      <c r="AB169">
        <f>HYPERLINK("https://klasma.github.io/Logging_2481/tillsynsmail/A 30994-2026 tillsynsbegäran mail.docx", "A 30994-2026")</f>
        <v/>
      </c>
    </row>
    <row r="170" ht="15" customHeight="1">
      <c r="A170" t="inlineStr">
        <is>
          <t>A 45774-2024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46217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4.3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Barkticka</t>
        </is>
      </c>
      <c r="V170">
        <f>HYPERLINK("https://klasma.github.io/Logging_2481/artfynd/A 45774-2024 artfynd.xlsx", "A 45774-2024")</f>
        <v/>
      </c>
      <c r="W170">
        <f>HYPERLINK("https://klasma.github.io/Logging_2481/kartor/A 45774-2024 karta.png", "A 45774-2024")</f>
        <v/>
      </c>
      <c r="Y170">
        <f>HYPERLINK("https://klasma.github.io/Logging_2481/klagomål/A 45774-2024 FSC-klagomål.docx", "A 45774-2024")</f>
        <v/>
      </c>
      <c r="Z170">
        <f>HYPERLINK("https://klasma.github.io/Logging_2481/klagomålsmail/A 45774-2024 FSC-klagomål mail.docx", "A 45774-2024")</f>
        <v/>
      </c>
      <c r="AA170">
        <f>HYPERLINK("https://klasma.github.io/Logging_2481/tillsyn/A 45774-2024 tillsynsbegäran.docx", "A 45774-2024")</f>
        <v/>
      </c>
      <c r="AB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50018-2024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45599</v>
      </c>
      <c r="E171" s="1" t="n">
        <v>46217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Lunglav</t>
        </is>
      </c>
      <c r="V171">
        <f>HYPERLINK("https://klasma.github.io/Logging_2481/artfynd/A 50018-2024 artfynd.xlsx", "A 50018-2024")</f>
        <v/>
      </c>
      <c r="W171">
        <f>HYPERLINK("https://klasma.github.io/Logging_2481/kartor/A 50018-2024 karta.png", "A 50018-2024")</f>
        <v/>
      </c>
      <c r="Y171">
        <f>HYPERLINK("https://klasma.github.io/Logging_2481/klagomål/A 50018-2024 FSC-klagomål.docx", "A 50018-2024")</f>
        <v/>
      </c>
      <c r="Z171">
        <f>HYPERLINK("https://klasma.github.io/Logging_2481/klagomålsmail/A 50018-2024 FSC-klagomål mail.docx", "A 50018-2024")</f>
        <v/>
      </c>
      <c r="AA171">
        <f>HYPERLINK("https://klasma.github.io/Logging_2481/tillsyn/A 50018-2024 tillsynsbegäran.docx", "A 50018-2024")</f>
        <v/>
      </c>
      <c r="AB171">
        <f>HYPERLINK("https://klasma.github.io/Logging_2481/tillsynsmail/A 50018-2024 tillsynsbegäran mail.docx", "A 50018-2024")</f>
        <v/>
      </c>
    </row>
    <row r="172" ht="15" customHeight="1">
      <c r="A172" t="inlineStr">
        <is>
          <t>A 24824-2024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45461</v>
      </c>
      <c r="E172" s="1" t="n">
        <v>46217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6.1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Kungsörn</t>
        </is>
      </c>
      <c r="V172">
        <f>HYPERLINK("https://klasma.github.io/Logging_2481/artfynd/A 24824-2024 artfynd.xlsx", "A 24824-2024")</f>
        <v/>
      </c>
      <c r="W172">
        <f>HYPERLINK("https://klasma.github.io/Logging_2481/kartor/A 24824-2024 karta.png", "A 24824-2024")</f>
        <v/>
      </c>
      <c r="Y172">
        <f>HYPERLINK("https://klasma.github.io/Logging_2481/klagomål/A 24824-2024 FSC-klagomål.docx", "A 24824-2024")</f>
        <v/>
      </c>
      <c r="Z172">
        <f>HYPERLINK("https://klasma.github.io/Logging_2481/klagomålsmail/A 24824-2024 FSC-klagomål mail.docx", "A 24824-2024")</f>
        <v/>
      </c>
      <c r="AA172">
        <f>HYPERLINK("https://klasma.github.io/Logging_2481/tillsyn/A 24824-2024 tillsynsbegäran.docx", "A 24824-2024")</f>
        <v/>
      </c>
      <c r="AB172">
        <f>HYPERLINK("https://klasma.github.io/Logging_2481/tillsynsmail/A 24824-2024 tillsynsbegäran mail.docx", "A 24824-2024")</f>
        <v/>
      </c>
      <c r="AC172">
        <f>HYPERLINK("https://klasma.github.io/Logging_2481/fåglar/A 24824-2024 prioriterade fågelarter.docx", "A 24824-2024")</f>
        <v/>
      </c>
    </row>
    <row r="173" ht="15" customHeight="1">
      <c r="A173" t="inlineStr">
        <is>
          <t>A 41793-2024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46217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Lunglav</t>
        </is>
      </c>
      <c r="V173">
        <f>HYPERLINK("https://klasma.github.io/Logging_2481/artfynd/A 41793-2024 artfynd.xlsx", "A 41793-2024")</f>
        <v/>
      </c>
      <c r="W173">
        <f>HYPERLINK("https://klasma.github.io/Logging_2481/kartor/A 41793-2024 karta.png", "A 41793-2024")</f>
        <v/>
      </c>
      <c r="Y173">
        <f>HYPERLINK("https://klasma.github.io/Logging_2481/klagomål/A 41793-2024 FSC-klagomål.docx", "A 41793-2024")</f>
        <v/>
      </c>
      <c r="Z173">
        <f>HYPERLINK("https://klasma.github.io/Logging_2481/klagomålsmail/A 41793-2024 FSC-klagomål mail.docx", "A 41793-2024")</f>
        <v/>
      </c>
      <c r="AA173">
        <f>HYPERLINK("https://klasma.github.io/Logging_2481/tillsyn/A 41793-2024 tillsynsbegäran.docx", "A 41793-2024")</f>
        <v/>
      </c>
      <c r="AB173">
        <f>HYPERLINK("https://klasma.github.io/Logging_2481/tillsynsmail/A 41793-2024 tillsynsbegäran mail.docx", "A 41793-2024")</f>
        <v/>
      </c>
    </row>
    <row r="174" ht="15" customHeight="1">
      <c r="A174" t="inlineStr">
        <is>
          <t>A 219-2025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45660</v>
      </c>
      <c r="E174" s="1" t="n">
        <v>46217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Dropptaggsvamp</t>
        </is>
      </c>
      <c r="V174">
        <f>HYPERLINK("https://klasma.github.io/Logging_2481/artfynd/A 219-2025 artfynd.xlsx", "A 219-2025")</f>
        <v/>
      </c>
      <c r="W174">
        <f>HYPERLINK("https://klasma.github.io/Logging_2481/kartor/A 219-2025 karta.png", "A 219-2025")</f>
        <v/>
      </c>
      <c r="Y174">
        <f>HYPERLINK("https://klasma.github.io/Logging_2481/klagomål/A 219-2025 FSC-klagomål.docx", "A 219-2025")</f>
        <v/>
      </c>
      <c r="Z174">
        <f>HYPERLINK("https://klasma.github.io/Logging_2481/klagomålsmail/A 219-2025 FSC-klagomål mail.docx", "A 219-2025")</f>
        <v/>
      </c>
      <c r="AA174">
        <f>HYPERLINK("https://klasma.github.io/Logging_2481/tillsyn/A 219-2025 tillsynsbegäran.docx", "A 219-2025")</f>
        <v/>
      </c>
      <c r="AB174">
        <f>HYPERLINK("https://klasma.github.io/Logging_2481/tillsynsmail/A 219-2025 tillsynsbegäran mail.docx", "A 219-2025")</f>
        <v/>
      </c>
    </row>
    <row r="175" ht="15" customHeight="1">
      <c r="A175" t="inlineStr">
        <is>
          <t>A 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46217</v>
      </c>
      <c r="F175" t="inlineStr">
        <is>
          <t>VÄSTERBOTTENS LÄN</t>
        </is>
      </c>
      <c r="G175" t="inlineStr">
        <is>
          <t>LYCKSELE</t>
        </is>
      </c>
      <c r="I175" t="n">
        <v>5.2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7</v>
      </c>
      <c r="U175" s="2" t="inlineStr">
        <is>
          <t>Tretåig hackspett</t>
        </is>
      </c>
      <c r="V175">
        <f>HYPERLINK("https://klasma.github.io/Logging_2481/artfynd/A 496-2024 artfynd.xlsx", "A 496-2024")</f>
        <v/>
      </c>
      <c r="W175">
        <f>HYPERLINK("https://klasma.github.io/Logging_2481/kartor/A 496-2024 karta.png", "A 496-2024")</f>
        <v/>
      </c>
      <c r="Y175">
        <f>HYPERLINK("https://klasma.github.io/Logging_2481/klagomål/A 496-2024 FSC-klagomål.docx", "A 496-2024")</f>
        <v/>
      </c>
      <c r="Z175">
        <f>HYPERLINK("https://klasma.github.io/Logging_2481/klagomålsmail/A 496-2024 FSC-klagomål mail.docx", "A 496-2024")</f>
        <v/>
      </c>
      <c r="AA175">
        <f>HYPERLINK("https://klasma.github.io/Logging_2481/tillsyn/A 496-2024 tillsynsbegäran.docx", "A 496-2024")</f>
        <v/>
      </c>
      <c r="AB175">
        <f>HYPERLINK("https://klasma.github.io/Logging_2481/tillsynsmail/A 496-2024 tillsynsbegäran mail.docx", "A 496-2024")</f>
        <v/>
      </c>
      <c r="AC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46217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s="2" t="inlineStr">
        <is>
          <t>Garnlav</t>
        </is>
      </c>
      <c r="V176">
        <f>HYPERLINK("https://klasma.github.io/Logging_2481/artfynd/A 22373-2025 artfynd.xlsx", "A 22373-2025")</f>
        <v/>
      </c>
      <c r="W176">
        <f>HYPERLINK("https://klasma.github.io/Logging_2481/kartor/A 22373-2025 karta.png", "A 22373-2025")</f>
        <v/>
      </c>
      <c r="Y176">
        <f>HYPERLINK("https://klasma.github.io/Logging_2481/klagomål/A 22373-2025 FSC-klagomål.docx", "A 22373-2025")</f>
        <v/>
      </c>
      <c r="Z176">
        <f>HYPERLINK("https://klasma.github.io/Logging_2481/klagomålsmail/A 22373-2025 FSC-klagomål mail.docx", "A 22373-2025")</f>
        <v/>
      </c>
      <c r="AA176">
        <f>HYPERLINK("https://klasma.github.io/Logging_2481/tillsyn/A 22373-2025 tillsynsbegäran.docx", "A 22373-2025")</f>
        <v/>
      </c>
      <c r="AB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53226-2022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46217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Ängsmetallvinge</t>
        </is>
      </c>
      <c r="V177">
        <f>HYPERLINK("https://klasma.github.io/Logging_2481/artfynd/A 53226-2022 artfynd.xlsx", "A 53226-2022")</f>
        <v/>
      </c>
      <c r="W177">
        <f>HYPERLINK("https://klasma.github.io/Logging_2481/kartor/A 53226-2022 karta.png", "A 53226-2022")</f>
        <v/>
      </c>
      <c r="Y177">
        <f>HYPERLINK("https://klasma.github.io/Logging_2481/klagomål/A 53226-2022 FSC-klagomål.docx", "A 53226-2022")</f>
        <v/>
      </c>
      <c r="Z177">
        <f>HYPERLINK("https://klasma.github.io/Logging_2481/klagomålsmail/A 53226-2022 FSC-klagomål mail.docx", "A 53226-2022")</f>
        <v/>
      </c>
      <c r="AA177">
        <f>HYPERLINK("https://klasma.github.io/Logging_2481/tillsyn/A 53226-2022 tillsynsbegäran.docx", "A 53226-2022")</f>
        <v/>
      </c>
      <c r="AB177">
        <f>HYPERLINK("https://klasma.github.io/Logging_2481/tillsynsmail/A 53226-2022 tillsynsbegäran mail.docx", "A 53226-2022")</f>
        <v/>
      </c>
    </row>
    <row r="178" ht="15" customHeight="1">
      <c r="A178" t="inlineStr">
        <is>
          <t>A 7768-2023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46217</v>
      </c>
      <c r="F178" t="inlineStr">
        <is>
          <t>VÄSTERBOTTENS LÄN</t>
        </is>
      </c>
      <c r="G178" t="inlineStr">
        <is>
          <t>LYCKSELE</t>
        </is>
      </c>
      <c r="I178" t="n">
        <v>2.3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Knärot</t>
        </is>
      </c>
      <c r="V178">
        <f>HYPERLINK("https://klasma.github.io/Logging_2481/artfynd/A 7768-2023 artfynd.xlsx", "A 7768-2023")</f>
        <v/>
      </c>
      <c r="W178">
        <f>HYPERLINK("https://klasma.github.io/Logging_2481/kartor/A 7768-2023 karta.png", "A 7768-2023")</f>
        <v/>
      </c>
      <c r="X178">
        <f>HYPERLINK("https://klasma.github.io/Logging_2481/knärot/A 7768-2023 karta knärot.png", "A 7768-2023")</f>
        <v/>
      </c>
      <c r="Y178">
        <f>HYPERLINK("https://klasma.github.io/Logging_2481/klagomål/A 7768-2023 FSC-klagomål.docx", "A 7768-2023")</f>
        <v/>
      </c>
      <c r="Z178">
        <f>HYPERLINK("https://klasma.github.io/Logging_2481/klagomålsmail/A 7768-2023 FSC-klagomål mail.docx", "A 7768-2023")</f>
        <v/>
      </c>
      <c r="AA178">
        <f>HYPERLINK("https://klasma.github.io/Logging_2481/tillsyn/A 7768-2023 tillsynsbegäran.docx", "A 7768-2023")</f>
        <v/>
      </c>
      <c r="AB178">
        <f>HYPERLINK("https://klasma.github.io/Logging_2481/tillsynsmail/A 7768-2023 tillsynsbegäran mail.docx", "A 7768-2023")</f>
        <v/>
      </c>
    </row>
    <row r="179" ht="15" customHeight="1">
      <c r="A179" t="inlineStr">
        <is>
          <t>A 30515-2025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46217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8.1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Ullticka</t>
        </is>
      </c>
      <c r="V179">
        <f>HYPERLINK("https://klasma.github.io/Logging_2481/artfynd/A 30515-2025 artfynd.xlsx", "A 30515-2025")</f>
        <v/>
      </c>
      <c r="W179">
        <f>HYPERLINK("https://klasma.github.io/Logging_2481/kartor/A 30515-2025 karta.png", "A 30515-2025")</f>
        <v/>
      </c>
      <c r="Y179">
        <f>HYPERLINK("https://klasma.github.io/Logging_2481/klagomål/A 30515-2025 FSC-klagomål.docx", "A 30515-2025")</f>
        <v/>
      </c>
      <c r="Z179">
        <f>HYPERLINK("https://klasma.github.io/Logging_2481/klagomålsmail/A 30515-2025 FSC-klagomål mail.docx", "A 30515-2025")</f>
        <v/>
      </c>
      <c r="AA179">
        <f>HYPERLINK("https://klasma.github.io/Logging_2481/tillsyn/A 30515-2025 tillsynsbegäran.docx", "A 30515-2025")</f>
        <v/>
      </c>
      <c r="AB179">
        <f>HYPERLINK("https://klasma.github.io/Logging_2481/tillsynsmail/A 30515-2025 tillsynsbegäran mail.docx", "A 30515-2025")</f>
        <v/>
      </c>
    </row>
    <row r="180" ht="15" customHeight="1">
      <c r="A180" t="inlineStr">
        <is>
          <t>A 33346-2025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46217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Doftskinn</t>
        </is>
      </c>
      <c r="V180">
        <f>HYPERLINK("https://klasma.github.io/Logging_2481/artfynd/A 33346-2025 artfynd.xlsx", "A 33346-2025")</f>
        <v/>
      </c>
      <c r="W180">
        <f>HYPERLINK("https://klasma.github.io/Logging_2481/kartor/A 33346-2025 karta.png", "A 33346-2025")</f>
        <v/>
      </c>
      <c r="Y180">
        <f>HYPERLINK("https://klasma.github.io/Logging_2481/klagomål/A 33346-2025 FSC-klagomål.docx", "A 33346-2025")</f>
        <v/>
      </c>
      <c r="Z180">
        <f>HYPERLINK("https://klasma.github.io/Logging_2481/klagomålsmail/A 33346-2025 FSC-klagomål mail.docx", "A 33346-2025")</f>
        <v/>
      </c>
      <c r="AA180">
        <f>HYPERLINK("https://klasma.github.io/Logging_2481/tillsyn/A 33346-2025 tillsynsbegäran.docx", "A 33346-2025")</f>
        <v/>
      </c>
      <c r="AB180">
        <f>HYPERLINK("https://klasma.github.io/Logging_2481/tillsynsmail/A 33346-2025 tillsynsbegäran mail.docx", "A 33346-2025")</f>
        <v/>
      </c>
    </row>
    <row r="181" ht="15" customHeight="1">
      <c r="A181" t="inlineStr">
        <is>
          <t>A 34032-2025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46217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Lunglav</t>
        </is>
      </c>
      <c r="V181">
        <f>HYPERLINK("https://klasma.github.io/Logging_2481/artfynd/A 34032-2025 artfynd.xlsx", "A 34032-2025")</f>
        <v/>
      </c>
      <c r="W181">
        <f>HYPERLINK("https://klasma.github.io/Logging_2481/kartor/A 34032-2025 karta.png", "A 34032-2025")</f>
        <v/>
      </c>
      <c r="Y181">
        <f>HYPERLINK("https://klasma.github.io/Logging_2481/klagomål/A 34032-2025 FSC-klagomål.docx", "A 34032-2025")</f>
        <v/>
      </c>
      <c r="Z181">
        <f>HYPERLINK("https://klasma.github.io/Logging_2481/klagomålsmail/A 34032-2025 FSC-klagomål mail.docx", "A 34032-2025")</f>
        <v/>
      </c>
      <c r="AA181">
        <f>HYPERLINK("https://klasma.github.io/Logging_2481/tillsyn/A 34032-2025 tillsynsbegäran.docx", "A 34032-2025")</f>
        <v/>
      </c>
      <c r="AB181">
        <f>HYPERLINK("https://klasma.github.io/Logging_2481/tillsynsmail/A 34032-2025 tillsynsbegäran mail.docx", "A 34032-2025")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46217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s="2" t="inlineStr">
        <is>
          <t>Spillkråka</t>
        </is>
      </c>
      <c r="V182">
        <f>HYPERLINK("https://klasma.github.io/Logging_2481/artfynd/A 34958-2025 artfynd.xlsx", "A 34958-2025")</f>
        <v/>
      </c>
      <c r="W182">
        <f>HYPERLINK("https://klasma.github.io/Logging_2481/kartor/A 34958-2025 karta.png", "A 34958-2025")</f>
        <v/>
      </c>
      <c r="Y182">
        <f>HYPERLINK("https://klasma.github.io/Logging_2481/klagomål/A 34958-2025 FSC-klagomål.docx", "A 34958-2025")</f>
        <v/>
      </c>
      <c r="Z182">
        <f>HYPERLINK("https://klasma.github.io/Logging_2481/klagomålsmail/A 34958-2025 FSC-klagomål mail.docx", "A 34958-2025")</f>
        <v/>
      </c>
      <c r="AA182">
        <f>HYPERLINK("https://klasma.github.io/Logging_2481/tillsyn/A 34958-2025 tillsynsbegäran.docx", "A 34958-2025")</f>
        <v/>
      </c>
      <c r="AB182">
        <f>HYPERLINK("https://klasma.github.io/Logging_2481/tillsynsmail/A 34958-2025 tillsynsbegäran mail.docx", "A 34958-2025")</f>
        <v/>
      </c>
      <c r="AC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46217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14.7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Tretåig hackspett</t>
        </is>
      </c>
      <c r="V183">
        <f>HYPERLINK("https://klasma.github.io/Logging_2481/artfynd/A 35226-2025 artfynd.xlsx", "A 35226-2025")</f>
        <v/>
      </c>
      <c r="W183">
        <f>HYPERLINK("https://klasma.github.io/Logging_2481/kartor/A 35226-2025 karta.png", "A 35226-2025")</f>
        <v/>
      </c>
      <c r="Y183">
        <f>HYPERLINK("https://klasma.github.io/Logging_2481/klagomål/A 35226-2025 FSC-klagomål.docx", "A 35226-2025")</f>
        <v/>
      </c>
      <c r="Z183">
        <f>HYPERLINK("https://klasma.github.io/Logging_2481/klagomålsmail/A 35226-2025 FSC-klagomål mail.docx", "A 35226-2025")</f>
        <v/>
      </c>
      <c r="AA183">
        <f>HYPERLINK("https://klasma.github.io/Logging_2481/tillsyn/A 35226-2025 tillsynsbegäran.docx", "A 35226-2025")</f>
        <v/>
      </c>
      <c r="AB183">
        <f>HYPERLINK("https://klasma.github.io/Logging_2481/tillsynsmail/A 35226-2025 tillsynsbegäran mail.docx", "A 35226-2025")</f>
        <v/>
      </c>
      <c r="AC183">
        <f>HYPERLINK("https://klasma.github.io/Logging_2481/fåglar/A 35226-2025 prioriterade fågelarter.docx", "A 35226-2025")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46217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Gråspett</t>
        </is>
      </c>
      <c r="V184">
        <f>HYPERLINK("https://klasma.github.io/Logging_2481/artfynd/A 7398-2025 artfynd.xlsx", "A 7398-2025")</f>
        <v/>
      </c>
      <c r="W184">
        <f>HYPERLINK("https://klasma.github.io/Logging_2481/kartor/A 7398-2025 karta.png", "A 7398-2025")</f>
        <v/>
      </c>
      <c r="Y184">
        <f>HYPERLINK("https://klasma.github.io/Logging_2481/klagomål/A 7398-2025 FSC-klagomål.docx", "A 7398-2025")</f>
        <v/>
      </c>
      <c r="Z184">
        <f>HYPERLINK("https://klasma.github.io/Logging_2481/klagomålsmail/A 7398-2025 FSC-klagomål mail.docx", "A 7398-2025")</f>
        <v/>
      </c>
      <c r="AA184">
        <f>HYPERLINK("https://klasma.github.io/Logging_2481/tillsyn/A 7398-2025 tillsynsbegäran.docx", "A 7398-2025")</f>
        <v/>
      </c>
      <c r="AB184">
        <f>HYPERLINK("https://klasma.github.io/Logging_2481/tillsynsmail/A 7398-2025 tillsynsbegäran mail.docx", "A 7398-2025")</f>
        <v/>
      </c>
      <c r="AC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46217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Gammelgransskål</t>
        </is>
      </c>
      <c r="V185">
        <f>HYPERLINK("https://klasma.github.io/Logging_2481/artfynd/A 35239-2025 artfynd.xlsx", "A 35239-2025")</f>
        <v/>
      </c>
      <c r="W185">
        <f>HYPERLINK("https://klasma.github.io/Logging_2481/kartor/A 35239-2025 karta.png", "A 35239-2025")</f>
        <v/>
      </c>
      <c r="Y185">
        <f>HYPERLINK("https://klasma.github.io/Logging_2481/klagomål/A 35239-2025 FSC-klagomål.docx", "A 35239-2025")</f>
        <v/>
      </c>
      <c r="Z185">
        <f>HYPERLINK("https://klasma.github.io/Logging_2481/klagomålsmail/A 35239-2025 FSC-klagomål mail.docx", "A 35239-2025")</f>
        <v/>
      </c>
      <c r="AA185">
        <f>HYPERLINK("https://klasma.github.io/Logging_2481/tillsyn/A 35239-2025 tillsynsbegäran.docx", "A 35239-2025")</f>
        <v/>
      </c>
      <c r="AB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35981-2025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45863</v>
      </c>
      <c r="E186" s="1" t="n">
        <v>46217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Dropptaggsvamp</t>
        </is>
      </c>
      <c r="V186">
        <f>HYPERLINK("https://klasma.github.io/Logging_2481/artfynd/A 35981-2025 artfynd.xlsx", "A 35981-2025")</f>
        <v/>
      </c>
      <c r="W186">
        <f>HYPERLINK("https://klasma.github.io/Logging_2481/kartor/A 35981-2025 karta.png", "A 35981-2025")</f>
        <v/>
      </c>
      <c r="Y186">
        <f>HYPERLINK("https://klasma.github.io/Logging_2481/klagomål/A 35981-2025 FSC-klagomål.docx", "A 35981-2025")</f>
        <v/>
      </c>
      <c r="Z186">
        <f>HYPERLINK("https://klasma.github.io/Logging_2481/klagomålsmail/A 35981-2025 FSC-klagomål mail.docx", "A 35981-2025")</f>
        <v/>
      </c>
      <c r="AA186">
        <f>HYPERLINK("https://klasma.github.io/Logging_2481/tillsyn/A 35981-2025 tillsynsbegäran.docx", "A 35981-2025")</f>
        <v/>
      </c>
      <c r="AB186">
        <f>HYPERLINK("https://klasma.github.io/Logging_2481/tillsynsmail/A 35981-2025 tillsynsbegäran mail.docx", "A 35981-2025")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46217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Norrlandslav</t>
        </is>
      </c>
      <c r="V187">
        <f>HYPERLINK("https://klasma.github.io/Logging_2481/artfynd/S 156-2023 artfynd.xlsx", "S 156-2023")</f>
        <v/>
      </c>
      <c r="W187">
        <f>HYPERLINK("https://klasma.github.io/Logging_2481/kartor/S 156-2023 karta.png", "S 156-2023")</f>
        <v/>
      </c>
      <c r="Y187">
        <f>HYPERLINK("https://klasma.github.io/Logging_2481/klagomål/S 156-2023 FSC-klagomål.docx", "S 156-2023")</f>
        <v/>
      </c>
      <c r="Z187">
        <f>HYPERLINK("https://klasma.github.io/Logging_2481/klagomålsmail/S 156-2023 FSC-klagomål mail.docx", "S 156-2023")</f>
        <v/>
      </c>
      <c r="AA187">
        <f>HYPERLINK("https://klasma.github.io/Logging_2481/tillsyn/S 156-2023 tillsynsbegäran.docx", "S 156-2023")</f>
        <v/>
      </c>
      <c r="AB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46217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Doftticka</t>
        </is>
      </c>
      <c r="V188">
        <f>HYPERLINK("https://klasma.github.io/Logging_2481/artfynd/S 454-2025 artfynd.xlsx", "S 454-2025")</f>
        <v/>
      </c>
      <c r="W188">
        <f>HYPERLINK("https://klasma.github.io/Logging_2481/kartor/S 454-2025 karta.png", "S 454-2025")</f>
        <v/>
      </c>
      <c r="Y188">
        <f>HYPERLINK("https://klasma.github.io/Logging_2481/klagomål/S 454-2025 FSC-klagomål.docx", "S 454-2025")</f>
        <v/>
      </c>
      <c r="Z188">
        <f>HYPERLINK("https://klasma.github.io/Logging_2481/klagomålsmail/S 454-2025 FSC-klagomål mail.docx", "S 454-2025")</f>
        <v/>
      </c>
      <c r="AA188">
        <f>HYPERLINK("https://klasma.github.io/Logging_2481/tillsyn/S 454-2025 tillsynsbegäran.docx", "S 454-2025")</f>
        <v/>
      </c>
      <c r="AB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46217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46217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46217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46217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46217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46217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46217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46217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46217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46217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46217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46217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46217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46217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46217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46217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46217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46217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46217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46217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46217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46217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46217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46217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46217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46217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46217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46217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46217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46217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46217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46217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46217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46217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54794-2021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46217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61651-2021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46217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46217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46217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46217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46217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46217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46217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46217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46217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46217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46217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46217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46217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46217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46217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46217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46217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46217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46217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46217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46217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46217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46217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46217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46217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46217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46217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21058-2022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44704</v>
      </c>
      <c r="E251" s="1" t="n">
        <v>46217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46217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46217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49816-2021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44454</v>
      </c>
      <c r="E254" s="1" t="n">
        <v>46217</v>
      </c>
      <c r="F254" t="inlineStr">
        <is>
          <t>VÄSTERBOTTENS LÄN</t>
        </is>
      </c>
      <c r="G254" t="inlineStr">
        <is>
          <t>LYCKSELE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46217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46217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44820</v>
      </c>
      <c r="E257" s="1" t="n">
        <v>46217</v>
      </c>
      <c r="F257" t="inlineStr">
        <is>
          <t>VÄSTERBOTTENS LÄN</t>
        </is>
      </c>
      <c r="G257" t="inlineStr">
        <is>
          <t>LYCKSELE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46217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46217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54234-2023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46217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46217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12336-2024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46217</v>
      </c>
      <c r="F262" t="inlineStr">
        <is>
          <t>VÄSTERBOTTENS LÄN</t>
        </is>
      </c>
      <c r="G262" t="inlineStr">
        <is>
          <t>LYCKSELE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46217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46217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8727-2024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46217</v>
      </c>
      <c r="F265" t="inlineStr">
        <is>
          <t>VÄSTERBOTTENS LÄN</t>
        </is>
      </c>
      <c r="G265" t="inlineStr">
        <is>
          <t>LYCKSELE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16183-2025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46217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11626-2024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45373</v>
      </c>
      <c r="E267" s="1" t="n">
        <v>46217</v>
      </c>
      <c r="F267" t="inlineStr">
        <is>
          <t>VÄSTERBOTTENS LÄN</t>
        </is>
      </c>
      <c r="G267" t="inlineStr">
        <is>
          <t>LYCKSELE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46217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61281-2022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44909</v>
      </c>
      <c r="E269" s="1" t="n">
        <v>46217</v>
      </c>
      <c r="F269" t="inlineStr">
        <is>
          <t>VÄSTERBOTTENS LÄN</t>
        </is>
      </c>
      <c r="G269" t="inlineStr">
        <is>
          <t>LYCKSELE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12333-2024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45378</v>
      </c>
      <c r="E270" s="1" t="n">
        <v>46217</v>
      </c>
      <c r="F270" t="inlineStr">
        <is>
          <t>VÄSTERBOTTENS LÄN</t>
        </is>
      </c>
      <c r="G270" t="inlineStr">
        <is>
          <t>LYCKSELE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41749-2024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46217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19765-2024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46217</v>
      </c>
      <c r="F272" t="inlineStr">
        <is>
          <t>VÄSTERBOTTENS LÄN</t>
        </is>
      </c>
      <c r="G272" t="inlineStr">
        <is>
          <t>LYCKSELE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53320-2021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44468</v>
      </c>
      <c r="E273" s="1" t="n">
        <v>46217</v>
      </c>
      <c r="F273" t="inlineStr">
        <is>
          <t>VÄSTERBOTTENS LÄN</t>
        </is>
      </c>
      <c r="G273" t="inlineStr">
        <is>
          <t>LYCKSELE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24361-2024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46217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58920-2022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44896</v>
      </c>
      <c r="E275" s="1" t="n">
        <v>46217</v>
      </c>
      <c r="F275" t="inlineStr">
        <is>
          <t>VÄSTERBOTTENS LÄN</t>
        </is>
      </c>
      <c r="G275" t="inlineStr">
        <is>
          <t>LYCKSELE</t>
        </is>
      </c>
      <c r="I275" t="n">
        <v>20.5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46217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46217</v>
      </c>
      <c r="F277" t="inlineStr">
        <is>
          <t>VÄSTERBOTTENS LÄN</t>
        </is>
      </c>
      <c r="G277" t="inlineStr">
        <is>
          <t>LYCKSELE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16563-2024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46217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47182-2024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46217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45515</v>
      </c>
      <c r="E280" s="1" t="n">
        <v>46217</v>
      </c>
      <c r="F280" t="inlineStr">
        <is>
          <t>VÄSTERBOTTENS LÄN</t>
        </is>
      </c>
      <c r="G280" t="inlineStr">
        <is>
          <t>LYCKSELE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31251-2024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45503</v>
      </c>
      <c r="E281" s="1" t="n">
        <v>46217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46217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60117-2022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44909</v>
      </c>
      <c r="E283" s="1" t="n">
        <v>46217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60122-2022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46217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26071-2024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45468</v>
      </c>
      <c r="E285" s="1" t="n">
        <v>46217</v>
      </c>
      <c r="F285" t="inlineStr">
        <is>
          <t>VÄSTERBOTTENS LÄN</t>
        </is>
      </c>
      <c r="G285" t="inlineStr">
        <is>
          <t>LYCKSELE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34567-2023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45140</v>
      </c>
      <c r="E286" s="1" t="n">
        <v>46217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36900-2023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46217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58192-2023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46217</v>
      </c>
      <c r="F288" t="inlineStr">
        <is>
          <t>VÄSTERBOTTENS LÄN</t>
        </is>
      </c>
      <c r="G288" t="inlineStr">
        <is>
          <t>LYCKSELE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17393-2023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46217</v>
      </c>
      <c r="F289" t="inlineStr">
        <is>
          <t>VÄSTERBOTTENS LÄN</t>
        </is>
      </c>
      <c r="G289" t="inlineStr">
        <is>
          <t>LYCKSELE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46217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29449-2024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45483</v>
      </c>
      <c r="E291" s="1" t="n">
        <v>46217</v>
      </c>
      <c r="F291" t="inlineStr">
        <is>
          <t>VÄSTERBOTTENS LÄN</t>
        </is>
      </c>
      <c r="G291" t="inlineStr">
        <is>
          <t>LYCKSELE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45428</v>
      </c>
      <c r="E292" s="1" t="n">
        <v>46217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11.1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41711-2023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46217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42023-2024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46217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26483-2024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46217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66460-2021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44518</v>
      </c>
      <c r="E296" s="1" t="n">
        <v>46217</v>
      </c>
      <c r="F296" t="inlineStr">
        <is>
          <t>VÄSTERBOTTENS LÄN</t>
        </is>
      </c>
      <c r="G296" t="inlineStr">
        <is>
          <t>LYCKSELE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14343-2024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46217</v>
      </c>
      <c r="F297" t="inlineStr">
        <is>
          <t>VÄSTERBOTTENS LÄN</t>
        </is>
      </c>
      <c r="G297" t="inlineStr">
        <is>
          <t>LYCKSELE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70195-2021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44534</v>
      </c>
      <c r="E298" s="1" t="n">
        <v>46217</v>
      </c>
      <c r="F298" t="inlineStr">
        <is>
          <t>VÄSTERBOTTENS LÄN</t>
        </is>
      </c>
      <c r="G298" t="inlineStr">
        <is>
          <t>LYCKSELE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28893-2024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45479</v>
      </c>
      <c r="E299" s="1" t="n">
        <v>46217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2758-2023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44943</v>
      </c>
      <c r="E300" s="1" t="n">
        <v>46217</v>
      </c>
      <c r="F300" t="inlineStr">
        <is>
          <t>VÄSTERBOTTENS LÄN</t>
        </is>
      </c>
      <c r="G300" t="inlineStr">
        <is>
          <t>LYCKSELE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47016-2022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44851</v>
      </c>
      <c r="E301" s="1" t="n">
        <v>46217</v>
      </c>
      <c r="F301" t="inlineStr">
        <is>
          <t>VÄSTERBOTTENS LÄN</t>
        </is>
      </c>
      <c r="G301" t="inlineStr">
        <is>
          <t>LYCKSELE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54778-2024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45618</v>
      </c>
      <c r="E302" s="1" t="n">
        <v>46217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64893-2021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44512</v>
      </c>
      <c r="E303" s="1" t="n">
        <v>46217</v>
      </c>
      <c r="F303" t="inlineStr">
        <is>
          <t>VÄSTERBOTTENS LÄN</t>
        </is>
      </c>
      <c r="G303" t="inlineStr">
        <is>
          <t>LYCKSELE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73113-2021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44550</v>
      </c>
      <c r="E304" s="1" t="n">
        <v>46217</v>
      </c>
      <c r="F304" t="inlineStr">
        <is>
          <t>VÄSTERBOTTENS LÄN</t>
        </is>
      </c>
      <c r="G304" t="inlineStr">
        <is>
          <t>LYCKSELE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45307</v>
      </c>
      <c r="E305" s="1" t="n">
        <v>46217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57108-2024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45629</v>
      </c>
      <c r="E306" s="1" t="n">
        <v>46217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60685-2022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44911</v>
      </c>
      <c r="E307" s="1" t="n">
        <v>46217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12261-2022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44637</v>
      </c>
      <c r="E308" s="1" t="n">
        <v>46217</v>
      </c>
      <c r="F308" t="inlineStr">
        <is>
          <t>VÄSTERBOTTENS LÄN</t>
        </is>
      </c>
      <c r="G308" t="inlineStr">
        <is>
          <t>LYCKSELE</t>
        </is>
      </c>
      <c r="I308" t="n">
        <v>30.8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46217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57818-2021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44484</v>
      </c>
      <c r="E310" s="1" t="n">
        <v>46217</v>
      </c>
      <c r="F310" t="inlineStr">
        <is>
          <t>VÄSTERBOTTENS LÄN</t>
        </is>
      </c>
      <c r="G310" t="inlineStr">
        <is>
          <t>LYCKSELE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38114-2024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45545</v>
      </c>
      <c r="E311" s="1" t="n">
        <v>46217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14773-2025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45742</v>
      </c>
      <c r="E312" s="1" t="n">
        <v>46217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50.1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42887-2024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46217</v>
      </c>
      <c r="F313" t="inlineStr">
        <is>
          <t>VÄSTERBOTTENS LÄN</t>
        </is>
      </c>
      <c r="G313" t="inlineStr">
        <is>
          <t>LYCKSELE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30421-2024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45491</v>
      </c>
      <c r="E314" s="1" t="n">
        <v>46217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34897-2024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46217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21668-2024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45441</v>
      </c>
      <c r="E316" s="1" t="n">
        <v>46217</v>
      </c>
      <c r="F316" t="inlineStr">
        <is>
          <t>VÄSTERBOTTENS LÄN</t>
        </is>
      </c>
      <c r="G316" t="inlineStr">
        <is>
          <t>LYCKSELE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37950-2024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46217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46217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32800-2024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46217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46217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43134-2023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45182</v>
      </c>
      <c r="E321" s="1" t="n">
        <v>46217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46217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36150-2024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45534</v>
      </c>
      <c r="E323" s="1" t="n">
        <v>46217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31689-2023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46217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37817-2024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46217</v>
      </c>
      <c r="F325" t="inlineStr">
        <is>
          <t>VÄSTERBOTTENS LÄN</t>
        </is>
      </c>
      <c r="G325" t="inlineStr">
        <is>
          <t>LYCKSELE</t>
        </is>
      </c>
      <c r="I325" t="n">
        <v>12.3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44952</v>
      </c>
      <c r="E326" s="1" t="n">
        <v>46217</v>
      </c>
      <c r="F326" t="inlineStr">
        <is>
          <t>VÄSTERBOTTENS LÄN</t>
        </is>
      </c>
      <c r="G326" t="inlineStr">
        <is>
          <t>LYCKSELE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36274-2024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46217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34635-2024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45526</v>
      </c>
      <c r="E328" s="1" t="n">
        <v>46217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41523-2024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45560</v>
      </c>
      <c r="E329" s="1" t="n">
        <v>46217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71407-2021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44540</v>
      </c>
      <c r="E330" s="1" t="n">
        <v>46217</v>
      </c>
      <c r="F330" t="inlineStr">
        <is>
          <t>VÄSTERBOTTENS LÄN</t>
        </is>
      </c>
      <c r="G330" t="inlineStr">
        <is>
          <t>LYCKSELE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44572</v>
      </c>
      <c r="E331" s="1" t="n">
        <v>46217</v>
      </c>
      <c r="F331" t="inlineStr">
        <is>
          <t>VÄSTERBOTTENS LÄN</t>
        </is>
      </c>
      <c r="G331" t="inlineStr">
        <is>
          <t>LYCKSELE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12335-2024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46217</v>
      </c>
      <c r="F332" t="inlineStr">
        <is>
          <t>VÄSTERBOTTENS LÄN</t>
        </is>
      </c>
      <c r="G332" t="inlineStr">
        <is>
          <t>LYCKSELE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34903-2023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45142</v>
      </c>
      <c r="E333" s="1" t="n">
        <v>46217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48230-2023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46217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44994</v>
      </c>
      <c r="E335" s="1" t="n">
        <v>46217</v>
      </c>
      <c r="F335" t="inlineStr">
        <is>
          <t>VÄSTERBOTTENS LÄN</t>
        </is>
      </c>
      <c r="G335" t="inlineStr">
        <is>
          <t>LYCKSELE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36542-2025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45869</v>
      </c>
      <c r="E336" s="1" t="n">
        <v>46217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45444-2024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45576</v>
      </c>
      <c r="E337" s="1" t="n">
        <v>46217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45869</v>
      </c>
      <c r="E338" s="1" t="n">
        <v>46217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13566-2023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45006</v>
      </c>
      <c r="E339" s="1" t="n">
        <v>46217</v>
      </c>
      <c r="F339" t="inlineStr">
        <is>
          <t>VÄSTERBOTTENS LÄN</t>
        </is>
      </c>
      <c r="G339" t="inlineStr">
        <is>
          <t>LYCKSELE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57618-2022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44897</v>
      </c>
      <c r="E340" s="1" t="n">
        <v>46217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46217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36709-2025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46217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53037-2023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45226</v>
      </c>
      <c r="E343" s="1" t="n">
        <v>46217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46217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38347-2025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46217</v>
      </c>
      <c r="F345" t="inlineStr">
        <is>
          <t>VÄSTERBOTTENS LÄN</t>
        </is>
      </c>
      <c r="G345" t="inlineStr">
        <is>
          <t>LYCKSELE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36787-2025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45873</v>
      </c>
      <c r="E346" s="1" t="n">
        <v>46217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36736-2025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45873</v>
      </c>
      <c r="E347" s="1" t="n">
        <v>46217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37105-2025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46217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16.4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37078-2025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46217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25491-2026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46217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26397-2022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44735</v>
      </c>
      <c r="E351" s="1" t="n">
        <v>46217</v>
      </c>
      <c r="F351" t="inlineStr">
        <is>
          <t>VÄSTERBOTTENS LÄN</t>
        </is>
      </c>
      <c r="G351" t="inlineStr">
        <is>
          <t>LYCKSELE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64663-2023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46217</v>
      </c>
      <c r="F352" t="inlineStr">
        <is>
          <t>VÄSTERBOTTENS LÄN</t>
        </is>
      </c>
      <c r="G352" t="inlineStr">
        <is>
          <t>LYCKSELE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25727-2026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46217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45881</v>
      </c>
      <c r="E354" s="1" t="n">
        <v>46217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61799-2023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46217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31648-2024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45506</v>
      </c>
      <c r="E356" s="1" t="n">
        <v>46217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46217</v>
      </c>
      <c r="F357" t="inlineStr">
        <is>
          <t>VÄSTERBOTTENS LÄN</t>
        </is>
      </c>
      <c r="G357" t="inlineStr">
        <is>
          <t>LYCKSELE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12424-2025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45730</v>
      </c>
      <c r="E358" s="1" t="n">
        <v>46217</v>
      </c>
      <c r="F358" t="inlineStr">
        <is>
          <t>VÄSTERBOTTENS LÄN</t>
        </is>
      </c>
      <c r="G358" t="inlineStr">
        <is>
          <t>LYCKSELE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59516-2021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44491</v>
      </c>
      <c r="E359" s="1" t="n">
        <v>46217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39135-2025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46217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39162-2025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46217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23295-2023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46217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38925-2025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46217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38777-2025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46217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45888</v>
      </c>
      <c r="E365" s="1" t="n">
        <v>46217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8596-2025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45709</v>
      </c>
      <c r="E366" s="1" t="n">
        <v>46217</v>
      </c>
      <c r="F366" t="inlineStr">
        <is>
          <t>VÄSTERBOTTENS LÄN</t>
        </is>
      </c>
      <c r="G366" t="inlineStr">
        <is>
          <t>LYCKSELE</t>
        </is>
      </c>
      <c r="I366" t="n">
        <v>10.5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38922-2025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46217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38774-2025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45887</v>
      </c>
      <c r="E368" s="1" t="n">
        <v>46217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8941-2025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45713</v>
      </c>
      <c r="E369" s="1" t="n">
        <v>46217</v>
      </c>
      <c r="F369" t="inlineStr">
        <is>
          <t>VÄSTERBOTTENS LÄN</t>
        </is>
      </c>
      <c r="G369" t="inlineStr">
        <is>
          <t>LYCKSELE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38960-2025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45887</v>
      </c>
      <c r="E370" s="1" t="n">
        <v>46217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44933</v>
      </c>
      <c r="E371" s="1" t="n">
        <v>46217</v>
      </c>
      <c r="F371" t="inlineStr">
        <is>
          <t>VÄSTERBOTTENS LÄN</t>
        </is>
      </c>
      <c r="G371" t="inlineStr">
        <is>
          <t>LYCKSELE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39517-2025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46217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39543-2025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46217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39562-2025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45890</v>
      </c>
      <c r="E374" s="1" t="n">
        <v>46217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39239-2025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45889</v>
      </c>
      <c r="E375" s="1" t="n">
        <v>46217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46217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39458-2025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46217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39521-2025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46217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25716-2026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46217</v>
      </c>
      <c r="F379" t="inlineStr">
        <is>
          <t>VÄSTERBOTTENS LÄN</t>
        </is>
      </c>
      <c r="G379" t="inlineStr">
        <is>
          <t>LYCKSELE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39342-2025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46217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39552-2025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45890</v>
      </c>
      <c r="E381" s="1" t="n">
        <v>46217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54697-2024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45618</v>
      </c>
      <c r="E382" s="1" t="n">
        <v>46217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53096-2024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46217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39482-2025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46217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53335-2024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46217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40238-2025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45894</v>
      </c>
      <c r="E386" s="1" t="n">
        <v>46217</v>
      </c>
      <c r="F386" t="inlineStr">
        <is>
          <t>VÄSTERBOTTENS LÄN</t>
        </is>
      </c>
      <c r="G386" t="inlineStr">
        <is>
          <t>LYCKSELE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46217</v>
      </c>
      <c r="F387" t="inlineStr">
        <is>
          <t>VÄSTERBOTTENS LÄN</t>
        </is>
      </c>
      <c r="G387" t="inlineStr">
        <is>
          <t>LYCKSELE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25461-2026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46177</v>
      </c>
      <c r="E388" s="1" t="n">
        <v>46217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11604-2023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46217</v>
      </c>
      <c r="F389" t="inlineStr">
        <is>
          <t>VÄSTERBOTTENS LÄN</t>
        </is>
      </c>
      <c r="G389" t="inlineStr">
        <is>
          <t>LYCKSELE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25709-2026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46217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25453-2026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46217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40079-2025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46217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25278-2026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46176</v>
      </c>
      <c r="E393" s="1" t="n">
        <v>46217</v>
      </c>
      <c r="F393" t="inlineStr">
        <is>
          <t>VÄSTERBOTTENS LÄN</t>
        </is>
      </c>
      <c r="G393" t="inlineStr">
        <is>
          <t>LYCKSELE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44952</v>
      </c>
      <c r="E394" s="1" t="n">
        <v>46217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25718-2026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46217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25746-2026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46217</v>
      </c>
      <c r="F396" t="inlineStr">
        <is>
          <t>VÄSTERBOTTENS LÄN</t>
        </is>
      </c>
      <c r="G396" t="inlineStr">
        <is>
          <t>LYCKSELE</t>
        </is>
      </c>
      <c r="I396" t="n">
        <v>22.3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25490-2026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46217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14.5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25492-2026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46217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59209-2024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46217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46217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42075-2025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45902</v>
      </c>
      <c r="E401" s="1" t="n">
        <v>46217</v>
      </c>
      <c r="F401" t="inlineStr">
        <is>
          <t>VÄSTERBOTTENS LÄN</t>
        </is>
      </c>
      <c r="G401" t="inlineStr">
        <is>
          <t>LYCKSELE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35765-2023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46217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45901</v>
      </c>
      <c r="E403" s="1" t="n">
        <v>46217</v>
      </c>
      <c r="F403" t="inlineStr">
        <is>
          <t>VÄSTERBOTTENS LÄN</t>
        </is>
      </c>
      <c r="G403" t="inlineStr">
        <is>
          <t>LYCKSELE</t>
        </is>
      </c>
      <c r="I403" t="n">
        <v>16.6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24340-2024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45457</v>
      </c>
      <c r="E404" s="1" t="n">
        <v>46217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42051-2025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46217</v>
      </c>
      <c r="F405" t="inlineStr">
        <is>
          <t>VÄSTERBOTTENS LÄN</t>
        </is>
      </c>
      <c r="G405" t="inlineStr">
        <is>
          <t>LYCKSELE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41906-2025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46217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41911-2025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46217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9.4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8917-2023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44979</v>
      </c>
      <c r="E408" s="1" t="n">
        <v>46217</v>
      </c>
      <c r="F408" t="inlineStr">
        <is>
          <t>VÄSTERBOTTENS LÄN</t>
        </is>
      </c>
      <c r="G408" t="inlineStr">
        <is>
          <t>LYCKSELE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42019-2025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46217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27495-2024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46217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42028-2025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45903</v>
      </c>
      <c r="E411" s="1" t="n">
        <v>46217</v>
      </c>
      <c r="F411" t="inlineStr">
        <is>
          <t>VÄSTERBOTTENS LÄN</t>
        </is>
      </c>
      <c r="G411" t="inlineStr">
        <is>
          <t>LYCKSELE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42500-2025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46217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62715-2022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44925</v>
      </c>
      <c r="E413" s="1" t="n">
        <v>46217</v>
      </c>
      <c r="F413" t="inlineStr">
        <is>
          <t>VÄSTERBOTTENS LÄN</t>
        </is>
      </c>
      <c r="G413" t="inlineStr">
        <is>
          <t>LYCKSELE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42616-2025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46217</v>
      </c>
      <c r="F414" t="inlineStr">
        <is>
          <t>VÄSTERBOTTENS LÄN</t>
        </is>
      </c>
      <c r="G414" t="inlineStr">
        <is>
          <t>LYCKSELE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62094-2023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46217</v>
      </c>
      <c r="F415" t="inlineStr">
        <is>
          <t>VÄSTERBOTTENS LÄN</t>
        </is>
      </c>
      <c r="G415" t="inlineStr">
        <is>
          <t>LYCKSELE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57666-2021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44484</v>
      </c>
      <c r="E416" s="1" t="n">
        <v>46217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59559-2022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44900</v>
      </c>
      <c r="E417" s="1" t="n">
        <v>46217</v>
      </c>
      <c r="F417" t="inlineStr">
        <is>
          <t>VÄSTERBOTTENS LÄN</t>
        </is>
      </c>
      <c r="G417" t="inlineStr">
        <is>
          <t>LYCKSELE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24377-2024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45457</v>
      </c>
      <c r="E418" s="1" t="n">
        <v>46217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29937-2024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45488</v>
      </c>
      <c r="E419" s="1" t="n">
        <v>46217</v>
      </c>
      <c r="F419" t="inlineStr">
        <is>
          <t>VÄSTERBOTTENS LÄN</t>
        </is>
      </c>
      <c r="G419" t="inlineStr">
        <is>
          <t>LYCKSELE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48330-2024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46217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42405-2025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46217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28525-2023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46217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28528-2023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46217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28545-2023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46217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42984-2025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45909</v>
      </c>
      <c r="E425" s="1" t="n">
        <v>46217</v>
      </c>
      <c r="F425" t="inlineStr">
        <is>
          <t>VÄSTERBOTTENS LÄN</t>
        </is>
      </c>
      <c r="G425" t="inlineStr">
        <is>
          <t>LYCKSELE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45142</v>
      </c>
      <c r="E426" s="1" t="n">
        <v>46217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52124-2024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46217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46217</v>
      </c>
      <c r="F428" t="inlineStr">
        <is>
          <t>VÄSTERBOTTENS LÄN</t>
        </is>
      </c>
      <c r="G428" t="inlineStr">
        <is>
          <t>LYCKSELE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52144-2024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46217</v>
      </c>
      <c r="F429" t="inlineStr">
        <is>
          <t>VÄSTERBOTTENS LÄN</t>
        </is>
      </c>
      <c r="G429" t="inlineStr">
        <is>
          <t>LYCKSELE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62547-2022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44924</v>
      </c>
      <c r="E430" s="1" t="n">
        <v>46217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45672</v>
      </c>
      <c r="E431" s="1" t="n">
        <v>46217</v>
      </c>
      <c r="F431" t="inlineStr">
        <is>
          <t>VÄSTERBOTTENS LÄN</t>
        </is>
      </c>
      <c r="G431" t="inlineStr">
        <is>
          <t>LYCKSELE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9090-2025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45713</v>
      </c>
      <c r="E432" s="1" t="n">
        <v>46217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44340-2025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46217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43931-2025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46217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9.9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62870-2023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46217</v>
      </c>
      <c r="F435" t="inlineStr">
        <is>
          <t>VÄSTERBOTTENS LÄN</t>
        </is>
      </c>
      <c r="G435" t="inlineStr">
        <is>
          <t>LYCKSELE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44299-2025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46217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44337-2025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46217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44345-2025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46217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43924-2025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46217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43928-2025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46217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43929-2025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46217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14343-2025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46217</v>
      </c>
      <c r="F442" t="inlineStr">
        <is>
          <t>VÄSTERBOTTENS LÄN</t>
        </is>
      </c>
      <c r="G442" t="inlineStr">
        <is>
          <t>LYCKSELE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44342-2025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46217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44346-2025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46217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44098-2025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46217</v>
      </c>
      <c r="F445" t="inlineStr">
        <is>
          <t>VÄSTERBOTTENS LÄN</t>
        </is>
      </c>
      <c r="G445" t="inlineStr">
        <is>
          <t>LYCKSELE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44087-2025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46217</v>
      </c>
      <c r="F446" t="inlineStr">
        <is>
          <t>VÄSTERBOTTENS LÄN</t>
        </is>
      </c>
      <c r="G446" t="inlineStr">
        <is>
          <t>LYCKSELE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44924</v>
      </c>
      <c r="E447" s="1" t="n">
        <v>46217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44107-2025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46217</v>
      </c>
      <c r="F448" t="inlineStr">
        <is>
          <t>VÄSTERBOTTENS LÄN</t>
        </is>
      </c>
      <c r="G448" t="inlineStr">
        <is>
          <t>LYCKSELE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47113-2025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45929</v>
      </c>
      <c r="E449" s="1" t="n">
        <v>46217</v>
      </c>
      <c r="F449" t="inlineStr">
        <is>
          <t>VÄSTERBOTTENS LÄN</t>
        </is>
      </c>
      <c r="G449" t="inlineStr">
        <is>
          <t>LYCKSELE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44094-2025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46217</v>
      </c>
      <c r="F450" t="inlineStr">
        <is>
          <t>VÄSTERBOTTENS LÄN</t>
        </is>
      </c>
      <c r="G450" t="inlineStr">
        <is>
          <t>LYCKSELE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44547-2025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45917</v>
      </c>
      <c r="E451" s="1" t="n">
        <v>46217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25902-2022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44733</v>
      </c>
      <c r="E452" s="1" t="n">
        <v>46217</v>
      </c>
      <c r="F452" t="inlineStr">
        <is>
          <t>VÄSTERBOTTENS LÄN</t>
        </is>
      </c>
      <c r="G452" t="inlineStr">
        <is>
          <t>LYCKSELE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3791-2025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45681</v>
      </c>
      <c r="E453" s="1" t="n">
        <v>46217</v>
      </c>
      <c r="F453" t="inlineStr">
        <is>
          <t>VÄSTERBOTTENS LÄN</t>
        </is>
      </c>
      <c r="G453" t="inlineStr">
        <is>
          <t>LYCKSELE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45174-2025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45919</v>
      </c>
      <c r="E454" s="1" t="n">
        <v>46217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48585-2025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46217</v>
      </c>
      <c r="F455" t="inlineStr">
        <is>
          <t>VÄSTERBOTTENS LÄN</t>
        </is>
      </c>
      <c r="G455" t="inlineStr">
        <is>
          <t>LYCKSELE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46217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58716-2024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45635</v>
      </c>
      <c r="E457" s="1" t="n">
        <v>46217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46217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46077-2025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46217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36875-2023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46217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57263-2024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46217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26351-2022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44735</v>
      </c>
      <c r="E462" s="1" t="n">
        <v>46217</v>
      </c>
      <c r="F462" t="inlineStr">
        <is>
          <t>VÄSTERBOTTENS LÄN</t>
        </is>
      </c>
      <c r="G462" t="inlineStr">
        <is>
          <t>LYCKSELE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6943-2025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45701</v>
      </c>
      <c r="E463" s="1" t="n">
        <v>46217</v>
      </c>
      <c r="F463" t="inlineStr">
        <is>
          <t>VÄSTERBOTTENS LÄN</t>
        </is>
      </c>
      <c r="G463" t="inlineStr">
        <is>
          <t>LYCKSELE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29835-2023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46217</v>
      </c>
      <c r="F464" t="inlineStr">
        <is>
          <t>VÄSTERBOTTENS LÄN</t>
        </is>
      </c>
      <c r="G464" t="inlineStr">
        <is>
          <t>LYCKSELE</t>
        </is>
      </c>
      <c r="I464" t="n">
        <v>17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46286-2025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46217</v>
      </c>
      <c r="F465" t="inlineStr">
        <is>
          <t>VÄSTERBOTTENS LÄN</t>
        </is>
      </c>
      <c r="G465" t="inlineStr">
        <is>
          <t>LYCKSELE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57471-2024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45630</v>
      </c>
      <c r="E466" s="1" t="n">
        <v>46217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46826-2023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45198</v>
      </c>
      <c r="E467" s="1" t="n">
        <v>46217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47461-2025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46217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47093-2025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46217</v>
      </c>
      <c r="F469" t="inlineStr">
        <is>
          <t>VÄSTERBOTTENS LÄN</t>
        </is>
      </c>
      <c r="G469" t="inlineStr">
        <is>
          <t>LYCKSELE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46217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47459-2025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46217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47700-2025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46217</v>
      </c>
      <c r="F472" t="inlineStr">
        <is>
          <t>VÄSTERBOTTENS LÄN</t>
        </is>
      </c>
      <c r="G472" t="inlineStr">
        <is>
          <t>LYCKSELE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43973-2023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46217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21666-2024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46217</v>
      </c>
      <c r="F474" t="inlineStr">
        <is>
          <t>VÄSTERBOTTENS LÄN</t>
        </is>
      </c>
      <c r="G474" t="inlineStr">
        <is>
          <t>LYCKSELE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47930-2025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46217</v>
      </c>
      <c r="F475" t="inlineStr">
        <is>
          <t>VÄSTERBOTTENS LÄN</t>
        </is>
      </c>
      <c r="G475" t="inlineStr">
        <is>
          <t>LYCKSELE</t>
        </is>
      </c>
      <c r="I475" t="n">
        <v>17.8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25946-2026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46217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38178-2022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44812</v>
      </c>
      <c r="E477" s="1" t="n">
        <v>46217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3632-2024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45320</v>
      </c>
      <c r="E478" s="1" t="n">
        <v>46217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57984-2025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45982</v>
      </c>
      <c r="E479" s="1" t="n">
        <v>46217</v>
      </c>
      <c r="F479" t="inlineStr">
        <is>
          <t>VÄSTERBOTTENS LÄN</t>
        </is>
      </c>
      <c r="G479" t="inlineStr">
        <is>
          <t>LYCKSELE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51957-2023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45223</v>
      </c>
      <c r="E480" s="1" t="n">
        <v>46217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48493-2025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46217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48208-2025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46217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34849-2025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45849</v>
      </c>
      <c r="E483" s="1" t="n">
        <v>46217</v>
      </c>
      <c r="F483" t="inlineStr">
        <is>
          <t>VÄSTERBOTTENS LÄN</t>
        </is>
      </c>
      <c r="G483" t="inlineStr">
        <is>
          <t>LYCKSELE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48205-2025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46217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45666</v>
      </c>
      <c r="E485" s="1" t="n">
        <v>46217</v>
      </c>
      <c r="F485" t="inlineStr">
        <is>
          <t>VÄSTERBOTTENS LÄN</t>
        </is>
      </c>
      <c r="G485" t="inlineStr">
        <is>
          <t>LYCKSELE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37984-2021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44403</v>
      </c>
      <c r="E486" s="1" t="n">
        <v>46217</v>
      </c>
      <c r="F486" t="inlineStr">
        <is>
          <t>VÄSTERBOTTENS LÄN</t>
        </is>
      </c>
      <c r="G486" t="inlineStr">
        <is>
          <t>LYCKSELE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15037-2025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45743</v>
      </c>
      <c r="E487" s="1" t="n">
        <v>46217</v>
      </c>
      <c r="F487" t="inlineStr">
        <is>
          <t>VÄSTERBOTTENS LÄN</t>
        </is>
      </c>
      <c r="G487" t="inlineStr">
        <is>
          <t>LYCKSELE</t>
        </is>
      </c>
      <c r="I487" t="n">
        <v>12.1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49196-2025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46217</v>
      </c>
      <c r="F488" t="inlineStr">
        <is>
          <t>VÄSTERBOTTENS LÄN</t>
        </is>
      </c>
      <c r="G488" t="inlineStr">
        <is>
          <t>LYCKSELE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40262-2022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44820</v>
      </c>
      <c r="E489" s="1" t="n">
        <v>46217</v>
      </c>
      <c r="F489" t="inlineStr">
        <is>
          <t>VÄSTERBOTTENS LÄN</t>
        </is>
      </c>
      <c r="G489" t="inlineStr">
        <is>
          <t>LYCKSELE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49366-2025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45938</v>
      </c>
      <c r="E490" s="1" t="n">
        <v>46217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45313</v>
      </c>
      <c r="E491" s="1" t="n">
        <v>46217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Naturvårdsverket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59653-2022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44907</v>
      </c>
      <c r="E492" s="1" t="n">
        <v>46217</v>
      </c>
      <c r="F492" t="inlineStr">
        <is>
          <t>VÄSTERBOTTENS LÄN</t>
        </is>
      </c>
      <c r="G492" t="inlineStr">
        <is>
          <t>LYCKSELE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58263-2025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46217</v>
      </c>
      <c r="F493" t="inlineStr">
        <is>
          <t>VÄSTERBOTTENS LÄN</t>
        </is>
      </c>
      <c r="G493" t="inlineStr">
        <is>
          <t>LYCKSELE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41419-2022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44826</v>
      </c>
      <c r="E494" s="1" t="n">
        <v>46217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Naturvårdsverket</t>
        </is>
      </c>
      <c r="I494" t="n">
        <v>32.1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46654-2025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46217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49859-2025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46217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29709-2025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45825</v>
      </c>
      <c r="E497" s="1" t="n">
        <v>46217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52.4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41703-2023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45176</v>
      </c>
      <c r="E498" s="1" t="n">
        <v>46217</v>
      </c>
      <c r="F498" t="inlineStr">
        <is>
          <t>VÄSTERBOTTENS LÄN</t>
        </is>
      </c>
      <c r="G498" t="inlineStr">
        <is>
          <t>LYCKSELE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46562-2025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46217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45695</v>
      </c>
      <c r="E500" s="1" t="n">
        <v>46217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64346-2023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45279</v>
      </c>
      <c r="E501" s="1" t="n">
        <v>46217</v>
      </c>
      <c r="F501" t="inlineStr">
        <is>
          <t>VÄSTERBOTTENS LÄN</t>
        </is>
      </c>
      <c r="G501" t="inlineStr">
        <is>
          <t>LYCKSELE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26175-2026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46217</v>
      </c>
      <c r="F502" t="inlineStr">
        <is>
          <t>VÄSTERBOTTENS LÄN</t>
        </is>
      </c>
      <c r="G502" t="inlineStr">
        <is>
          <t>LYCKSELE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52370-2022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44874</v>
      </c>
      <c r="E503" s="1" t="n">
        <v>46217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45447-2024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45576</v>
      </c>
      <c r="E504" s="1" t="n">
        <v>46217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Naturvårdsverket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20508-2025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45775</v>
      </c>
      <c r="E505" s="1" t="n">
        <v>46217</v>
      </c>
      <c r="F505" t="inlineStr">
        <is>
          <t>VÄSTERBOTTENS LÄN</t>
        </is>
      </c>
      <c r="G505" t="inlineStr">
        <is>
          <t>LYCKSELE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49968-2025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45941</v>
      </c>
      <c r="E506" s="1" t="n">
        <v>46217</v>
      </c>
      <c r="F506" t="inlineStr">
        <is>
          <t>VÄSTERBOTTENS LÄN</t>
        </is>
      </c>
      <c r="G506" t="inlineStr">
        <is>
          <t>LYCKSELE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49977-2025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45942</v>
      </c>
      <c r="E507" s="1" t="n">
        <v>46217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50021-2025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45943</v>
      </c>
      <c r="E508" s="1" t="n">
        <v>46217</v>
      </c>
      <c r="F508" t="inlineStr">
        <is>
          <t>VÄSTERBOTTENS LÄN</t>
        </is>
      </c>
      <c r="G508" t="inlineStr">
        <is>
          <t>LYCKSELE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16274-2022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44670</v>
      </c>
      <c r="E509" s="1" t="n">
        <v>46217</v>
      </c>
      <c r="F509" t="inlineStr">
        <is>
          <t>VÄSTERBOTTENS LÄN</t>
        </is>
      </c>
      <c r="G509" t="inlineStr">
        <is>
          <t>LYCKSELE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31453-2024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45505</v>
      </c>
      <c r="E510" s="1" t="n">
        <v>46217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8.300000000000001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4215-2025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46217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51207-2025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45947</v>
      </c>
      <c r="E512" s="1" t="n">
        <v>46217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29675-2023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46217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51473-2025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46217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45576</v>
      </c>
      <c r="E515" s="1" t="n">
        <v>46217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Naturvårdsverket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53614-2021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44469</v>
      </c>
      <c r="E516" s="1" t="n">
        <v>46217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47697-2021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44448</v>
      </c>
      <c r="E517" s="1" t="n">
        <v>46217</v>
      </c>
      <c r="F517" t="inlineStr">
        <is>
          <t>VÄSTERBOTTENS LÄN</t>
        </is>
      </c>
      <c r="G517" t="inlineStr">
        <is>
          <t>LYCKSELE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51859-2025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45952</v>
      </c>
      <c r="E518" s="1" t="n">
        <v>46217</v>
      </c>
      <c r="F518" t="inlineStr">
        <is>
          <t>VÄSTERBOTTENS LÄN</t>
        </is>
      </c>
      <c r="G518" t="inlineStr">
        <is>
          <t>LYCKSELE</t>
        </is>
      </c>
      <c r="I518" t="n">
        <v>13.5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8600-2025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46217</v>
      </c>
      <c r="F519" t="inlineStr">
        <is>
          <t>VÄSTERBOTTENS LÄN</t>
        </is>
      </c>
      <c r="G519" t="inlineStr">
        <is>
          <t>LYCKSELE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9892-2022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46217</v>
      </c>
      <c r="F520" t="inlineStr">
        <is>
          <t>VÄSTERBOTTENS LÄN</t>
        </is>
      </c>
      <c r="G520" t="inlineStr">
        <is>
          <t>LYCKSELE</t>
        </is>
      </c>
      <c r="I520" t="n">
        <v>14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51748-2025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45951</v>
      </c>
      <c r="E521" s="1" t="n">
        <v>46217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19.8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12839-2022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44642</v>
      </c>
      <c r="E522" s="1" t="n">
        <v>46217</v>
      </c>
      <c r="F522" t="inlineStr">
        <is>
          <t>VÄSTERBOTTENS LÄN</t>
        </is>
      </c>
      <c r="G522" t="inlineStr">
        <is>
          <t>LYCKSELE</t>
        </is>
      </c>
      <c r="I522" t="n">
        <v>7.3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27964-2023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45098</v>
      </c>
      <c r="E523" s="1" t="n">
        <v>46217</v>
      </c>
      <c r="F523" t="inlineStr">
        <is>
          <t>VÄSTERBOTTENS LÄN</t>
        </is>
      </c>
      <c r="G523" t="inlineStr">
        <is>
          <t>LYCKSELE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60272-2022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44910</v>
      </c>
      <c r="E524" s="1" t="n">
        <v>46217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29034-2025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45821</v>
      </c>
      <c r="E525" s="1" t="n">
        <v>46217</v>
      </c>
      <c r="F525" t="inlineStr">
        <is>
          <t>VÄSTERBOTTENS LÄN</t>
        </is>
      </c>
      <c r="G525" t="inlineStr">
        <is>
          <t>LYCKSELE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26246-2026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46217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29543-2023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46217</v>
      </c>
      <c r="F527" t="inlineStr">
        <is>
          <t>VÄSTERBOTTENS LÄN</t>
        </is>
      </c>
      <c r="G527" t="inlineStr">
        <is>
          <t>LYCKSELE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52941-2025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46217</v>
      </c>
      <c r="F528" t="inlineStr">
        <is>
          <t>VÄSTERBOTTENS LÄN</t>
        </is>
      </c>
      <c r="G528" t="inlineStr">
        <is>
          <t>LYCKSELE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44571</v>
      </c>
      <c r="E529" s="1" t="n">
        <v>46217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26357-2023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45091</v>
      </c>
      <c r="E530" s="1" t="n">
        <v>46217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49175-2023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46217</v>
      </c>
      <c r="F531" t="inlineStr">
        <is>
          <t>VÄSTERBOTTENS LÄN</t>
        </is>
      </c>
      <c r="G531" t="inlineStr">
        <is>
          <t>LYCKSELE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45139-2025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45919</v>
      </c>
      <c r="E532" s="1" t="n">
        <v>46217</v>
      </c>
      <c r="F532" t="inlineStr">
        <is>
          <t>VÄSTERBOTTENS LÄN</t>
        </is>
      </c>
      <c r="G532" t="inlineStr">
        <is>
          <t>LYCKSELE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30401-2023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46217</v>
      </c>
      <c r="F533" t="inlineStr">
        <is>
          <t>VÄSTERBOTTENS LÄN</t>
        </is>
      </c>
      <c r="G533" t="inlineStr">
        <is>
          <t>LYCKSELE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52945-2025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45957</v>
      </c>
      <c r="E534" s="1" t="n">
        <v>46217</v>
      </c>
      <c r="F534" t="inlineStr">
        <is>
          <t>VÄSTERBOTTENS LÄN</t>
        </is>
      </c>
      <c r="G534" t="inlineStr">
        <is>
          <t>LYCKSELE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44092-2025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45915</v>
      </c>
      <c r="E535" s="1" t="n">
        <v>46217</v>
      </c>
      <c r="F535" t="inlineStr">
        <is>
          <t>VÄSTERBOTTENS LÄN</t>
        </is>
      </c>
      <c r="G535" t="inlineStr">
        <is>
          <t>LYCKSELE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45673</v>
      </c>
      <c r="E536" s="1" t="n">
        <v>46217</v>
      </c>
      <c r="F536" t="inlineStr">
        <is>
          <t>VÄSTERBOTTENS LÄN</t>
        </is>
      </c>
      <c r="G536" t="inlineStr">
        <is>
          <t>LYCKSELE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60081-2025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45993</v>
      </c>
      <c r="E537" s="1" t="n">
        <v>46217</v>
      </c>
      <c r="F537" t="inlineStr">
        <is>
          <t>VÄSTERBOTTENS LÄN</t>
        </is>
      </c>
      <c r="G537" t="inlineStr">
        <is>
          <t>LYCKSELE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20242-2026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46217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53241-2022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44876</v>
      </c>
      <c r="E539" s="1" t="n">
        <v>46217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56401-2021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44477</v>
      </c>
      <c r="E540" s="1" t="n">
        <v>46217</v>
      </c>
      <c r="F540" t="inlineStr">
        <is>
          <t>VÄSTERBOTTENS LÄN</t>
        </is>
      </c>
      <c r="G540" t="inlineStr">
        <is>
          <t>LYCKSELE</t>
        </is>
      </c>
      <c r="I540" t="n">
        <v>11.5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53451-2025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45959</v>
      </c>
      <c r="E541" s="1" t="n">
        <v>46217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53465-2025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45959</v>
      </c>
      <c r="E542" s="1" t="n">
        <v>46217</v>
      </c>
      <c r="F542" t="inlineStr">
        <is>
          <t>VÄSTERBOTTENS LÄN</t>
        </is>
      </c>
      <c r="G542" t="inlineStr">
        <is>
          <t>LYCKSELE</t>
        </is>
      </c>
      <c r="I542" t="n">
        <v>12.2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53323-2021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44468</v>
      </c>
      <c r="E543" s="1" t="n">
        <v>46217</v>
      </c>
      <c r="F543" t="inlineStr">
        <is>
          <t>VÄSTERBOTTENS LÄN</t>
        </is>
      </c>
      <c r="G543" t="inlineStr">
        <is>
          <t>LYCKSELE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61975-2025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46217</v>
      </c>
      <c r="F544" t="inlineStr">
        <is>
          <t>VÄSTERBOTTENS LÄN</t>
        </is>
      </c>
      <c r="G544" t="inlineStr">
        <is>
          <t>LYCKSELE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26276-2026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46182</v>
      </c>
      <c r="E545" s="1" t="n">
        <v>46217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45688</v>
      </c>
      <c r="E546" s="1" t="n">
        <v>46217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325-2022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44564</v>
      </c>
      <c r="E547" s="1" t="n">
        <v>46217</v>
      </c>
      <c r="F547" t="inlineStr">
        <is>
          <t>VÄSTERBOTTENS LÄN</t>
        </is>
      </c>
      <c r="G547" t="inlineStr">
        <is>
          <t>LYCKSELE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50365-2024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45600</v>
      </c>
      <c r="E548" s="1" t="n">
        <v>46217</v>
      </c>
      <c r="F548" t="inlineStr">
        <is>
          <t>VÄSTERBOTTENS LÄN</t>
        </is>
      </c>
      <c r="G548" t="inlineStr">
        <is>
          <t>LYCKSELE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54906-2025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45967</v>
      </c>
      <c r="E549" s="1" t="n">
        <v>46217</v>
      </c>
      <c r="F549" t="inlineStr">
        <is>
          <t>VÄSTERBOTTENS LÄN</t>
        </is>
      </c>
      <c r="G549" t="inlineStr">
        <is>
          <t>LYCKSELE</t>
        </is>
      </c>
      <c r="I549" t="n">
        <v>24.9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52699-2021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44466</v>
      </c>
      <c r="E550" s="1" t="n">
        <v>46217</v>
      </c>
      <c r="F550" t="inlineStr">
        <is>
          <t>VÄSTERBOTTENS LÄN</t>
        </is>
      </c>
      <c r="G550" t="inlineStr">
        <is>
          <t>LYCKSELE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45967</v>
      </c>
      <c r="E551" s="1" t="n">
        <v>46217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55216-2025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45968</v>
      </c>
      <c r="E552" s="1" t="n">
        <v>46217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8.699999999999999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16192-2024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45406</v>
      </c>
      <c r="E553" s="1" t="n">
        <v>46217</v>
      </c>
      <c r="F553" t="inlineStr">
        <is>
          <t>VÄSTERBOTTENS LÄN</t>
        </is>
      </c>
      <c r="G553" t="inlineStr">
        <is>
          <t>LYCKSELE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58594-2022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44902</v>
      </c>
      <c r="E554" s="1" t="n">
        <v>46217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54942-2025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45967</v>
      </c>
      <c r="E555" s="1" t="n">
        <v>46217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55187-2025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45968</v>
      </c>
      <c r="E556" s="1" t="n">
        <v>46217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19059-2026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46217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55627-2025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45972</v>
      </c>
      <c r="E558" s="1" t="n">
        <v>46217</v>
      </c>
      <c r="F558" t="inlineStr">
        <is>
          <t>VÄSTERBOTTENS LÄN</t>
        </is>
      </c>
      <c r="G558" t="inlineStr">
        <is>
          <t>LYCKSELE</t>
        </is>
      </c>
      <c r="I558" t="n">
        <v>14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53036-2023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46217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55545-2025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45971</v>
      </c>
      <c r="E560" s="1" t="n">
        <v>46217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46176-2023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45196</v>
      </c>
      <c r="E561" s="1" t="n">
        <v>46217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55666-2025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45972</v>
      </c>
      <c r="E562" s="1" t="n">
        <v>46217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20772-2026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46217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12585-2025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45732</v>
      </c>
      <c r="E564" s="1" t="n">
        <v>46217</v>
      </c>
      <c r="F564" t="inlineStr">
        <is>
          <t>VÄSTERBOTTENS LÄN</t>
        </is>
      </c>
      <c r="G564" t="inlineStr">
        <is>
          <t>LYCKSELE</t>
        </is>
      </c>
      <c r="I564" t="n">
        <v>15.5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55333-2025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45971</v>
      </c>
      <c r="E565" s="1" t="n">
        <v>46217</v>
      </c>
      <c r="F565" t="inlineStr">
        <is>
          <t>VÄSTERBOTTENS LÄN</t>
        </is>
      </c>
      <c r="G565" t="inlineStr">
        <is>
          <t>LYCKSELE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56172-2025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46217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40342-2025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45895</v>
      </c>
      <c r="E567" s="1" t="n">
        <v>46217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58961-2022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44903</v>
      </c>
      <c r="E568" s="1" t="n">
        <v>46217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Holmen skog AB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14276-2025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45740</v>
      </c>
      <c r="E569" s="1" t="n">
        <v>46217</v>
      </c>
      <c r="F569" t="inlineStr">
        <is>
          <t>VÄSTERBOTTENS LÄN</t>
        </is>
      </c>
      <c r="G569" t="inlineStr">
        <is>
          <t>LYCKSELE</t>
        </is>
      </c>
      <c r="I569" t="n">
        <v>34.9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44934</v>
      </c>
      <c r="E570" s="1" t="n">
        <v>46217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15221-2025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45744</v>
      </c>
      <c r="E571" s="1" t="n">
        <v>46217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12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25573-2025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46217</v>
      </c>
      <c r="F572" t="inlineStr">
        <is>
          <t>VÄSTERBOTTENS LÄN</t>
        </is>
      </c>
      <c r="G572" t="inlineStr">
        <is>
          <t>LYCKSELE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26435-2026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46217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56744-2025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46217</v>
      </c>
      <c r="F574" t="inlineStr">
        <is>
          <t>VÄSTERBOTTENS LÄN</t>
        </is>
      </c>
      <c r="G574" t="inlineStr">
        <is>
          <t>LYCKSELE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55170-2022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44886</v>
      </c>
      <c r="E575" s="1" t="n">
        <v>46217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57330-2025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45980</v>
      </c>
      <c r="E576" s="1" t="n">
        <v>46217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9.300000000000001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62874-2023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46217</v>
      </c>
      <c r="F577" t="inlineStr">
        <is>
          <t>VÄSTERBOTTENS LÄN</t>
        </is>
      </c>
      <c r="G577" t="inlineStr">
        <is>
          <t>LYCKSELE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41977-2024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45561</v>
      </c>
      <c r="E578" s="1" t="n">
        <v>46217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57531-2025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46217</v>
      </c>
      <c r="F579" t="inlineStr">
        <is>
          <t>VÄSTERBOTTENS LÄN</t>
        </is>
      </c>
      <c r="G579" t="inlineStr">
        <is>
          <t>LYCKSELE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53839-2023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46217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11822-2023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44994</v>
      </c>
      <c r="E581" s="1" t="n">
        <v>46217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28550-2023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46217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57197-2025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45979</v>
      </c>
      <c r="E583" s="1" t="n">
        <v>46217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57241-2025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45979</v>
      </c>
      <c r="E584" s="1" t="n">
        <v>46217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57669-2025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46217</v>
      </c>
      <c r="F585" t="inlineStr">
        <is>
          <t>VÄSTERBOTTENS LÄN</t>
        </is>
      </c>
      <c r="G585" t="inlineStr">
        <is>
          <t>LYCKSELE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46217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46217</v>
      </c>
      <c r="F587" t="inlineStr">
        <is>
          <t>VÄSTERBOTTENS LÄN</t>
        </is>
      </c>
      <c r="G587" t="inlineStr">
        <is>
          <t>LYCKSELE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26485-2026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46183</v>
      </c>
      <c r="E588" s="1" t="n">
        <v>46217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58171-2025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45982</v>
      </c>
      <c r="E589" s="1" t="n">
        <v>46217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58097-2025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46217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58140-2025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46217</v>
      </c>
      <c r="F591" t="inlineStr">
        <is>
          <t>VÄSTERBOTTENS LÄN</t>
        </is>
      </c>
      <c r="G591" t="inlineStr">
        <is>
          <t>LYCKSELE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26387-2026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46217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50652-2021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44459</v>
      </c>
      <c r="E593" s="1" t="n">
        <v>46217</v>
      </c>
      <c r="F593" t="inlineStr">
        <is>
          <t>VÄSTERBOTTENS LÄN</t>
        </is>
      </c>
      <c r="G593" t="inlineStr">
        <is>
          <t>LYCKSELE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39527-2025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45890</v>
      </c>
      <c r="E594" s="1" t="n">
        <v>46217</v>
      </c>
      <c r="F594" t="inlineStr">
        <is>
          <t>VÄSTERBOTTENS LÄN</t>
        </is>
      </c>
      <c r="G594" t="inlineStr">
        <is>
          <t>LYCKSELE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46217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33.8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27219-2026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46217</v>
      </c>
      <c r="F596" t="inlineStr">
        <is>
          <t>VÄSTERBOTTENS LÄN</t>
        </is>
      </c>
      <c r="G596" t="inlineStr">
        <is>
          <t>LYCKSELE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21080-2026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46217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21096-2026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46217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23679-2025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45793</v>
      </c>
      <c r="E599" s="1" t="n">
        <v>46217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29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26980-2026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46217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21142-2026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46146</v>
      </c>
      <c r="E601" s="1" t="n">
        <v>46217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24509-2025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46217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29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21141-2026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46217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21052-2026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46217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21079-2026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46217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21090-2026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46217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22720-2025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46217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21092-2026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46217</v>
      </c>
      <c r="F608" t="inlineStr">
        <is>
          <t>VÄSTERBOTTENS LÄN</t>
        </is>
      </c>
      <c r="G608" t="inlineStr">
        <is>
          <t>LYCKSELE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24518-2025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46217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29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24511-2025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46217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29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21150-2026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46217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26988-2026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46217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26916-2026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46217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46217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21082-2026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46217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58610-2025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45986</v>
      </c>
      <c r="E616" s="1" t="n">
        <v>46217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21317-2026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46217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27427-2026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46189</v>
      </c>
      <c r="E618" s="1" t="n">
        <v>46217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27436-2026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46189</v>
      </c>
      <c r="E619" s="1" t="n">
        <v>46217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46217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33400-2023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45128</v>
      </c>
      <c r="E621" s="1" t="n">
        <v>46217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14070-2024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45392</v>
      </c>
      <c r="E622" s="1" t="n">
        <v>46217</v>
      </c>
      <c r="F622" t="inlineStr">
        <is>
          <t>VÄSTERBOTTENS LÄN</t>
        </is>
      </c>
      <c r="G622" t="inlineStr">
        <is>
          <t>LYCKSELE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27842-2026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46217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27843-2026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46191</v>
      </c>
      <c r="E624" s="1" t="n">
        <v>46217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21642-2026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46217</v>
      </c>
      <c r="F625" t="inlineStr">
        <is>
          <t>VÄSTERBOTTENS LÄN</t>
        </is>
      </c>
      <c r="G625" t="inlineStr">
        <is>
          <t>LYCKSELE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27854-2026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46217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21918-2026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46217</v>
      </c>
      <c r="F627" t="inlineStr">
        <is>
          <t>VÄSTERBOTTENS LÄN</t>
        </is>
      </c>
      <c r="G627" t="inlineStr">
        <is>
          <t>LYCKSELE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27883-2026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46217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59080-2025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46217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33706-2024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45520</v>
      </c>
      <c r="E630" s="1" t="n">
        <v>46217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33713-2024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45520</v>
      </c>
      <c r="E631" s="1" t="n">
        <v>46217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50044-2021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44456</v>
      </c>
      <c r="E632" s="1" t="n">
        <v>46217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59736-2025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46217</v>
      </c>
      <c r="F633" t="inlineStr">
        <is>
          <t>VÄSTERBOTTENS LÄN</t>
        </is>
      </c>
      <c r="G633" t="inlineStr">
        <is>
          <t>LYCKSELE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59818-2025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45992</v>
      </c>
      <c r="E634" s="1" t="n">
        <v>46217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46217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46217</v>
      </c>
      <c r="F636" t="inlineStr">
        <is>
          <t>VÄSTERBOTTENS LÄN</t>
        </is>
      </c>
      <c r="G636" t="inlineStr">
        <is>
          <t>LYCKSELE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23971-2024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45455</v>
      </c>
      <c r="E637" s="1" t="n">
        <v>46217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59812-2025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45992</v>
      </c>
      <c r="E638" s="1" t="n">
        <v>46217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57571-2025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45980</v>
      </c>
      <c r="E639" s="1" t="n">
        <v>46217</v>
      </c>
      <c r="F639" t="inlineStr">
        <is>
          <t>VÄSTERBOTTENS LÄN</t>
        </is>
      </c>
      <c r="G639" t="inlineStr">
        <is>
          <t>LYCKSELE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60309-2025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45994</v>
      </c>
      <c r="E640" s="1" t="n">
        <v>46217</v>
      </c>
      <c r="F640" t="inlineStr">
        <is>
          <t>VÄSTERBOTTENS LÄN</t>
        </is>
      </c>
      <c r="G640" t="inlineStr">
        <is>
          <t>LYCKSELE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59927-2025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46217</v>
      </c>
      <c r="F641" t="inlineStr">
        <is>
          <t>VÄSTERBOTTENS LÄN</t>
        </is>
      </c>
      <c r="G641" t="inlineStr">
        <is>
          <t>LYCKSELE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58439-2022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44901</v>
      </c>
      <c r="E642" s="1" t="n">
        <v>46217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60594-2025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45996</v>
      </c>
      <c r="E643" s="1" t="n">
        <v>46217</v>
      </c>
      <c r="F643" t="inlineStr">
        <is>
          <t>VÄSTERBOTTENS LÄN</t>
        </is>
      </c>
      <c r="G643" t="inlineStr">
        <is>
          <t>LYCKSELE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64668-2023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45281</v>
      </c>
      <c r="E644" s="1" t="n">
        <v>46217</v>
      </c>
      <c r="F644" t="inlineStr">
        <is>
          <t>VÄSTERBOTTENS LÄN</t>
        </is>
      </c>
      <c r="G644" t="inlineStr">
        <is>
          <t>LYCKSELE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61088-2025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46217</v>
      </c>
      <c r="F645" t="inlineStr">
        <is>
          <t>VÄSTERBOTTENS LÄN</t>
        </is>
      </c>
      <c r="G645" t="inlineStr">
        <is>
          <t>LYCKSELE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61096-2025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46217</v>
      </c>
      <c r="F646" t="inlineStr">
        <is>
          <t>VÄSTERBOTTENS LÄN</t>
        </is>
      </c>
      <c r="G646" t="inlineStr">
        <is>
          <t>LYCKSELE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61115-2025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46217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60859-2022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44908</v>
      </c>
      <c r="E648" s="1" t="n">
        <v>46217</v>
      </c>
      <c r="F648" t="inlineStr">
        <is>
          <t>VÄSTERBOTTENS LÄN</t>
        </is>
      </c>
      <c r="G648" t="inlineStr">
        <is>
          <t>LYCKSELE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61091-2025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46217</v>
      </c>
      <c r="F649" t="inlineStr">
        <is>
          <t>VÄSTERBOTTENS LÄN</t>
        </is>
      </c>
      <c r="G649" t="inlineStr">
        <is>
          <t>LYCKSELE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28217-2026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46196</v>
      </c>
      <c r="E650" s="1" t="n">
        <v>46217</v>
      </c>
      <c r="F650" t="inlineStr">
        <is>
          <t>VÄSTERBOTTENS LÄN</t>
        </is>
      </c>
      <c r="G650" t="inlineStr">
        <is>
          <t>LYCKSELE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61128-2025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46217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61086-2025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46000</v>
      </c>
      <c r="E652" s="1" t="n">
        <v>46217</v>
      </c>
      <c r="F652" t="inlineStr">
        <is>
          <t>VÄSTERBOTTENS LÄN</t>
        </is>
      </c>
      <c r="G652" t="inlineStr">
        <is>
          <t>LYCKSELE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16289-2025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45751</v>
      </c>
      <c r="E653" s="1" t="n">
        <v>46217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21289-2025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45779</v>
      </c>
      <c r="E654" s="1" t="n">
        <v>46217</v>
      </c>
      <c r="F654" t="inlineStr">
        <is>
          <t>VÄSTERBOTTENS LÄN</t>
        </is>
      </c>
      <c r="G654" t="inlineStr">
        <is>
          <t>LYCKSELE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61353-2025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46217</v>
      </c>
      <c r="F655" t="inlineStr">
        <is>
          <t>VÄSTERBOTTENS LÄN</t>
        </is>
      </c>
      <c r="G655" t="inlineStr">
        <is>
          <t>LYCKSELE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8577-2026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46217</v>
      </c>
      <c r="F656" t="inlineStr">
        <is>
          <t>VÄSTERBOTTENS LÄN</t>
        </is>
      </c>
      <c r="G656" t="inlineStr">
        <is>
          <t>LYCKSELE</t>
        </is>
      </c>
      <c r="I656" t="n">
        <v>9.9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61335-2025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46001</v>
      </c>
      <c r="E657" s="1" t="n">
        <v>46217</v>
      </c>
      <c r="F657" t="inlineStr">
        <is>
          <t>VÄSTERBOTTENS LÄN</t>
        </is>
      </c>
      <c r="G657" t="inlineStr">
        <is>
          <t>LYCKSELE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61351-2025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46001</v>
      </c>
      <c r="E658" s="1" t="n">
        <v>46217</v>
      </c>
      <c r="F658" t="inlineStr">
        <is>
          <t>VÄSTERBOTTENS LÄN</t>
        </is>
      </c>
      <c r="G658" t="inlineStr">
        <is>
          <t>LYCKSELE</t>
        </is>
      </c>
      <c r="I658" t="n">
        <v>8.199999999999999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61590-2025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46002</v>
      </c>
      <c r="E659" s="1" t="n">
        <v>46217</v>
      </c>
      <c r="F659" t="inlineStr">
        <is>
          <t>VÄSTERBOTTENS LÄN</t>
        </is>
      </c>
      <c r="G659" t="inlineStr">
        <is>
          <t>LYCKSELE</t>
        </is>
      </c>
      <c r="I659" t="n">
        <v>12.4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70197-2021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44534</v>
      </c>
      <c r="E660" s="1" t="n">
        <v>46217</v>
      </c>
      <c r="F660" t="inlineStr">
        <is>
          <t>VÄSTERBOTTENS LÄN</t>
        </is>
      </c>
      <c r="G660" t="inlineStr">
        <is>
          <t>LYCKSELE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61472-2025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46217</v>
      </c>
      <c r="F661" t="inlineStr">
        <is>
          <t>VÄSTERBOTTENS LÄN</t>
        </is>
      </c>
      <c r="G661" t="inlineStr">
        <is>
          <t>LYCKSELE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53740-2022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44880</v>
      </c>
      <c r="E662" s="1" t="n">
        <v>46217</v>
      </c>
      <c r="F662" t="inlineStr">
        <is>
          <t>VÄSTERBOTTENS LÄN</t>
        </is>
      </c>
      <c r="G662" t="inlineStr">
        <is>
          <t>LYCKSELE</t>
        </is>
      </c>
      <c r="I662" t="n">
        <v>10.5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16887-2024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45411</v>
      </c>
      <c r="E663" s="1" t="n">
        <v>46217</v>
      </c>
      <c r="F663" t="inlineStr">
        <is>
          <t>VÄSTERBOTTENS LÄN</t>
        </is>
      </c>
      <c r="G663" t="inlineStr">
        <is>
          <t>LYCKSELE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22050-2024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45443</v>
      </c>
      <c r="E664" s="1" t="n">
        <v>46217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61334-2025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46001</v>
      </c>
      <c r="E665" s="1" t="n">
        <v>46217</v>
      </c>
      <c r="F665" t="inlineStr">
        <is>
          <t>VÄSTERBOTTENS LÄN</t>
        </is>
      </c>
      <c r="G665" t="inlineStr">
        <is>
          <t>LYCKSELE</t>
        </is>
      </c>
      <c r="I665" t="n">
        <v>8.9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61593-2025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46002</v>
      </c>
      <c r="E666" s="1" t="n">
        <v>46217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15809-2023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45021</v>
      </c>
      <c r="E667" s="1" t="n">
        <v>46217</v>
      </c>
      <c r="F667" t="inlineStr">
        <is>
          <t>VÄSTERBOTTENS LÄN</t>
        </is>
      </c>
      <c r="G667" t="inlineStr">
        <is>
          <t>LYCKSELE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64656-2023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45281</v>
      </c>
      <c r="E668" s="1" t="n">
        <v>46217</v>
      </c>
      <c r="F668" t="inlineStr">
        <is>
          <t>VÄSTERBOTTENS LÄN</t>
        </is>
      </c>
      <c r="G668" t="inlineStr">
        <is>
          <t>LYCKSELE</t>
        </is>
      </c>
      <c r="I668" t="n">
        <v>12.3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29524-2023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46217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Holmen skog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27818-2024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45475</v>
      </c>
      <c r="E670" s="1" t="n">
        <v>46217</v>
      </c>
      <c r="F670" t="inlineStr">
        <is>
          <t>VÄSTERBOTTENS LÄN</t>
        </is>
      </c>
      <c r="G670" t="inlineStr">
        <is>
          <t>LYCKSELE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27671-2024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45474</v>
      </c>
      <c r="E671" s="1" t="n">
        <v>46217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Naturvårdsverket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35569-2024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45531</v>
      </c>
      <c r="E672" s="1" t="n">
        <v>46217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22367-2026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46217</v>
      </c>
      <c r="F673" t="inlineStr">
        <is>
          <t>VÄSTERBOTTENS LÄN</t>
        </is>
      </c>
      <c r="G673" t="inlineStr">
        <is>
          <t>LYCKSELE</t>
        </is>
      </c>
      <c r="I673" t="n">
        <v>18.8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61854-2025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46003</v>
      </c>
      <c r="E674" s="1" t="n">
        <v>46217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18156-2023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45040</v>
      </c>
      <c r="E675" s="1" t="n">
        <v>46217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22.9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14857-2023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45014</v>
      </c>
      <c r="E676" s="1" t="n">
        <v>46217</v>
      </c>
      <c r="F676" t="inlineStr">
        <is>
          <t>VÄSTERBOTTENS LÄN</t>
        </is>
      </c>
      <c r="G676" t="inlineStr">
        <is>
          <t>LYCKSELE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22285-2026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46154</v>
      </c>
      <c r="E677" s="1" t="n">
        <v>46217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62476-2025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46007</v>
      </c>
      <c r="E678" s="1" t="n">
        <v>46217</v>
      </c>
      <c r="F678" t="inlineStr">
        <is>
          <t>VÄSTERBOTTENS LÄN</t>
        </is>
      </c>
      <c r="G678" t="inlineStr">
        <is>
          <t>LYCKSELE</t>
        </is>
      </c>
      <c r="I678" t="n">
        <v>36.8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63096-2025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46009</v>
      </c>
      <c r="E679" s="1" t="n">
        <v>46217</v>
      </c>
      <c r="F679" t="inlineStr">
        <is>
          <t>VÄSTERBOTTENS LÄN</t>
        </is>
      </c>
      <c r="G679" t="inlineStr">
        <is>
          <t>LYCKSELE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57298-2025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46217</v>
      </c>
      <c r="F680" t="inlineStr">
        <is>
          <t>VÄSTERBOTTENS LÄN</t>
        </is>
      </c>
      <c r="G680" t="inlineStr">
        <is>
          <t>LYCKSELE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63100-2025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46217</v>
      </c>
      <c r="F681" t="inlineStr">
        <is>
          <t>VÄSTERBOTTENS LÄN</t>
        </is>
      </c>
      <c r="G681" t="inlineStr">
        <is>
          <t>LYCKSELE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62906-2025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46009</v>
      </c>
      <c r="E682" s="1" t="n">
        <v>46217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63223-2025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46217</v>
      </c>
      <c r="F683" t="inlineStr">
        <is>
          <t>VÄSTERBOTTENS LÄN</t>
        </is>
      </c>
      <c r="G683" t="inlineStr">
        <is>
          <t>LYCKSELE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63315-2025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46217</v>
      </c>
      <c r="F684" t="inlineStr">
        <is>
          <t>VÄSTERBOTTENS LÄN</t>
        </is>
      </c>
      <c r="G684" t="inlineStr">
        <is>
          <t>LYCKSELE</t>
        </is>
      </c>
      <c r="I684" t="n">
        <v>9.199999999999999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28890-2024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45479</v>
      </c>
      <c r="E685" s="1" t="n">
        <v>46217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28892-2024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45479</v>
      </c>
      <c r="E686" s="1" t="n">
        <v>46217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28421-2026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46197</v>
      </c>
      <c r="E687" s="1" t="n">
        <v>46217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7.6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63639-2025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46014</v>
      </c>
      <c r="E688" s="1" t="n">
        <v>46217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10.6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28586-2026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46217</v>
      </c>
      <c r="F689" t="inlineStr">
        <is>
          <t>VÄSTERBOTTENS LÄN</t>
        </is>
      </c>
      <c r="G689" t="inlineStr">
        <is>
          <t>LYCKSELE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46692-2025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45926</v>
      </c>
      <c r="E690" s="1" t="n">
        <v>46217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28650-2026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46217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60425-2021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44496</v>
      </c>
      <c r="E692" s="1" t="n">
        <v>46217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26396-2022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44735</v>
      </c>
      <c r="E693" s="1" t="n">
        <v>46217</v>
      </c>
      <c r="F693" t="inlineStr">
        <is>
          <t>VÄSTERBOTTENS LÄN</t>
        </is>
      </c>
      <c r="G693" t="inlineStr">
        <is>
          <t>LYCKSELE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46181-2025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45924</v>
      </c>
      <c r="E694" s="1" t="n">
        <v>46217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35284-2023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45145</v>
      </c>
      <c r="E695" s="1" t="n">
        <v>46217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20034-2025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45772</v>
      </c>
      <c r="E696" s="1" t="n">
        <v>46217</v>
      </c>
      <c r="F696" t="inlineStr">
        <is>
          <t>VÄSTERBOTTENS LÄN</t>
        </is>
      </c>
      <c r="G696" t="inlineStr">
        <is>
          <t>LYCKSELE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45361-2024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45576</v>
      </c>
      <c r="E697" s="1" t="n">
        <v>46217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46217</v>
      </c>
      <c r="F698" t="inlineStr">
        <is>
          <t>VÄSTERBOTTENS LÄN</t>
        </is>
      </c>
      <c r="G698" t="inlineStr">
        <is>
          <t>LYCKSELE</t>
        </is>
      </c>
      <c r="I698" t="n">
        <v>16.3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28829-2026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46217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25.4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2859-2022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44581</v>
      </c>
      <c r="E700" s="1" t="n">
        <v>46217</v>
      </c>
      <c r="F700" t="inlineStr">
        <is>
          <t>VÄSTERBOTTENS LÄN</t>
        </is>
      </c>
      <c r="G700" t="inlineStr">
        <is>
          <t>LYCKSELE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1085-2026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46217</v>
      </c>
      <c r="F701" t="inlineStr">
        <is>
          <t>VÄSTERBOTTENS LÄN</t>
        </is>
      </c>
      <c r="G701" t="inlineStr">
        <is>
          <t>LYCKSELE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34857-2024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45527</v>
      </c>
      <c r="E702" s="1" t="n">
        <v>46217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18566-2025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45763</v>
      </c>
      <c r="E703" s="1" t="n">
        <v>46217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26531-2024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45469</v>
      </c>
      <c r="E704" s="1" t="n">
        <v>46217</v>
      </c>
      <c r="F704" t="inlineStr">
        <is>
          <t>VÄSTERBOTTENS LÄN</t>
        </is>
      </c>
      <c r="G704" t="inlineStr">
        <is>
          <t>LYCKSELE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1751-2026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46217</v>
      </c>
      <c r="F705" t="inlineStr">
        <is>
          <t>VÄSTERBOTTENS LÄN</t>
        </is>
      </c>
      <c r="G705" t="inlineStr">
        <is>
          <t>LYCKSELE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1613-2026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46217</v>
      </c>
      <c r="F706" t="inlineStr">
        <is>
          <t>VÄSTERBOTTENS LÄN</t>
        </is>
      </c>
      <c r="G706" t="inlineStr">
        <is>
          <t>LYCKSELE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22654-2026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46155</v>
      </c>
      <c r="E707" s="1" t="n">
        <v>46217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1561-2026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46217</v>
      </c>
      <c r="F708" t="inlineStr">
        <is>
          <t>VÄSTERBOTTENS LÄN</t>
        </is>
      </c>
      <c r="G708" t="inlineStr">
        <is>
          <t>LYCKSELE</t>
        </is>
      </c>
      <c r="I708" t="n">
        <v>10.7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45312-2024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45576</v>
      </c>
      <c r="E709" s="1" t="n">
        <v>46217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10.8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45352-2024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45576</v>
      </c>
      <c r="E710" s="1" t="n">
        <v>46217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18674-2025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45763</v>
      </c>
      <c r="E711" s="1" t="n">
        <v>46217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19390-2024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46217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54680-2024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45618</v>
      </c>
      <c r="E713" s="1" t="n">
        <v>46217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22685-2026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46156</v>
      </c>
      <c r="E714" s="1" t="n">
        <v>46217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51466-2024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45604</v>
      </c>
      <c r="E715" s="1" t="n">
        <v>46217</v>
      </c>
      <c r="F715" t="inlineStr">
        <is>
          <t>VÄSTERBOTTENS LÄN</t>
        </is>
      </c>
      <c r="G715" t="inlineStr">
        <is>
          <t>LYCKSELE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57109-2024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45629</v>
      </c>
      <c r="E716" s="1" t="n">
        <v>46217</v>
      </c>
      <c r="F716" t="inlineStr">
        <is>
          <t>VÄSTERBOTTENS LÄN</t>
        </is>
      </c>
      <c r="G716" t="inlineStr">
        <is>
          <t>LYCKSELE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26717-2024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45470</v>
      </c>
      <c r="E717" s="1" t="n">
        <v>46217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46217</v>
      </c>
      <c r="F718" t="inlineStr">
        <is>
          <t>VÄSTERBOTTENS LÄN</t>
        </is>
      </c>
      <c r="G718" t="inlineStr">
        <is>
          <t>LYCKSELE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46044</v>
      </c>
      <c r="E719" s="1" t="n">
        <v>46217</v>
      </c>
      <c r="F719" t="inlineStr">
        <is>
          <t>VÄSTERBOTTENS LÄN</t>
        </is>
      </c>
      <c r="G719" t="inlineStr">
        <is>
          <t>LYCKSELE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44566</v>
      </c>
      <c r="E720" s="1" t="n">
        <v>46217</v>
      </c>
      <c r="F720" t="inlineStr">
        <is>
          <t>VÄSTERBOTTENS LÄN</t>
        </is>
      </c>
      <c r="G720" t="inlineStr">
        <is>
          <t>LYCKSELE</t>
        </is>
      </c>
      <c r="I720" t="n">
        <v>5.5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28939-2026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46199</v>
      </c>
      <c r="E721" s="1" t="n">
        <v>46217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29149-2026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46217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38.4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29151-2026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46217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29314-2026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46197</v>
      </c>
      <c r="E724" s="1" t="n">
        <v>46217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4388-2026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46045</v>
      </c>
      <c r="E725" s="1" t="n">
        <v>46217</v>
      </c>
      <c r="F725" t="inlineStr">
        <is>
          <t>VÄSTERBOTTENS LÄN</t>
        </is>
      </c>
      <c r="G725" t="inlineStr">
        <is>
          <t>LYCKSELE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23769-2023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45077</v>
      </c>
      <c r="E726" s="1" t="n">
        <v>46217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28907-2026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46217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7.5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28910-2026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46199</v>
      </c>
      <c r="E728" s="1" t="n">
        <v>46217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4254-2026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46045</v>
      </c>
      <c r="E729" s="1" t="n">
        <v>46217</v>
      </c>
      <c r="F729" t="inlineStr">
        <is>
          <t>VÄSTERBOTTENS LÄN</t>
        </is>
      </c>
      <c r="G729" t="inlineStr">
        <is>
          <t>LYCKSELE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29279-2026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46202</v>
      </c>
      <c r="E730" s="1" t="n">
        <v>46217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11199-2024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45371</v>
      </c>
      <c r="E731" s="1" t="n">
        <v>46217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55.8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51152-2024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45603</v>
      </c>
      <c r="E732" s="1" t="n">
        <v>46217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50468-2024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45601</v>
      </c>
      <c r="E733" s="1" t="n">
        <v>46217</v>
      </c>
      <c r="F733" t="inlineStr">
        <is>
          <t>VÄSTERBOTTENS LÄN</t>
        </is>
      </c>
      <c r="G733" t="inlineStr">
        <is>
          <t>LYCKSELE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29301-2026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46217</v>
      </c>
      <c r="F734" t="inlineStr">
        <is>
          <t>VÄSTERBOTTENS LÄN</t>
        </is>
      </c>
      <c r="G734" t="inlineStr">
        <is>
          <t>LYCKSELE</t>
        </is>
      </c>
      <c r="I734" t="n">
        <v>5.1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5026-2026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46049</v>
      </c>
      <c r="E735" s="1" t="n">
        <v>46217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24.6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28225-2026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46196</v>
      </c>
      <c r="E736" s="1" t="n">
        <v>46217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54287-2024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45617</v>
      </c>
      <c r="E737" s="1" t="n">
        <v>46217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5508-2026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46050</v>
      </c>
      <c r="E738" s="1" t="n">
        <v>46217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40912-2024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45558</v>
      </c>
      <c r="E739" s="1" t="n">
        <v>46217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11.1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26999-2023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45093</v>
      </c>
      <c r="E740" s="1" t="n">
        <v>46217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53011-2024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45611</v>
      </c>
      <c r="E741" s="1" t="n">
        <v>46217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20287-2022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44698</v>
      </c>
      <c r="E742" s="1" t="n">
        <v>46217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11.5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29719-2026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46217</v>
      </c>
      <c r="F743" t="inlineStr">
        <is>
          <t>VÄSTERBOTTENS LÄN</t>
        </is>
      </c>
      <c r="G743" t="inlineStr">
        <is>
          <t>LYCKSELE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58775-2025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45986</v>
      </c>
      <c r="E744" s="1" t="n">
        <v>46217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53788-2024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46217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46038</v>
      </c>
      <c r="E746" s="1" t="n">
        <v>46217</v>
      </c>
      <c r="F746" t="inlineStr">
        <is>
          <t>VÄSTERBOTTENS LÄN</t>
        </is>
      </c>
      <c r="G746" t="inlineStr">
        <is>
          <t>LYCKSELE</t>
        </is>
      </c>
      <c r="I746" t="n">
        <v>6.7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29706-2026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46204</v>
      </c>
      <c r="E747" s="1" t="n">
        <v>46217</v>
      </c>
      <c r="F747" t="inlineStr">
        <is>
          <t>VÄSTERBOTTENS LÄN</t>
        </is>
      </c>
      <c r="G747" t="inlineStr">
        <is>
          <t>LYCKSELE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7842-2026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46062</v>
      </c>
      <c r="E748" s="1" t="n">
        <v>46217</v>
      </c>
      <c r="F748" t="inlineStr">
        <is>
          <t>VÄSTERBOTTENS LÄN</t>
        </is>
      </c>
      <c r="G748" t="inlineStr">
        <is>
          <t>LYCKSELE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932-2022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44571</v>
      </c>
      <c r="E749" s="1" t="n">
        <v>46217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48542-2023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45208</v>
      </c>
      <c r="E750" s="1" t="n">
        <v>46217</v>
      </c>
      <c r="F750" t="inlineStr">
        <is>
          <t>VÄSTERBOTTENS LÄN</t>
        </is>
      </c>
      <c r="G750" t="inlineStr">
        <is>
          <t>LYCKSELE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7829-2026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46062</v>
      </c>
      <c r="E751" s="1" t="n">
        <v>46217</v>
      </c>
      <c r="F751" t="inlineStr">
        <is>
          <t>VÄSTERBOTTENS LÄN</t>
        </is>
      </c>
      <c r="G751" t="inlineStr">
        <is>
          <t>LYCKSELE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8272-2026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46064</v>
      </c>
      <c r="E752" s="1" t="n">
        <v>46217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Naturvårdsverket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61891-2024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45652</v>
      </c>
      <c r="E753" s="1" t="n">
        <v>46217</v>
      </c>
      <c r="F753" t="inlineStr">
        <is>
          <t>VÄSTERBOTTENS LÄN</t>
        </is>
      </c>
      <c r="G753" t="inlineStr">
        <is>
          <t>LYCKSELE</t>
        </is>
      </c>
      <c r="I753" t="n">
        <v>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8018-2026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46063</v>
      </c>
      <c r="E754" s="1" t="n">
        <v>46217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Naturvårdsverket</t>
        </is>
      </c>
      <c r="I754" t="n">
        <v>11.4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7954-2026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46063</v>
      </c>
      <c r="E755" s="1" t="n">
        <v>46217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Naturvårdsverket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8273-2026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46064</v>
      </c>
      <c r="E756" s="1" t="n">
        <v>46217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Naturvårdsverket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8035-2024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45350</v>
      </c>
      <c r="E757" s="1" t="n">
        <v>46217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8467-2026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46065</v>
      </c>
      <c r="E758" s="1" t="n">
        <v>46217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29425-2026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46203</v>
      </c>
      <c r="E759" s="1" t="n">
        <v>46217</v>
      </c>
      <c r="F759" t="inlineStr">
        <is>
          <t>VÄSTERBOTTENS LÄN</t>
        </is>
      </c>
      <c r="G759" t="inlineStr">
        <is>
          <t>LYCKSELE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8485-2026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46217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12.1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23274-2026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46217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29861-2023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45107</v>
      </c>
      <c r="E762" s="1" t="n">
        <v>46217</v>
      </c>
      <c r="F762" t="inlineStr">
        <is>
          <t>VÄSTERBOTTENS LÄN</t>
        </is>
      </c>
      <c r="G762" t="inlineStr">
        <is>
          <t>LYCKSELE</t>
        </is>
      </c>
      <c r="I762" t="n">
        <v>10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9310-2026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46070</v>
      </c>
      <c r="E763" s="1" t="n">
        <v>46217</v>
      </c>
      <c r="F763" t="inlineStr">
        <is>
          <t>VÄSTERBOTTENS LÄN</t>
        </is>
      </c>
      <c r="G763" t="inlineStr">
        <is>
          <t>LYCKSELE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29395-2026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46203</v>
      </c>
      <c r="E764" s="1" t="n">
        <v>46217</v>
      </c>
      <c r="F764" t="inlineStr">
        <is>
          <t>VÄSTERBOTTENS LÄN</t>
        </is>
      </c>
      <c r="G764" t="inlineStr">
        <is>
          <t>LYCKSELE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29424-2026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46203</v>
      </c>
      <c r="E765" s="1" t="n">
        <v>46217</v>
      </c>
      <c r="F765" t="inlineStr">
        <is>
          <t>VÄSTERBOTTENS LÄN</t>
        </is>
      </c>
      <c r="G765" t="inlineStr">
        <is>
          <t>LYCKSELE</t>
        </is>
      </c>
      <c r="I765" t="n">
        <v>7.1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4671-2025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45687</v>
      </c>
      <c r="E766" s="1" t="n">
        <v>46217</v>
      </c>
      <c r="F766" t="inlineStr">
        <is>
          <t>VÄSTERBOTTENS LÄN</t>
        </is>
      </c>
      <c r="G766" t="inlineStr">
        <is>
          <t>LYCKSELE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9716-2026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46072</v>
      </c>
      <c r="E767" s="1" t="n">
        <v>46217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23391-2026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46217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29730-2026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46217</v>
      </c>
      <c r="F769" t="inlineStr">
        <is>
          <t>VÄSTERBOTTENS LÄN</t>
        </is>
      </c>
      <c r="G769" t="inlineStr">
        <is>
          <t>LYCKSELE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10478-2026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46217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7.3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10321-2026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46076</v>
      </c>
      <c r="E771" s="1" t="n">
        <v>46217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10230-2026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46076</v>
      </c>
      <c r="E772" s="1" t="n">
        <v>46217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11.5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10174-2026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46076</v>
      </c>
      <c r="E773" s="1" t="n">
        <v>46217</v>
      </c>
      <c r="F773" t="inlineStr">
        <is>
          <t>VÄSTERBOTTENS LÄN</t>
        </is>
      </c>
      <c r="G773" t="inlineStr">
        <is>
          <t>LYCKSELE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23973-2024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45455</v>
      </c>
      <c r="E774" s="1" t="n">
        <v>46217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10180-2026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46217</v>
      </c>
      <c r="F775" t="inlineStr">
        <is>
          <t>VÄSTERBOTTENS LÄN</t>
        </is>
      </c>
      <c r="G775" t="inlineStr">
        <is>
          <t>LYCKSELE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51842-2025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45952</v>
      </c>
      <c r="E776" s="1" t="n">
        <v>46217</v>
      </c>
      <c r="F776" t="inlineStr">
        <is>
          <t>VÄSTERBOTTENS LÄN</t>
        </is>
      </c>
      <c r="G776" t="inlineStr">
        <is>
          <t>LYCKSELE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61094-2023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45261</v>
      </c>
      <c r="E777" s="1" t="n">
        <v>46217</v>
      </c>
      <c r="F777" t="inlineStr">
        <is>
          <t>VÄSTERBOTTENS LÄN</t>
        </is>
      </c>
      <c r="G777" t="inlineStr">
        <is>
          <t>LYCKSELE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29436-2026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46203</v>
      </c>
      <c r="E778" s="1" t="n">
        <v>46217</v>
      </c>
      <c r="F778" t="inlineStr">
        <is>
          <t>VÄSTERBOTTENS LÄN</t>
        </is>
      </c>
      <c r="G778" t="inlineStr">
        <is>
          <t>LYCKSELE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19246-2025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45769</v>
      </c>
      <c r="E779" s="1" t="n">
        <v>46217</v>
      </c>
      <c r="F779" t="inlineStr">
        <is>
          <t>VÄSTERBOTTENS LÄN</t>
        </is>
      </c>
      <c r="G779" t="inlineStr">
        <is>
          <t>LYCKSELE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29904-2026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46205</v>
      </c>
      <c r="E780" s="1" t="n">
        <v>46217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23164-2022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44719</v>
      </c>
      <c r="E781" s="1" t="n">
        <v>46217</v>
      </c>
      <c r="F781" t="inlineStr">
        <is>
          <t>VÄSTERBOTTENS LÄN</t>
        </is>
      </c>
      <c r="G781" t="inlineStr">
        <is>
          <t>LYCKSELE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11870-2026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46085</v>
      </c>
      <c r="E782" s="1" t="n">
        <v>46217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12302-2026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46087</v>
      </c>
      <c r="E783" s="1" t="n">
        <v>46217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12327-2026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46087</v>
      </c>
      <c r="E784" s="1" t="n">
        <v>46217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12292-2026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46087</v>
      </c>
      <c r="E785" s="1" t="n">
        <v>46217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9550-2025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45715</v>
      </c>
      <c r="E786" s="1" t="n">
        <v>46217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20.6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12083-2026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46086</v>
      </c>
      <c r="E787" s="1" t="n">
        <v>46217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58553-2023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45251</v>
      </c>
      <c r="E788" s="1" t="n">
        <v>46217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29852-2026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46205</v>
      </c>
      <c r="E789" s="1" t="n">
        <v>46217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29823-2026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46217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29836-2026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46217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29839-2026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46217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29844-2026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46205</v>
      </c>
      <c r="E793" s="1" t="n">
        <v>46217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29841-2026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46217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1746-2026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46217</v>
      </c>
      <c r="F795" t="inlineStr">
        <is>
          <t>VÄSTERBOTTENS LÄN</t>
        </is>
      </c>
      <c r="G795" t="inlineStr">
        <is>
          <t>LYCKSELE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12662-2026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46091</v>
      </c>
      <c r="E796" s="1" t="n">
        <v>46217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12436-2026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46090</v>
      </c>
      <c r="E797" s="1" t="n">
        <v>46217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12735-2026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46091</v>
      </c>
      <c r="E798" s="1" t="n">
        <v>46217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47096-2023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45201</v>
      </c>
      <c r="E799" s="1" t="n">
        <v>46217</v>
      </c>
      <c r="F799" t="inlineStr">
        <is>
          <t>VÄSTERBOTTENS LÄN</t>
        </is>
      </c>
      <c r="G799" t="inlineStr">
        <is>
          <t>LYCKSELE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12980-2026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46092</v>
      </c>
      <c r="E800" s="1" t="n">
        <v>46217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12998-2026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46092</v>
      </c>
      <c r="E801" s="1" t="n">
        <v>46217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32863-2023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45124</v>
      </c>
      <c r="E802" s="1" t="n">
        <v>46217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42208-2022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44830</v>
      </c>
      <c r="E803" s="1" t="n">
        <v>46217</v>
      </c>
      <c r="F803" t="inlineStr">
        <is>
          <t>VÄSTERBOTTENS LÄN</t>
        </is>
      </c>
      <c r="G803" t="inlineStr">
        <is>
          <t>LYCKSELE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34060-2023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45135</v>
      </c>
      <c r="E804" s="1" t="n">
        <v>46217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23356-2026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46217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12889-2026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46092</v>
      </c>
      <c r="E806" s="1" t="n">
        <v>46217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13384-2026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46217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13502-2026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46217</v>
      </c>
      <c r="F808" t="inlineStr">
        <is>
          <t>VÄSTERBOTTENS LÄN</t>
        </is>
      </c>
      <c r="G808" t="inlineStr">
        <is>
          <t>LYCKSELE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13436-2026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46094</v>
      </c>
      <c r="E809" s="1" t="n">
        <v>46217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13627-2026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46097</v>
      </c>
      <c r="E810" s="1" t="n">
        <v>46217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13477-2026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46094</v>
      </c>
      <c r="E811" s="1" t="n">
        <v>46217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29848-2026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46205</v>
      </c>
      <c r="E812" s="1" t="n">
        <v>46217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30290-2026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46217</v>
      </c>
      <c r="F813" t="inlineStr">
        <is>
          <t>VÄSTERBOTTENS LÄN</t>
        </is>
      </c>
      <c r="G813" t="inlineStr">
        <is>
          <t>LYCKSELE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13413-2026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46217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13480-2026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46217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13517-2026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46217</v>
      </c>
      <c r="F816" t="inlineStr">
        <is>
          <t>VÄSTERBOTTENS LÄN</t>
        </is>
      </c>
      <c r="G816" t="inlineStr">
        <is>
          <t>LYCKSELE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13518-2026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46217</v>
      </c>
      <c r="F817" t="inlineStr">
        <is>
          <t>VÄSTERBOTTENS LÄN</t>
        </is>
      </c>
      <c r="G817" t="inlineStr">
        <is>
          <t>LYCKSELE</t>
        </is>
      </c>
      <c r="I817" t="n">
        <v>12.7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14235-2026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46217</v>
      </c>
      <c r="F818" t="inlineStr">
        <is>
          <t>VÄSTERBOTTENS LÄN</t>
        </is>
      </c>
      <c r="G818" t="inlineStr">
        <is>
          <t>LYCKSELE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14243-2026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46217</v>
      </c>
      <c r="F819" t="inlineStr">
        <is>
          <t>VÄSTERBOTTENS LÄN</t>
        </is>
      </c>
      <c r="G819" t="inlineStr">
        <is>
          <t>LYCKSELE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30288-2026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46217</v>
      </c>
      <c r="F820" t="inlineStr">
        <is>
          <t>VÄSTERBOTTENS LÄN</t>
        </is>
      </c>
      <c r="G820" t="inlineStr">
        <is>
          <t>LYCKSELE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13954-2026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46098</v>
      </c>
      <c r="E821" s="1" t="n">
        <v>46217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13921-2026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46098</v>
      </c>
      <c r="E822" s="1" t="n">
        <v>46217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13908-2026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46217</v>
      </c>
      <c r="F823" t="inlineStr">
        <is>
          <t>VÄSTERBOTTENS LÄN</t>
        </is>
      </c>
      <c r="G823" t="inlineStr">
        <is>
          <t>LYCKSELE</t>
        </is>
      </c>
      <c r="I823" t="n">
        <v>13.1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53116-2024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45611</v>
      </c>
      <c r="E824" s="1" t="n">
        <v>46217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17192-2025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45756</v>
      </c>
      <c r="E825" s="1" t="n">
        <v>46217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24205-2026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46168</v>
      </c>
      <c r="E826" s="1" t="n">
        <v>46217</v>
      </c>
      <c r="F826" t="inlineStr">
        <is>
          <t>VÄSTERBOTTENS LÄN</t>
        </is>
      </c>
      <c r="G826" t="inlineStr">
        <is>
          <t>LYCKSELE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8915-2025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45713</v>
      </c>
      <c r="E827" s="1" t="n">
        <v>46217</v>
      </c>
      <c r="F827" t="inlineStr">
        <is>
          <t>VÄSTERBOTTENS LÄN</t>
        </is>
      </c>
      <c r="G827" t="inlineStr">
        <is>
          <t>LYCKSELE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14404-2026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46100</v>
      </c>
      <c r="E828" s="1" t="n">
        <v>46217</v>
      </c>
      <c r="F828" t="inlineStr">
        <is>
          <t>VÄSTERBOTTENS LÄN</t>
        </is>
      </c>
      <c r="G828" t="inlineStr">
        <is>
          <t>LYCKSELE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55456-2022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44887</v>
      </c>
      <c r="E829" s="1" t="n">
        <v>46217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14675-2026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46217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14725-2026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46217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6.4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7837-2023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44973</v>
      </c>
      <c r="E832" s="1" t="n">
        <v>46217</v>
      </c>
      <c r="F832" t="inlineStr">
        <is>
          <t>VÄSTERBOTTENS LÄN</t>
        </is>
      </c>
      <c r="G832" t="inlineStr">
        <is>
          <t>LYCKSELE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14405-2026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46100</v>
      </c>
      <c r="E833" s="1" t="n">
        <v>46217</v>
      </c>
      <c r="F833" t="inlineStr">
        <is>
          <t>VÄSTERBOTTENS LÄN</t>
        </is>
      </c>
      <c r="G833" t="inlineStr">
        <is>
          <t>LYCKSELE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14856-2026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46104</v>
      </c>
      <c r="E834" s="1" t="n">
        <v>46217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30470-2022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44761</v>
      </c>
      <c r="E835" s="1" t="n">
        <v>46217</v>
      </c>
      <c r="F835" t="inlineStr">
        <is>
          <t>VÄSTERBOTTENS LÄN</t>
        </is>
      </c>
      <c r="G835" t="inlineStr">
        <is>
          <t>LYCKSELE</t>
        </is>
      </c>
      <c r="I835" t="n">
        <v>11.9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14845-2026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46104</v>
      </c>
      <c r="E836" s="1" t="n">
        <v>46217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30360-2026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46209</v>
      </c>
      <c r="E837" s="1" t="n">
        <v>46217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24041-2023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45078</v>
      </c>
      <c r="E838" s="1" t="n">
        <v>46217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32475-2024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46217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57224-2023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45239</v>
      </c>
      <c r="E840" s="1" t="n">
        <v>46217</v>
      </c>
      <c r="F840" t="inlineStr">
        <is>
          <t>VÄSTERBOTTENS LÄN</t>
        </is>
      </c>
      <c r="G840" t="inlineStr">
        <is>
          <t>LYCKSELE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15696-2026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46107</v>
      </c>
      <c r="E841" s="1" t="n">
        <v>46217</v>
      </c>
      <c r="F841" t="inlineStr">
        <is>
          <t>VÄSTERBOTTENS LÄN</t>
        </is>
      </c>
      <c r="G841" t="inlineStr">
        <is>
          <t>LYCKSELE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67092-2021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44522</v>
      </c>
      <c r="E842" s="1" t="n">
        <v>46217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15655-2026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46217</v>
      </c>
      <c r="F843" t="inlineStr">
        <is>
          <t>VÄSTERBOTTENS LÄN</t>
        </is>
      </c>
      <c r="G843" t="inlineStr">
        <is>
          <t>LYCKSELE</t>
        </is>
      </c>
      <c r="I843" t="n">
        <v>5.8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24175-2026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46168</v>
      </c>
      <c r="E844" s="1" t="n">
        <v>46217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6.5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53035-2023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45226</v>
      </c>
      <c r="E845" s="1" t="n">
        <v>46217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15389-2026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46106</v>
      </c>
      <c r="E846" s="1" t="n">
        <v>46217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12.9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30447-2026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46209</v>
      </c>
      <c r="E847" s="1" t="n">
        <v>46217</v>
      </c>
      <c r="F847" t="inlineStr">
        <is>
          <t>VÄSTERBOTTENS LÄN</t>
        </is>
      </c>
      <c r="G847" t="inlineStr">
        <is>
          <t>LYCKSELE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24204-2026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46168</v>
      </c>
      <c r="E848" s="1" t="n">
        <v>46217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35970-2024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45533</v>
      </c>
      <c r="E849" s="1" t="n">
        <v>46217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12.6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23988-2026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46167</v>
      </c>
      <c r="E850" s="1" t="n">
        <v>46217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16397-2026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46217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16138-2026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46108</v>
      </c>
      <c r="E852" s="1" t="n">
        <v>46217</v>
      </c>
      <c r="F852" t="inlineStr">
        <is>
          <t>VÄSTERBOTTENS LÄN</t>
        </is>
      </c>
      <c r="G852" t="inlineStr">
        <is>
          <t>LYCKSELE</t>
        </is>
      </c>
      <c r="I852" t="n">
        <v>13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30589-2026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46210</v>
      </c>
      <c r="E853" s="1" t="n">
        <v>46217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6.9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16723-2026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46113</v>
      </c>
      <c r="E854" s="1" t="n">
        <v>46217</v>
      </c>
      <c r="F854" t="inlineStr">
        <is>
          <t>VÄSTERBOTTENS LÄN</t>
        </is>
      </c>
      <c r="G854" t="inlineStr">
        <is>
          <t>LYCKSELE</t>
        </is>
      </c>
      <c r="I854" t="n">
        <v>16.5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16731-2026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46113</v>
      </c>
      <c r="E855" s="1" t="n">
        <v>46217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22451-2026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46153</v>
      </c>
      <c r="E856" s="1" t="n">
        <v>46217</v>
      </c>
      <c r="F856" t="inlineStr">
        <is>
          <t>VÄSTERBOTTENS LÄN</t>
        </is>
      </c>
      <c r="G856" t="inlineStr">
        <is>
          <t>LYCKSELE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16733-2026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46113</v>
      </c>
      <c r="E857" s="1" t="n">
        <v>46217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16643-2026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46112</v>
      </c>
      <c r="E858" s="1" t="n">
        <v>46217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16.8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16646-2026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46217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16729-2026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46113</v>
      </c>
      <c r="E860" s="1" t="n">
        <v>46217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16540-2026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46217</v>
      </c>
      <c r="F861" t="inlineStr">
        <is>
          <t>VÄSTERBOTTENS LÄN</t>
        </is>
      </c>
      <c r="G861" t="inlineStr">
        <is>
          <t>LYCKSELE</t>
        </is>
      </c>
      <c r="I861" t="n">
        <v>17.1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16642-2026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46112</v>
      </c>
      <c r="E862" s="1" t="n">
        <v>46217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8360-2024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45352</v>
      </c>
      <c r="E863" s="1" t="n">
        <v>46217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31.5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16986-2026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46114</v>
      </c>
      <c r="E864" s="1" t="n">
        <v>46217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30631-2026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46211</v>
      </c>
      <c r="E865" s="1" t="n">
        <v>46217</v>
      </c>
      <c r="F865" t="inlineStr">
        <is>
          <t>VÄSTERBOTTENS LÄN</t>
        </is>
      </c>
      <c r="G865" t="inlineStr">
        <is>
          <t>LYCKSELE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17329-2026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46119</v>
      </c>
      <c r="E866" s="1" t="n">
        <v>46217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62877-2023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45271</v>
      </c>
      <c r="E867" s="1" t="n">
        <v>46217</v>
      </c>
      <c r="F867" t="inlineStr">
        <is>
          <t>VÄSTERBOTTENS LÄN</t>
        </is>
      </c>
      <c r="G867" t="inlineStr">
        <is>
          <t>LYCKSELE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17650-2026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46121</v>
      </c>
      <c r="E868" s="1" t="n">
        <v>46217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48379-2024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45590</v>
      </c>
      <c r="E869" s="1" t="n">
        <v>46217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43875-2023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45187</v>
      </c>
      <c r="E870" s="1" t="n">
        <v>46217</v>
      </c>
      <c r="F870" t="inlineStr">
        <is>
          <t>VÄSTERBOTTENS LÄN</t>
        </is>
      </c>
      <c r="G870" t="inlineStr">
        <is>
          <t>LYCKSELE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9879-2022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44620</v>
      </c>
      <c r="E871" s="1" t="n">
        <v>46217</v>
      </c>
      <c r="F871" t="inlineStr">
        <is>
          <t>VÄSTERBOTTENS LÄN</t>
        </is>
      </c>
      <c r="G871" t="inlineStr">
        <is>
          <t>LYCKSELE</t>
        </is>
      </c>
      <c r="I871" t="n">
        <v>8.699999999999999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24497-2026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46170</v>
      </c>
      <c r="E872" s="1" t="n">
        <v>46217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5.5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49514-2022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44861</v>
      </c>
      <c r="E873" s="1" t="n">
        <v>46217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2323-2025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45673</v>
      </c>
      <c r="E874" s="1" t="n">
        <v>46217</v>
      </c>
      <c r="F874" t="inlineStr">
        <is>
          <t>VÄSTERBOTTENS LÄN</t>
        </is>
      </c>
      <c r="G874" t="inlineStr">
        <is>
          <t>LYCKSELE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14249-2025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45740</v>
      </c>
      <c r="E875" s="1" t="n">
        <v>46217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18581-2026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46127</v>
      </c>
      <c r="E876" s="1" t="n">
        <v>46217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24763-2026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46171</v>
      </c>
      <c r="E877" s="1" t="n">
        <v>46217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52956-2022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44875</v>
      </c>
      <c r="E878" s="1" t="n">
        <v>46217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6.4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18789-2026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46128</v>
      </c>
      <c r="E879" s="1" t="n">
        <v>46217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33699-2024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45520</v>
      </c>
      <c r="E880" s="1" t="n">
        <v>46217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33716-2024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45520</v>
      </c>
      <c r="E881" s="1" t="n">
        <v>46217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33717-2024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45520</v>
      </c>
      <c r="E882" s="1" t="n">
        <v>46217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13.6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30939-2026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46213</v>
      </c>
      <c r="E883" s="1" t="n">
        <v>46217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24.3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51669-2024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45606</v>
      </c>
      <c r="E884" s="1" t="n">
        <v>46217</v>
      </c>
      <c r="F884" t="inlineStr">
        <is>
          <t>VÄSTERBOTTENS LÄN</t>
        </is>
      </c>
      <c r="G884" t="inlineStr">
        <is>
          <t>LYCKSELE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41980-2024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45561</v>
      </c>
      <c r="E885" s="1" t="n">
        <v>46217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33704-2024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46217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46541-2022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44847</v>
      </c>
      <c r="E887" s="1" t="n">
        <v>46217</v>
      </c>
      <c r="F887" t="inlineStr">
        <is>
          <t>VÄSTERBOTTENS LÄN</t>
        </is>
      </c>
      <c r="G887" t="inlineStr">
        <is>
          <t>LYCKSELE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18651-2026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46217</v>
      </c>
      <c r="F888" t="inlineStr">
        <is>
          <t>VÄSTERBOTTENS LÄN</t>
        </is>
      </c>
      <c r="G888" t="inlineStr">
        <is>
          <t>LYCKSELE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36357-2024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45534</v>
      </c>
      <c r="E889" s="1" t="n">
        <v>46217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25080-2026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46174</v>
      </c>
      <c r="E890" s="1" t="n">
        <v>46217</v>
      </c>
      <c r="F890" t="inlineStr">
        <is>
          <t>VÄSTERBOTTENS LÄN</t>
        </is>
      </c>
      <c r="G890" t="inlineStr">
        <is>
          <t>LYCKSELE</t>
        </is>
      </c>
      <c r="I890" t="n">
        <v>13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25327-2024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45462</v>
      </c>
      <c r="E891" s="1" t="n">
        <v>46217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19058-2026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46217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19062-2026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46132</v>
      </c>
      <c r="E893" s="1" t="n">
        <v>46217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9.699999999999999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61367-2024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45646</v>
      </c>
      <c r="E894" s="1" t="n">
        <v>46217</v>
      </c>
      <c r="F894" t="inlineStr">
        <is>
          <t>VÄSTERBOTTENS LÄN</t>
        </is>
      </c>
      <c r="G894" t="inlineStr">
        <is>
          <t>LYCKSELE</t>
        </is>
      </c>
      <c r="I894" t="n">
        <v>10.4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24574-2026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46217</v>
      </c>
      <c r="F895" t="inlineStr">
        <is>
          <t>VÄSTERBOTTENS LÄN</t>
        </is>
      </c>
      <c r="G895" t="inlineStr">
        <is>
          <t>LYCKSELE</t>
        </is>
      </c>
      <c r="I895" t="n">
        <v>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30962-2026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46213</v>
      </c>
      <c r="E896" s="1" t="n">
        <v>46217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18737-2026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46128</v>
      </c>
      <c r="E897" s="1" t="n">
        <v>46217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19701-2026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46134</v>
      </c>
      <c r="E898" s="1" t="n">
        <v>46217</v>
      </c>
      <c r="F898" t="inlineStr">
        <is>
          <t>VÄSTERBOTTENS LÄN</t>
        </is>
      </c>
      <c r="G898" t="inlineStr">
        <is>
          <t>LYCKSELE</t>
        </is>
      </c>
      <c r="I898" t="n">
        <v>7.1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19325-2026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46217</v>
      </c>
      <c r="F899" t="inlineStr">
        <is>
          <t>VÄSTERBOTTENS LÄN</t>
        </is>
      </c>
      <c r="G899" t="inlineStr">
        <is>
          <t>LYCKSELE</t>
        </is>
      </c>
      <c r="I899" t="n">
        <v>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61506-2021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44501</v>
      </c>
      <c r="E900" s="1" t="n">
        <v>46217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6.4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42216-2022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44830</v>
      </c>
      <c r="E901" s="1" t="n">
        <v>46217</v>
      </c>
      <c r="F901" t="inlineStr">
        <is>
          <t>VÄSTERBOTTENS LÄN</t>
        </is>
      </c>
      <c r="G901" t="inlineStr">
        <is>
          <t>LYCKSELE</t>
        </is>
      </c>
      <c r="I901" t="n">
        <v>15.9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40115-2024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45554</v>
      </c>
      <c r="E902" s="1" t="n">
        <v>46217</v>
      </c>
      <c r="F902" t="inlineStr">
        <is>
          <t>VÄSTERBOTTENS LÄN</t>
        </is>
      </c>
      <c r="G902" t="inlineStr">
        <is>
          <t>LYCKSELE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24954-2026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46174</v>
      </c>
      <c r="E903" s="1" t="n">
        <v>46217</v>
      </c>
      <c r="F903" t="inlineStr">
        <is>
          <t>VÄSTERBOTTENS LÄN</t>
        </is>
      </c>
      <c r="G903" t="inlineStr">
        <is>
          <t>LYCKSELE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30890-2026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46213</v>
      </c>
      <c r="E904" s="1" t="n">
        <v>46217</v>
      </c>
      <c r="F904" t="inlineStr">
        <is>
          <t>VÄSTERBOTTENS LÄN</t>
        </is>
      </c>
      <c r="G904" t="inlineStr">
        <is>
          <t>LYCKSELE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30945-2026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46217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25039-2026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46174</v>
      </c>
      <c r="E906" s="1" t="n">
        <v>46217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24548-2026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46170</v>
      </c>
      <c r="E907" s="1" t="n">
        <v>46217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7063-2022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44603</v>
      </c>
      <c r="E908" s="1" t="n">
        <v>46217</v>
      </c>
      <c r="F908" t="inlineStr">
        <is>
          <t>VÄSTERBOTTENS LÄN</t>
        </is>
      </c>
      <c r="G908" t="inlineStr">
        <is>
          <t>LYCKSELE</t>
        </is>
      </c>
      <c r="I908" t="n">
        <v>14.2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34111-2025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45845</v>
      </c>
      <c r="E909" s="1" t="n">
        <v>46217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8.4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24552-2026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46170</v>
      </c>
      <c r="E910" s="1" t="n">
        <v>46217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25328-2026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46176</v>
      </c>
      <c r="E911" s="1" t="n">
        <v>46217</v>
      </c>
      <c r="F911" t="inlineStr">
        <is>
          <t>VÄSTERBOTTENS LÄN</t>
        </is>
      </c>
      <c r="G911" t="inlineStr">
        <is>
          <t>LYCKSELE</t>
        </is>
      </c>
      <c r="I911" t="n">
        <v>7.4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41497-2021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44424</v>
      </c>
      <c r="E912" s="1" t="n">
        <v>46217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43770-2025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45912</v>
      </c>
      <c r="E913" s="1" t="n">
        <v>46217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9.5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59174-2024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45637</v>
      </c>
      <c r="E914" s="1" t="n">
        <v>46217</v>
      </c>
      <c r="F914" t="inlineStr">
        <is>
          <t>VÄSTERBOTTENS LÄN</t>
        </is>
      </c>
      <c r="G914" t="inlineStr">
        <is>
          <t>LYCKSELE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53369-2022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44874</v>
      </c>
      <c r="E915" s="1" t="n">
        <v>46217</v>
      </c>
      <c r="F915" t="inlineStr">
        <is>
          <t>VÄSTERBOTTENS LÄN</t>
        </is>
      </c>
      <c r="G915" t="inlineStr">
        <is>
          <t>LYCKSELE</t>
        </is>
      </c>
      <c r="I915" t="n">
        <v>9.1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56343-2022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44890</v>
      </c>
      <c r="E916" s="1" t="n">
        <v>46217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41756-2024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45561</v>
      </c>
      <c r="E917" s="1" t="n">
        <v>46217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4.8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45559-2022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44845</v>
      </c>
      <c r="E918" s="1" t="n">
        <v>46217</v>
      </c>
      <c r="F918" t="inlineStr">
        <is>
          <t>VÄSTERBOTTENS LÄN</t>
        </is>
      </c>
      <c r="G918" t="inlineStr">
        <is>
          <t>LYCKSELE</t>
        </is>
      </c>
      <c r="I918" t="n">
        <v>17.8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41358-2022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44826</v>
      </c>
      <c r="E919" s="1" t="n">
        <v>46217</v>
      </c>
      <c r="F919" t="inlineStr">
        <is>
          <t>VÄSTERBOTTENS LÄN</t>
        </is>
      </c>
      <c r="G919" t="inlineStr">
        <is>
          <t>LYCKSELE</t>
        </is>
      </c>
      <c r="I919" t="n">
        <v>6.2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2576-2022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44580</v>
      </c>
      <c r="E920" s="1" t="n">
        <v>46217</v>
      </c>
      <c r="F920" t="inlineStr">
        <is>
          <t>VÄSTERBOTTENS LÄN</t>
        </is>
      </c>
      <c r="G920" t="inlineStr">
        <is>
          <t>LYCKSELE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54167-2022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44881</v>
      </c>
      <c r="E921" s="1" t="n">
        <v>46217</v>
      </c>
      <c r="F921" t="inlineStr">
        <is>
          <t>VÄSTERBOTTENS LÄN</t>
        </is>
      </c>
      <c r="G921" t="inlineStr">
        <is>
          <t>LYCKSELE</t>
        </is>
      </c>
      <c r="I921" t="n">
        <v>11.3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37391-2024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45540</v>
      </c>
      <c r="E922" s="1" t="n">
        <v>46217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15046-2023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45015</v>
      </c>
      <c r="E923" s="1" t="n">
        <v>46217</v>
      </c>
      <c r="F923" t="inlineStr">
        <is>
          <t>VÄSTERBOTTENS LÄN</t>
        </is>
      </c>
      <c r="G923" t="inlineStr">
        <is>
          <t>LYCKSELE</t>
        </is>
      </c>
      <c r="I923" t="n">
        <v>13.4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51943-2023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45223</v>
      </c>
      <c r="E924" s="1" t="n">
        <v>46217</v>
      </c>
      <c r="F924" t="inlineStr">
        <is>
          <t>VÄSTERBOTTENS LÄN</t>
        </is>
      </c>
      <c r="G924" t="inlineStr">
        <is>
          <t>LYCKSELE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41950-2024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45561</v>
      </c>
      <c r="E925" s="1" t="n">
        <v>46217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11.8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15564-2023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45020</v>
      </c>
      <c r="E926" s="1" t="n">
        <v>46217</v>
      </c>
      <c r="F926" t="inlineStr">
        <is>
          <t>VÄSTERBOTTENS LÄN</t>
        </is>
      </c>
      <c r="G926" t="inlineStr">
        <is>
          <t>LYCKSELE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24289-2023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45079</v>
      </c>
      <c r="E927" s="1" t="n">
        <v>46217</v>
      </c>
      <c r="F927" t="inlineStr">
        <is>
          <t>VÄSTERBOTTENS LÄN</t>
        </is>
      </c>
      <c r="G927" t="inlineStr">
        <is>
          <t>LYCKSELE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54619-2024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45617</v>
      </c>
      <c r="E928" s="1" t="n">
        <v>46217</v>
      </c>
      <c r="F928" t="inlineStr">
        <is>
          <t>VÄSTERBOTTENS LÄN</t>
        </is>
      </c>
      <c r="G928" t="inlineStr">
        <is>
          <t>LYCKSELE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43566-2024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45569</v>
      </c>
      <c r="E929" s="1" t="n">
        <v>46217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3947-2023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44952</v>
      </c>
      <c r="E930" s="1" t="n">
        <v>46217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59272-2022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44904</v>
      </c>
      <c r="E931" s="1" t="n">
        <v>46217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19233-2023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45048</v>
      </c>
      <c r="E932" s="1" t="n">
        <v>46217</v>
      </c>
      <c r="F932" t="inlineStr">
        <is>
          <t>VÄSTERBOTTENS LÄN</t>
        </is>
      </c>
      <c r="G932" t="inlineStr">
        <is>
          <t>LYCKSELE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9551-2025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45715</v>
      </c>
      <c r="E933" s="1" t="n">
        <v>46217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7001-2022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44603</v>
      </c>
      <c r="E934" s="1" t="n">
        <v>46217</v>
      </c>
      <c r="F934" t="inlineStr">
        <is>
          <t>VÄSTERBOTTENS LÄN</t>
        </is>
      </c>
      <c r="G934" t="inlineStr">
        <is>
          <t>LYCKSELE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27595-2023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45097</v>
      </c>
      <c r="E935" s="1" t="n">
        <v>46217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56518-2023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45238</v>
      </c>
      <c r="E936" s="1" t="n">
        <v>46217</v>
      </c>
      <c r="F936" t="inlineStr">
        <is>
          <t>VÄSTERBOTTENS LÄN</t>
        </is>
      </c>
      <c r="G936" t="inlineStr">
        <is>
          <t>LYCKSELE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18365-2023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45041</v>
      </c>
      <c r="E937" s="1" t="n">
        <v>46217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22.4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25170-2024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45462</v>
      </c>
      <c r="E938" s="1" t="n">
        <v>46217</v>
      </c>
      <c r="F938" t="inlineStr">
        <is>
          <t>VÄSTERBOTTENS LÄN</t>
        </is>
      </c>
      <c r="G938" t="inlineStr">
        <is>
          <t>LYCKSELE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37491-2023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45156</v>
      </c>
      <c r="E939" s="1" t="n">
        <v>46217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37599-2024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45541</v>
      </c>
      <c r="E940" s="1" t="n">
        <v>46217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34273-2024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45524</v>
      </c>
      <c r="E941" s="1" t="n">
        <v>46217</v>
      </c>
      <c r="F941" t="inlineStr">
        <is>
          <t>VÄSTERBOTTENS LÄN</t>
        </is>
      </c>
      <c r="G941" t="inlineStr">
        <is>
          <t>LYCKSELE</t>
        </is>
      </c>
      <c r="I941" t="n">
        <v>6.7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12430-2025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45730</v>
      </c>
      <c r="E942" s="1" t="n">
        <v>46217</v>
      </c>
      <c r="F942" t="inlineStr">
        <is>
          <t>VÄSTERBOTTENS LÄN</t>
        </is>
      </c>
      <c r="G942" t="inlineStr">
        <is>
          <t>LYCKSELE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35227-2023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45145</v>
      </c>
      <c r="E943" s="1" t="n">
        <v>46217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4.6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41728-2023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45176</v>
      </c>
      <c r="E944" s="1" t="n">
        <v>46217</v>
      </c>
      <c r="F944" t="inlineStr">
        <is>
          <t>VÄSTERBOTTENS LÄN</t>
        </is>
      </c>
      <c r="G944" t="inlineStr">
        <is>
          <t>LYCKSELE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30306-2024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45490</v>
      </c>
      <c r="E945" s="1" t="n">
        <v>46217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68665-2021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44529</v>
      </c>
      <c r="E946" s="1" t="n">
        <v>46217</v>
      </c>
      <c r="F946" t="inlineStr">
        <is>
          <t>VÄSTERBOTTENS LÄN</t>
        </is>
      </c>
      <c r="G946" t="inlineStr">
        <is>
          <t>LYCKSELE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31372-2024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45503</v>
      </c>
      <c r="E947" s="1" t="n">
        <v>46217</v>
      </c>
      <c r="F947" t="inlineStr">
        <is>
          <t>VÄSTERBOTTENS LÄN</t>
        </is>
      </c>
      <c r="G947" t="inlineStr">
        <is>
          <t>LYCKSELE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27929-2024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45475</v>
      </c>
      <c r="E948" s="1" t="n">
        <v>46217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Naturvårdsverket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27932-2024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45475</v>
      </c>
      <c r="E949" s="1" t="n">
        <v>46217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Naturvårdsverket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21109-2023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45061</v>
      </c>
      <c r="E950" s="1" t="n">
        <v>46217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59569-2024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45638</v>
      </c>
      <c r="E951" s="1" t="n">
        <v>46217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26358-2023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45091</v>
      </c>
      <c r="E952" s="1" t="n">
        <v>46217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408-2023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44924</v>
      </c>
      <c r="E953" s="1" t="n">
        <v>46217</v>
      </c>
      <c r="F953" t="inlineStr">
        <is>
          <t>VÄSTERBOTTENS LÄN</t>
        </is>
      </c>
      <c r="G953" t="inlineStr">
        <is>
          <t>LYCKSELE</t>
        </is>
      </c>
      <c r="I953" t="n">
        <v>11.9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25020-2024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45461</v>
      </c>
      <c r="E954" s="1" t="n">
        <v>46217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6800-2025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45700</v>
      </c>
      <c r="E955" s="1" t="n">
        <v>46217</v>
      </c>
      <c r="F955" t="inlineStr">
        <is>
          <t>VÄSTERBOTTENS LÄN</t>
        </is>
      </c>
      <c r="G955" t="inlineStr">
        <is>
          <t>LYCKSELE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30425-2024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45491</v>
      </c>
      <c r="E956" s="1" t="n">
        <v>46217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47131-2024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45586</v>
      </c>
      <c r="E957" s="1" t="n">
        <v>46217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37969-2024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45544</v>
      </c>
      <c r="E958" s="1" t="n">
        <v>46217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21660-2023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45063</v>
      </c>
      <c r="E959" s="1" t="n">
        <v>46217</v>
      </c>
      <c r="F959" t="inlineStr">
        <is>
          <t>VÄSTERBOTTENS LÄN</t>
        </is>
      </c>
      <c r="G959" t="inlineStr">
        <is>
          <t>LYCKSELE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33693-2024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45520</v>
      </c>
      <c r="E960" s="1" t="n">
        <v>46217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16504-2025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45751</v>
      </c>
      <c r="E961" s="1" t="n">
        <v>46217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49130-2024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45594</v>
      </c>
      <c r="E962" s="1" t="n">
        <v>46217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37262-2023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45155</v>
      </c>
      <c r="E963" s="1" t="n">
        <v>46217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58714-2024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45635</v>
      </c>
      <c r="E964" s="1" t="n">
        <v>46217</v>
      </c>
      <c r="F964" t="inlineStr">
        <is>
          <t>VÄSTERBOTTENS LÄN</t>
        </is>
      </c>
      <c r="G964" t="inlineStr">
        <is>
          <t>LYCKSELE</t>
        </is>
      </c>
      <c r="I964" t="n">
        <v>25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1962-2024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45308</v>
      </c>
      <c r="E965" s="1" t="n">
        <v>46217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9.300000000000001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46817-2024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45583</v>
      </c>
      <c r="E966" s="1" t="n">
        <v>46217</v>
      </c>
      <c r="F966" t="inlineStr">
        <is>
          <t>VÄSTERBOTTENS LÄN</t>
        </is>
      </c>
      <c r="G966" t="inlineStr">
        <is>
          <t>LYCKSELE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55203-2024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45621</v>
      </c>
      <c r="E967" s="1" t="n">
        <v>46217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60482-2024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45643</v>
      </c>
      <c r="E968" s="1" t="n">
        <v>46217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7.8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49631-2023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45211</v>
      </c>
      <c r="E969" s="1" t="n">
        <v>46217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Kommuner</t>
        </is>
      </c>
      <c r="I969" t="n">
        <v>0.1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37658-2024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45541</v>
      </c>
      <c r="E970" s="1" t="n">
        <v>46217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28409-2023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45101</v>
      </c>
      <c r="E971" s="1" t="n">
        <v>46217</v>
      </c>
      <c r="F971" t="inlineStr">
        <is>
          <t>VÄSTERBOTTENS LÄN</t>
        </is>
      </c>
      <c r="G971" t="inlineStr">
        <is>
          <t>LYCKSELE</t>
        </is>
      </c>
      <c r="I971" t="n">
        <v>12.9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54446-2023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45233</v>
      </c>
      <c r="E972" s="1" t="n">
        <v>46217</v>
      </c>
      <c r="F972" t="inlineStr">
        <is>
          <t>VÄSTERBOTTENS LÄN</t>
        </is>
      </c>
      <c r="G972" t="inlineStr">
        <is>
          <t>LYCKSELE</t>
        </is>
      </c>
      <c r="I972" t="n">
        <v>21.4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40527-2024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45555</v>
      </c>
      <c r="E973" s="1" t="n">
        <v>46217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8.9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48992-2023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45209</v>
      </c>
      <c r="E974" s="1" t="n">
        <v>46217</v>
      </c>
      <c r="F974" t="inlineStr">
        <is>
          <t>VÄSTERBOTTENS LÄN</t>
        </is>
      </c>
      <c r="G974" t="inlineStr">
        <is>
          <t>LYCKSELE</t>
        </is>
      </c>
      <c r="I974" t="n">
        <v>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33708-2024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46217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33714-2024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45520</v>
      </c>
      <c r="E976" s="1" t="n">
        <v>46217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16669-2022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44672</v>
      </c>
      <c r="E977" s="1" t="n">
        <v>46217</v>
      </c>
      <c r="F977" t="inlineStr">
        <is>
          <t>VÄSTERBOTTENS LÄN</t>
        </is>
      </c>
      <c r="G977" t="inlineStr">
        <is>
          <t>LYCKSELE</t>
        </is>
      </c>
      <c r="I977" t="n">
        <v>12.8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57898-2021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44486</v>
      </c>
      <c r="E978" s="1" t="n">
        <v>46217</v>
      </c>
      <c r="F978" t="inlineStr">
        <is>
          <t>VÄSTERBOTTENS LÄN</t>
        </is>
      </c>
      <c r="G978" t="inlineStr">
        <is>
          <t>LYCKSELE</t>
        </is>
      </c>
      <c r="I978" t="n">
        <v>14.7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32408-2024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45512</v>
      </c>
      <c r="E979" s="1" t="n">
        <v>46217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39321-2024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45551</v>
      </c>
      <c r="E980" s="1" t="n">
        <v>46217</v>
      </c>
      <c r="F980" t="inlineStr">
        <is>
          <t>VÄSTERBOTTENS LÄN</t>
        </is>
      </c>
      <c r="G980" t="inlineStr">
        <is>
          <t>LYCKSELE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71412-2021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44540</v>
      </c>
      <c r="E981" s="1" t="n">
        <v>46217</v>
      </c>
      <c r="F981" t="inlineStr">
        <is>
          <t>VÄSTERBOTTENS LÄN</t>
        </is>
      </c>
      <c r="G981" t="inlineStr">
        <is>
          <t>LYCKSELE</t>
        </is>
      </c>
      <c r="I981" t="n">
        <v>3.2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10331-2023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44980</v>
      </c>
      <c r="E982" s="1" t="n">
        <v>46217</v>
      </c>
      <c r="F982" t="inlineStr">
        <is>
          <t>VÄSTERBOTTENS LÄN</t>
        </is>
      </c>
      <c r="G982" t="inlineStr">
        <is>
          <t>LYCKSELE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48832-2024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45593</v>
      </c>
      <c r="E983" s="1" t="n">
        <v>46217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3.7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10208-2024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45364</v>
      </c>
      <c r="E984" s="1" t="n">
        <v>46217</v>
      </c>
      <c r="F984" t="inlineStr">
        <is>
          <t>VÄSTERBOTTENS LÄN</t>
        </is>
      </c>
      <c r="G984" t="inlineStr">
        <is>
          <t>LYCKSELE</t>
        </is>
      </c>
      <c r="I984" t="n">
        <v>9.4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47807-2024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45588</v>
      </c>
      <c r="E985" s="1" t="n">
        <v>46217</v>
      </c>
      <c r="F985" t="inlineStr">
        <is>
          <t>VÄSTERBOTTENS LÄN</t>
        </is>
      </c>
      <c r="G985" t="inlineStr">
        <is>
          <t>LYCKSELE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44465-2022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44840</v>
      </c>
      <c r="E986" s="1" t="n">
        <v>46217</v>
      </c>
      <c r="F986" t="inlineStr">
        <is>
          <t>VÄSTERBOTTENS LÄN</t>
        </is>
      </c>
      <c r="G986" t="inlineStr">
        <is>
          <t>LYCKSELE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34810-2024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45526</v>
      </c>
      <c r="E987" s="1" t="n">
        <v>46217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54428-2024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45617</v>
      </c>
      <c r="E988" s="1" t="n">
        <v>46217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12.9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41361-2023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45174</v>
      </c>
      <c r="E989" s="1" t="n">
        <v>46217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6.6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37271-2023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45155</v>
      </c>
      <c r="E990" s="1" t="n">
        <v>46217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4.7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64336-2023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45279</v>
      </c>
      <c r="E991" s="1" t="n">
        <v>46217</v>
      </c>
      <c r="F991" t="inlineStr">
        <is>
          <t>VÄSTERBOTTENS LÄN</t>
        </is>
      </c>
      <c r="G991" t="inlineStr">
        <is>
          <t>LYCKSELE</t>
        </is>
      </c>
      <c r="I991" t="n">
        <v>6.4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9517-2025</t>
        </is>
      </c>
      <c r="B992" t="inlineStr">
        <is>
          <t>avverkningsanmälan</t>
        </is>
      </c>
      <c r="C992" t="inlineStr">
        <is>
          <t>Avverkning för att bevara och utveckla /försöksver</t>
        </is>
      </c>
      <c r="D992" s="1" t="n">
        <v>45715</v>
      </c>
      <c r="E992" s="1" t="n">
        <v>46217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11640-2024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45373</v>
      </c>
      <c r="E993" s="1" t="n">
        <v>46217</v>
      </c>
      <c r="F993" t="inlineStr">
        <is>
          <t>VÄSTERBOTTENS LÄN</t>
        </is>
      </c>
      <c r="G993" t="inlineStr">
        <is>
          <t>LYCKSELE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41992-2022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44830</v>
      </c>
      <c r="E994" s="1" t="n">
        <v>46217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17688-2025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45758</v>
      </c>
      <c r="E995" s="1" t="n">
        <v>46217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60542-2024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45643</v>
      </c>
      <c r="E996" s="1" t="n">
        <v>46217</v>
      </c>
      <c r="F996" t="inlineStr">
        <is>
          <t>VÄSTERBOTTENS LÄN</t>
        </is>
      </c>
      <c r="G996" t="inlineStr">
        <is>
          <t>LYCKSELE</t>
        </is>
      </c>
      <c r="I996" t="n">
        <v>4.4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60143-2022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44909</v>
      </c>
      <c r="E997" s="1" t="n">
        <v>46217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15239-2025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45744</v>
      </c>
      <c r="E998" s="1" t="n">
        <v>46217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38478-2024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45546</v>
      </c>
      <c r="E999" s="1" t="n">
        <v>46217</v>
      </c>
      <c r="F999" t="inlineStr">
        <is>
          <t>VÄSTERBOTTENS LÄN</t>
        </is>
      </c>
      <c r="G999" t="inlineStr">
        <is>
          <t>LYCKSELE</t>
        </is>
      </c>
      <c r="I999" t="n">
        <v>0.1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2794-2025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45677</v>
      </c>
      <c r="E1000" s="1" t="n">
        <v>46217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57246-2024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45629</v>
      </c>
      <c r="E1001" s="1" t="n">
        <v>46217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14623-2025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45742</v>
      </c>
      <c r="E1002" s="1" t="n">
        <v>46217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Naturvårdsverket</t>
        </is>
      </c>
      <c r="I1002" t="n">
        <v>10.4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38112-2024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45545</v>
      </c>
      <c r="E1003" s="1" t="n">
        <v>46217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13883-2025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45737</v>
      </c>
      <c r="E1004" s="1" t="n">
        <v>46217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Naturvårdsverket</t>
        </is>
      </c>
      <c r="I1004" t="n">
        <v>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9976-2024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45363</v>
      </c>
      <c r="E1005" s="1" t="n">
        <v>46217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24234-2023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45079</v>
      </c>
      <c r="E1006" s="1" t="n">
        <v>46217</v>
      </c>
      <c r="F1006" t="inlineStr">
        <is>
          <t>VÄSTERBOTTENS LÄN</t>
        </is>
      </c>
      <c r="G1006" t="inlineStr">
        <is>
          <t>LYCKSELE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52755-2023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45225</v>
      </c>
      <c r="E1007" s="1" t="n">
        <v>46217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20685-2025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45776</v>
      </c>
      <c r="E1008" s="1" t="n">
        <v>46217</v>
      </c>
      <c r="F1008" t="inlineStr">
        <is>
          <t>VÄSTERBOTTENS LÄN</t>
        </is>
      </c>
      <c r="G1008" t="inlineStr">
        <is>
          <t>LYCKSELE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21046-2025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46217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20979-2025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46217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21266-2025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45779</v>
      </c>
      <c r="E1011" s="1" t="n">
        <v>46217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21861-2025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46217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10.5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21888-2025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45784</v>
      </c>
      <c r="E1013" s="1" t="n">
        <v>46217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22309-2025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45786</v>
      </c>
      <c r="E1014" s="1" t="n">
        <v>46217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64391-2023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45280</v>
      </c>
      <c r="E1015" s="1" t="n">
        <v>46217</v>
      </c>
      <c r="F1015" t="inlineStr">
        <is>
          <t>VÄSTERBOTTENS LÄN</t>
        </is>
      </c>
      <c r="G1015" t="inlineStr">
        <is>
          <t>LYCKSELE</t>
        </is>
      </c>
      <c r="I1015" t="n">
        <v>5.8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22453-2025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45786</v>
      </c>
      <c r="E1016" s="1" t="n">
        <v>46217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22452-2025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46217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22343-2025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45786</v>
      </c>
      <c r="E1018" s="1" t="n">
        <v>46217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4.7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22127-2025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45785</v>
      </c>
      <c r="E1019" s="1" t="n">
        <v>46217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22456-2025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45786</v>
      </c>
      <c r="E1020" s="1" t="n">
        <v>46217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4.2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32474-2024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45513</v>
      </c>
      <c r="E1021" s="1" t="n">
        <v>46217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39165-2021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44412</v>
      </c>
      <c r="E1022" s="1" t="n">
        <v>46217</v>
      </c>
      <c r="F1022" t="inlineStr">
        <is>
          <t>VÄSTERBOTTENS LÄN</t>
        </is>
      </c>
      <c r="G1022" t="inlineStr">
        <is>
          <t>LYCKSELE</t>
        </is>
      </c>
      <c r="I1022" t="n">
        <v>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22759-2025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45789</v>
      </c>
      <c r="E1023" s="1" t="n">
        <v>46217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25.5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22344-2025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46217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23801-2025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45793</v>
      </c>
      <c r="E1025" s="1" t="n">
        <v>46217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48997-2021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44453</v>
      </c>
      <c r="E1026" s="1" t="n">
        <v>46217</v>
      </c>
      <c r="F1026" t="inlineStr">
        <is>
          <t>VÄSTERBOTTENS LÄN</t>
        </is>
      </c>
      <c r="G1026" t="inlineStr">
        <is>
          <t>LYCKSELE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60226-2022</t>
        </is>
      </c>
      <c r="B1027" t="inlineStr">
        <is>
          <t>avverkningsanmälan</t>
        </is>
      </c>
      <c r="C1027" t="inlineStr">
        <is>
          <t>Avverkning för att bevara och utveckla /försöksver</t>
        </is>
      </c>
      <c r="D1027" s="1" t="n">
        <v>44910</v>
      </c>
      <c r="E1027" s="1" t="n">
        <v>46217</v>
      </c>
      <c r="F1027" t="inlineStr">
        <is>
          <t>VÄSTERBOTTENS LÄN</t>
        </is>
      </c>
      <c r="G1027" t="inlineStr">
        <is>
          <t>LYCKSELE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24129-2025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45796</v>
      </c>
      <c r="E1028" s="1" t="n">
        <v>46217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24063-2025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46217</v>
      </c>
      <c r="F1029" t="inlineStr">
        <is>
          <t>VÄSTERBOTTENS LÄN</t>
        </is>
      </c>
      <c r="G1029" t="inlineStr">
        <is>
          <t>LYCKSELE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45503-2021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44440</v>
      </c>
      <c r="E1030" s="1" t="n">
        <v>46217</v>
      </c>
      <c r="F1030" t="inlineStr">
        <is>
          <t>VÄSTERBOTTENS LÄN</t>
        </is>
      </c>
      <c r="G1030" t="inlineStr">
        <is>
          <t>LYCKSELE</t>
        </is>
      </c>
      <c r="I1030" t="n">
        <v>29.1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23315-2024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45453</v>
      </c>
      <c r="E1031" s="1" t="n">
        <v>46217</v>
      </c>
      <c r="F1031" t="inlineStr">
        <is>
          <t>VÄSTERBOTTENS LÄN</t>
        </is>
      </c>
      <c r="G1031" t="inlineStr">
        <is>
          <t>LYCKSELE</t>
        </is>
      </c>
      <c r="I1031" t="n">
        <v>7.3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31848-2024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45509</v>
      </c>
      <c r="E1032" s="1" t="n">
        <v>46217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24603-2025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45798</v>
      </c>
      <c r="E1033" s="1" t="n">
        <v>46217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24514-2025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45798</v>
      </c>
      <c r="E1034" s="1" t="n">
        <v>46217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8.300000000000001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54893-2023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45236</v>
      </c>
      <c r="E1035" s="1" t="n">
        <v>46217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6.5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24729-2025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45799</v>
      </c>
      <c r="E1036" s="1" t="n">
        <v>46217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25061-2025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45799</v>
      </c>
      <c r="E1037" s="1" t="n">
        <v>46217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13.7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24906-2025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45799</v>
      </c>
      <c r="E1038" s="1" t="n">
        <v>46217</v>
      </c>
      <c r="F1038" t="inlineStr">
        <is>
          <t>VÄSTERBOTTENS LÄN</t>
        </is>
      </c>
      <c r="G1038" t="inlineStr">
        <is>
          <t>LYCKSELE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24770-2025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45799</v>
      </c>
      <c r="E1039" s="1" t="n">
        <v>46217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8.5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25581-2025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45803</v>
      </c>
      <c r="E1040" s="1" t="n">
        <v>46217</v>
      </c>
      <c r="F1040" t="inlineStr">
        <is>
          <t>VÄSTERBOTTENS LÄN</t>
        </is>
      </c>
      <c r="G1040" t="inlineStr">
        <is>
          <t>LYCKSELE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25590-2025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45803</v>
      </c>
      <c r="E1041" s="1" t="n">
        <v>46217</v>
      </c>
      <c r="F1041" t="inlineStr">
        <is>
          <t>VÄSTERBOTTENS LÄN</t>
        </is>
      </c>
      <c r="G1041" t="inlineStr">
        <is>
          <t>LYCKSELE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25537-2025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45803</v>
      </c>
      <c r="E1042" s="1" t="n">
        <v>46217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25655-2025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45803</v>
      </c>
      <c r="E1043" s="1" t="n">
        <v>46217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60714-2022</t>
        </is>
      </c>
      <c r="B1044" t="inlineStr">
        <is>
          <t>avverkningsanmälan</t>
        </is>
      </c>
      <c r="C1044" t="inlineStr">
        <is>
          <t>Avverkning för att bevara och utveckla /försöksver</t>
        </is>
      </c>
      <c r="D1044" s="1" t="n">
        <v>44912</v>
      </c>
      <c r="E1044" s="1" t="n">
        <v>46217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26318-2024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45468</v>
      </c>
      <c r="E1045" s="1" t="n">
        <v>46217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26228-2025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45805</v>
      </c>
      <c r="E1046" s="1" t="n">
        <v>46217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55250-2024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45621</v>
      </c>
      <c r="E1047" s="1" t="n">
        <v>46217</v>
      </c>
      <c r="F1047" t="inlineStr">
        <is>
          <t>VÄSTERBOTTENS LÄN</t>
        </is>
      </c>
      <c r="G1047" t="inlineStr">
        <is>
          <t>LYCKSELE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26622-2025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45810</v>
      </c>
      <c r="E1048" s="1" t="n">
        <v>46217</v>
      </c>
      <c r="F1048" t="inlineStr">
        <is>
          <t>VÄSTERBOTTENS LÄN</t>
        </is>
      </c>
      <c r="G1048" t="inlineStr">
        <is>
          <t>LYCKSELE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3303-2024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45316</v>
      </c>
      <c r="E1049" s="1" t="n">
        <v>46217</v>
      </c>
      <c r="F1049" t="inlineStr">
        <is>
          <t>VÄSTERBOTTENS LÄN</t>
        </is>
      </c>
      <c r="G1049" t="inlineStr">
        <is>
          <t>LYCKSELE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26398-2025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45807</v>
      </c>
      <c r="E1050" s="1" t="n">
        <v>46217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52039-2023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45223</v>
      </c>
      <c r="E1051" s="1" t="n">
        <v>46217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4.4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26410-2025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45807</v>
      </c>
      <c r="E1052" s="1" t="n">
        <v>46217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26951-2025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45811</v>
      </c>
      <c r="E1053" s="1" t="n">
        <v>46217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64334-2023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45279</v>
      </c>
      <c r="E1054" s="1" t="n">
        <v>46217</v>
      </c>
      <c r="F1054" t="inlineStr">
        <is>
          <t>VÄSTERBOTTENS LÄN</t>
        </is>
      </c>
      <c r="G1054" t="inlineStr">
        <is>
          <t>LYCKSELE</t>
        </is>
      </c>
      <c r="I1054" t="n">
        <v>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27072-2025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45811</v>
      </c>
      <c r="E1055" s="1" t="n">
        <v>46217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27588-2025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45813</v>
      </c>
      <c r="E1056" s="1" t="n">
        <v>46217</v>
      </c>
      <c r="F1056" t="inlineStr">
        <is>
          <t>VÄSTERBOTTENS LÄN</t>
        </is>
      </c>
      <c r="G1056" t="inlineStr">
        <is>
          <t>LYCKSELE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13563-2023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45006</v>
      </c>
      <c r="E1057" s="1" t="n">
        <v>46217</v>
      </c>
      <c r="F1057" t="inlineStr">
        <is>
          <t>VÄSTERBOTTENS LÄN</t>
        </is>
      </c>
      <c r="G1057" t="inlineStr">
        <is>
          <t>LYCKSELE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27471-2025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45813</v>
      </c>
      <c r="E1058" s="1" t="n">
        <v>46217</v>
      </c>
      <c r="F1058" t="inlineStr">
        <is>
          <t>VÄSTERBOTTENS LÄN</t>
        </is>
      </c>
      <c r="G1058" t="inlineStr">
        <is>
          <t>LYCKSELE</t>
        </is>
      </c>
      <c r="I1058" t="n">
        <v>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27595-2025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45813</v>
      </c>
      <c r="E1059" s="1" t="n">
        <v>46217</v>
      </c>
      <c r="F1059" t="inlineStr">
        <is>
          <t>VÄSTERBOTTENS LÄN</t>
        </is>
      </c>
      <c r="G1059" t="inlineStr">
        <is>
          <t>LYCKSELE</t>
        </is>
      </c>
      <c r="I1059" t="n">
        <v>10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27610-2025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45813</v>
      </c>
      <c r="E1060" s="1" t="n">
        <v>46217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15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27643-2025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45813</v>
      </c>
      <c r="E1061" s="1" t="n">
        <v>46217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6.3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29277-2023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45105</v>
      </c>
      <c r="E1062" s="1" t="n">
        <v>46217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Naturvårdsverket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30161-2024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45488</v>
      </c>
      <c r="E1063" s="1" t="n">
        <v>46217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28306-2025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45818</v>
      </c>
      <c r="E1064" s="1" t="n">
        <v>46217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5039-2025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45691</v>
      </c>
      <c r="E1065" s="1" t="n">
        <v>46217</v>
      </c>
      <c r="F1065" t="inlineStr">
        <is>
          <t>VÄSTERBOTTENS LÄN</t>
        </is>
      </c>
      <c r="G1065" t="inlineStr">
        <is>
          <t>LYCKSELE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8313-2025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45708</v>
      </c>
      <c r="E1066" s="1" t="n">
        <v>46217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28486-2025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45819</v>
      </c>
      <c r="E1067" s="1" t="n">
        <v>46217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28833-2025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45820</v>
      </c>
      <c r="E1068" s="1" t="n">
        <v>46217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29235-2025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45824</v>
      </c>
      <c r="E1069" s="1" t="n">
        <v>46217</v>
      </c>
      <c r="F1069" t="inlineStr">
        <is>
          <t>VÄSTERBOTTENS LÄN</t>
        </is>
      </c>
      <c r="G1069" t="inlineStr">
        <is>
          <t>LYCKSELE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29236-2025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45824</v>
      </c>
      <c r="E1070" s="1" t="n">
        <v>46217</v>
      </c>
      <c r="F1070" t="inlineStr">
        <is>
          <t>VÄSTERBOTTENS LÄN</t>
        </is>
      </c>
      <c r="G1070" t="inlineStr">
        <is>
          <t>LYCKSELE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29088-2025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45821</v>
      </c>
      <c r="E1071" s="1" t="n">
        <v>46217</v>
      </c>
      <c r="F1071" t="inlineStr">
        <is>
          <t>VÄSTERBOTTENS LÄN</t>
        </is>
      </c>
      <c r="G1071" t="inlineStr">
        <is>
          <t>LYCKSELE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29123-2025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45821</v>
      </c>
      <c r="E1072" s="1" t="n">
        <v>46217</v>
      </c>
      <c r="F1072" t="inlineStr">
        <is>
          <t>VÄSTERBOTTENS LÄN</t>
        </is>
      </c>
      <c r="G1072" t="inlineStr">
        <is>
          <t>LYCKSELE</t>
        </is>
      </c>
      <c r="I1072" t="n">
        <v>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29866-2025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45826</v>
      </c>
      <c r="E1073" s="1" t="n">
        <v>46217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6.7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29784-2025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45825</v>
      </c>
      <c r="E1074" s="1" t="n">
        <v>46217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30154-2025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45827</v>
      </c>
      <c r="E1075" s="1" t="n">
        <v>46217</v>
      </c>
      <c r="F1075" t="inlineStr">
        <is>
          <t>VÄSTERBOTTENS LÄN</t>
        </is>
      </c>
      <c r="G1075" t="inlineStr">
        <is>
          <t>LYCKSELE</t>
        </is>
      </c>
      <c r="I1075" t="n">
        <v>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30258-2025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45827</v>
      </c>
      <c r="E1076" s="1" t="n">
        <v>46217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30632-2025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45831</v>
      </c>
      <c r="E1077" s="1" t="n">
        <v>46217</v>
      </c>
      <c r="F1077" t="inlineStr">
        <is>
          <t>VÄSTERBOTTENS LÄN</t>
        </is>
      </c>
      <c r="G1077" t="inlineStr">
        <is>
          <t>LYCKSELE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31022-2025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45832</v>
      </c>
      <c r="E1078" s="1" t="n">
        <v>46217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30623-2025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45831</v>
      </c>
      <c r="E1079" s="1" t="n">
        <v>46217</v>
      </c>
      <c r="F1079" t="inlineStr">
        <is>
          <t>VÄSTERBOTTENS LÄN</t>
        </is>
      </c>
      <c r="G1079" t="inlineStr">
        <is>
          <t>LYCKSELE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30624-2025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45831</v>
      </c>
      <c r="E1080" s="1" t="n">
        <v>46217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9.5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30656-2025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45831</v>
      </c>
      <c r="E1081" s="1" t="n">
        <v>46217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31693-2025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45834</v>
      </c>
      <c r="E1082" s="1" t="n">
        <v>46217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18.9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31897-2025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45834</v>
      </c>
      <c r="E1083" s="1" t="n">
        <v>46217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32619-2025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45838</v>
      </c>
      <c r="E1084" s="1" t="n">
        <v>46217</v>
      </c>
      <c r="F1084" t="inlineStr">
        <is>
          <t>VÄSTERBOTTENS LÄN</t>
        </is>
      </c>
      <c r="G1084" t="inlineStr">
        <is>
          <t>LYCKSELE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32783-2025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45839</v>
      </c>
      <c r="E1085" s="1" t="n">
        <v>46217</v>
      </c>
      <c r="F1085" t="inlineStr">
        <is>
          <t>VÄSTERBOTTENS LÄN</t>
        </is>
      </c>
      <c r="G1085" t="inlineStr">
        <is>
          <t>LYCKSELE</t>
        </is>
      </c>
      <c r="I1085" t="n">
        <v>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32722-2025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45839</v>
      </c>
      <c r="E1086" s="1" t="n">
        <v>46217</v>
      </c>
      <c r="F1086" t="inlineStr">
        <is>
          <t>VÄSTERBOTTENS LÄN</t>
        </is>
      </c>
      <c r="G1086" t="inlineStr">
        <is>
          <t>LYCKSELE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33067-2025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45840</v>
      </c>
      <c r="E1087" s="1" t="n">
        <v>46217</v>
      </c>
      <c r="F1087" t="inlineStr">
        <is>
          <t>VÄSTERBOTTENS LÄN</t>
        </is>
      </c>
      <c r="G1087" t="inlineStr">
        <is>
          <t>LYCKSELE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33966-2025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45842</v>
      </c>
      <c r="E1088" s="1" t="n">
        <v>46217</v>
      </c>
      <c r="F1088" t="inlineStr">
        <is>
          <t>VÄSTERBOTTENS LÄN</t>
        </is>
      </c>
      <c r="G1088" t="inlineStr">
        <is>
          <t>LYCKSELE</t>
        </is>
      </c>
      <c r="I1088" t="n">
        <v>12.5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33527-2025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45841</v>
      </c>
      <c r="E1089" s="1" t="n">
        <v>46217</v>
      </c>
      <c r="F1089" t="inlineStr">
        <is>
          <t>VÄSTERBOTTENS LÄN</t>
        </is>
      </c>
      <c r="G1089" t="inlineStr">
        <is>
          <t>LYCKSELE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33467-2025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45841</v>
      </c>
      <c r="E1090" s="1" t="n">
        <v>46217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33431-2025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45841</v>
      </c>
      <c r="E1091" s="1" t="n">
        <v>46217</v>
      </c>
      <c r="F1091" t="inlineStr">
        <is>
          <t>VÄSTERBOTTENS LÄN</t>
        </is>
      </c>
      <c r="G1091" t="inlineStr">
        <is>
          <t>LYCKSELE</t>
        </is>
      </c>
      <c r="I1091" t="n">
        <v>0.1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33415-2025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45841</v>
      </c>
      <c r="E1092" s="1" t="n">
        <v>46217</v>
      </c>
      <c r="F1092" t="inlineStr">
        <is>
          <t>VÄSTERBOTTENS LÄN</t>
        </is>
      </c>
      <c r="G1092" t="inlineStr">
        <is>
          <t>LYCKSELE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33423-2025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45841</v>
      </c>
      <c r="E1093" s="1" t="n">
        <v>46217</v>
      </c>
      <c r="F1093" t="inlineStr">
        <is>
          <t>VÄSTERBOTTENS LÄN</t>
        </is>
      </c>
      <c r="G1093" t="inlineStr">
        <is>
          <t>LYCKSELE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33992-2025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45843</v>
      </c>
      <c r="E1094" s="1" t="n">
        <v>46217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34110-2025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45845</v>
      </c>
      <c r="E1095" s="1" t="n">
        <v>46217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33991-2025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45843</v>
      </c>
      <c r="E1096" s="1" t="n">
        <v>46217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34465-2025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45847</v>
      </c>
      <c r="E1097" s="1" t="n">
        <v>46217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26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34918-2025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45849</v>
      </c>
      <c r="E1098" s="1" t="n">
        <v>46217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9.300000000000001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34940-2025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45849</v>
      </c>
      <c r="E1099" s="1" t="n">
        <v>46217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7.2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34955-2025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45849</v>
      </c>
      <c r="E1100" s="1" t="n">
        <v>46217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9.4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34915-2025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45849</v>
      </c>
      <c r="E1101" s="1" t="n">
        <v>46217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6.5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34954-2025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45849</v>
      </c>
      <c r="E1102" s="1" t="n">
        <v>46217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35130-2025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45852</v>
      </c>
      <c r="E1103" s="1" t="n">
        <v>46217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6.2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35303-2025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45854</v>
      </c>
      <c r="E1104" s="1" t="n">
        <v>46217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35333-2025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45854</v>
      </c>
      <c r="E1105" s="1" t="n">
        <v>46217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35225-2025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45853</v>
      </c>
      <c r="E1106" s="1" t="n">
        <v>46217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35234-2025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45853</v>
      </c>
      <c r="E1107" s="1" t="n">
        <v>46217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35192-2025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45853</v>
      </c>
      <c r="E1108" s="1" t="n">
        <v>46217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35232-2025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45853</v>
      </c>
      <c r="E1109" s="1" t="n">
        <v>46217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4.1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35237-2025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45853</v>
      </c>
      <c r="E1110" s="1" t="n">
        <v>46217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5.9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35332-2025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45854</v>
      </c>
      <c r="E1111" s="1" t="n">
        <v>46217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35566-2025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45856</v>
      </c>
      <c r="E1112" s="1" t="n">
        <v>46217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35604-2025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45859</v>
      </c>
      <c r="E1113" s="1" t="n">
        <v>46217</v>
      </c>
      <c r="F1113" t="inlineStr">
        <is>
          <t>VÄSTERBOTTENS LÄN</t>
        </is>
      </c>
      <c r="G1113" t="inlineStr">
        <is>
          <t>LYCKSELE</t>
        </is>
      </c>
      <c r="I1113" t="n">
        <v>5.2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35662-2025</t>
        </is>
      </c>
      <c r="B1114" t="inlineStr">
        <is>
          <t>avverkningsanmälan</t>
        </is>
      </c>
      <c r="C1114" t="inlineStr">
        <is>
          <t>Avverkning för att bevara och utveckla /försöksver</t>
        </is>
      </c>
      <c r="D1114" s="1" t="n">
        <v>45859</v>
      </c>
      <c r="E1114" s="1" t="n">
        <v>46217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20.8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35606-2025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45859</v>
      </c>
      <c r="E1115" s="1" t="n">
        <v>46217</v>
      </c>
      <c r="F1115" t="inlineStr">
        <is>
          <t>VÄSTERBOTTENS LÄN</t>
        </is>
      </c>
      <c r="G1115" t="inlineStr">
        <is>
          <t>LYCKSELE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35671-2025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45859</v>
      </c>
      <c r="E1116" s="1" t="n">
        <v>46217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35833-2025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45861</v>
      </c>
      <c r="E1117" s="1" t="n">
        <v>46217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7.9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35920-2025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45862</v>
      </c>
      <c r="E1118" s="1" t="n">
        <v>46217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35832-2025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45861</v>
      </c>
      <c r="E1119" s="1" t="n">
        <v>46217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6.5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919-2021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44314</v>
      </c>
      <c r="E1120" s="1" t="n">
        <v>46217</v>
      </c>
      <c r="F1120" t="inlineStr">
        <is>
          <t>VÄSTERBOTTENS LÄN</t>
        </is>
      </c>
      <c r="G1120" t="inlineStr">
        <is>
          <t>LYCKSELE</t>
        </is>
      </c>
      <c r="I1120" t="n">
        <v>26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827-2022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44603</v>
      </c>
      <c r="E1121" s="1" t="n">
        <v>46217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42.7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165-2022</t>
        </is>
      </c>
      <c r="B1122" t="inlineStr">
        <is>
          <t>samrådsanmälan</t>
        </is>
      </c>
      <c r="C1122" t="inlineStr">
        <is>
          <t>Skogsbilväg</t>
        </is>
      </c>
      <c r="D1122" s="1" t="n">
        <v>44572</v>
      </c>
      <c r="E1122" s="1" t="n">
        <v>46217</v>
      </c>
      <c r="F1122" t="inlineStr">
        <is>
          <t>VÄSTERBOTTENS LÄN</t>
        </is>
      </c>
      <c r="G1122" t="inlineStr">
        <is>
          <t>LYCKSELE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897-2022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44607</v>
      </c>
      <c r="E1123" s="1" t="n">
        <v>46217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264.9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1133-2024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45393</v>
      </c>
      <c r="E1124" s="1" t="n">
        <v>46217</v>
      </c>
      <c r="F1124" t="inlineStr">
        <is>
          <t>VÄSTERBOTTENS LÄN</t>
        </is>
      </c>
      <c r="G1124" t="inlineStr">
        <is>
          <t>LYCKSELE</t>
        </is>
      </c>
      <c r="I1124" t="n">
        <v>33.1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6646-2021</t>
        </is>
      </c>
      <c r="B1125" t="inlineStr">
        <is>
          <t>samrådsanmälan</t>
        </is>
      </c>
      <c r="C1125" t="inlineStr">
        <is>
          <t>Basväg</t>
        </is>
      </c>
      <c r="D1125" s="1" t="n">
        <v>44455</v>
      </c>
      <c r="E1125" s="1" t="n">
        <v>46217</v>
      </c>
      <c r="F1125" t="inlineStr">
        <is>
          <t>VÄSTERBOTTENS LÄN</t>
        </is>
      </c>
      <c r="G1125" t="inlineStr">
        <is>
          <t>LYCKSELE</t>
        </is>
      </c>
      <c r="I1125" t="n">
        <v>0.2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4195-2023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45250</v>
      </c>
      <c r="E1126" s="1" t="n">
        <v>46217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63.8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1398-2023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45040</v>
      </c>
      <c r="E1127" s="1" t="n">
        <v>46217</v>
      </c>
      <c r="F1127" t="inlineStr">
        <is>
          <t>VÄSTERBOTTENS LÄN</t>
        </is>
      </c>
      <c r="G1127" t="inlineStr">
        <is>
          <t>LYCKSELE</t>
        </is>
      </c>
      <c r="I1127" t="n">
        <v>21.5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1378-2023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45040</v>
      </c>
      <c r="E1128" s="1" t="n">
        <v>46217</v>
      </c>
      <c r="F1128" t="inlineStr">
        <is>
          <t>VÄSTERBOTTENS LÄN</t>
        </is>
      </c>
      <c r="G1128" t="inlineStr">
        <is>
          <t>LYCKSELE</t>
        </is>
      </c>
      <c r="I1128" t="n">
        <v>33.1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1656-2024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45426</v>
      </c>
      <c r="E1129" s="1" t="n">
        <v>46217</v>
      </c>
      <c r="F1129" t="inlineStr">
        <is>
          <t>VÄSTERBOTTENS LÄN</t>
        </is>
      </c>
      <c r="G1129" t="inlineStr">
        <is>
          <t>LYCKSELE</t>
        </is>
      </c>
      <c r="I1129" t="n">
        <v>56.6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523-2024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45348</v>
      </c>
      <c r="E1130" s="1" t="n">
        <v>46217</v>
      </c>
      <c r="F1130" t="inlineStr">
        <is>
          <t>VÄSTERBOTTENS LÄN</t>
        </is>
      </c>
      <c r="G1130" t="inlineStr">
        <is>
          <t>LYCKSELE</t>
        </is>
      </c>
      <c r="I1130" t="n">
        <v>19.9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3789-2024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45558</v>
      </c>
      <c r="E1131" s="1" t="n">
        <v>46217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9.800000000000001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271-2024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45323</v>
      </c>
      <c r="E1132" s="1" t="n">
        <v>46217</v>
      </c>
      <c r="F1132" t="inlineStr">
        <is>
          <t>VÄSTERBOTTENS LÄN</t>
        </is>
      </c>
      <c r="G1132" t="inlineStr">
        <is>
          <t>LYCKSELE</t>
        </is>
      </c>
      <c r="I1132" t="n">
        <v>48.7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1132-2024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45393</v>
      </c>
      <c r="E1133" s="1" t="n">
        <v>46217</v>
      </c>
      <c r="F1133" t="inlineStr">
        <is>
          <t>VÄSTERBOTTENS LÄN</t>
        </is>
      </c>
      <c r="G1133" t="inlineStr">
        <is>
          <t>LYCKSELE</t>
        </is>
      </c>
      <c r="I1133" t="n">
        <v>19.2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1031-2025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45747</v>
      </c>
      <c r="E1134" s="1" t="n">
        <v>46217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36.8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1037-2025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45747</v>
      </c>
      <c r="E1135" s="1" t="n">
        <v>46217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138.5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1233-2025</t>
        </is>
      </c>
      <c r="B1136" t="inlineStr">
        <is>
          <t>samrådsanmälan</t>
        </is>
      </c>
      <c r="C1136" t="inlineStr">
        <is>
          <t>Annan skogsbruksåtgärd</t>
        </is>
      </c>
      <c r="D1136" s="1" t="n">
        <v>45757</v>
      </c>
      <c r="E1136" s="1" t="n">
        <v>46217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5.9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S 1326-2025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45771</v>
      </c>
      <c r="E1137" s="1" t="n">
        <v>46217</v>
      </c>
      <c r="F1137" t="inlineStr">
        <is>
          <t>VÄSTERBOTTENS LÄN</t>
        </is>
      </c>
      <c r="G1137" t="inlineStr">
        <is>
          <t>LYCKSELE</t>
        </is>
      </c>
      <c r="I1137" t="n">
        <v>6.2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S 1841-2025</t>
        </is>
      </c>
      <c r="B1138" t="inlineStr">
        <is>
          <t>samrådsanmälan</t>
        </is>
      </c>
      <c r="C1138" t="inlineStr">
        <is>
          <t>Annan skogsbruksåtgärd</t>
        </is>
      </c>
      <c r="D1138" s="1" t="n">
        <v>45820</v>
      </c>
      <c r="E1138" s="1" t="n">
        <v>46217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S 447-2026</t>
        </is>
      </c>
      <c r="B1139" t="inlineStr">
        <is>
          <t>samrådsanmälan</t>
        </is>
      </c>
      <c r="C1139" t="inlineStr">
        <is>
          <t>Annan skogsbruksåtgärd</t>
        </is>
      </c>
      <c r="D1139" s="1" t="n">
        <v>46071</v>
      </c>
      <c r="E1139" s="1" t="n">
        <v>46217</v>
      </c>
      <c r="F1139" t="inlineStr">
        <is>
          <t>VÄSTERBOTTENS LÄN</t>
        </is>
      </c>
      <c r="G1139" t="inlineStr">
        <is>
          <t>LYCKSELE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S 727-2026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46093</v>
      </c>
      <c r="E1140" s="1" t="n">
        <v>46217</v>
      </c>
      <c r="F1140" t="inlineStr">
        <is>
          <t>VÄSTERBOTTENS LÄN</t>
        </is>
      </c>
      <c r="G1140" t="inlineStr">
        <is>
          <t>LYCKSELE</t>
        </is>
      </c>
      <c r="I1140" t="n">
        <v>23.5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S 1148-2026</t>
        </is>
      </c>
      <c r="B1141" t="inlineStr">
        <is>
          <t>samrådsanmälan</t>
        </is>
      </c>
      <c r="C1141" t="inlineStr">
        <is>
          <t>Askåterföring</t>
        </is>
      </c>
      <c r="D1141" s="1" t="n">
        <v>46135</v>
      </c>
      <c r="E1141" s="1" t="n">
        <v>46217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4.5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S 1358-2026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46152</v>
      </c>
      <c r="E1142" s="1" t="n">
        <v>46217</v>
      </c>
      <c r="F1142" t="inlineStr">
        <is>
          <t>VÄSTERBOTTENS LÄN</t>
        </is>
      </c>
      <c r="G1142" t="inlineStr">
        <is>
          <t>LYCKSELE</t>
        </is>
      </c>
      <c r="I1142" t="n">
        <v>20.5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>
      <c r="A1143" t="inlineStr">
        <is>
          <t>S 1524-2026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46164</v>
      </c>
      <c r="E1143" s="1" t="n">
        <v>46217</v>
      </c>
      <c r="F1143" t="inlineStr">
        <is>
          <t>VÄSTERBOTTENS LÄN</t>
        </is>
      </c>
      <c r="G1143" t="inlineStr">
        <is>
          <t>LYCKSELE</t>
        </is>
      </c>
      <c r="I1143" t="n">
        <v>99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2026-07-14T09:01:28Z</dcterms:created>
  <dcterms:modified xmlns:dcterms="http://purl.org/dc/terms/" xmlns:xsi="http://www.w3.org/2001/XMLSchema-instance" xsi:type="dcterms:W3CDTF">2026-07-14T09:01:29Z</dcterms:modified>
</cp:coreProperties>
</file>