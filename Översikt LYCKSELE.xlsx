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</v>
      </c>
      <c r="C7" s="1" t="n">
        <v>46198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s="1" t="n">
        <v>45460</v>
      </c>
      <c r="C8" s="1" t="n">
        <v>46198</v>
      </c>
      <c r="D8" t="inlineStr">
        <is>
          <t>VÄSTERBOTTENS LÄN</t>
        </is>
      </c>
      <c r="E8" t="inlineStr">
        <is>
          <t>LYCKSELE</t>
        </is>
      </c>
      <c r="F8" t="inlineStr">
        <is>
          <t>SCA</t>
        </is>
      </c>
      <c r="G8" t="n">
        <v>3.8</v>
      </c>
      <c r="H8" t="n">
        <v>0</v>
      </c>
      <c r="I8" t="n">
        <v>1</v>
      </c>
      <c r="J8" t="n">
        <v>6</v>
      </c>
      <c r="K8" t="n">
        <v>5</v>
      </c>
      <c r="L8" t="n">
        <v>0</v>
      </c>
      <c r="M8" t="n">
        <v>0</v>
      </c>
      <c r="N8" t="n">
        <v>0</v>
      </c>
      <c r="O8" t="n">
        <v>11</v>
      </c>
      <c r="P8" t="n">
        <v>5</v>
      </c>
      <c r="Q8" t="n">
        <v>12</v>
      </c>
      <c r="R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8">
        <f>HYPERLINK("https://klasma.github.io/Logging_2481/artfynd/A 24811-2024 artfynd.xlsx", "A 24811-2024")</f>
        <v/>
      </c>
      <c r="T8">
        <f>HYPERLINK("https://klasma.github.io/Logging_2481/kartor/A 24811-2024 karta.png", "A 24811-2024")</f>
        <v/>
      </c>
      <c r="V8">
        <f>HYPERLINK("https://klasma.github.io/Logging_2481/klagomål/A 24811-2024 FSC-klagomål.docx", "A 24811-2024")</f>
        <v/>
      </c>
      <c r="W8">
        <f>HYPERLINK("https://klasma.github.io/Logging_2481/klagomålsmail/A 24811-2024 FSC-klagomål mail.docx", "A 24811-2024")</f>
        <v/>
      </c>
      <c r="X8">
        <f>HYPERLINK("https://klasma.github.io/Logging_2481/tillsyn/A 24811-2024 tillsynsbegäran.docx", "A 24811-2024")</f>
        <v/>
      </c>
      <c r="Y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s="1" t="n">
        <v>45611</v>
      </c>
      <c r="C9" s="1" t="n">
        <v>46198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46198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s="1" t="n">
        <v>46162</v>
      </c>
      <c r="C11" s="1" t="n">
        <v>46198</v>
      </c>
      <c r="D11" t="inlineStr">
        <is>
          <t>VÄSTERBOTTENS LÄN</t>
        </is>
      </c>
      <c r="E11" t="inlineStr">
        <is>
          <t>LYCKSELE</t>
        </is>
      </c>
      <c r="G11" t="n">
        <v>4.9</v>
      </c>
      <c r="H11" t="n">
        <v>0</v>
      </c>
      <c r="I11" t="n">
        <v>1</v>
      </c>
      <c r="J11" t="n">
        <v>5</v>
      </c>
      <c r="K11" t="n">
        <v>3</v>
      </c>
      <c r="L11" t="n">
        <v>0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Garnlav
Skeletocutis delicata
Ulltickeporing
Harticka
Lunglav
Oljetagging
Rosenticka
Ullticka
Stuplav</t>
        </is>
      </c>
      <c r="S11">
        <f>HYPERLINK("https://klasma.github.io/Logging_2481/artfynd/A 23232-2026 artfynd.xlsx", "A 23232-2026")</f>
        <v/>
      </c>
      <c r="T11">
        <f>HYPERLINK("https://klasma.github.io/Logging_2481/kartor/A 23232-2026 karta.png", "A 23232-2026")</f>
        <v/>
      </c>
      <c r="V11">
        <f>HYPERLINK("https://klasma.github.io/Logging_2481/klagomål/A 23232-2026 FSC-klagomål.docx", "A 23232-2026")</f>
        <v/>
      </c>
      <c r="W11">
        <f>HYPERLINK("https://klasma.github.io/Logging_2481/klagomålsmail/A 23232-2026 FSC-klagomål mail.docx", "A 23232-2026")</f>
        <v/>
      </c>
      <c r="X11">
        <f>HYPERLINK("https://klasma.github.io/Logging_2481/tillsyn/A 23232-2026 tillsynsbegäran.docx", "A 23232-2026")</f>
        <v/>
      </c>
      <c r="Y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s="1" t="n">
        <v>45152</v>
      </c>
      <c r="C12" s="1" t="n">
        <v>46198</v>
      </c>
      <c r="D12" t="inlineStr">
        <is>
          <t>VÄSTERBOTTENS LÄN</t>
        </is>
      </c>
      <c r="E12" t="inlineStr">
        <is>
          <t>LYCKSELE</t>
        </is>
      </c>
      <c r="G12" t="n">
        <v>6.8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Garnlav
Doftskinn
Gammelgransskål
Lunglav
Tretåig hackspett
Norrlandslav
Skinnlav
Tjäder
Revlummer</t>
        </is>
      </c>
      <c r="S12">
        <f>HYPERLINK("https://klasma.github.io/Logging_2481/artfynd/A 36650-2023 artfynd.xlsx", "A 36650-2023")</f>
        <v/>
      </c>
      <c r="T12">
        <f>HYPERLINK("https://klasma.github.io/Logging_2481/kartor/A 36650-2023 karta.png", "A 36650-2023")</f>
        <v/>
      </c>
      <c r="V12">
        <f>HYPERLINK("https://klasma.github.io/Logging_2481/klagomål/A 36650-2023 FSC-klagomål.docx", "A 36650-2023")</f>
        <v/>
      </c>
      <c r="W12">
        <f>HYPERLINK("https://klasma.github.io/Logging_2481/klagomålsmail/A 36650-2023 FSC-klagomål mail.docx", "A 36650-2023")</f>
        <v/>
      </c>
      <c r="X12">
        <f>HYPERLINK("https://klasma.github.io/Logging_2481/tillsyn/A 36650-2023 tillsynsbegäran.docx", "A 36650-2023")</f>
        <v/>
      </c>
      <c r="Y12">
        <f>HYPERLINK("https://klasma.github.io/Logging_2481/tillsynsmail/A 36650-2023 tillsynsbegäran mail.docx", "A 36650-2023")</f>
        <v/>
      </c>
      <c r="Z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s="1" t="n">
        <v>45845</v>
      </c>
      <c r="C13" s="1" t="n">
        <v>46198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Garnlav
Gammelgransskål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46198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28531-2026</t>
        </is>
      </c>
      <c r="B16" s="1" t="n">
        <v>46197</v>
      </c>
      <c r="C16" s="1" t="n">
        <v>46198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25.2</v>
      </c>
      <c r="H16" t="n">
        <v>5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Garnlav
Nordfladdermus
Violettgrå tagellav
Korallrot
Spindelblomster
Ögonpyrola
Utter
Vattenfladdermus</t>
        </is>
      </c>
      <c r="S16">
        <f>HYPERLINK("https://klasma.github.io/Logging_2481/artfynd/A 28531-2026 artfynd.xlsx", "A 28531-2026")</f>
        <v/>
      </c>
      <c r="T16">
        <f>HYPERLINK("https://klasma.github.io/Logging_2481/kartor/A 28531-2026 karta.png", "A 28531-2026")</f>
        <v/>
      </c>
      <c r="V16">
        <f>HYPERLINK("https://klasma.github.io/Logging_2481/klagomål/A 28531-2026 FSC-klagomål.docx", "A 28531-2026")</f>
        <v/>
      </c>
      <c r="W16">
        <f>HYPERLINK("https://klasma.github.io/Logging_2481/klagomålsmail/A 28531-2026 FSC-klagomål mail.docx", "A 28531-2026")</f>
        <v/>
      </c>
      <c r="X16">
        <f>HYPERLINK("https://klasma.github.io/Logging_2481/tillsyn/A 28531-2026 tillsynsbegäran.docx", "A 28531-2026")</f>
        <v/>
      </c>
      <c r="Y16">
        <f>HYPERLINK("https://klasma.github.io/Logging_2481/tillsynsmail/A 28531-2026 tillsynsbegäran mail.docx", "A 28531-2026")</f>
        <v/>
      </c>
    </row>
    <row r="17" ht="15" customHeight="1">
      <c r="A17" t="inlineStr">
        <is>
          <t>A 23221-2026</t>
        </is>
      </c>
      <c r="B17" s="1" t="n">
        <v>46162</v>
      </c>
      <c r="C17" s="1" t="n">
        <v>46198</v>
      </c>
      <c r="D17" t="inlineStr">
        <is>
          <t>VÄSTERBOTTENS LÄN</t>
        </is>
      </c>
      <c r="E17" t="inlineStr">
        <is>
          <t>LYCKSELE</t>
        </is>
      </c>
      <c r="G17" t="n">
        <v>7</v>
      </c>
      <c r="H17" t="n">
        <v>0</v>
      </c>
      <c r="I17" t="n">
        <v>1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Garnlav
Dropptaggsvamp
Gammelgransskål
Rosenticka
Skarp dropptaggsvamp
Ullticka
Vitgrynig nållav
Vedticka</t>
        </is>
      </c>
      <c r="S17">
        <f>HYPERLINK("https://klasma.github.io/Logging_2481/artfynd/A 23221-2026 artfynd.xlsx", "A 23221-2026")</f>
        <v/>
      </c>
      <c r="T17">
        <f>HYPERLINK("https://klasma.github.io/Logging_2481/kartor/A 23221-2026 karta.png", "A 23221-2026")</f>
        <v/>
      </c>
      <c r="V17">
        <f>HYPERLINK("https://klasma.github.io/Logging_2481/klagomål/A 23221-2026 FSC-klagomål.docx", "A 23221-2026")</f>
        <v/>
      </c>
      <c r="W17">
        <f>HYPERLINK("https://klasma.github.io/Logging_2481/klagomålsmail/A 23221-2026 FSC-klagomål mail.docx", "A 23221-2026")</f>
        <v/>
      </c>
      <c r="X17">
        <f>HYPERLINK("https://klasma.github.io/Logging_2481/tillsyn/A 23221-2026 tillsynsbegäran.docx", "A 23221-2026")</f>
        <v/>
      </c>
      <c r="Y17">
        <f>HYPERLINK("https://klasma.github.io/Logging_2481/tillsynsmail/A 23221-2026 tillsynsbegäran mail.docx", "A 23221-2026")</f>
        <v/>
      </c>
    </row>
    <row r="18" ht="15" customHeight="1">
      <c r="A18" t="inlineStr">
        <is>
          <t>A 9327-2022</t>
        </is>
      </c>
      <c r="B18" s="1" t="n">
        <v>44616</v>
      </c>
      <c r="C18" s="1" t="n">
        <v>46198</v>
      </c>
      <c r="D18" t="inlineStr">
        <is>
          <t>VÄSTERBOTTENS LÄN</t>
        </is>
      </c>
      <c r="E18" t="inlineStr">
        <is>
          <t>LYCKSELE</t>
        </is>
      </c>
      <c r="G18" t="n">
        <v>10.1</v>
      </c>
      <c r="H18" t="n">
        <v>4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Garnlav
Rynkskinn
Talltita
Tretåig hackspett
Ullticka
Spillkråka
Fläcknycklar</t>
        </is>
      </c>
      <c r="S18">
        <f>HYPERLINK("https://klasma.github.io/Logging_2481/artfynd/A 9327-2022 artfynd.xlsx", "A 9327-2022")</f>
        <v/>
      </c>
      <c r="T18">
        <f>HYPERLINK("https://klasma.github.io/Logging_2481/kartor/A 9327-2022 karta.png", "A 9327-2022")</f>
        <v/>
      </c>
      <c r="V18">
        <f>HYPERLINK("https://klasma.github.io/Logging_2481/klagomål/A 9327-2022 FSC-klagomål.docx", "A 9327-2022")</f>
        <v/>
      </c>
      <c r="W18">
        <f>HYPERLINK("https://klasma.github.io/Logging_2481/klagomålsmail/A 9327-2022 FSC-klagomål mail.docx", "A 9327-2022")</f>
        <v/>
      </c>
      <c r="X18">
        <f>HYPERLINK("https://klasma.github.io/Logging_2481/tillsyn/A 9327-2022 tillsynsbegäran.docx", "A 9327-2022")</f>
        <v/>
      </c>
      <c r="Y18">
        <f>HYPERLINK("https://klasma.github.io/Logging_2481/tillsynsmail/A 9327-2022 tillsynsbegäran mail.docx", "A 9327-2022")</f>
        <v/>
      </c>
      <c r="Z18">
        <f>HYPERLINK("https://klasma.github.io/Logging_2481/fåglar/A 9327-2022 prioriterade fågelarter.docx", "A 9327-2022")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46198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0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7</v>
      </c>
      <c r="R19" s="2" t="inlineStr">
        <is>
          <t>Garnlav
Gräddporing
Kolflarnlav
Motaggsvamp
Orange taggsvamp
Skarp dropptaggsvamp
Skrovellav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28479-2026</t>
        </is>
      </c>
      <c r="B21" s="1" t="n">
        <v>46197</v>
      </c>
      <c r="C21" s="1" t="n">
        <v>46198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20.4</v>
      </c>
      <c r="H21" t="n">
        <v>7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Björktrast
Spillkråka
Buskskvätta
Fiskgjuse
Orre
Svartvit flugsnappare
Trana</t>
        </is>
      </c>
      <c r="S21">
        <f>HYPERLINK("https://klasma.github.io/Logging_2481/artfynd/A 28479-2026 artfynd.xlsx", "A 28479-2026")</f>
        <v/>
      </c>
      <c r="T21">
        <f>HYPERLINK("https://klasma.github.io/Logging_2481/kartor/A 28479-2026 karta.png", "A 28479-2026")</f>
        <v/>
      </c>
      <c r="V21">
        <f>HYPERLINK("https://klasma.github.io/Logging_2481/klagomål/A 28479-2026 FSC-klagomål.docx", "A 28479-2026")</f>
        <v/>
      </c>
      <c r="W21">
        <f>HYPERLINK("https://klasma.github.io/Logging_2481/klagomålsmail/A 28479-2026 FSC-klagomål mail.docx", "A 28479-2026")</f>
        <v/>
      </c>
      <c r="X21">
        <f>HYPERLINK("https://klasma.github.io/Logging_2481/tillsyn/A 28479-2026 tillsynsbegäran.docx", "A 28479-2026")</f>
        <v/>
      </c>
      <c r="Y21">
        <f>HYPERLINK("https://klasma.github.io/Logging_2481/tillsynsmail/A 28479-2026 tillsynsbegäran mail.docx", "A 28479-2026")</f>
        <v/>
      </c>
      <c r="Z21">
        <f>HYPERLINK("https://klasma.github.io/Logging_2481/fåglar/A 28479-2026 prioriterade fågelarter.docx", "A 28479-2026")</f>
        <v/>
      </c>
    </row>
    <row r="22" ht="15" customHeight="1">
      <c r="A22" t="inlineStr">
        <is>
          <t>A 33340-2025</t>
        </is>
      </c>
      <c r="B22" s="1" t="n">
        <v>45841</v>
      </c>
      <c r="C22" s="1" t="n">
        <v>46198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Doftticka
Blå taggsvamp
Lunglav
Mörk kolflarnlav
Orange taggsvamp
Vaddporing
Vedflamlav</t>
        </is>
      </c>
      <c r="S22">
        <f>HYPERLINK("https://klasma.github.io/Logging_2481/artfynd/A 33340-2025 artfynd.xlsx", "A 33340-2025")</f>
        <v/>
      </c>
      <c r="T22">
        <f>HYPERLINK("https://klasma.github.io/Logging_2481/kartor/A 33340-2025 karta.png", "A 33340-2025")</f>
        <v/>
      </c>
      <c r="V22">
        <f>HYPERLINK("https://klasma.github.io/Logging_2481/klagomål/A 33340-2025 FSC-klagomål.docx", "A 33340-2025")</f>
        <v/>
      </c>
      <c r="W22">
        <f>HYPERLINK("https://klasma.github.io/Logging_2481/klagomålsmail/A 33340-2025 FSC-klagomål mail.docx", "A 33340-2025")</f>
        <v/>
      </c>
      <c r="X22">
        <f>HYPERLINK("https://klasma.github.io/Logging_2481/tillsyn/A 33340-2025 tillsynsbegäran.docx", "A 33340-2025")</f>
        <v/>
      </c>
      <c r="Y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46198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s="1" t="n">
        <v>44973</v>
      </c>
      <c r="C24" s="1" t="n">
        <v>46198</v>
      </c>
      <c r="D24" t="inlineStr">
        <is>
          <t>VÄSTERBOTTENS LÄN</t>
        </is>
      </c>
      <c r="E24" t="inlineStr">
        <is>
          <t>LYCKSELE</t>
        </is>
      </c>
      <c r="G24" t="n">
        <v>3.8</v>
      </c>
      <c r="H24" t="n">
        <v>5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Grönfink
Hussvala
Ladusvala
Vitfläckig guldvinge
Gråspett
Grönsiska</t>
        </is>
      </c>
      <c r="S24">
        <f>HYPERLINK("https://klasma.github.io/Logging_2481/artfynd/A 7818-2023 artfynd.xlsx", "A 7818-2023")</f>
        <v/>
      </c>
      <c r="T24">
        <f>HYPERLINK("https://klasma.github.io/Logging_2481/kartor/A 7818-2023 karta.png", "A 7818-2023")</f>
        <v/>
      </c>
      <c r="V24">
        <f>HYPERLINK("https://klasma.github.io/Logging_2481/klagomål/A 7818-2023 FSC-klagomål.docx", "A 7818-2023")</f>
        <v/>
      </c>
      <c r="W24">
        <f>HYPERLINK("https://klasma.github.io/Logging_2481/klagomålsmail/A 7818-2023 FSC-klagomål mail.docx", "A 7818-2023")</f>
        <v/>
      </c>
      <c r="X24">
        <f>HYPERLINK("https://klasma.github.io/Logging_2481/tillsyn/A 7818-2023 tillsynsbegäran.docx", "A 7818-2023")</f>
        <v/>
      </c>
      <c r="Y24">
        <f>HYPERLINK("https://klasma.github.io/Logging_2481/tillsynsmail/A 7818-2023 tillsynsbegäran mail.docx", "A 7818-2023")</f>
        <v/>
      </c>
      <c r="Z24">
        <f>HYPERLINK("https://klasma.github.io/Logging_2481/fåglar/A 7818-2023 prioriterade fågelarter.docx", "A 7818-2023")</f>
        <v/>
      </c>
    </row>
    <row r="25" ht="15" customHeight="1">
      <c r="A25" t="inlineStr">
        <is>
          <t>A 32758-2025</t>
        </is>
      </c>
      <c r="B25" s="1" t="n">
        <v>45839</v>
      </c>
      <c r="C25" s="1" t="n">
        <v>46198</v>
      </c>
      <c r="D25" t="inlineStr">
        <is>
          <t>VÄSTERBOTTENS LÄN</t>
        </is>
      </c>
      <c r="E25" t="inlineStr">
        <is>
          <t>LYCKSELE</t>
        </is>
      </c>
      <c r="G25" t="n">
        <v>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Gammelgransskål
Spindelblomster
Spillkråka
Fläcknycklar
Revlummer</t>
        </is>
      </c>
      <c r="S25">
        <f>HYPERLINK("https://klasma.github.io/Logging_2481/artfynd/A 32758-2025 artfynd.xlsx", "A 32758-2025")</f>
        <v/>
      </c>
      <c r="T25">
        <f>HYPERLINK("https://klasma.github.io/Logging_2481/kartor/A 32758-2025 karta.png", "A 32758-2025")</f>
        <v/>
      </c>
      <c r="V25">
        <f>HYPERLINK("https://klasma.github.io/Logging_2481/klagomål/A 32758-2025 FSC-klagomål.docx", "A 32758-2025")</f>
        <v/>
      </c>
      <c r="W25">
        <f>HYPERLINK("https://klasma.github.io/Logging_2481/klagomålsmail/A 32758-2025 FSC-klagomål mail.docx", "A 32758-2025")</f>
        <v/>
      </c>
      <c r="X25">
        <f>HYPERLINK("https://klasma.github.io/Logging_2481/tillsyn/A 32758-2025 tillsynsbegäran.docx", "A 32758-2025")</f>
        <v/>
      </c>
      <c r="Y25">
        <f>HYPERLINK("https://klasma.github.io/Logging_2481/tillsynsmail/A 32758-2025 tillsynsbegäran mail.docx", "A 32758-2025")</f>
        <v/>
      </c>
      <c r="Z25">
        <f>HYPERLINK("https://klasma.github.io/Logging_2481/fåglar/A 32758-2025 prioriterade fågelarter.docx", "A 32758-2025")</f>
        <v/>
      </c>
    </row>
    <row r="26" ht="15" customHeight="1">
      <c r="A26" t="inlineStr">
        <is>
          <t>A 14946-2026</t>
        </is>
      </c>
      <c r="B26" s="1" t="n">
        <v>46104</v>
      </c>
      <c r="C26" s="1" t="n">
        <v>46198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Garnlav
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35215-2025</t>
        </is>
      </c>
      <c r="B27" s="1" t="n">
        <v>45853</v>
      </c>
      <c r="C27" s="1" t="n">
        <v>46198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Dropptaggsvamp
Gammelgransskål
Kolflarnlav
Grönpyrola
Stuplav
Spillkråka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  <c r="Z27">
        <f>HYPERLINK("https://klasma.github.io/Logging_2481/fåglar/A 35215-2025 prioriterade fågelarter.docx", "A 35215-2025")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46198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Skrovlig taggsvamp
Dropptaggsvamp
Dvärgbägarlav
Talltaggsvamp
Vaddporing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46198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46198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Garnlav
Blå taggsvamp
Gammelgransskål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46198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39528-2025</t>
        </is>
      </c>
      <c r="B32" s="1" t="n">
        <v>45890</v>
      </c>
      <c r="C32" s="1" t="n">
        <v>46198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Dropptaggsvamp
Kolflarnlav
Lunglav
Mörk kolflarnlav
Reliktbock</t>
        </is>
      </c>
      <c r="S32">
        <f>HYPERLINK("https://klasma.github.io/Logging_2481/artfynd/A 39528-2025 artfynd.xlsx", "A 39528-2025")</f>
        <v/>
      </c>
      <c r="T32">
        <f>HYPERLINK("https://klasma.github.io/Logging_2481/kartor/A 39528-2025 karta.png", "A 39528-2025")</f>
        <v/>
      </c>
      <c r="V32">
        <f>HYPERLINK("https://klasma.github.io/Logging_2481/klagomål/A 39528-2025 FSC-klagomål.docx", "A 39528-2025")</f>
        <v/>
      </c>
      <c r="W32">
        <f>HYPERLINK("https://klasma.github.io/Logging_2481/klagomålsmail/A 39528-2025 FSC-klagomål mail.docx", "A 39528-2025")</f>
        <v/>
      </c>
      <c r="X32">
        <f>HYPERLINK("https://klasma.github.io/Logging_2481/tillsyn/A 39528-2025 tillsynsbegäran.docx", "A 39528-2025")</f>
        <v/>
      </c>
      <c r="Y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s="1" t="n">
        <v>45985</v>
      </c>
      <c r="C33" s="1" t="n">
        <v>46198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Blå taggsvamp
Dropptaggsvamp
Kolflarnlav
Mörk kolflarnlav
Orange 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33589-2024</t>
        </is>
      </c>
      <c r="B34" s="1" t="n">
        <v>45520</v>
      </c>
      <c r="C34" s="1" t="n">
        <v>46198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3.5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Lavskrika
Ullticka
Spillkråka
Revlummer</t>
        </is>
      </c>
      <c r="S34">
        <f>HYPERLINK("https://klasma.github.io/Logging_2481/artfynd/A 33589-2024 artfynd.xlsx", "A 33589-2024")</f>
        <v/>
      </c>
      <c r="T34">
        <f>HYPERLINK("https://klasma.github.io/Logging_2481/kartor/A 33589-2024 karta.png", "A 33589-2024")</f>
        <v/>
      </c>
      <c r="V34">
        <f>HYPERLINK("https://klasma.github.io/Logging_2481/klagomål/A 33589-2024 FSC-klagomål.docx", "A 33589-2024")</f>
        <v/>
      </c>
      <c r="W34">
        <f>HYPERLINK("https://klasma.github.io/Logging_2481/klagomålsmail/A 33589-2024 FSC-klagomål mail.docx", "A 33589-2024")</f>
        <v/>
      </c>
      <c r="X34">
        <f>HYPERLINK("https://klasma.github.io/Logging_2481/tillsyn/A 33589-2024 tillsynsbegäran.docx", "A 33589-2024")</f>
        <v/>
      </c>
      <c r="Y34">
        <f>HYPERLINK("https://klasma.github.io/Logging_2481/tillsynsmail/A 33589-2024 tillsynsbegäran mail.docx", "A 33589-2024")</f>
        <v/>
      </c>
      <c r="Z34">
        <f>HYPERLINK("https://klasma.github.io/Logging_2481/fåglar/A 33589-2024 prioriterade fågelarter.docx", "A 33589-2024")</f>
        <v/>
      </c>
    </row>
    <row r="35" ht="15" customHeight="1">
      <c r="A35" t="inlineStr">
        <is>
          <t>A 54905-2024</t>
        </is>
      </c>
      <c r="B35" s="1" t="n">
        <v>45618</v>
      </c>
      <c r="C35" s="1" t="n">
        <v>46198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Fläckporing
Garnlav
Dropptaggsvamp
Kolflarnlav
Ullticka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46198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43680-2025</t>
        </is>
      </c>
      <c r="B37" s="1" t="n">
        <v>45912</v>
      </c>
      <c r="C37" s="1" t="n">
        <v>46198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5.3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Dropptaggsvamp
Kolflarnlav
Plattlummer</t>
        </is>
      </c>
      <c r="S37">
        <f>HYPERLINK("https://klasma.github.io/Logging_2481/artfynd/A 43680-2025 artfynd.xlsx", "A 43680-2025")</f>
        <v/>
      </c>
      <c r="T37">
        <f>HYPERLINK("https://klasma.github.io/Logging_2481/kartor/A 43680-2025 karta.png", "A 43680-2025")</f>
        <v/>
      </c>
      <c r="V37">
        <f>HYPERLINK("https://klasma.github.io/Logging_2481/klagomål/A 43680-2025 FSC-klagomål.docx", "A 43680-2025")</f>
        <v/>
      </c>
      <c r="W37">
        <f>HYPERLINK("https://klasma.github.io/Logging_2481/klagomålsmail/A 43680-2025 FSC-klagomål mail.docx", "A 43680-2025")</f>
        <v/>
      </c>
      <c r="X37">
        <f>HYPERLINK("https://klasma.github.io/Logging_2481/tillsyn/A 43680-2025 tillsynsbegäran.docx", "A 43680-2025")</f>
        <v/>
      </c>
      <c r="Y37">
        <f>HYPERLINK("https://klasma.github.io/Logging_2481/tillsynsmail/A 43680-2025 tillsynsbegäran mail.docx", "A 43680-2025")</f>
        <v/>
      </c>
    </row>
    <row r="38" ht="15" customHeight="1">
      <c r="A38" t="inlineStr">
        <is>
          <t>A 73357-2021</t>
        </is>
      </c>
      <c r="B38" s="1" t="n">
        <v>44551</v>
      </c>
      <c r="C38" s="1" t="n">
        <v>46198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Gammelgransskål
Tretåig hackspett
Spindelblomster</t>
        </is>
      </c>
      <c r="S38">
        <f>HYPERLINK("https://klasma.github.io/Logging_2481/artfynd/A 73357-2021 artfynd.xlsx", "A 73357-2021")</f>
        <v/>
      </c>
      <c r="T38">
        <f>HYPERLINK("https://klasma.github.io/Logging_2481/kartor/A 73357-2021 karta.png", "A 73357-2021")</f>
        <v/>
      </c>
      <c r="V38">
        <f>HYPERLINK("https://klasma.github.io/Logging_2481/klagomål/A 73357-2021 FSC-klagomål.docx", "A 73357-2021")</f>
        <v/>
      </c>
      <c r="W38">
        <f>HYPERLINK("https://klasma.github.io/Logging_2481/klagomålsmail/A 73357-2021 FSC-klagomål mail.docx", "A 73357-2021")</f>
        <v/>
      </c>
      <c r="X38">
        <f>HYPERLINK("https://klasma.github.io/Logging_2481/tillsyn/A 73357-2021 tillsynsbegäran.docx", "A 73357-2021")</f>
        <v/>
      </c>
      <c r="Y38">
        <f>HYPERLINK("https://klasma.github.io/Logging_2481/tillsynsmail/A 73357-2021 tillsynsbegäran mail.docx", "A 73357-2021")</f>
        <v/>
      </c>
      <c r="Z38">
        <f>HYPERLINK("https://klasma.github.io/Logging_2481/fåglar/A 73357-2021 prioriterade fågelarter.docx", "A 73357-2021")</f>
        <v/>
      </c>
    </row>
    <row r="39" ht="15" customHeight="1">
      <c r="A39" t="inlineStr">
        <is>
          <t>A 49802-2025</t>
        </is>
      </c>
      <c r="B39" s="1" t="n">
        <v>45940</v>
      </c>
      <c r="C39" s="1" t="n">
        <v>46198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55509-2025</t>
        </is>
      </c>
      <c r="B40" s="1" t="n">
        <v>45971</v>
      </c>
      <c r="C40" s="1" t="n">
        <v>46198</v>
      </c>
      <c r="D40" t="inlineStr">
        <is>
          <t>VÄSTERBOTTENS LÄN</t>
        </is>
      </c>
      <c r="E40" t="inlineStr">
        <is>
          <t>LYCKSELE</t>
        </is>
      </c>
      <c r="G40" t="n">
        <v>12.2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Doftskinn
Lunglav
Stiftgelélav</t>
        </is>
      </c>
      <c r="S40">
        <f>HYPERLINK("https://klasma.github.io/Logging_2481/artfynd/A 55509-2025 artfynd.xlsx", "A 55509-2025")</f>
        <v/>
      </c>
      <c r="T40">
        <f>HYPERLINK("https://klasma.github.io/Logging_2481/kartor/A 55509-2025 karta.png", "A 55509-2025")</f>
        <v/>
      </c>
      <c r="V40">
        <f>HYPERLINK("https://klasma.github.io/Logging_2481/klagomål/A 55509-2025 FSC-klagomål.docx", "A 55509-2025")</f>
        <v/>
      </c>
      <c r="W40">
        <f>HYPERLINK("https://klasma.github.io/Logging_2481/klagomålsmail/A 55509-2025 FSC-klagomål mail.docx", "A 55509-2025")</f>
        <v/>
      </c>
      <c r="X40">
        <f>HYPERLINK("https://klasma.github.io/Logging_2481/tillsyn/A 55509-2025 tillsynsbegäran.docx", "A 55509-2025")</f>
        <v/>
      </c>
      <c r="Y40">
        <f>HYPERLINK("https://klasma.github.io/Logging_2481/tillsynsmail/A 55509-2025 tillsynsbegäran mail.docx", "A 55509-2025")</f>
        <v/>
      </c>
    </row>
    <row r="41" ht="15" customHeight="1">
      <c r="A41" t="inlineStr">
        <is>
          <t>A 53094-2024</t>
        </is>
      </c>
      <c r="B41" s="1" t="n">
        <v>45611</v>
      </c>
      <c r="C41" s="1" t="n">
        <v>46198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19492-2025</t>
        </is>
      </c>
      <c r="B42" s="1" t="n">
        <v>45770</v>
      </c>
      <c r="C42" s="1" t="n">
        <v>46198</v>
      </c>
      <c r="D42" t="inlineStr">
        <is>
          <t>VÄSTERBOTTENS LÄN</t>
        </is>
      </c>
      <c r="E42" t="inlineStr">
        <is>
          <t>LYCKSELE</t>
        </is>
      </c>
      <c r="F42" t="inlineStr">
        <is>
          <t>SCA</t>
        </is>
      </c>
      <c r="G42" t="n">
        <v>14.2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Lunglav
Skrovellav
Stuplav</t>
        </is>
      </c>
      <c r="S42">
        <f>HYPERLINK("https://klasma.github.io/Logging_2481/artfynd/A 19492-2025 artfynd.xlsx", "A 19492-2025")</f>
        <v/>
      </c>
      <c r="T42">
        <f>HYPERLINK("https://klasma.github.io/Logging_2481/kartor/A 19492-2025 karta.png", "A 19492-2025")</f>
        <v/>
      </c>
      <c r="V42">
        <f>HYPERLINK("https://klasma.github.io/Logging_2481/klagomål/A 19492-2025 FSC-klagomål.docx", "A 19492-2025")</f>
        <v/>
      </c>
      <c r="W42">
        <f>HYPERLINK("https://klasma.github.io/Logging_2481/klagomålsmail/A 19492-2025 FSC-klagomål mail.docx", "A 19492-2025")</f>
        <v/>
      </c>
      <c r="X42">
        <f>HYPERLINK("https://klasma.github.io/Logging_2481/tillsyn/A 19492-2025 tillsynsbegäran.docx", "A 19492-2025")</f>
        <v/>
      </c>
      <c r="Y42">
        <f>HYPERLINK("https://klasma.github.io/Logging_2481/tillsynsmail/A 19492-2025 tillsynsbegäran mail.docx", "A 19492-2025")</f>
        <v/>
      </c>
    </row>
    <row r="43" ht="15" customHeight="1">
      <c r="A43" t="inlineStr">
        <is>
          <t>A 58534-2024</t>
        </is>
      </c>
      <c r="B43" s="1" t="n">
        <v>45635</v>
      </c>
      <c r="C43" s="1" t="n">
        <v>46198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4.1</v>
      </c>
      <c r="H43" t="n">
        <v>3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Garnlav
Spindelblomster
Fläcknycklar
Revlummer</t>
        </is>
      </c>
      <c r="S43">
        <f>HYPERLINK("https://klasma.github.io/Logging_2481/artfynd/A 58534-2024 artfynd.xlsx", "A 58534-2024")</f>
        <v/>
      </c>
      <c r="T43">
        <f>HYPERLINK("https://klasma.github.io/Logging_2481/kartor/A 58534-2024 karta.png", "A 58534-2024")</f>
        <v/>
      </c>
      <c r="V43">
        <f>HYPERLINK("https://klasma.github.io/Logging_2481/klagomål/A 58534-2024 FSC-klagomål.docx", "A 58534-2024")</f>
        <v/>
      </c>
      <c r="W43">
        <f>HYPERLINK("https://klasma.github.io/Logging_2481/klagomålsmail/A 58534-2024 FSC-klagomål mail.docx", "A 58534-2024")</f>
        <v/>
      </c>
      <c r="X43">
        <f>HYPERLINK("https://klasma.github.io/Logging_2481/tillsyn/A 58534-2024 tillsynsbegäran.docx", "A 58534-2024")</f>
        <v/>
      </c>
      <c r="Y43">
        <f>HYPERLINK("https://klasma.github.io/Logging_2481/tillsynsmail/A 58534-2024 tillsynsbegäran mail.docx", "A 58534-2024")</f>
        <v/>
      </c>
    </row>
    <row r="44" ht="15" customHeight="1">
      <c r="A44" t="inlineStr">
        <is>
          <t>A 27068-2025</t>
        </is>
      </c>
      <c r="B44" s="1" t="n">
        <v>45811</v>
      </c>
      <c r="C44" s="1" t="n">
        <v>46198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Dropptaggsvamp
Kolflarnlav
Motaggsvamp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70179-2021</t>
        </is>
      </c>
      <c r="B45" s="1" t="n">
        <v>44533</v>
      </c>
      <c r="C45" s="1" t="n">
        <v>46198</v>
      </c>
      <c r="D45" t="inlineStr">
        <is>
          <t>VÄSTERBOTTENS LÄN</t>
        </is>
      </c>
      <c r="E45" t="inlineStr">
        <is>
          <t>LYCKSELE</t>
        </is>
      </c>
      <c r="G45" t="n">
        <v>5.2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Tretåig hackspett
Vedflamlav</t>
        </is>
      </c>
      <c r="S45">
        <f>HYPERLINK("https://klasma.github.io/Logging_2481/artfynd/A 70179-2021 artfynd.xlsx", "A 70179-2021")</f>
        <v/>
      </c>
      <c r="T45">
        <f>HYPERLINK("https://klasma.github.io/Logging_2481/kartor/A 70179-2021 karta.png", "A 70179-2021")</f>
        <v/>
      </c>
      <c r="V45">
        <f>HYPERLINK("https://klasma.github.io/Logging_2481/klagomål/A 70179-2021 FSC-klagomål.docx", "A 70179-2021")</f>
        <v/>
      </c>
      <c r="W45">
        <f>HYPERLINK("https://klasma.github.io/Logging_2481/klagomålsmail/A 70179-2021 FSC-klagomål mail.docx", "A 70179-2021")</f>
        <v/>
      </c>
      <c r="X45">
        <f>HYPERLINK("https://klasma.github.io/Logging_2481/tillsyn/A 70179-2021 tillsynsbegäran.docx", "A 70179-2021")</f>
        <v/>
      </c>
      <c r="Y45">
        <f>HYPERLINK("https://klasma.github.io/Logging_2481/tillsynsmail/A 70179-2021 tillsynsbegäran mail.docx", "A 70179-2021")</f>
        <v/>
      </c>
      <c r="Z45">
        <f>HYPERLINK("https://klasma.github.io/Logging_2481/fåglar/A 70179-2021 prioriterade fågelarter.docx", "A 70179-2021")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46198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Dropptaggsvamp
Fjällig taggsvamp s.str.
Vaddporing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46198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Jättemusseron
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74179-2021</t>
        </is>
      </c>
      <c r="B48" s="1" t="n">
        <v>44558</v>
      </c>
      <c r="C48" s="1" t="n">
        <v>46198</v>
      </c>
      <c r="D48" t="inlineStr">
        <is>
          <t>VÄSTERBOTTENS LÄN</t>
        </is>
      </c>
      <c r="E48" t="inlineStr">
        <is>
          <t>LYCKSELE</t>
        </is>
      </c>
      <c r="G48" t="n">
        <v>3.1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Violettgrå tagellav
Spillkråka</t>
        </is>
      </c>
      <c r="S48">
        <f>HYPERLINK("https://klasma.github.io/Logging_2481/artfynd/A 74179-2021 artfynd.xlsx", "A 74179-2021")</f>
        <v/>
      </c>
      <c r="T48">
        <f>HYPERLINK("https://klasma.github.io/Logging_2481/kartor/A 74179-2021 karta.png", "A 74179-2021")</f>
        <v/>
      </c>
      <c r="V48">
        <f>HYPERLINK("https://klasma.github.io/Logging_2481/klagomål/A 74179-2021 FSC-klagomål.docx", "A 74179-2021")</f>
        <v/>
      </c>
      <c r="W48">
        <f>HYPERLINK("https://klasma.github.io/Logging_2481/klagomålsmail/A 74179-2021 FSC-klagomål mail.docx", "A 74179-2021")</f>
        <v/>
      </c>
      <c r="X48">
        <f>HYPERLINK("https://klasma.github.io/Logging_2481/tillsyn/A 74179-2021 tillsynsbegäran.docx", "A 74179-2021")</f>
        <v/>
      </c>
      <c r="Y48">
        <f>HYPERLINK("https://klasma.github.io/Logging_2481/tillsynsmail/A 74179-2021 tillsynsbegäran mail.docx", "A 74179-2021")</f>
        <v/>
      </c>
      <c r="Z48">
        <f>HYPERLINK("https://klasma.github.io/Logging_2481/fåglar/A 74179-2021 prioriterade fågelarter.docx", "A 74179-2021")</f>
        <v/>
      </c>
    </row>
    <row r="49" ht="15" customHeight="1">
      <c r="A49" t="inlineStr">
        <is>
          <t>A 58624-2022</t>
        </is>
      </c>
      <c r="B49" s="1" t="n">
        <v>44902</v>
      </c>
      <c r="C49" s="1" t="n">
        <v>46198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Garnlav
Blanksvart spiklav
Vedflamlav</t>
        </is>
      </c>
      <c r="S49">
        <f>HYPERLINK("https://klasma.github.io/Logging_2481/artfynd/A 58624-2022 artfynd.xlsx", "A 58624-2022")</f>
        <v/>
      </c>
      <c r="T49">
        <f>HYPERLINK("https://klasma.github.io/Logging_2481/kartor/A 58624-2022 karta.png", "A 58624-2022")</f>
        <v/>
      </c>
      <c r="V49">
        <f>HYPERLINK("https://klasma.github.io/Logging_2481/klagomål/A 58624-2022 FSC-klagomål.docx", "A 58624-2022")</f>
        <v/>
      </c>
      <c r="W49">
        <f>HYPERLINK("https://klasma.github.io/Logging_2481/klagomålsmail/A 58624-2022 FSC-klagomål mail.docx", "A 58624-2022")</f>
        <v/>
      </c>
      <c r="X49">
        <f>HYPERLINK("https://klasma.github.io/Logging_2481/tillsyn/A 58624-2022 tillsynsbegäran.docx", "A 58624-2022")</f>
        <v/>
      </c>
      <c r="Y49">
        <f>HYPERLINK("https://klasma.github.io/Logging_2481/tillsynsmail/A 58624-2022 tillsynsbegäran mail.docx", "A 58624-2022")</f>
        <v/>
      </c>
    </row>
    <row r="50" ht="15" customHeight="1">
      <c r="A50" t="inlineStr">
        <is>
          <t>A 54802-2024</t>
        </is>
      </c>
      <c r="B50" s="1" t="n">
        <v>45618</v>
      </c>
      <c r="C50" s="1" t="n">
        <v>46198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46198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</v>
      </c>
      <c r="C52" s="1" t="n">
        <v>46198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Dropptaggsvamp
Kolflarnlav
Motaggsvamp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38916-2025</t>
        </is>
      </c>
      <c r="B53" s="1" t="n">
        <v>45887</v>
      </c>
      <c r="C53" s="1" t="n">
        <v>46198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53115-2024</t>
        </is>
      </c>
      <c r="B54" s="1" t="n">
        <v>45611</v>
      </c>
      <c r="C54" s="1" t="n">
        <v>46198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43726-2025</t>
        </is>
      </c>
      <c r="B55" s="1" t="n">
        <v>45912</v>
      </c>
      <c r="C55" s="1" t="n">
        <v>46198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26500-2026</t>
        </is>
      </c>
      <c r="B56" s="1" t="n">
        <v>46183</v>
      </c>
      <c r="C56" s="1" t="n">
        <v>46198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7.3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Tjäder</t>
        </is>
      </c>
      <c r="S56">
        <f>HYPERLINK("https://klasma.github.io/Logging_2481/artfynd/A 26500-2026 artfynd.xlsx", "A 26500-2026")</f>
        <v/>
      </c>
      <c r="T56">
        <f>HYPERLINK("https://klasma.github.io/Logging_2481/kartor/A 26500-2026 karta.png", "A 26500-2026")</f>
        <v/>
      </c>
      <c r="V56">
        <f>HYPERLINK("https://klasma.github.io/Logging_2481/klagomål/A 26500-2026 FSC-klagomål.docx", "A 26500-2026")</f>
        <v/>
      </c>
      <c r="W56">
        <f>HYPERLINK("https://klasma.github.io/Logging_2481/klagomålsmail/A 26500-2026 FSC-klagomål mail.docx", "A 26500-2026")</f>
        <v/>
      </c>
      <c r="X56">
        <f>HYPERLINK("https://klasma.github.io/Logging_2481/tillsyn/A 26500-2026 tillsynsbegäran.docx", "A 26500-2026")</f>
        <v/>
      </c>
      <c r="Y56">
        <f>HYPERLINK("https://klasma.github.io/Logging_2481/tillsynsmail/A 26500-2026 tillsynsbegäran mail.docx", "A 26500-2026")</f>
        <v/>
      </c>
      <c r="Z56">
        <f>HYPERLINK("https://klasma.github.io/Logging_2481/fåglar/A 26500-2026 prioriterade fågelarter.docx", "A 26500-2026")</f>
        <v/>
      </c>
    </row>
    <row r="57" ht="15" customHeight="1">
      <c r="A57" t="inlineStr">
        <is>
          <t>A 57179-2025</t>
        </is>
      </c>
      <c r="B57" s="1" t="n">
        <v>45979</v>
      </c>
      <c r="C57" s="1" t="n">
        <v>46198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0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Garnlav
Strutbräken
Stuplav</t>
        </is>
      </c>
      <c r="S57">
        <f>HYPERLINK("https://klasma.github.io/Logging_2481/artfynd/A 57179-2025 artfynd.xlsx", "A 57179-2025")</f>
        <v/>
      </c>
      <c r="T57">
        <f>HYPERLINK("https://klasma.github.io/Logging_2481/kartor/A 57179-2025 karta.png", "A 57179-2025")</f>
        <v/>
      </c>
      <c r="V57">
        <f>HYPERLINK("https://klasma.github.io/Logging_2481/klagomål/A 57179-2025 FSC-klagomål.docx", "A 57179-2025")</f>
        <v/>
      </c>
      <c r="W57">
        <f>HYPERLINK("https://klasma.github.io/Logging_2481/klagomålsmail/A 57179-2025 FSC-klagomål mail.docx", "A 57179-2025")</f>
        <v/>
      </c>
      <c r="X57">
        <f>HYPERLINK("https://klasma.github.io/Logging_2481/tillsyn/A 57179-2025 tillsynsbegäran.docx", "A 57179-2025")</f>
        <v/>
      </c>
      <c r="Y57">
        <f>HYPERLINK("https://klasma.github.io/Logging_2481/tillsynsmail/A 57179-2025 tillsynsbegäran mail.docx", "A 57179-2025")</f>
        <v/>
      </c>
    </row>
    <row r="58" ht="15" customHeight="1">
      <c r="A58" t="inlineStr">
        <is>
          <t>A 6684-2023</t>
        </is>
      </c>
      <c r="B58" s="1" t="n">
        <v>44963</v>
      </c>
      <c r="C58" s="1" t="n">
        <v>46198</v>
      </c>
      <c r="D58" t="inlineStr">
        <is>
          <t>VÄSTERBOTTENS LÄN</t>
        </is>
      </c>
      <c r="E58" t="inlineStr">
        <is>
          <t>LYCKSELE</t>
        </is>
      </c>
      <c r="G58" t="n">
        <v>2.7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Stuplav</t>
        </is>
      </c>
      <c r="S58">
        <f>HYPERLINK("https://klasma.github.io/Logging_2481/artfynd/A 6684-2023 artfynd.xlsx", "A 6684-2023")</f>
        <v/>
      </c>
      <c r="T58">
        <f>HYPERLINK("https://klasma.github.io/Logging_2481/kartor/A 6684-2023 karta.png", "A 6684-2023")</f>
        <v/>
      </c>
      <c r="V58">
        <f>HYPERLINK("https://klasma.github.io/Logging_2481/klagomål/A 6684-2023 FSC-klagomål.docx", "A 6684-2023")</f>
        <v/>
      </c>
      <c r="W58">
        <f>HYPERLINK("https://klasma.github.io/Logging_2481/klagomålsmail/A 6684-2023 FSC-klagomål mail.docx", "A 6684-2023")</f>
        <v/>
      </c>
      <c r="X58">
        <f>HYPERLINK("https://klasma.github.io/Logging_2481/tillsyn/A 6684-2023 tillsynsbegäran.docx", "A 6684-2023")</f>
        <v/>
      </c>
      <c r="Y58">
        <f>HYPERLINK("https://klasma.github.io/Logging_2481/tillsynsmail/A 6684-2023 tillsynsbegäran mail.docx", "A 6684-2023")</f>
        <v/>
      </c>
    </row>
    <row r="59" ht="15" customHeight="1">
      <c r="A59" t="inlineStr">
        <is>
          <t>A 21905-2026</t>
        </is>
      </c>
      <c r="B59" s="1" t="n">
        <v>46150</v>
      </c>
      <c r="C59" s="1" t="n">
        <v>46198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Lunglav</t>
        </is>
      </c>
      <c r="S59">
        <f>HYPERLINK("https://klasma.github.io/Logging_2481/artfynd/A 21905-2026 artfynd.xlsx", "A 21905-2026")</f>
        <v/>
      </c>
      <c r="T59">
        <f>HYPERLINK("https://klasma.github.io/Logging_2481/kartor/A 21905-2026 karta.png", "A 21905-2026")</f>
        <v/>
      </c>
      <c r="V59">
        <f>HYPERLINK("https://klasma.github.io/Logging_2481/klagomål/A 21905-2026 FSC-klagomål.docx", "A 21905-2026")</f>
        <v/>
      </c>
      <c r="W59">
        <f>HYPERLINK("https://klasma.github.io/Logging_2481/klagomålsmail/A 21905-2026 FSC-klagomål mail.docx", "A 21905-2026")</f>
        <v/>
      </c>
      <c r="X59">
        <f>HYPERLINK("https://klasma.github.io/Logging_2481/tillsyn/A 21905-2026 tillsynsbegäran.docx", "A 21905-2026")</f>
        <v/>
      </c>
      <c r="Y59">
        <f>HYPERLINK("https://klasma.github.io/Logging_2481/tillsynsmail/A 21905-2026 tillsynsbegäran mail.docx", "A 21905-2026")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46198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46198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56566-2025</t>
        </is>
      </c>
      <c r="B62" s="1" t="n">
        <v>45974</v>
      </c>
      <c r="C62" s="1" t="n">
        <v>46198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Källmossa
Lopplummer (aggregat)</t>
        </is>
      </c>
      <c r="S62">
        <f>HYPERLINK("https://klasma.github.io/Logging_2481/artfynd/A 56566-2025 artfynd.xlsx", "A 56566-2025")</f>
        <v/>
      </c>
      <c r="T62">
        <f>HYPERLINK("https://klasma.github.io/Logging_2481/kartor/A 56566-2025 karta.png", "A 56566-2025")</f>
        <v/>
      </c>
      <c r="U62">
        <f>HYPERLINK("https://klasma.github.io/Logging_2481/knärot/A 56566-2025 karta knärot.png", "A 56566-2025")</f>
        <v/>
      </c>
      <c r="V62">
        <f>HYPERLINK("https://klasma.github.io/Logging_2481/klagomål/A 56566-2025 FSC-klagomål.docx", "A 56566-2025")</f>
        <v/>
      </c>
      <c r="W62">
        <f>HYPERLINK("https://klasma.github.io/Logging_2481/klagomålsmail/A 56566-2025 FSC-klagomål mail.docx", "A 56566-2025")</f>
        <v/>
      </c>
      <c r="X62">
        <f>HYPERLINK("https://klasma.github.io/Logging_2481/tillsyn/A 56566-2025 tillsynsbegäran.docx", "A 56566-2025")</f>
        <v/>
      </c>
      <c r="Y62">
        <f>HYPERLINK("https://klasma.github.io/Logging_2481/tillsynsmail/A 56566-2025 tillsynsbegäran mail.docx", "A 56566-2025")</f>
        <v/>
      </c>
    </row>
    <row r="63" ht="15" customHeight="1">
      <c r="A63" t="inlineStr">
        <is>
          <t>A 60422-2024</t>
        </is>
      </c>
      <c r="B63" s="1" t="n">
        <v>45643</v>
      </c>
      <c r="C63" s="1" t="n">
        <v>46198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Dropptaggsvamp
Kolflarnlav
Motaggsvamp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52891-2024</t>
        </is>
      </c>
      <c r="B64" s="1" t="n">
        <v>45610</v>
      </c>
      <c r="C64" s="1" t="n">
        <v>46198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Garnlav
Lunglav
Bårdlav</t>
        </is>
      </c>
      <c r="S64">
        <f>HYPERLINK("https://klasma.github.io/Logging_2481/artfynd/A 52891-2024 artfynd.xlsx", "A 52891-2024")</f>
        <v/>
      </c>
      <c r="T64">
        <f>HYPERLINK("https://klasma.github.io/Logging_2481/kartor/A 52891-2024 karta.png", "A 52891-2024")</f>
        <v/>
      </c>
      <c r="V64">
        <f>HYPERLINK("https://klasma.github.io/Logging_2481/klagomål/A 52891-2024 FSC-klagomål.docx", "A 52891-2024")</f>
        <v/>
      </c>
      <c r="W64">
        <f>HYPERLINK("https://klasma.github.io/Logging_2481/klagomålsmail/A 52891-2024 FSC-klagomål mail.docx", "A 52891-2024")</f>
        <v/>
      </c>
      <c r="X64">
        <f>HYPERLINK("https://klasma.github.io/Logging_2481/tillsyn/A 52891-2024 tillsynsbegäran.docx", "A 52891-2024")</f>
        <v/>
      </c>
      <c r="Y64">
        <f>HYPERLINK("https://klasma.github.io/Logging_2481/tillsynsmail/A 52891-2024 tillsynsbegäran mail.docx", "A 52891-2024")</f>
        <v/>
      </c>
    </row>
    <row r="65" ht="15" customHeight="1">
      <c r="A65" t="inlineStr">
        <is>
          <t>A 57357-2024</t>
        </is>
      </c>
      <c r="B65" s="1" t="n">
        <v>45629</v>
      </c>
      <c r="C65" s="1" t="n">
        <v>46198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Garnlav
Doftskinn
Gammelgransskål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22123-2025</t>
        </is>
      </c>
      <c r="B66" s="1" t="n">
        <v>45785</v>
      </c>
      <c r="C66" s="1" t="n">
        <v>46198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11.2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 taggsvamp
Dropptaggsvamp
Kolflarnlav</t>
        </is>
      </c>
      <c r="S66">
        <f>HYPERLINK("https://klasma.github.io/Logging_2481/artfynd/A 22123-2025 artfynd.xlsx", "A 22123-2025")</f>
        <v/>
      </c>
      <c r="T66">
        <f>HYPERLINK("https://klasma.github.io/Logging_2481/kartor/A 22123-2025 karta.png", "A 22123-2025")</f>
        <v/>
      </c>
      <c r="V66">
        <f>HYPERLINK("https://klasma.github.io/Logging_2481/klagomål/A 22123-2025 FSC-klagomål.docx", "A 22123-2025")</f>
        <v/>
      </c>
      <c r="W66">
        <f>HYPERLINK("https://klasma.github.io/Logging_2481/klagomålsmail/A 22123-2025 FSC-klagomål mail.docx", "A 22123-2025")</f>
        <v/>
      </c>
      <c r="X66">
        <f>HYPERLINK("https://klasma.github.io/Logging_2481/tillsyn/A 22123-2025 tillsynsbegäran.docx", "A 22123-2025")</f>
        <v/>
      </c>
      <c r="Y66">
        <f>HYPERLINK("https://klasma.github.io/Logging_2481/tillsynsmail/A 22123-2025 tillsynsbegäran mail.docx", "A 22123-2025")</f>
        <v/>
      </c>
    </row>
    <row r="67" ht="15" customHeight="1">
      <c r="A67" t="inlineStr">
        <is>
          <t>A 30608-2025</t>
        </is>
      </c>
      <c r="B67" s="1" t="n">
        <v>45831</v>
      </c>
      <c r="C67" s="1" t="n">
        <v>46198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3.2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Myrstarr
Lunglav
Fläcknycklar</t>
        </is>
      </c>
      <c r="S67">
        <f>HYPERLINK("https://klasma.github.io/Logging_2481/artfynd/A 30608-2025 artfynd.xlsx", "A 30608-2025")</f>
        <v/>
      </c>
      <c r="T67">
        <f>HYPERLINK("https://klasma.github.io/Logging_2481/kartor/A 30608-2025 karta.png", "A 30608-2025")</f>
        <v/>
      </c>
      <c r="V67">
        <f>HYPERLINK("https://klasma.github.io/Logging_2481/klagomål/A 30608-2025 FSC-klagomål.docx", "A 30608-2025")</f>
        <v/>
      </c>
      <c r="W67">
        <f>HYPERLINK("https://klasma.github.io/Logging_2481/klagomålsmail/A 30608-2025 FSC-klagomål mail.docx", "A 30608-2025")</f>
        <v/>
      </c>
      <c r="X67">
        <f>HYPERLINK("https://klasma.github.io/Logging_2481/tillsyn/A 30608-2025 tillsynsbegäran.docx", "A 30608-2025")</f>
        <v/>
      </c>
      <c r="Y67">
        <f>HYPERLINK("https://klasma.github.io/Logging_2481/tillsynsmail/A 30608-2025 tillsynsbegäran mail.docx", "A 30608-2025")</f>
        <v/>
      </c>
    </row>
    <row r="68" ht="15" customHeight="1">
      <c r="A68" t="inlineStr">
        <is>
          <t>A 30298-2022</t>
        </is>
      </c>
      <c r="B68" s="1" t="n">
        <v>44760</v>
      </c>
      <c r="C68" s="1" t="n">
        <v>46198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Dropptaggsvamp
Orange taggsvamp</t>
        </is>
      </c>
      <c r="S68">
        <f>HYPERLINK("https://klasma.github.io/Logging_2481/artfynd/A 30298-2022 artfynd.xlsx", "A 30298-2022")</f>
        <v/>
      </c>
      <c r="T68">
        <f>HYPERLINK("https://klasma.github.io/Logging_2481/kartor/A 30298-2022 karta.png", "A 30298-2022")</f>
        <v/>
      </c>
      <c r="V68">
        <f>HYPERLINK("https://klasma.github.io/Logging_2481/klagomål/A 30298-2022 FSC-klagomål.docx", "A 30298-2022")</f>
        <v/>
      </c>
      <c r="W68">
        <f>HYPERLINK("https://klasma.github.io/Logging_2481/klagomålsmail/A 30298-2022 FSC-klagomål mail.docx", "A 30298-2022")</f>
        <v/>
      </c>
      <c r="X68">
        <f>HYPERLINK("https://klasma.github.io/Logging_2481/tillsyn/A 30298-2022 tillsynsbegäran.docx", "A 30298-2022")</f>
        <v/>
      </c>
      <c r="Y68">
        <f>HYPERLINK("https://klasma.github.io/Logging_2481/tillsynsmail/A 30298-2022 tillsynsbegäran mail.docx", "A 30298-2022")</f>
        <v/>
      </c>
    </row>
    <row r="69" ht="15" customHeight="1">
      <c r="A69" t="inlineStr">
        <is>
          <t>A 34810-2022</t>
        </is>
      </c>
      <c r="B69" s="1" t="n">
        <v>44795</v>
      </c>
      <c r="C69" s="1" t="n">
        <v>46198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Fläcknycklar</t>
        </is>
      </c>
      <c r="S69">
        <f>HYPERLINK("https://klasma.github.io/Logging_2481/artfynd/A 34810-2022 artfynd.xlsx", "A 34810-2022")</f>
        <v/>
      </c>
      <c r="T69">
        <f>HYPERLINK("https://klasma.github.io/Logging_2481/kartor/A 34810-2022 karta.png", "A 34810-2022")</f>
        <v/>
      </c>
      <c r="V69">
        <f>HYPERLINK("https://klasma.github.io/Logging_2481/klagomål/A 34810-2022 FSC-klagomål.docx", "A 34810-2022")</f>
        <v/>
      </c>
      <c r="W69">
        <f>HYPERLINK("https://klasma.github.io/Logging_2481/klagomålsmail/A 34810-2022 FSC-klagomål mail.docx", "A 34810-2022")</f>
        <v/>
      </c>
      <c r="X69">
        <f>HYPERLINK("https://klasma.github.io/Logging_2481/tillsyn/A 34810-2022 tillsynsbegäran.docx", "A 34810-2022")</f>
        <v/>
      </c>
      <c r="Y69">
        <f>HYPERLINK("https://klasma.github.io/Logging_2481/tillsynsmail/A 34810-2022 tillsynsbegäran mail.docx", "A 34810-2022")</f>
        <v/>
      </c>
    </row>
    <row r="70" ht="15" customHeight="1">
      <c r="A70" t="inlineStr">
        <is>
          <t>A 742-2025</t>
        </is>
      </c>
      <c r="B70" s="1" t="n">
        <v>45665</v>
      </c>
      <c r="C70" s="1" t="n">
        <v>46198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5.6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Fläcknycklar</t>
        </is>
      </c>
      <c r="S70">
        <f>HYPERLINK("https://klasma.github.io/Logging_2481/artfynd/A 742-2025 artfynd.xlsx", "A 742-2025")</f>
        <v/>
      </c>
      <c r="T70">
        <f>HYPERLINK("https://klasma.github.io/Logging_2481/kartor/A 742-2025 karta.png", "A 742-2025")</f>
        <v/>
      </c>
      <c r="V70">
        <f>HYPERLINK("https://klasma.github.io/Logging_2481/klagomål/A 742-2025 FSC-klagomål.docx", "A 742-2025")</f>
        <v/>
      </c>
      <c r="W70">
        <f>HYPERLINK("https://klasma.github.io/Logging_2481/klagomålsmail/A 742-2025 FSC-klagomål mail.docx", "A 742-2025")</f>
        <v/>
      </c>
      <c r="X70">
        <f>HYPERLINK("https://klasma.github.io/Logging_2481/tillsyn/A 742-2025 tillsynsbegäran.docx", "A 742-2025")</f>
        <v/>
      </c>
      <c r="Y70">
        <f>HYPERLINK("https://klasma.github.io/Logging_2481/tillsynsmail/A 742-2025 tillsynsbegäran mail.docx", "A 742-2025")</f>
        <v/>
      </c>
    </row>
    <row r="71" ht="15" customHeight="1">
      <c r="A71" t="inlineStr">
        <is>
          <t>A 45935-2024</t>
        </is>
      </c>
      <c r="B71" s="1" t="n">
        <v>45580</v>
      </c>
      <c r="C71" s="1" t="n">
        <v>46198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2893-2023</t>
        </is>
      </c>
      <c r="B72" s="1" t="n">
        <v>44945</v>
      </c>
      <c r="C72" s="1" t="n">
        <v>46198</v>
      </c>
      <c r="D72" t="inlineStr">
        <is>
          <t>VÄSTERBOTTENS LÄN</t>
        </is>
      </c>
      <c r="E72" t="inlineStr">
        <is>
          <t>LYCKSELE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Garnlav
Dropptaggsvamp</t>
        </is>
      </c>
      <c r="S72">
        <f>HYPERLINK("https://klasma.github.io/Logging_2481/artfynd/A 2893-2023 artfynd.xlsx", "A 2893-2023")</f>
        <v/>
      </c>
      <c r="T72">
        <f>HYPERLINK("https://klasma.github.io/Logging_2481/kartor/A 2893-2023 karta.png", "A 2893-2023")</f>
        <v/>
      </c>
      <c r="V72">
        <f>HYPERLINK("https://klasma.github.io/Logging_2481/klagomål/A 2893-2023 FSC-klagomål.docx", "A 2893-2023")</f>
        <v/>
      </c>
      <c r="W72">
        <f>HYPERLINK("https://klasma.github.io/Logging_2481/klagomålsmail/A 2893-2023 FSC-klagomål mail.docx", "A 2893-2023")</f>
        <v/>
      </c>
      <c r="X72">
        <f>HYPERLINK("https://klasma.github.io/Logging_2481/tillsyn/A 2893-2023 tillsynsbegäran.docx", "A 2893-2023")</f>
        <v/>
      </c>
      <c r="Y72">
        <f>HYPERLINK("https://klasma.github.io/Logging_2481/tillsynsmail/A 2893-2023 tillsynsbegäran mail.docx", "A 2893-2023")</f>
        <v/>
      </c>
    </row>
    <row r="73" ht="15" customHeight="1">
      <c r="A73" t="inlineStr">
        <is>
          <t>A 38776-2025</t>
        </is>
      </c>
      <c r="B73" s="1" t="n">
        <v>45887</v>
      </c>
      <c r="C73" s="1" t="n">
        <v>46198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Dropptaggsvamp
Kolflarnlav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37458-2025</t>
        </is>
      </c>
      <c r="B74" s="1" t="n">
        <v>45877</v>
      </c>
      <c r="C74" s="1" t="n">
        <v>46198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Garnlav
Lavskrika</t>
        </is>
      </c>
      <c r="S74">
        <f>HYPERLINK("https://klasma.github.io/Logging_2481/artfynd/A 37458-2025 artfynd.xlsx", "A 37458-2025")</f>
        <v/>
      </c>
      <c r="T74">
        <f>HYPERLINK("https://klasma.github.io/Logging_2481/kartor/A 37458-2025 karta.png", "A 37458-2025")</f>
        <v/>
      </c>
      <c r="V74">
        <f>HYPERLINK("https://klasma.github.io/Logging_2481/klagomål/A 37458-2025 FSC-klagomål.docx", "A 37458-2025")</f>
        <v/>
      </c>
      <c r="W74">
        <f>HYPERLINK("https://klasma.github.io/Logging_2481/klagomålsmail/A 37458-2025 FSC-klagomål mail.docx", "A 37458-2025")</f>
        <v/>
      </c>
      <c r="X74">
        <f>HYPERLINK("https://klasma.github.io/Logging_2481/tillsyn/A 37458-2025 tillsynsbegäran.docx", "A 37458-2025")</f>
        <v/>
      </c>
      <c r="Y74">
        <f>HYPERLINK("https://klasma.github.io/Logging_2481/tillsynsmail/A 37458-2025 tillsynsbegäran mail.docx", "A 37458-2025")</f>
        <v/>
      </c>
      <c r="Z74">
        <f>HYPERLINK("https://klasma.github.io/Logging_2481/fåglar/A 37458-2025 prioriterade fågelarter.docx", "A 37458-2025")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46198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Lavskrika
Tretåig hackspett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58657-2023</t>
        </is>
      </c>
      <c r="B76" s="1" t="n">
        <v>45251</v>
      </c>
      <c r="C76" s="1" t="n">
        <v>46198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14.4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Bollvitmossa</t>
        </is>
      </c>
      <c r="S76">
        <f>HYPERLINK("https://klasma.github.io/Logging_2481/artfynd/A 58657-2023 artfynd.xlsx", "A 58657-2023")</f>
        <v/>
      </c>
      <c r="T76">
        <f>HYPERLINK("https://klasma.github.io/Logging_2481/kartor/A 58657-2023 karta.png", "A 58657-2023")</f>
        <v/>
      </c>
      <c r="V76">
        <f>HYPERLINK("https://klasma.github.io/Logging_2481/klagomål/A 58657-2023 FSC-klagomål.docx", "A 58657-2023")</f>
        <v/>
      </c>
      <c r="W76">
        <f>HYPERLINK("https://klasma.github.io/Logging_2481/klagomålsmail/A 58657-2023 FSC-klagomål mail.docx", "A 58657-2023")</f>
        <v/>
      </c>
      <c r="X76">
        <f>HYPERLINK("https://klasma.github.io/Logging_2481/tillsyn/A 58657-2023 tillsynsbegäran.docx", "A 58657-2023")</f>
        <v/>
      </c>
      <c r="Y76">
        <f>HYPERLINK("https://klasma.github.io/Logging_2481/tillsynsmail/A 58657-2023 tillsynsbegäran mail.docx", "A 58657-2023")</f>
        <v/>
      </c>
      <c r="Z76">
        <f>HYPERLINK("https://klasma.github.io/Logging_2481/fåglar/A 58657-2023 prioriterade fågelarter.docx", "A 58657-2023")</f>
        <v/>
      </c>
    </row>
    <row r="77" ht="15" customHeight="1">
      <c r="A77" t="inlineStr">
        <is>
          <t>A 42159-2025</t>
        </is>
      </c>
      <c r="B77" s="1" t="n">
        <v>45904</v>
      </c>
      <c r="C77" s="1" t="n">
        <v>46198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44351-2025</t>
        </is>
      </c>
      <c r="B78" s="1" t="n">
        <v>45916</v>
      </c>
      <c r="C78" s="1" t="n">
        <v>46198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3.4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Tretåig hackspett</t>
        </is>
      </c>
      <c r="S78">
        <f>HYPERLINK("https://klasma.github.io/Logging_2481/artfynd/A 44351-2025 artfynd.xlsx", "A 44351-2025")</f>
        <v/>
      </c>
      <c r="T78">
        <f>HYPERLINK("https://klasma.github.io/Logging_2481/kartor/A 44351-2025 karta.png", "A 44351-2025")</f>
        <v/>
      </c>
      <c r="V78">
        <f>HYPERLINK("https://klasma.github.io/Logging_2481/klagomål/A 44351-2025 FSC-klagomål.docx", "A 44351-2025")</f>
        <v/>
      </c>
      <c r="W78">
        <f>HYPERLINK("https://klasma.github.io/Logging_2481/klagomålsmail/A 44351-2025 FSC-klagomål mail.docx", "A 44351-2025")</f>
        <v/>
      </c>
      <c r="X78">
        <f>HYPERLINK("https://klasma.github.io/Logging_2481/tillsyn/A 44351-2025 tillsynsbegäran.docx", "A 44351-2025")</f>
        <v/>
      </c>
      <c r="Y78">
        <f>HYPERLINK("https://klasma.github.io/Logging_2481/tillsynsmail/A 44351-2025 tillsynsbegäran mail.docx", "A 44351-2025")</f>
        <v/>
      </c>
      <c r="Z78">
        <f>HYPERLINK("https://klasma.github.io/Logging_2481/fåglar/A 44351-2025 prioriterade fågelarter.docx", "A 44351-2025")</f>
        <v/>
      </c>
    </row>
    <row r="79" ht="15" customHeight="1">
      <c r="A79" t="inlineStr">
        <is>
          <t>A 45359-2025</t>
        </is>
      </c>
      <c r="B79" s="1" t="n">
        <v>45922</v>
      </c>
      <c r="C79" s="1" t="n">
        <v>46198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26116-2026</t>
        </is>
      </c>
      <c r="B80" s="1" t="n">
        <v>46181</v>
      </c>
      <c r="C80" s="1" t="n">
        <v>46198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Vedticka</t>
        </is>
      </c>
      <c r="S80">
        <f>HYPERLINK("https://klasma.github.io/Logging_2481/artfynd/A 26116-2026 artfynd.xlsx", "A 26116-2026")</f>
        <v/>
      </c>
      <c r="T80">
        <f>HYPERLINK("https://klasma.github.io/Logging_2481/kartor/A 26116-2026 karta.png", "A 26116-2026")</f>
        <v/>
      </c>
      <c r="V80">
        <f>HYPERLINK("https://klasma.github.io/Logging_2481/klagomål/A 26116-2026 FSC-klagomål.docx", "A 26116-2026")</f>
        <v/>
      </c>
      <c r="W80">
        <f>HYPERLINK("https://klasma.github.io/Logging_2481/klagomålsmail/A 26116-2026 FSC-klagomål mail.docx", "A 26116-2026")</f>
        <v/>
      </c>
      <c r="X80">
        <f>HYPERLINK("https://klasma.github.io/Logging_2481/tillsyn/A 26116-2026 tillsynsbegäran.docx", "A 26116-2026")</f>
        <v/>
      </c>
      <c r="Y80">
        <f>HYPERLINK("https://klasma.github.io/Logging_2481/tillsynsmail/A 26116-2026 tillsynsbegäran mail.docx", "A 26116-2026")</f>
        <v/>
      </c>
    </row>
    <row r="81" ht="15" customHeight="1">
      <c r="A81" t="inlineStr">
        <is>
          <t>A 47744-2025</t>
        </is>
      </c>
      <c r="B81" s="1" t="n">
        <v>45931</v>
      </c>
      <c r="C81" s="1" t="n">
        <v>46198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38475-2023</t>
        </is>
      </c>
      <c r="B82" s="1" t="n">
        <v>45162</v>
      </c>
      <c r="C82" s="1" t="n">
        <v>46198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25722-2026</t>
        </is>
      </c>
      <c r="B83" s="1" t="n">
        <v>46178</v>
      </c>
      <c r="C83" s="1" t="n">
        <v>46198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14.6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25722-2026 artfynd.xlsx", "A 25722-2026")</f>
        <v/>
      </c>
      <c r="T83">
        <f>HYPERLINK("https://klasma.github.io/Logging_2481/kartor/A 25722-2026 karta.png", "A 25722-2026")</f>
        <v/>
      </c>
      <c r="V83">
        <f>HYPERLINK("https://klasma.github.io/Logging_2481/klagomål/A 25722-2026 FSC-klagomål.docx", "A 25722-2026")</f>
        <v/>
      </c>
      <c r="W83">
        <f>HYPERLINK("https://klasma.github.io/Logging_2481/klagomålsmail/A 25722-2026 FSC-klagomål mail.docx", "A 25722-2026")</f>
        <v/>
      </c>
      <c r="X83">
        <f>HYPERLINK("https://klasma.github.io/Logging_2481/tillsyn/A 25722-2026 tillsynsbegäran.docx", "A 25722-2026")</f>
        <v/>
      </c>
      <c r="Y83">
        <f>HYPERLINK("https://klasma.github.io/Logging_2481/tillsynsmail/A 25722-2026 tillsynsbegäran mail.docx", "A 25722-2026")</f>
        <v/>
      </c>
    </row>
    <row r="84" ht="15" customHeight="1">
      <c r="A84" t="inlineStr">
        <is>
          <t>A 49553-2025</t>
        </is>
      </c>
      <c r="B84" s="1" t="n">
        <v>45939</v>
      </c>
      <c r="C84" s="1" t="n">
        <v>46198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</v>
      </c>
      <c r="C85" s="1" t="n">
        <v>46198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25713-2026</t>
        </is>
      </c>
      <c r="B86" s="1" t="n">
        <v>46178</v>
      </c>
      <c r="C86" s="1" t="n">
        <v>46198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10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25713-2026 artfynd.xlsx", "A 25713-2026")</f>
        <v/>
      </c>
      <c r="T86">
        <f>HYPERLINK("https://klasma.github.io/Logging_2481/kartor/A 25713-2026 karta.png", "A 25713-2026")</f>
        <v/>
      </c>
      <c r="V86">
        <f>HYPERLINK("https://klasma.github.io/Logging_2481/klagomål/A 25713-2026 FSC-klagomål.docx", "A 25713-2026")</f>
        <v/>
      </c>
      <c r="W86">
        <f>HYPERLINK("https://klasma.github.io/Logging_2481/klagomålsmail/A 25713-2026 FSC-klagomål mail.docx", "A 25713-2026")</f>
        <v/>
      </c>
      <c r="X86">
        <f>HYPERLINK("https://klasma.github.io/Logging_2481/tillsyn/A 25713-2026 tillsynsbegäran.docx", "A 25713-2026")</f>
        <v/>
      </c>
      <c r="Y86">
        <f>HYPERLINK("https://klasma.github.io/Logging_2481/tillsynsmail/A 25713-2026 tillsynsbegäran mail.docx", "A 25713-2026")</f>
        <v/>
      </c>
    </row>
    <row r="87" ht="15" customHeight="1">
      <c r="A87" t="inlineStr">
        <is>
          <t>A 49550-2025</t>
        </is>
      </c>
      <c r="B87" s="1" t="n">
        <v>45939</v>
      </c>
      <c r="C87" s="1" t="n">
        <v>46198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s="1" t="n">
        <v>45940</v>
      </c>
      <c r="C88" s="1" t="n">
        <v>46198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53650-2025</t>
        </is>
      </c>
      <c r="B89" s="1" t="n">
        <v>45960</v>
      </c>
      <c r="C89" s="1" t="n">
        <v>46198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43664-2025</t>
        </is>
      </c>
      <c r="B90" s="1" t="n">
        <v>45912</v>
      </c>
      <c r="C90" s="1" t="n">
        <v>46198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43664-2025 artfynd.xlsx", "A 43664-2025")</f>
        <v/>
      </c>
      <c r="T90">
        <f>HYPERLINK("https://klasma.github.io/Logging_2481/kartor/A 43664-2025 karta.png", "A 43664-2025")</f>
        <v/>
      </c>
      <c r="V90">
        <f>HYPERLINK("https://klasma.github.io/Logging_2481/klagomål/A 43664-2025 FSC-klagomål.docx", "A 43664-2025")</f>
        <v/>
      </c>
      <c r="W90">
        <f>HYPERLINK("https://klasma.github.io/Logging_2481/klagomålsmail/A 43664-2025 FSC-klagomål mail.docx", "A 43664-2025")</f>
        <v/>
      </c>
      <c r="X90">
        <f>HYPERLINK("https://klasma.github.io/Logging_2481/tillsyn/A 43664-2025 tillsynsbegäran.docx", "A 43664-2025")</f>
        <v/>
      </c>
      <c r="Y90">
        <f>HYPERLINK("https://klasma.github.io/Logging_2481/tillsynsmail/A 43664-2025 tillsynsbegäran mail.docx", "A 43664-2025")</f>
        <v/>
      </c>
    </row>
    <row r="91" ht="15" customHeight="1">
      <c r="A91" t="inlineStr">
        <is>
          <t>A 26927-2026</t>
        </is>
      </c>
      <c r="B91" s="1" t="n">
        <v>46185</v>
      </c>
      <c r="C91" s="1" t="n">
        <v>46198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14.6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Fläcknycklar</t>
        </is>
      </c>
      <c r="S91">
        <f>HYPERLINK("https://klasma.github.io/Logging_2481/artfynd/A 26927-2026 artfynd.xlsx", "A 26927-2026")</f>
        <v/>
      </c>
      <c r="T91">
        <f>HYPERLINK("https://klasma.github.io/Logging_2481/kartor/A 26927-2026 karta.png", "A 26927-2026")</f>
        <v/>
      </c>
      <c r="V91">
        <f>HYPERLINK("https://klasma.github.io/Logging_2481/klagomål/A 26927-2026 FSC-klagomål.docx", "A 26927-2026")</f>
        <v/>
      </c>
      <c r="W91">
        <f>HYPERLINK("https://klasma.github.io/Logging_2481/klagomålsmail/A 26927-2026 FSC-klagomål mail.docx", "A 26927-2026")</f>
        <v/>
      </c>
      <c r="X91">
        <f>HYPERLINK("https://klasma.github.io/Logging_2481/tillsyn/A 26927-2026 tillsynsbegäran.docx", "A 26927-2026")</f>
        <v/>
      </c>
      <c r="Y91">
        <f>HYPERLINK("https://klasma.github.io/Logging_2481/tillsynsmail/A 26927-2026 tillsynsbegäran mail.docx", "A 26927-2026")</f>
        <v/>
      </c>
    </row>
    <row r="92" ht="15" customHeight="1">
      <c r="A92" t="inlineStr">
        <is>
          <t>A 28515-2023</t>
        </is>
      </c>
      <c r="B92" s="1" t="n">
        <v>45103</v>
      </c>
      <c r="C92" s="1" t="n">
        <v>46198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HYPERLINK("https://klasma.github.io/Logging_2481/artfynd/A 28515-2023 artfynd.xlsx", "A 28515-2023")</f>
        <v/>
      </c>
      <c r="T92">
        <f>HYPERLINK("https://klasma.github.io/Logging_2481/kartor/A 28515-2023 karta.png", "A 28515-2023")</f>
        <v/>
      </c>
      <c r="V92">
        <f>HYPERLINK("https://klasma.github.io/Logging_2481/klagomål/A 28515-2023 FSC-klagomål.docx", "A 28515-2023")</f>
        <v/>
      </c>
      <c r="W92">
        <f>HYPERLINK("https://klasma.github.io/Logging_2481/klagomålsmail/A 28515-2023 FSC-klagomål mail.docx", "A 28515-2023")</f>
        <v/>
      </c>
      <c r="X92">
        <f>HYPERLINK("https://klasma.github.io/Logging_2481/tillsyn/A 28515-2023 tillsynsbegäran.docx", "A 28515-2023")</f>
        <v/>
      </c>
      <c r="Y92">
        <f>HYPERLINK("https://klasma.github.io/Logging_2481/tillsynsmail/A 28515-2023 tillsynsbegäran mail.docx", "A 28515-2023")</f>
        <v/>
      </c>
    </row>
    <row r="93" ht="15" customHeight="1">
      <c r="A93" t="inlineStr">
        <is>
          <t>A 55508-2025</t>
        </is>
      </c>
      <c r="B93" s="1" t="n">
        <v>45971</v>
      </c>
      <c r="C93" s="1" t="n">
        <v>46198</v>
      </c>
      <c r="D93" t="inlineStr">
        <is>
          <t>VÄSTERBOTTENS LÄN</t>
        </is>
      </c>
      <c r="E93" t="inlineStr">
        <is>
          <t>LYCKSELE</t>
        </is>
      </c>
      <c r="G93" t="n">
        <v>10.5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Stuplav</t>
        </is>
      </c>
      <c r="S93">
        <f>HYPERLINK("https://klasma.github.io/Logging_2481/artfynd/A 55508-2025 artfynd.xlsx", "A 55508-2025")</f>
        <v/>
      </c>
      <c r="T93">
        <f>HYPERLINK("https://klasma.github.io/Logging_2481/kartor/A 55508-2025 karta.png", "A 55508-2025")</f>
        <v/>
      </c>
      <c r="V93">
        <f>HYPERLINK("https://klasma.github.io/Logging_2481/klagomål/A 55508-2025 FSC-klagomål.docx", "A 55508-2025")</f>
        <v/>
      </c>
      <c r="W93">
        <f>HYPERLINK("https://klasma.github.io/Logging_2481/klagomålsmail/A 55508-2025 FSC-klagomål mail.docx", "A 55508-2025")</f>
        <v/>
      </c>
      <c r="X93">
        <f>HYPERLINK("https://klasma.github.io/Logging_2481/tillsyn/A 55508-2025 tillsynsbegäran.docx", "A 55508-2025")</f>
        <v/>
      </c>
      <c r="Y93">
        <f>HYPERLINK("https://klasma.github.io/Logging_2481/tillsynsmail/A 55508-2025 tillsynsbegäran mail.docx", "A 55508-2025")</f>
        <v/>
      </c>
    </row>
    <row r="94" ht="15" customHeight="1">
      <c r="A94" t="inlineStr">
        <is>
          <t>A 41776-2024</t>
        </is>
      </c>
      <c r="B94" s="1" t="n">
        <v>45561</v>
      </c>
      <c r="C94" s="1" t="n">
        <v>46198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Koralltaggsvamp</t>
        </is>
      </c>
      <c r="S94">
        <f>HYPERLINK("https://klasma.github.io/Logging_2481/artfynd/A 41776-2024 artfynd.xlsx", "A 41776-2024")</f>
        <v/>
      </c>
      <c r="T94">
        <f>HYPERLINK("https://klasma.github.io/Logging_2481/kartor/A 41776-2024 karta.png", "A 41776-2024")</f>
        <v/>
      </c>
      <c r="V94">
        <f>HYPERLINK("https://klasma.github.io/Logging_2481/klagomål/A 41776-2024 FSC-klagomål.docx", "A 41776-2024")</f>
        <v/>
      </c>
      <c r="W94">
        <f>HYPERLINK("https://klasma.github.io/Logging_2481/klagomålsmail/A 41776-2024 FSC-klagomål mail.docx", "A 41776-2024")</f>
        <v/>
      </c>
      <c r="X94">
        <f>HYPERLINK("https://klasma.github.io/Logging_2481/tillsyn/A 41776-2024 tillsynsbegäran.docx", "A 41776-2024")</f>
        <v/>
      </c>
      <c r="Y94">
        <f>HYPERLINK("https://klasma.github.io/Logging_2481/tillsynsmail/A 41776-2024 tillsynsbegäran mail.docx", "A 41776-2024")</f>
        <v/>
      </c>
    </row>
    <row r="95" ht="15" customHeight="1">
      <c r="A95" t="inlineStr">
        <is>
          <t>A 55566-2024</t>
        </is>
      </c>
      <c r="B95" s="1" t="n">
        <v>45622</v>
      </c>
      <c r="C95" s="1" t="n">
        <v>46198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Harticka
Ullticka</t>
        </is>
      </c>
      <c r="S95">
        <f>HYPERLINK("https://klasma.github.io/Logging_2481/artfynd/A 55566-2024 artfynd.xlsx", "A 55566-2024")</f>
        <v/>
      </c>
      <c r="T95">
        <f>HYPERLINK("https://klasma.github.io/Logging_2481/kartor/A 55566-2024 karta.png", "A 55566-2024")</f>
        <v/>
      </c>
      <c r="V95">
        <f>HYPERLINK("https://klasma.github.io/Logging_2481/klagomål/A 55566-2024 FSC-klagomål.docx", "A 55566-2024")</f>
        <v/>
      </c>
      <c r="W95">
        <f>HYPERLINK("https://klasma.github.io/Logging_2481/klagomålsmail/A 55566-2024 FSC-klagomål mail.docx", "A 55566-2024")</f>
        <v/>
      </c>
      <c r="X95">
        <f>HYPERLINK("https://klasma.github.io/Logging_2481/tillsyn/A 55566-2024 tillsynsbegäran.docx", "A 55566-2024")</f>
        <v/>
      </c>
      <c r="Y95">
        <f>HYPERLINK("https://klasma.github.io/Logging_2481/tillsynsmail/A 55566-2024 tillsynsbegäran mail.docx", "A 55566-2024")</f>
        <v/>
      </c>
    </row>
    <row r="96" ht="15" customHeight="1">
      <c r="A96" t="inlineStr">
        <is>
          <t>A 12619-2026</t>
        </is>
      </c>
      <c r="B96" s="1" t="n">
        <v>46091</v>
      </c>
      <c r="C96" s="1" t="n">
        <v>46198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3.6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Kungsörn
Orre</t>
        </is>
      </c>
      <c r="S96">
        <f>HYPERLINK("https://klasma.github.io/Logging_2481/artfynd/A 12619-2026 artfynd.xlsx", "A 12619-2026")</f>
        <v/>
      </c>
      <c r="T96">
        <f>HYPERLINK("https://klasma.github.io/Logging_2481/kartor/A 12619-2026 karta.png", "A 12619-2026")</f>
        <v/>
      </c>
      <c r="V96">
        <f>HYPERLINK("https://klasma.github.io/Logging_2481/klagomål/A 12619-2026 FSC-klagomål.docx", "A 12619-2026")</f>
        <v/>
      </c>
      <c r="W96">
        <f>HYPERLINK("https://klasma.github.io/Logging_2481/klagomålsmail/A 12619-2026 FSC-klagomål mail.docx", "A 12619-2026")</f>
        <v/>
      </c>
      <c r="X96">
        <f>HYPERLINK("https://klasma.github.io/Logging_2481/tillsyn/A 12619-2026 tillsynsbegäran.docx", "A 12619-2026")</f>
        <v/>
      </c>
      <c r="Y96">
        <f>HYPERLINK("https://klasma.github.io/Logging_2481/tillsynsmail/A 12619-2026 tillsynsbegäran mail.docx", "A 12619-2026")</f>
        <v/>
      </c>
      <c r="Z96">
        <f>HYPERLINK("https://klasma.github.io/Logging_2481/fåglar/A 12619-2026 prioriterade fågelarter.docx", "A 12619-2026")</f>
        <v/>
      </c>
    </row>
    <row r="97" ht="15" customHeight="1">
      <c r="A97" t="inlineStr">
        <is>
          <t>A 20111-2025</t>
        </is>
      </c>
      <c r="B97" s="1" t="n">
        <v>45772</v>
      </c>
      <c r="C97" s="1" t="n">
        <v>46198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10485-2023</t>
        </is>
      </c>
      <c r="B98" s="1" t="n">
        <v>44981</v>
      </c>
      <c r="C98" s="1" t="n">
        <v>46198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2.9</v>
      </c>
      <c r="H98" t="n">
        <v>2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Lavskrika</t>
        </is>
      </c>
      <c r="S98">
        <f>HYPERLINK("https://klasma.github.io/Logging_2481/artfynd/A 10485-2023 artfynd.xlsx", "A 10485-2023")</f>
        <v/>
      </c>
      <c r="T98">
        <f>HYPERLINK("https://klasma.github.io/Logging_2481/kartor/A 10485-2023 karta.png", "A 10485-2023")</f>
        <v/>
      </c>
      <c r="U98">
        <f>HYPERLINK("https://klasma.github.io/Logging_2481/knärot/A 10485-2023 karta knärot.png", "A 10485-2023")</f>
        <v/>
      </c>
      <c r="V98">
        <f>HYPERLINK("https://klasma.github.io/Logging_2481/klagomål/A 10485-2023 FSC-klagomål.docx", "A 10485-2023")</f>
        <v/>
      </c>
      <c r="W98">
        <f>HYPERLINK("https://klasma.github.io/Logging_2481/klagomålsmail/A 10485-2023 FSC-klagomål mail.docx", "A 10485-2023")</f>
        <v/>
      </c>
      <c r="X98">
        <f>HYPERLINK("https://klasma.github.io/Logging_2481/tillsyn/A 10485-2023 tillsynsbegäran.docx", "A 10485-2023")</f>
        <v/>
      </c>
      <c r="Y98">
        <f>HYPERLINK("https://klasma.github.io/Logging_2481/tillsynsmail/A 10485-2023 tillsynsbegäran mail.docx", "A 10485-2023")</f>
        <v/>
      </c>
      <c r="Z98">
        <f>HYPERLINK("https://klasma.github.io/Logging_2481/fåglar/A 10485-2023 prioriterade fågelarter.docx", "A 10485-2023")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46198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22688-2026</t>
        </is>
      </c>
      <c r="B100" s="1" t="n">
        <v>46156</v>
      </c>
      <c r="C100" s="1" t="n">
        <v>46198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18.3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Kolflarnlav</t>
        </is>
      </c>
      <c r="S100">
        <f>HYPERLINK("https://klasma.github.io/Logging_2481/artfynd/A 22688-2026 artfynd.xlsx", "A 22688-2026")</f>
        <v/>
      </c>
      <c r="T100">
        <f>HYPERLINK("https://klasma.github.io/Logging_2481/kartor/A 22688-2026 karta.png", "A 22688-2026")</f>
        <v/>
      </c>
      <c r="V100">
        <f>HYPERLINK("https://klasma.github.io/Logging_2481/klagomål/A 22688-2026 FSC-klagomål.docx", "A 22688-2026")</f>
        <v/>
      </c>
      <c r="W100">
        <f>HYPERLINK("https://klasma.github.io/Logging_2481/klagomålsmail/A 22688-2026 FSC-klagomål mail.docx", "A 22688-2026")</f>
        <v/>
      </c>
      <c r="X100">
        <f>HYPERLINK("https://klasma.github.io/Logging_2481/tillsyn/A 22688-2026 tillsynsbegäran.docx", "A 22688-2026")</f>
        <v/>
      </c>
      <c r="Y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s="1" t="n">
        <v>46161</v>
      </c>
      <c r="C101" s="1" t="n">
        <v>46198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23096-2026 artfynd.xlsx", "A 23096-2026")</f>
        <v/>
      </c>
      <c r="T101">
        <f>HYPERLINK("https://klasma.github.io/Logging_2481/kartor/A 23096-2026 karta.png", "A 23096-2026")</f>
        <v/>
      </c>
      <c r="V101">
        <f>HYPERLINK("https://klasma.github.io/Logging_2481/klagomål/A 23096-2026 FSC-klagomål.docx", "A 23096-2026")</f>
        <v/>
      </c>
      <c r="W101">
        <f>HYPERLINK("https://klasma.github.io/Logging_2481/klagomålsmail/A 23096-2026 FSC-klagomål mail.docx", "A 23096-2026")</f>
        <v/>
      </c>
      <c r="X101">
        <f>HYPERLINK("https://klasma.github.io/Logging_2481/tillsyn/A 23096-2026 tillsynsbegäran.docx", "A 23096-2026")</f>
        <v/>
      </c>
      <c r="Y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s="1" t="n">
        <v>46161</v>
      </c>
      <c r="C102" s="1" t="n">
        <v>46198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23098-2026 artfynd.xlsx", "A 23098-2026")</f>
        <v/>
      </c>
      <c r="T102">
        <f>HYPERLINK("https://klasma.github.io/Logging_2481/kartor/A 23098-2026 karta.png", "A 23098-2026")</f>
        <v/>
      </c>
      <c r="V102">
        <f>HYPERLINK("https://klasma.github.io/Logging_2481/klagomål/A 23098-2026 FSC-klagomål.docx", "A 23098-2026")</f>
        <v/>
      </c>
      <c r="W102">
        <f>HYPERLINK("https://klasma.github.io/Logging_2481/klagomålsmail/A 23098-2026 FSC-klagomål mail.docx", "A 23098-2026")</f>
        <v/>
      </c>
      <c r="X102">
        <f>HYPERLINK("https://klasma.github.io/Logging_2481/tillsyn/A 23098-2026 tillsynsbegäran.docx", "A 23098-2026")</f>
        <v/>
      </c>
      <c r="Y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52234-2024</t>
        </is>
      </c>
      <c r="B103" s="1" t="n">
        <v>45608</v>
      </c>
      <c r="C103" s="1" t="n">
        <v>46198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46198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Dropptaggsvamp
Vaddporing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26271-2025</t>
        </is>
      </c>
      <c r="B105" s="1" t="n">
        <v>45805</v>
      </c>
      <c r="C105" s="1" t="n">
        <v>46198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Lunglav</t>
        </is>
      </c>
      <c r="S105">
        <f>HYPERLINK("https://klasma.github.io/Logging_2481/artfynd/A 26271-2025 artfynd.xlsx", "A 26271-2025")</f>
        <v/>
      </c>
      <c r="T105">
        <f>HYPERLINK("https://klasma.github.io/Logging_2481/kartor/A 26271-2025 karta.png", "A 26271-2025")</f>
        <v/>
      </c>
      <c r="V105">
        <f>HYPERLINK("https://klasma.github.io/Logging_2481/klagomål/A 26271-2025 FSC-klagomål.docx", "A 26271-2025")</f>
        <v/>
      </c>
      <c r="W105">
        <f>HYPERLINK("https://klasma.github.io/Logging_2481/klagomålsmail/A 26271-2025 FSC-klagomål mail.docx", "A 26271-2025")</f>
        <v/>
      </c>
      <c r="X105">
        <f>HYPERLINK("https://klasma.github.io/Logging_2481/tillsyn/A 26271-2025 tillsynsbegäran.docx", "A 26271-2025")</f>
        <v/>
      </c>
      <c r="Y105">
        <f>HYPERLINK("https://klasma.github.io/Logging_2481/tillsynsmail/A 26271-2025 tillsynsbegäran mail.docx", "A 26271-2025")</f>
        <v/>
      </c>
    </row>
    <row r="106" ht="15" customHeight="1">
      <c r="A106" t="inlineStr">
        <is>
          <t>A 30691-2025</t>
        </is>
      </c>
      <c r="B106" s="1" t="n">
        <v>45831</v>
      </c>
      <c r="C106" s="1" t="n">
        <v>46198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kolflarnlav
Tretåig hackspett</t>
        </is>
      </c>
      <c r="S106">
        <f>HYPERLINK("https://klasma.github.io/Logging_2481/artfynd/A 30691-2025 artfynd.xlsx", "A 30691-2025")</f>
        <v/>
      </c>
      <c r="T106">
        <f>HYPERLINK("https://klasma.github.io/Logging_2481/kartor/A 30691-2025 karta.png", "A 30691-2025")</f>
        <v/>
      </c>
      <c r="V106">
        <f>HYPERLINK("https://klasma.github.io/Logging_2481/klagomål/A 30691-2025 FSC-klagomål.docx", "A 30691-2025")</f>
        <v/>
      </c>
      <c r="W106">
        <f>HYPERLINK("https://klasma.github.io/Logging_2481/klagomålsmail/A 30691-2025 FSC-klagomål mail.docx", "A 30691-2025")</f>
        <v/>
      </c>
      <c r="X106">
        <f>HYPERLINK("https://klasma.github.io/Logging_2481/tillsyn/A 30691-2025 tillsynsbegäran.docx", "A 30691-2025")</f>
        <v/>
      </c>
      <c r="Y106">
        <f>HYPERLINK("https://klasma.github.io/Logging_2481/tillsynsmail/A 30691-2025 tillsynsbegäran mail.docx", "A 30691-2025")</f>
        <v/>
      </c>
      <c r="Z106">
        <f>HYPERLINK("https://klasma.github.io/Logging_2481/fåglar/A 30691-2025 prioriterade fågelarter.docx", "A 30691-2025")</f>
        <v/>
      </c>
    </row>
    <row r="107" ht="15" customHeight="1">
      <c r="A107" t="inlineStr">
        <is>
          <t>A 60045-2021</t>
        </is>
      </c>
      <c r="B107" s="1" t="n">
        <v>44495</v>
      </c>
      <c r="C107" s="1" t="n">
        <v>46198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9073-2022</t>
        </is>
      </c>
      <c r="B108" s="1" t="n">
        <v>44615</v>
      </c>
      <c r="C108" s="1" t="n">
        <v>46198</v>
      </c>
      <c r="D108" t="inlineStr">
        <is>
          <t>VÄSTERBOTTENS LÄN</t>
        </is>
      </c>
      <c r="E108" t="inlineStr">
        <is>
          <t>LYCKSELE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HYPERLINK("https://klasma.github.io/Logging_2481/artfynd/A 9073-2022 artfynd.xlsx", "A 9073-2022")</f>
        <v/>
      </c>
      <c r="T108">
        <f>HYPERLINK("https://klasma.github.io/Logging_2481/kartor/A 9073-2022 karta.png", "A 9073-2022")</f>
        <v/>
      </c>
      <c r="V108">
        <f>HYPERLINK("https://klasma.github.io/Logging_2481/klagomål/A 9073-2022 FSC-klagomål.docx", "A 9073-2022")</f>
        <v/>
      </c>
      <c r="W108">
        <f>HYPERLINK("https://klasma.github.io/Logging_2481/klagomålsmail/A 9073-2022 FSC-klagomål mail.docx", "A 9073-2022")</f>
        <v/>
      </c>
      <c r="X108">
        <f>HYPERLINK("https://klasma.github.io/Logging_2481/tillsyn/A 9073-2022 tillsynsbegäran.docx", "A 9073-2022")</f>
        <v/>
      </c>
      <c r="Y108">
        <f>HYPERLINK("https://klasma.github.io/Logging_2481/tillsynsmail/A 9073-2022 tillsynsbegäran mail.docx", "A 9073-2022")</f>
        <v/>
      </c>
    </row>
    <row r="109" ht="15" customHeight="1">
      <c r="A109" t="inlineStr">
        <is>
          <t>A 59780-2021</t>
        </is>
      </c>
      <c r="B109" s="1" t="n">
        <v>44494</v>
      </c>
      <c r="C109" s="1" t="n">
        <v>46198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59780-2021 artfynd.xlsx", "A 59780-2021")</f>
        <v/>
      </c>
      <c r="T109">
        <f>HYPERLINK("https://klasma.github.io/Logging_2481/kartor/A 59780-2021 karta.png", "A 59780-2021")</f>
        <v/>
      </c>
      <c r="V109">
        <f>HYPERLINK("https://klasma.github.io/Logging_2481/klagomål/A 59780-2021 FSC-klagomål.docx", "A 59780-2021")</f>
        <v/>
      </c>
      <c r="W109">
        <f>HYPERLINK("https://klasma.github.io/Logging_2481/klagomålsmail/A 59780-2021 FSC-klagomål mail.docx", "A 59780-2021")</f>
        <v/>
      </c>
      <c r="X109">
        <f>HYPERLINK("https://klasma.github.io/Logging_2481/tillsyn/A 59780-2021 tillsynsbegäran.docx", "A 59780-2021")</f>
        <v/>
      </c>
      <c r="Y109">
        <f>HYPERLINK("https://klasma.github.io/Logging_2481/tillsynsmail/A 59780-2021 tillsynsbegäran mail.docx", "A 59780-2021")</f>
        <v/>
      </c>
    </row>
    <row r="110" ht="15" customHeight="1">
      <c r="A110" t="inlineStr">
        <is>
          <t>A 50279-2021</t>
        </is>
      </c>
      <c r="B110" s="1" t="n">
        <v>44459</v>
      </c>
      <c r="C110" s="1" t="n">
        <v>46198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50279-2021 artfynd.xlsx", "A 50279-2021")</f>
        <v/>
      </c>
      <c r="T110">
        <f>HYPERLINK("https://klasma.github.io/Logging_2481/kartor/A 50279-2021 karta.png", "A 50279-2021")</f>
        <v/>
      </c>
      <c r="V110">
        <f>HYPERLINK("https://klasma.github.io/Logging_2481/klagomål/A 50279-2021 FSC-klagomål.docx", "A 50279-2021")</f>
        <v/>
      </c>
      <c r="W110">
        <f>HYPERLINK("https://klasma.github.io/Logging_2481/klagomålsmail/A 50279-2021 FSC-klagomål mail.docx", "A 50279-2021")</f>
        <v/>
      </c>
      <c r="X110">
        <f>HYPERLINK("https://klasma.github.io/Logging_2481/tillsyn/A 50279-2021 tillsynsbegäran.docx", "A 50279-2021")</f>
        <v/>
      </c>
      <c r="Y110">
        <f>HYPERLINK("https://klasma.github.io/Logging_2481/tillsynsmail/A 50279-2021 tillsynsbegäran mail.docx", "A 50279-2021")</f>
        <v/>
      </c>
    </row>
    <row r="111" ht="15" customHeight="1">
      <c r="A111" t="inlineStr">
        <is>
          <t>A 9341-2022</t>
        </is>
      </c>
      <c r="B111" s="1" t="n">
        <v>44616</v>
      </c>
      <c r="C111" s="1" t="n">
        <v>46198</v>
      </c>
      <c r="D111" t="inlineStr">
        <is>
          <t>VÄSTERBOTTENS LÄN</t>
        </is>
      </c>
      <c r="E111" t="inlineStr">
        <is>
          <t>LYCKSELE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HYPERLINK("https://klasma.github.io/Logging_2481/artfynd/A 9341-2022 artfynd.xlsx", "A 9341-2022")</f>
        <v/>
      </c>
      <c r="T111">
        <f>HYPERLINK("https://klasma.github.io/Logging_2481/kartor/A 9341-2022 karta.png", "A 9341-2022")</f>
        <v/>
      </c>
      <c r="V111">
        <f>HYPERLINK("https://klasma.github.io/Logging_2481/klagomål/A 9341-2022 FSC-klagomål.docx", "A 9341-2022")</f>
        <v/>
      </c>
      <c r="W111">
        <f>HYPERLINK("https://klasma.github.io/Logging_2481/klagomålsmail/A 9341-2022 FSC-klagomål mail.docx", "A 9341-2022")</f>
        <v/>
      </c>
      <c r="X111">
        <f>HYPERLINK("https://klasma.github.io/Logging_2481/tillsyn/A 9341-2022 tillsynsbegäran.docx", "A 9341-2022")</f>
        <v/>
      </c>
      <c r="Y111">
        <f>HYPERLINK("https://klasma.github.io/Logging_2481/tillsynsmail/A 9341-2022 tillsynsbegäran mail.docx", "A 9341-2022")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46198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27553-2024</t>
        </is>
      </c>
      <c r="B113" s="1" t="n">
        <v>45474</v>
      </c>
      <c r="C113" s="1" t="n">
        <v>46198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27553-2024 artfynd.xlsx", "A 27553-2024")</f>
        <v/>
      </c>
      <c r="T113">
        <f>HYPERLINK("https://klasma.github.io/Logging_2481/kartor/A 27553-2024 karta.png", "A 27553-2024")</f>
        <v/>
      </c>
      <c r="V113">
        <f>HYPERLINK("https://klasma.github.io/Logging_2481/klagomål/A 27553-2024 FSC-klagomål.docx", "A 27553-2024")</f>
        <v/>
      </c>
      <c r="W113">
        <f>HYPERLINK("https://klasma.github.io/Logging_2481/klagomålsmail/A 27553-2024 FSC-klagomål mail.docx", "A 27553-2024")</f>
        <v/>
      </c>
      <c r="X113">
        <f>HYPERLINK("https://klasma.github.io/Logging_2481/tillsyn/A 27553-2024 tillsynsbegäran.docx", "A 27553-2024")</f>
        <v/>
      </c>
      <c r="Y113">
        <f>HYPERLINK("https://klasma.github.io/Logging_2481/tillsynsmail/A 27553-2024 tillsynsbegäran mail.docx", "A 27553-2024")</f>
        <v/>
      </c>
    </row>
    <row r="114" ht="15" customHeight="1">
      <c r="A114" t="inlineStr">
        <is>
          <t>A 45774-2024</t>
        </is>
      </c>
      <c r="B114" s="1" t="n">
        <v>45579</v>
      </c>
      <c r="C114" s="1" t="n">
        <v>46198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4.3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Barkticka</t>
        </is>
      </c>
      <c r="S114">
        <f>HYPERLINK("https://klasma.github.io/Logging_2481/artfynd/A 45774-2024 artfynd.xlsx", "A 45774-2024")</f>
        <v/>
      </c>
      <c r="T114">
        <f>HYPERLINK("https://klasma.github.io/Logging_2481/kartor/A 45774-2024 karta.png", "A 45774-2024")</f>
        <v/>
      </c>
      <c r="V114">
        <f>HYPERLINK("https://klasma.github.io/Logging_2481/klagomål/A 45774-2024 FSC-klagomål.docx", "A 45774-2024")</f>
        <v/>
      </c>
      <c r="W114">
        <f>HYPERLINK("https://klasma.github.io/Logging_2481/klagomålsmail/A 45774-2024 FSC-klagomål mail.docx", "A 45774-2024")</f>
        <v/>
      </c>
      <c r="X114">
        <f>HYPERLINK("https://klasma.github.io/Logging_2481/tillsyn/A 45774-2024 tillsynsbegäran.docx", "A 45774-2024")</f>
        <v/>
      </c>
      <c r="Y114">
        <f>HYPERLINK("https://klasma.github.io/Logging_2481/tillsynsmail/A 45774-2024 tillsynsbegäran mail.docx", "A 45774-2024")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46198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24824-2024</t>
        </is>
      </c>
      <c r="B116" s="1" t="n">
        <v>45461</v>
      </c>
      <c r="C116" s="1" t="n">
        <v>46198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HYPERLINK("https://klasma.github.io/Logging_2481/artfynd/A 24824-2024 artfynd.xlsx", "A 24824-2024")</f>
        <v/>
      </c>
      <c r="T116">
        <f>HYPERLINK("https://klasma.github.io/Logging_2481/kartor/A 24824-2024 karta.png", "A 24824-2024")</f>
        <v/>
      </c>
      <c r="V116">
        <f>HYPERLINK("https://klasma.github.io/Logging_2481/klagomål/A 24824-2024 FSC-klagomål.docx", "A 24824-2024")</f>
        <v/>
      </c>
      <c r="W116">
        <f>HYPERLINK("https://klasma.github.io/Logging_2481/klagomålsmail/A 24824-2024 FSC-klagomål mail.docx", "A 24824-2024")</f>
        <v/>
      </c>
      <c r="X116">
        <f>HYPERLINK("https://klasma.github.io/Logging_2481/tillsyn/A 24824-2024 tillsynsbegäran.docx", "A 24824-2024")</f>
        <v/>
      </c>
      <c r="Y116">
        <f>HYPERLINK("https://klasma.github.io/Logging_2481/tillsynsmail/A 24824-2024 tillsynsbegäran mail.docx", "A 24824-2024")</f>
        <v/>
      </c>
      <c r="Z116">
        <f>HYPERLINK("https://klasma.github.io/Logging_2481/fåglar/A 24824-2024 prioriterade fågelarter.docx", "A 24824-2024")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46198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61910-2024</t>
        </is>
      </c>
      <c r="B118" s="1" t="n">
        <v>45653</v>
      </c>
      <c r="C118" s="1" t="n">
        <v>46198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53869-2023</t>
        </is>
      </c>
      <c r="B119" s="1" t="n">
        <v>45231</v>
      </c>
      <c r="C119" s="1" t="n">
        <v>46198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53869-2023 artfynd.xlsx", "A 53869-2023")</f>
        <v/>
      </c>
      <c r="T119">
        <f>HYPERLINK("https://klasma.github.io/Logging_2481/kartor/A 53869-2023 karta.png", "A 53869-2023")</f>
        <v/>
      </c>
      <c r="V119">
        <f>HYPERLINK("https://klasma.github.io/Logging_2481/klagomål/A 53869-2023 FSC-klagomål.docx", "A 53869-2023")</f>
        <v/>
      </c>
      <c r="W119">
        <f>HYPERLINK("https://klasma.github.io/Logging_2481/klagomålsmail/A 53869-2023 FSC-klagomål mail.docx", "A 53869-2023")</f>
        <v/>
      </c>
      <c r="X119">
        <f>HYPERLINK("https://klasma.github.io/Logging_2481/tillsyn/A 53869-2023 tillsynsbegäran.docx", "A 53869-2023")</f>
        <v/>
      </c>
      <c r="Y119">
        <f>HYPERLINK("https://klasma.github.io/Logging_2481/tillsynsmail/A 53869-2023 tillsynsbegäran mail.docx", "A 53869-2023")</f>
        <v/>
      </c>
    </row>
    <row r="120" ht="15" customHeight="1">
      <c r="A120" t="inlineStr">
        <is>
          <t>A 59283-2024</t>
        </is>
      </c>
      <c r="B120" s="1" t="n">
        <v>45637</v>
      </c>
      <c r="C120" s="1" t="n">
        <v>46198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59283-2024 artfynd.xlsx", "A 59283-2024")</f>
        <v/>
      </c>
      <c r="T120">
        <f>HYPERLINK("https://klasma.github.io/Logging_2481/kartor/A 59283-2024 karta.png", "A 59283-2024")</f>
        <v/>
      </c>
      <c r="V120">
        <f>HYPERLINK("https://klasma.github.io/Logging_2481/klagomål/A 59283-2024 FSC-klagomål.docx", "A 59283-2024")</f>
        <v/>
      </c>
      <c r="W120">
        <f>HYPERLINK("https://klasma.github.io/Logging_2481/klagomålsmail/A 59283-2024 FSC-klagomål mail.docx", "A 59283-2024")</f>
        <v/>
      </c>
      <c r="X120">
        <f>HYPERLINK("https://klasma.github.io/Logging_2481/tillsyn/A 59283-2024 tillsynsbegäran.docx", "A 59283-2024")</f>
        <v/>
      </c>
      <c r="Y120">
        <f>HYPERLINK("https://klasma.github.io/Logging_2481/tillsynsmail/A 59283-2024 tillsynsbegäran mail.docx", "A 59283-2024")</f>
        <v/>
      </c>
    </row>
    <row r="121" ht="15" customHeight="1">
      <c r="A121" t="inlineStr">
        <is>
          <t>A 35559-2023</t>
        </is>
      </c>
      <c r="B121" s="1" t="n">
        <v>45147</v>
      </c>
      <c r="C121" s="1" t="n">
        <v>46198</v>
      </c>
      <c r="D121" t="inlineStr">
        <is>
          <t>VÄSTERBOTTENS LÄN</t>
        </is>
      </c>
      <c r="E121" t="inlineStr">
        <is>
          <t>LYCKSELE</t>
        </is>
      </c>
      <c r="G121" t="n">
        <v>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Stjärntagging</t>
        </is>
      </c>
      <c r="S121">
        <f>HYPERLINK("https://klasma.github.io/Logging_2481/artfynd/A 35559-2023 artfynd.xlsx", "A 35559-2023")</f>
        <v/>
      </c>
      <c r="T121">
        <f>HYPERLINK("https://klasma.github.io/Logging_2481/kartor/A 35559-2023 karta.png", "A 35559-2023")</f>
        <v/>
      </c>
      <c r="V121">
        <f>HYPERLINK("https://klasma.github.io/Logging_2481/klagomål/A 35559-2023 FSC-klagomål.docx", "A 35559-2023")</f>
        <v/>
      </c>
      <c r="W121">
        <f>HYPERLINK("https://klasma.github.io/Logging_2481/klagomålsmail/A 35559-2023 FSC-klagomål mail.docx", "A 35559-2023")</f>
        <v/>
      </c>
      <c r="X121">
        <f>HYPERLINK("https://klasma.github.io/Logging_2481/tillsyn/A 35559-2023 tillsynsbegäran.docx", "A 35559-2023")</f>
        <v/>
      </c>
      <c r="Y121">
        <f>HYPERLINK("https://klasma.github.io/Logging_2481/tillsynsmail/A 35559-2023 tillsynsbegäran mail.docx", "A 35559-2023")</f>
        <v/>
      </c>
    </row>
    <row r="122" ht="15" customHeight="1">
      <c r="A122" t="inlineStr">
        <is>
          <t>A 36687-2025</t>
        </is>
      </c>
      <c r="B122" s="1" t="n">
        <v>45873</v>
      </c>
      <c r="C122" s="1" t="n">
        <v>46198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36687-2025 artfynd.xlsx", "A 36687-2025")</f>
        <v/>
      </c>
      <c r="T122">
        <f>HYPERLINK("https://klasma.github.io/Logging_2481/kartor/A 36687-2025 karta.png", "A 36687-2025")</f>
        <v/>
      </c>
      <c r="V122">
        <f>HYPERLINK("https://klasma.github.io/Logging_2481/klagomål/A 36687-2025 FSC-klagomål.docx", "A 36687-2025")</f>
        <v/>
      </c>
      <c r="W122">
        <f>HYPERLINK("https://klasma.github.io/Logging_2481/klagomålsmail/A 36687-2025 FSC-klagomål mail.docx", "A 36687-2025")</f>
        <v/>
      </c>
      <c r="X122">
        <f>HYPERLINK("https://klasma.github.io/Logging_2481/tillsyn/A 36687-2025 tillsynsbegäran.docx", "A 36687-2025")</f>
        <v/>
      </c>
      <c r="Y122">
        <f>HYPERLINK("https://klasma.github.io/Logging_2481/tillsynsmail/A 36687-2025 tillsynsbegäran mail.docx", "A 36687-2025")</f>
        <v/>
      </c>
    </row>
    <row r="123" ht="15" customHeight="1">
      <c r="A123" t="inlineStr">
        <is>
          <t>A 39231-2025</t>
        </is>
      </c>
      <c r="B123" s="1" t="n">
        <v>45889</v>
      </c>
      <c r="C123" s="1" t="n">
        <v>46198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</v>
      </c>
      <c r="C124" s="1" t="n">
        <v>46198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37823-2025</t>
        </is>
      </c>
      <c r="B125" s="1" t="n">
        <v>45881</v>
      </c>
      <c r="C125" s="1" t="n">
        <v>46198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HYPERLINK("https://klasma.github.io/Logging_2481/artfynd/A 37823-2025 artfynd.xlsx", "A 37823-2025")</f>
        <v/>
      </c>
      <c r="T125">
        <f>HYPERLINK("https://klasma.github.io/Logging_2481/kartor/A 37823-2025 karta.png", "A 37823-2025")</f>
        <v/>
      </c>
      <c r="V125">
        <f>HYPERLINK("https://klasma.github.io/Logging_2481/klagomål/A 37823-2025 FSC-klagomål.docx", "A 37823-2025")</f>
        <v/>
      </c>
      <c r="W125">
        <f>HYPERLINK("https://klasma.github.io/Logging_2481/klagomålsmail/A 37823-2025 FSC-klagomål mail.docx", "A 37823-2025")</f>
        <v/>
      </c>
      <c r="X125">
        <f>HYPERLINK("https://klasma.github.io/Logging_2481/tillsyn/A 37823-2025 tillsynsbegäran.docx", "A 37823-2025")</f>
        <v/>
      </c>
      <c r="Y125">
        <f>HYPERLINK("https://klasma.github.io/Logging_2481/tillsynsmail/A 37823-2025 tillsynsbegäran mail.docx", "A 37823-2025")</f>
        <v/>
      </c>
    </row>
    <row r="126" ht="15" customHeight="1">
      <c r="A126" t="inlineStr">
        <is>
          <t>A 37669-2024</t>
        </is>
      </c>
      <c r="B126" s="1" t="n">
        <v>45541</v>
      </c>
      <c r="C126" s="1" t="n">
        <v>46198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46198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44076-2025</t>
        </is>
      </c>
      <c r="B128" s="1" t="n">
        <v>45915</v>
      </c>
      <c r="C128" s="1" t="n">
        <v>46198</v>
      </c>
      <c r="D128" t="inlineStr">
        <is>
          <t>VÄSTERBOTTENS LÄN</t>
        </is>
      </c>
      <c r="E128" t="inlineStr">
        <is>
          <t>LYCKSELE</t>
        </is>
      </c>
      <c r="G128" t="n">
        <v>25.1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Garnlav</t>
        </is>
      </c>
      <c r="S128">
        <f>HYPERLINK("https://klasma.github.io/Logging_2481/artfynd/A 44076-2025 artfynd.xlsx", "A 44076-2025")</f>
        <v/>
      </c>
      <c r="T128">
        <f>HYPERLINK("https://klasma.github.io/Logging_2481/kartor/A 44076-2025 karta.png", "A 44076-2025")</f>
        <v/>
      </c>
      <c r="V128">
        <f>HYPERLINK("https://klasma.github.io/Logging_2481/klagomål/A 44076-2025 FSC-klagomål.docx", "A 44076-2025")</f>
        <v/>
      </c>
      <c r="W128">
        <f>HYPERLINK("https://klasma.github.io/Logging_2481/klagomålsmail/A 44076-2025 FSC-klagomål mail.docx", "A 44076-2025")</f>
        <v/>
      </c>
      <c r="X128">
        <f>HYPERLINK("https://klasma.github.io/Logging_2481/tillsyn/A 44076-2025 tillsynsbegäran.docx", "A 44076-2025")</f>
        <v/>
      </c>
      <c r="Y128">
        <f>HYPERLINK("https://klasma.github.io/Logging_2481/tillsynsmail/A 44076-2025 tillsynsbegäran mail.docx", "A 44076-2025")</f>
        <v/>
      </c>
    </row>
    <row r="129" ht="15" customHeight="1">
      <c r="A129" t="inlineStr">
        <is>
          <t>A 44360-2025</t>
        </is>
      </c>
      <c r="B129" s="1" t="n">
        <v>45916</v>
      </c>
      <c r="C129" s="1" t="n">
        <v>46198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Garnlav</t>
        </is>
      </c>
      <c r="S129">
        <f>HYPERLINK("https://klasma.github.io/Logging_2481/artfynd/A 44360-2025 artfynd.xlsx", "A 44360-2025")</f>
        <v/>
      </c>
      <c r="T129">
        <f>HYPERLINK("https://klasma.github.io/Logging_2481/kartor/A 44360-2025 karta.png", "A 44360-2025")</f>
        <v/>
      </c>
      <c r="V129">
        <f>HYPERLINK("https://klasma.github.io/Logging_2481/klagomål/A 44360-2025 FSC-klagomål.docx", "A 44360-2025")</f>
        <v/>
      </c>
      <c r="W129">
        <f>HYPERLINK("https://klasma.github.io/Logging_2481/klagomålsmail/A 44360-2025 FSC-klagomål mail.docx", "A 44360-2025")</f>
        <v/>
      </c>
      <c r="X129">
        <f>HYPERLINK("https://klasma.github.io/Logging_2481/tillsyn/A 44360-2025 tillsynsbegäran.docx", "A 44360-2025")</f>
        <v/>
      </c>
      <c r="Y129">
        <f>HYPERLINK("https://klasma.github.io/Logging_2481/tillsynsmail/A 44360-2025 tillsynsbegäran mail.docx", "A 44360-2025")</f>
        <v/>
      </c>
    </row>
    <row r="130" ht="15" customHeight="1">
      <c r="A130" t="inlineStr">
        <is>
          <t>A 44331-2025</t>
        </is>
      </c>
      <c r="B130" s="1" t="n">
        <v>45916</v>
      </c>
      <c r="C130" s="1" t="n">
        <v>46198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45127-2025</t>
        </is>
      </c>
      <c r="B131" s="1" t="n">
        <v>45919</v>
      </c>
      <c r="C131" s="1" t="n">
        <v>46198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47454-2025</t>
        </is>
      </c>
      <c r="B132" s="1" t="n">
        <v>45930</v>
      </c>
      <c r="C132" s="1" t="n">
        <v>46198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25706-2026</t>
        </is>
      </c>
      <c r="B133" s="1" t="n">
        <v>46178</v>
      </c>
      <c r="C133" s="1" t="n">
        <v>46198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25706-2026 artfynd.xlsx", "A 25706-2026")</f>
        <v/>
      </c>
      <c r="T133">
        <f>HYPERLINK("https://klasma.github.io/Logging_2481/kartor/A 25706-2026 karta.png", "A 25706-2026")</f>
        <v/>
      </c>
      <c r="V133">
        <f>HYPERLINK("https://klasma.github.io/Logging_2481/klagomål/A 25706-2026 FSC-klagomål.docx", "A 25706-2026")</f>
        <v/>
      </c>
      <c r="W133">
        <f>HYPERLINK("https://klasma.github.io/Logging_2481/klagomålsmail/A 25706-2026 FSC-klagomål mail.docx", "A 25706-2026")</f>
        <v/>
      </c>
      <c r="X133">
        <f>HYPERLINK("https://klasma.github.io/Logging_2481/tillsyn/A 25706-2026 tillsynsbegäran.docx", "A 25706-2026")</f>
        <v/>
      </c>
      <c r="Y133">
        <f>HYPERLINK("https://klasma.github.io/Logging_2481/tillsynsmail/A 25706-2026 tillsynsbegäran mail.docx", "A 25706-2026")</f>
        <v/>
      </c>
    </row>
    <row r="134" ht="15" customHeight="1">
      <c r="A134" t="inlineStr">
        <is>
          <t>A 25720-2026</t>
        </is>
      </c>
      <c r="B134" s="1" t="n">
        <v>46178</v>
      </c>
      <c r="C134" s="1" t="n">
        <v>46198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HYPERLINK("https://klasma.github.io/Logging_2481/artfynd/A 25720-2026 artfynd.xlsx", "A 25720-2026")</f>
        <v/>
      </c>
      <c r="T134">
        <f>HYPERLINK("https://klasma.github.io/Logging_2481/kartor/A 25720-2026 karta.png", "A 25720-2026")</f>
        <v/>
      </c>
      <c r="V134">
        <f>HYPERLINK("https://klasma.github.io/Logging_2481/klagomål/A 25720-2026 FSC-klagomål.docx", "A 25720-2026")</f>
        <v/>
      </c>
      <c r="W134">
        <f>HYPERLINK("https://klasma.github.io/Logging_2481/klagomålsmail/A 25720-2026 FSC-klagomål mail.docx", "A 25720-2026")</f>
        <v/>
      </c>
      <c r="X134">
        <f>HYPERLINK("https://klasma.github.io/Logging_2481/tillsyn/A 25720-2026 tillsynsbegäran.docx", "A 25720-2026")</f>
        <v/>
      </c>
      <c r="Y134">
        <f>HYPERLINK("https://klasma.github.io/Logging_2481/tillsynsmail/A 25720-2026 tillsynsbegäran mail.docx", "A 25720-2026")</f>
        <v/>
      </c>
    </row>
    <row r="135" ht="15" customHeight="1">
      <c r="A135" t="inlineStr">
        <is>
          <t>A 25701-2026</t>
        </is>
      </c>
      <c r="B135" s="1" t="n">
        <v>46178</v>
      </c>
      <c r="C135" s="1" t="n">
        <v>46198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Skrovellav</t>
        </is>
      </c>
      <c r="S135">
        <f>HYPERLINK("https://klasma.github.io/Logging_2481/artfynd/A 25701-2026 artfynd.xlsx", "A 25701-2026")</f>
        <v/>
      </c>
      <c r="T135">
        <f>HYPERLINK("https://klasma.github.io/Logging_2481/kartor/A 25701-2026 karta.png", "A 25701-2026")</f>
        <v/>
      </c>
      <c r="V135">
        <f>HYPERLINK("https://klasma.github.io/Logging_2481/klagomål/A 25701-2026 FSC-klagomål.docx", "A 25701-2026")</f>
        <v/>
      </c>
      <c r="W135">
        <f>HYPERLINK("https://klasma.github.io/Logging_2481/klagomålsmail/A 25701-2026 FSC-klagomål mail.docx", "A 25701-2026")</f>
        <v/>
      </c>
      <c r="X135">
        <f>HYPERLINK("https://klasma.github.io/Logging_2481/tillsyn/A 25701-2026 tillsynsbegäran.docx", "A 25701-2026")</f>
        <v/>
      </c>
      <c r="Y135">
        <f>HYPERLINK("https://klasma.github.io/Logging_2481/tillsynsmail/A 25701-2026 tillsynsbegäran mail.docx", "A 25701-2026")</f>
        <v/>
      </c>
    </row>
    <row r="136" ht="15" customHeight="1">
      <c r="A136" t="inlineStr">
        <is>
          <t>A 50463-2025</t>
        </is>
      </c>
      <c r="B136" s="1" t="n">
        <v>45945</v>
      </c>
      <c r="C136" s="1" t="n">
        <v>46198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50463-2025 artfynd.xlsx", "A 50463-2025")</f>
        <v/>
      </c>
      <c r="T136">
        <f>HYPERLINK("https://klasma.github.io/Logging_2481/kartor/A 50463-2025 karta.png", "A 50463-2025")</f>
        <v/>
      </c>
      <c r="V136">
        <f>HYPERLINK("https://klasma.github.io/Logging_2481/klagomål/A 50463-2025 FSC-klagomål.docx", "A 50463-2025")</f>
        <v/>
      </c>
      <c r="W136">
        <f>HYPERLINK("https://klasma.github.io/Logging_2481/klagomålsmail/A 50463-2025 FSC-klagomål mail.docx", "A 50463-2025")</f>
        <v/>
      </c>
      <c r="X136">
        <f>HYPERLINK("https://klasma.github.io/Logging_2481/tillsyn/A 50463-2025 tillsynsbegäran.docx", "A 50463-2025")</f>
        <v/>
      </c>
      <c r="Y136">
        <f>HYPERLINK("https://klasma.github.io/Logging_2481/tillsynsmail/A 50463-2025 tillsynsbegäran mail.docx", "A 50463-2025")</f>
        <v/>
      </c>
    </row>
    <row r="137" ht="15" customHeight="1">
      <c r="A137" t="inlineStr">
        <is>
          <t>A 55938-2023</t>
        </is>
      </c>
      <c r="B137" s="1" t="n">
        <v>45240</v>
      </c>
      <c r="C137" s="1" t="n">
        <v>46198</v>
      </c>
      <c r="D137" t="inlineStr">
        <is>
          <t>VÄSTERBOTTENS LÄN</t>
        </is>
      </c>
      <c r="E137" t="inlineStr">
        <is>
          <t>LYCKSELE</t>
        </is>
      </c>
      <c r="G137" t="n">
        <v>1.9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HYPERLINK("https://klasma.github.io/Logging_2481/artfynd/A 55938-2023 artfynd.xlsx", "A 55938-2023")</f>
        <v/>
      </c>
      <c r="T137">
        <f>HYPERLINK("https://klasma.github.io/Logging_2481/kartor/A 55938-2023 karta.png", "A 55938-2023")</f>
        <v/>
      </c>
      <c r="V137">
        <f>HYPERLINK("https://klasma.github.io/Logging_2481/klagomål/A 55938-2023 FSC-klagomål.docx", "A 55938-2023")</f>
        <v/>
      </c>
      <c r="W137">
        <f>HYPERLINK("https://klasma.github.io/Logging_2481/klagomålsmail/A 55938-2023 FSC-klagomål mail.docx", "A 55938-2023")</f>
        <v/>
      </c>
      <c r="X137">
        <f>HYPERLINK("https://klasma.github.io/Logging_2481/tillsyn/A 55938-2023 tillsynsbegäran.docx", "A 55938-2023")</f>
        <v/>
      </c>
      <c r="Y137">
        <f>HYPERLINK("https://klasma.github.io/Logging_2481/tillsynsmail/A 55938-2023 tillsynsbegäran mail.docx", "A 55938-2023")</f>
        <v/>
      </c>
      <c r="Z137">
        <f>HYPERLINK("https://klasma.github.io/Logging_2481/fåglar/A 55938-2023 prioriterade fågelarter.docx", "A 55938-2023")</f>
        <v/>
      </c>
    </row>
    <row r="138" ht="15" customHeight="1">
      <c r="A138" t="inlineStr">
        <is>
          <t>A 20404-2026</t>
        </is>
      </c>
      <c r="B138" s="1" t="n">
        <v>46140</v>
      </c>
      <c r="C138" s="1" t="n">
        <v>46198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20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HYPERLINK("https://klasma.github.io/Logging_2481/artfynd/A 20404-2026 artfynd.xlsx", "A 20404-2026")</f>
        <v/>
      </c>
      <c r="T138">
        <f>HYPERLINK("https://klasma.github.io/Logging_2481/kartor/A 20404-2026 karta.png", "A 20404-2026")</f>
        <v/>
      </c>
      <c r="V138">
        <f>HYPERLINK("https://klasma.github.io/Logging_2481/klagomål/A 20404-2026 FSC-klagomål.docx", "A 20404-2026")</f>
        <v/>
      </c>
      <c r="W138">
        <f>HYPERLINK("https://klasma.github.io/Logging_2481/klagomålsmail/A 20404-2026 FSC-klagomål mail.docx", "A 20404-2026")</f>
        <v/>
      </c>
      <c r="X138">
        <f>HYPERLINK("https://klasma.github.io/Logging_2481/tillsyn/A 20404-2026 tillsynsbegäran.docx", "A 20404-2026")</f>
        <v/>
      </c>
      <c r="Y138">
        <f>HYPERLINK("https://klasma.github.io/Logging_2481/tillsynsmail/A 20404-2026 tillsynsbegäran mail.docx", "A 20404-2026")</f>
        <v/>
      </c>
    </row>
    <row r="139" ht="15" customHeight="1">
      <c r="A139" t="inlineStr">
        <is>
          <t>A 53110-2025</t>
        </is>
      </c>
      <c r="B139" s="1" t="n">
        <v>45958</v>
      </c>
      <c r="C139" s="1" t="n">
        <v>46198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53108-2025</t>
        </is>
      </c>
      <c r="B140" s="1" t="n">
        <v>45958</v>
      </c>
      <c r="C140" s="1" t="n">
        <v>46198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HYPERLINK("https://klasma.github.io/Logging_2481/artfynd/A 53108-2025 artfynd.xlsx", "A 53108-2025")</f>
        <v/>
      </c>
      <c r="T140">
        <f>HYPERLINK("https://klasma.github.io/Logging_2481/kartor/A 53108-2025 karta.png", "A 53108-2025")</f>
        <v/>
      </c>
      <c r="V140">
        <f>HYPERLINK("https://klasma.github.io/Logging_2481/klagomål/A 53108-2025 FSC-klagomål.docx", "A 53108-2025")</f>
        <v/>
      </c>
      <c r="W140">
        <f>HYPERLINK("https://klasma.github.io/Logging_2481/klagomålsmail/A 53108-2025 FSC-klagomål mail.docx", "A 53108-2025")</f>
        <v/>
      </c>
      <c r="X140">
        <f>HYPERLINK("https://klasma.github.io/Logging_2481/tillsyn/A 53108-2025 tillsynsbegäran.docx", "A 53108-2025")</f>
        <v/>
      </c>
      <c r="Y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38507-2023</t>
        </is>
      </c>
      <c r="B141" s="1" t="n">
        <v>45162</v>
      </c>
      <c r="C141" s="1" t="n">
        <v>46198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38507-2023 artfynd.xlsx", "A 38507-2023")</f>
        <v/>
      </c>
      <c r="T141">
        <f>HYPERLINK("https://klasma.github.io/Logging_2481/kartor/A 38507-2023 karta.png", "A 38507-2023")</f>
        <v/>
      </c>
      <c r="V141">
        <f>HYPERLINK("https://klasma.github.io/Logging_2481/klagomål/A 38507-2023 FSC-klagomål.docx", "A 38507-2023")</f>
        <v/>
      </c>
      <c r="W141">
        <f>HYPERLINK("https://klasma.github.io/Logging_2481/klagomålsmail/A 38507-2023 FSC-klagomål mail.docx", "A 38507-2023")</f>
        <v/>
      </c>
      <c r="X141">
        <f>HYPERLINK("https://klasma.github.io/Logging_2481/tillsyn/A 38507-2023 tillsynsbegäran.docx", "A 38507-2023")</f>
        <v/>
      </c>
      <c r="Y141">
        <f>HYPERLINK("https://klasma.github.io/Logging_2481/tillsynsmail/A 38507-2023 tillsynsbegäran mail.docx", "A 38507-2023")</f>
        <v/>
      </c>
    </row>
    <row r="142" ht="15" customHeight="1">
      <c r="A142" t="inlineStr">
        <is>
          <t>A 54277-2025</t>
        </is>
      </c>
      <c r="B142" s="1" t="n">
        <v>45964</v>
      </c>
      <c r="C142" s="1" t="n">
        <v>46198</v>
      </c>
      <c r="D142" t="inlineStr">
        <is>
          <t>VÄSTERBOTTENS LÄN</t>
        </is>
      </c>
      <c r="E142" t="inlineStr">
        <is>
          <t>LYCKSELE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Garnlav</t>
        </is>
      </c>
      <c r="S142">
        <f>HYPERLINK("https://klasma.github.io/Logging_2481/artfynd/A 54277-2025 artfynd.xlsx", "A 54277-2025")</f>
        <v/>
      </c>
      <c r="T142">
        <f>HYPERLINK("https://klasma.github.io/Logging_2481/kartor/A 54277-2025 karta.png", "A 54277-2025")</f>
        <v/>
      </c>
      <c r="V142">
        <f>HYPERLINK("https://klasma.github.io/Logging_2481/klagomål/A 54277-2025 FSC-klagomål.docx", "A 54277-2025")</f>
        <v/>
      </c>
      <c r="W142">
        <f>HYPERLINK("https://klasma.github.io/Logging_2481/klagomålsmail/A 54277-2025 FSC-klagomål mail.docx", "A 54277-2025")</f>
        <v/>
      </c>
      <c r="X142">
        <f>HYPERLINK("https://klasma.github.io/Logging_2481/tillsyn/A 54277-2025 tillsynsbegäran.docx", "A 54277-2025")</f>
        <v/>
      </c>
      <c r="Y142">
        <f>HYPERLINK("https://klasma.github.io/Logging_2481/tillsynsmail/A 54277-2025 tillsynsbegäran mail.docx", "A 54277-2025")</f>
        <v/>
      </c>
    </row>
    <row r="143" ht="15" customHeight="1">
      <c r="A143" t="inlineStr">
        <is>
          <t>A 27161-2026</t>
        </is>
      </c>
      <c r="B143" s="1" t="n">
        <v>46188</v>
      </c>
      <c r="C143" s="1" t="n">
        <v>46198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27161-2026 artfynd.xlsx", "A 27161-2026")</f>
        <v/>
      </c>
      <c r="T143">
        <f>HYPERLINK("https://klasma.github.io/Logging_2481/kartor/A 27161-2026 karta.png", "A 27161-2026")</f>
        <v/>
      </c>
      <c r="V143">
        <f>HYPERLINK("https://klasma.github.io/Logging_2481/klagomål/A 27161-2026 FSC-klagomål.docx", "A 27161-2026")</f>
        <v/>
      </c>
      <c r="W143">
        <f>HYPERLINK("https://klasma.github.io/Logging_2481/klagomålsmail/A 27161-2026 FSC-klagomål mail.docx", "A 27161-2026")</f>
        <v/>
      </c>
      <c r="X143">
        <f>HYPERLINK("https://klasma.github.io/Logging_2481/tillsyn/A 27161-2026 tillsynsbegäran.docx", "A 27161-2026")</f>
        <v/>
      </c>
      <c r="Y143">
        <f>HYPERLINK("https://klasma.github.io/Logging_2481/tillsynsmail/A 27161-2026 tillsynsbegäran mail.docx", "A 27161-2026")</f>
        <v/>
      </c>
    </row>
    <row r="144" ht="15" customHeight="1">
      <c r="A144" t="inlineStr">
        <is>
          <t>A 27830-2026</t>
        </is>
      </c>
      <c r="B144" s="1" t="n">
        <v>46191</v>
      </c>
      <c r="C144" s="1" t="n">
        <v>46198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27830-2026 artfynd.xlsx", "A 27830-2026")</f>
        <v/>
      </c>
      <c r="T144">
        <f>HYPERLINK("https://klasma.github.io/Logging_2481/kartor/A 27830-2026 karta.png", "A 27830-2026")</f>
        <v/>
      </c>
      <c r="V144">
        <f>HYPERLINK("https://klasma.github.io/Logging_2481/klagomål/A 27830-2026 FSC-klagomål.docx", "A 27830-2026")</f>
        <v/>
      </c>
      <c r="W144">
        <f>HYPERLINK("https://klasma.github.io/Logging_2481/klagomålsmail/A 27830-2026 FSC-klagomål mail.docx", "A 27830-2026")</f>
        <v/>
      </c>
      <c r="X144">
        <f>HYPERLINK("https://klasma.github.io/Logging_2481/tillsyn/A 27830-2026 tillsynsbegäran.docx", "A 27830-2026")</f>
        <v/>
      </c>
      <c r="Y144">
        <f>HYPERLINK("https://klasma.github.io/Logging_2481/tillsynsmail/A 27830-2026 tillsynsbegäran mail.docx", "A 27830-2026")</f>
        <v/>
      </c>
    </row>
    <row r="145" ht="15" customHeight="1">
      <c r="A145" t="inlineStr">
        <is>
          <t>A 58390-2025</t>
        </is>
      </c>
      <c r="B145" s="1" t="n">
        <v>45985</v>
      </c>
      <c r="C145" s="1" t="n">
        <v>46198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58390-2025 artfynd.xlsx", "A 58390-2025")</f>
        <v/>
      </c>
      <c r="T145">
        <f>HYPERLINK("https://klasma.github.io/Logging_2481/kartor/A 58390-2025 karta.png", "A 58390-2025")</f>
        <v/>
      </c>
      <c r="V145">
        <f>HYPERLINK("https://klasma.github.io/Logging_2481/klagomål/A 58390-2025 FSC-klagomål.docx", "A 58390-2025")</f>
        <v/>
      </c>
      <c r="W145">
        <f>HYPERLINK("https://klasma.github.io/Logging_2481/klagomålsmail/A 58390-2025 FSC-klagomål mail.docx", "A 58390-2025")</f>
        <v/>
      </c>
      <c r="X145">
        <f>HYPERLINK("https://klasma.github.io/Logging_2481/tillsyn/A 58390-2025 tillsynsbegäran.docx", "A 58390-2025")</f>
        <v/>
      </c>
      <c r="Y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58071-2025</t>
        </is>
      </c>
      <c r="B146" s="1" t="n">
        <v>45982</v>
      </c>
      <c r="C146" s="1" t="n">
        <v>46198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Stuplav</t>
        </is>
      </c>
      <c r="S146">
        <f>HYPERLINK("https://klasma.github.io/Logging_2481/artfynd/A 58071-2025 artfynd.xlsx", "A 58071-2025")</f>
        <v/>
      </c>
      <c r="T146">
        <f>HYPERLINK("https://klasma.github.io/Logging_2481/kartor/A 58071-2025 karta.png", "A 58071-2025")</f>
        <v/>
      </c>
      <c r="V146">
        <f>HYPERLINK("https://klasma.github.io/Logging_2481/klagomål/A 58071-2025 FSC-klagomål.docx", "A 58071-2025")</f>
        <v/>
      </c>
      <c r="W146">
        <f>HYPERLINK("https://klasma.github.io/Logging_2481/klagomålsmail/A 58071-2025 FSC-klagomål mail.docx", "A 58071-2025")</f>
        <v/>
      </c>
      <c r="X146">
        <f>HYPERLINK("https://klasma.github.io/Logging_2481/tillsyn/A 58071-2025 tillsynsbegäran.docx", "A 58071-2025")</f>
        <v/>
      </c>
      <c r="Y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59883-2025</t>
        </is>
      </c>
      <c r="B147" s="1" t="n">
        <v>45993</v>
      </c>
      <c r="C147" s="1" t="n">
        <v>46198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59883-2025 artfynd.xlsx", "A 59883-2025")</f>
        <v/>
      </c>
      <c r="T147">
        <f>HYPERLINK("https://klasma.github.io/Logging_2481/kartor/A 59883-2025 karta.png", "A 59883-2025")</f>
        <v/>
      </c>
      <c r="V147">
        <f>HYPERLINK("https://klasma.github.io/Logging_2481/klagomål/A 59883-2025 FSC-klagomål.docx", "A 59883-2025")</f>
        <v/>
      </c>
      <c r="W147">
        <f>HYPERLINK("https://klasma.github.io/Logging_2481/klagomålsmail/A 59883-2025 FSC-klagomål mail.docx", "A 59883-2025")</f>
        <v/>
      </c>
      <c r="X147">
        <f>HYPERLINK("https://klasma.github.io/Logging_2481/tillsyn/A 59883-2025 tillsynsbegäran.docx", "A 59883-2025")</f>
        <v/>
      </c>
      <c r="Y147">
        <f>HYPERLINK("https://klasma.github.io/Logging_2481/tillsynsmail/A 59883-2025 tillsynsbegäran mail.docx", "A 59883-2025")</f>
        <v/>
      </c>
    </row>
    <row r="148" ht="15" customHeight="1">
      <c r="A148" t="inlineStr">
        <is>
          <t>A 20929-2025</t>
        </is>
      </c>
      <c r="B148" s="1" t="n">
        <v>45777</v>
      </c>
      <c r="C148" s="1" t="n">
        <v>46198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20929-2025 artfynd.xlsx", "A 20929-2025")</f>
        <v/>
      </c>
      <c r="T148">
        <f>HYPERLINK("https://klasma.github.io/Logging_2481/kartor/A 20929-2025 karta.png", "A 20929-2025")</f>
        <v/>
      </c>
      <c r="V148">
        <f>HYPERLINK("https://klasma.github.io/Logging_2481/klagomål/A 20929-2025 FSC-klagomål.docx", "A 20929-2025")</f>
        <v/>
      </c>
      <c r="W148">
        <f>HYPERLINK("https://klasma.github.io/Logging_2481/klagomålsmail/A 20929-2025 FSC-klagomål mail.docx", "A 20929-2025")</f>
        <v/>
      </c>
      <c r="X148">
        <f>HYPERLINK("https://klasma.github.io/Logging_2481/tillsyn/A 20929-2025 tillsynsbegäran.docx", "A 20929-2025")</f>
        <v/>
      </c>
      <c r="Y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22120-2026</t>
        </is>
      </c>
      <c r="B149" s="1" t="n">
        <v>46153</v>
      </c>
      <c r="C149" s="1" t="n">
        <v>46198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22120-2026 artfynd.xlsx", "A 22120-2026")</f>
        <v/>
      </c>
      <c r="T149">
        <f>HYPERLINK("https://klasma.github.io/Logging_2481/kartor/A 22120-2026 karta.png", "A 22120-2026")</f>
        <v/>
      </c>
      <c r="V149">
        <f>HYPERLINK("https://klasma.github.io/Logging_2481/klagomål/A 22120-2026 FSC-klagomål.docx", "A 22120-2026")</f>
        <v/>
      </c>
      <c r="W149">
        <f>HYPERLINK("https://klasma.github.io/Logging_2481/klagomålsmail/A 22120-2026 FSC-klagomål mail.docx", "A 22120-2026")</f>
        <v/>
      </c>
      <c r="X149">
        <f>HYPERLINK("https://klasma.github.io/Logging_2481/tillsyn/A 22120-2026 tillsynsbegäran.docx", "A 22120-2026")</f>
        <v/>
      </c>
      <c r="Y149">
        <f>HYPERLINK("https://klasma.github.io/Logging_2481/tillsynsmail/A 22120-2026 tillsynsbegäran mail.docx", "A 22120-2026")</f>
        <v/>
      </c>
    </row>
    <row r="150" ht="15" customHeight="1">
      <c r="A150" t="inlineStr">
        <is>
          <t>A 62317-2025</t>
        </is>
      </c>
      <c r="B150" s="1" t="n">
        <v>46006</v>
      </c>
      <c r="C150" s="1" t="n">
        <v>46198</v>
      </c>
      <c r="D150" t="inlineStr">
        <is>
          <t>VÄSTERBOTTENS LÄN</t>
        </is>
      </c>
      <c r="E150" t="inlineStr">
        <is>
          <t>LYCKSELE</t>
        </is>
      </c>
      <c r="G150" t="n">
        <v>0.9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Plattlummer</t>
        </is>
      </c>
      <c r="S150">
        <f>HYPERLINK("https://klasma.github.io/Logging_2481/artfynd/A 62317-2025 artfynd.xlsx", "A 62317-2025")</f>
        <v/>
      </c>
      <c r="T150">
        <f>HYPERLINK("https://klasma.github.io/Logging_2481/kartor/A 62317-2025 karta.png", "A 62317-2025")</f>
        <v/>
      </c>
      <c r="V150">
        <f>HYPERLINK("https://klasma.github.io/Logging_2481/klagomål/A 62317-2025 FSC-klagomål.docx", "A 62317-2025")</f>
        <v/>
      </c>
      <c r="W150">
        <f>HYPERLINK("https://klasma.github.io/Logging_2481/klagomålsmail/A 62317-2025 FSC-klagomål mail.docx", "A 62317-2025")</f>
        <v/>
      </c>
      <c r="X150">
        <f>HYPERLINK("https://klasma.github.io/Logging_2481/tillsyn/A 62317-2025 tillsynsbegäran.docx", "A 62317-2025")</f>
        <v/>
      </c>
      <c r="Y150">
        <f>HYPERLINK("https://klasma.github.io/Logging_2481/tillsynsmail/A 62317-2025 tillsynsbegäran mail.docx", "A 62317-2025")</f>
        <v/>
      </c>
    </row>
    <row r="151" ht="15" customHeight="1">
      <c r="A151" t="inlineStr">
        <is>
          <t>A 41793-2024</t>
        </is>
      </c>
      <c r="B151" s="1" t="n">
        <v>45561</v>
      </c>
      <c r="C151" s="1" t="n">
        <v>46198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41793-2024 artfynd.xlsx", "A 41793-2024")</f>
        <v/>
      </c>
      <c r="T151">
        <f>HYPERLINK("https://klasma.github.io/Logging_2481/kartor/A 41793-2024 karta.png", "A 41793-2024")</f>
        <v/>
      </c>
      <c r="V151">
        <f>HYPERLINK("https://klasma.github.io/Logging_2481/klagomål/A 41793-2024 FSC-klagomål.docx", "A 41793-2024")</f>
        <v/>
      </c>
      <c r="W151">
        <f>HYPERLINK("https://klasma.github.io/Logging_2481/klagomålsmail/A 41793-2024 FSC-klagomål mail.docx", "A 41793-2024")</f>
        <v/>
      </c>
      <c r="X151">
        <f>HYPERLINK("https://klasma.github.io/Logging_2481/tillsyn/A 41793-2024 tillsynsbegäran.docx", "A 41793-2024")</f>
        <v/>
      </c>
      <c r="Y151">
        <f>HYPERLINK("https://klasma.github.io/Logging_2481/tillsynsmail/A 41793-2024 tillsynsbegäran mail.docx", "A 41793-2024")</f>
        <v/>
      </c>
    </row>
    <row r="152" ht="15" customHeight="1">
      <c r="A152" t="inlineStr">
        <is>
          <t>A 57243-2025</t>
        </is>
      </c>
      <c r="B152" s="1" t="n">
        <v>45979</v>
      </c>
      <c r="C152" s="1" t="n">
        <v>46198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57243-2025 artfynd.xlsx", "A 57243-2025")</f>
        <v/>
      </c>
      <c r="T152">
        <f>HYPERLINK("https://klasma.github.io/Logging_2481/kartor/A 57243-2025 karta.png", "A 57243-2025")</f>
        <v/>
      </c>
      <c r="V152">
        <f>HYPERLINK("https://klasma.github.io/Logging_2481/klagomål/A 57243-2025 FSC-klagomål.docx", "A 57243-2025")</f>
        <v/>
      </c>
      <c r="W152">
        <f>HYPERLINK("https://klasma.github.io/Logging_2481/klagomålsmail/A 57243-2025 FSC-klagomål mail.docx", "A 57243-2025")</f>
        <v/>
      </c>
      <c r="X152">
        <f>HYPERLINK("https://klasma.github.io/Logging_2481/tillsyn/A 57243-2025 tillsynsbegäran.docx", "A 57243-2025")</f>
        <v/>
      </c>
      <c r="Y152">
        <f>HYPERLINK("https://klasma.github.io/Logging_2481/tillsynsmail/A 57243-2025 tillsynsbegäran mail.docx", "A 57243-2025")</f>
        <v/>
      </c>
    </row>
    <row r="153" ht="15" customHeight="1">
      <c r="A153" t="inlineStr">
        <is>
          <t>A 1339-2026</t>
        </is>
      </c>
      <c r="B153" s="1" t="n">
        <v>46031</v>
      </c>
      <c r="C153" s="1" t="n">
        <v>46198</v>
      </c>
      <c r="D153" t="inlineStr">
        <is>
          <t>VÄSTERBOTTENS LÄN</t>
        </is>
      </c>
      <c r="E153" t="inlineStr">
        <is>
          <t>LYCKSELE</t>
        </is>
      </c>
      <c r="G153" t="n">
        <v>4.9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Norna</t>
        </is>
      </c>
      <c r="S153">
        <f>HYPERLINK("https://klasma.github.io/Logging_2481/artfynd/A 1339-2026 artfynd.xlsx", "A 1339-2026")</f>
        <v/>
      </c>
      <c r="T153">
        <f>HYPERLINK("https://klasma.github.io/Logging_2481/kartor/A 1339-2026 karta.png", "A 1339-2026")</f>
        <v/>
      </c>
      <c r="V153">
        <f>HYPERLINK("https://klasma.github.io/Logging_2481/klagomål/A 1339-2026 FSC-klagomål.docx", "A 1339-2026")</f>
        <v/>
      </c>
      <c r="W153">
        <f>HYPERLINK("https://klasma.github.io/Logging_2481/klagomålsmail/A 1339-2026 FSC-klagomål mail.docx", "A 1339-2026")</f>
        <v/>
      </c>
      <c r="X153">
        <f>HYPERLINK("https://klasma.github.io/Logging_2481/tillsyn/A 1339-2026 tillsynsbegäran.docx", "A 1339-2026")</f>
        <v/>
      </c>
      <c r="Y153">
        <f>HYPERLINK("https://klasma.github.io/Logging_2481/tillsynsmail/A 1339-2026 tillsynsbegäran mail.docx", "A 1339-2026")</f>
        <v/>
      </c>
    </row>
    <row r="154" ht="15" customHeight="1">
      <c r="A154" t="inlineStr">
        <is>
          <t>A 2499-2026</t>
        </is>
      </c>
      <c r="B154" s="1" t="n">
        <v>46037</v>
      </c>
      <c r="C154" s="1" t="n">
        <v>46198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19.3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HYPERLINK("https://klasma.github.io/Logging_2481/artfynd/A 2499-2026 artfynd.xlsx", "A 2499-2026")</f>
        <v/>
      </c>
      <c r="T154">
        <f>HYPERLINK("https://klasma.github.io/Logging_2481/kartor/A 2499-2026 karta.png", "A 2499-2026")</f>
        <v/>
      </c>
      <c r="V154">
        <f>HYPERLINK("https://klasma.github.io/Logging_2481/klagomål/A 2499-2026 FSC-klagomål.docx", "A 2499-2026")</f>
        <v/>
      </c>
      <c r="W154">
        <f>HYPERLINK("https://klasma.github.io/Logging_2481/klagomålsmail/A 2499-2026 FSC-klagomål mail.docx", "A 2499-2026")</f>
        <v/>
      </c>
      <c r="X154">
        <f>HYPERLINK("https://klasma.github.io/Logging_2481/tillsyn/A 2499-2026 tillsynsbegäran.docx", "A 2499-2026")</f>
        <v/>
      </c>
      <c r="Y154">
        <f>HYPERLINK("https://klasma.github.io/Logging_2481/tillsynsmail/A 2499-2026 tillsynsbegäran mail.docx", "A 2499-2026")</f>
        <v/>
      </c>
    </row>
    <row r="155" ht="15" customHeight="1">
      <c r="A155" t="inlineStr">
        <is>
          <t>A 8491-2026</t>
        </is>
      </c>
      <c r="B155" s="1" t="n">
        <v>46065</v>
      </c>
      <c r="C155" s="1" t="n">
        <v>46198</v>
      </c>
      <c r="D155" t="inlineStr">
        <is>
          <t>VÄSTERBOTTENS LÄN</t>
        </is>
      </c>
      <c r="E155" t="inlineStr">
        <is>
          <t>LYCKSELE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8491-2026 artfynd.xlsx", "A 8491-2026")</f>
        <v/>
      </c>
      <c r="T155">
        <f>HYPERLINK("https://klasma.github.io/Logging_2481/kartor/A 8491-2026 karta.png", "A 8491-2026")</f>
        <v/>
      </c>
      <c r="V155">
        <f>HYPERLINK("https://klasma.github.io/Logging_2481/klagomål/A 8491-2026 FSC-klagomål.docx", "A 8491-2026")</f>
        <v/>
      </c>
      <c r="W155">
        <f>HYPERLINK("https://klasma.github.io/Logging_2481/klagomålsmail/A 8491-2026 FSC-klagomål mail.docx", "A 8491-2026")</f>
        <v/>
      </c>
      <c r="X155">
        <f>HYPERLINK("https://klasma.github.io/Logging_2481/tillsyn/A 8491-2026 tillsynsbegäran.docx", "A 8491-2026")</f>
        <v/>
      </c>
      <c r="Y155">
        <f>HYPERLINK("https://klasma.github.io/Logging_2481/tillsynsmail/A 8491-2026 tillsynsbegäran mail.docx", "A 8491-2026")</f>
        <v/>
      </c>
    </row>
    <row r="156" ht="15" customHeight="1">
      <c r="A156" t="inlineStr">
        <is>
          <t>A 9722-2026</t>
        </is>
      </c>
      <c r="B156" s="1" t="n">
        <v>46072</v>
      </c>
      <c r="C156" s="1" t="n">
        <v>46198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HYPERLINK("https://klasma.github.io/Logging_2481/artfynd/A 9722-2026 artfynd.xlsx", "A 9722-2026")</f>
        <v/>
      </c>
      <c r="T156">
        <f>HYPERLINK("https://klasma.github.io/Logging_2481/kartor/A 9722-2026 karta.png", "A 9722-2026")</f>
        <v/>
      </c>
      <c r="V156">
        <f>HYPERLINK("https://klasma.github.io/Logging_2481/klagomål/A 9722-2026 FSC-klagomål.docx", "A 9722-2026")</f>
        <v/>
      </c>
      <c r="W156">
        <f>HYPERLINK("https://klasma.github.io/Logging_2481/klagomålsmail/A 9722-2026 FSC-klagomål mail.docx", "A 9722-2026")</f>
        <v/>
      </c>
      <c r="X156">
        <f>HYPERLINK("https://klasma.github.io/Logging_2481/tillsyn/A 9722-2026 tillsynsbegäran.docx", "A 9722-2026")</f>
        <v/>
      </c>
      <c r="Y156">
        <f>HYPERLINK("https://klasma.github.io/Logging_2481/tillsynsmail/A 9722-2026 tillsynsbegäran mail.docx", "A 9722-2026")</f>
        <v/>
      </c>
    </row>
    <row r="157" ht="15" customHeight="1">
      <c r="A157" t="inlineStr">
        <is>
          <t>A 22680-2026</t>
        </is>
      </c>
      <c r="B157" s="1" t="n">
        <v>46156</v>
      </c>
      <c r="C157" s="1" t="n">
        <v>46198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22.2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22680-2026 artfynd.xlsx", "A 22680-2026")</f>
        <v/>
      </c>
      <c r="T157">
        <f>HYPERLINK("https://klasma.github.io/Logging_2481/kartor/A 22680-2026 karta.png", "A 22680-2026")</f>
        <v/>
      </c>
      <c r="V157">
        <f>HYPERLINK("https://klasma.github.io/Logging_2481/klagomål/A 22680-2026 FSC-klagomål.docx", "A 22680-2026")</f>
        <v/>
      </c>
      <c r="W157">
        <f>HYPERLINK("https://klasma.github.io/Logging_2481/klagomålsmail/A 22680-2026 FSC-klagomål mail.docx", "A 22680-2026")</f>
        <v/>
      </c>
      <c r="X157">
        <f>HYPERLINK("https://klasma.github.io/Logging_2481/tillsyn/A 22680-2026 tillsynsbegäran.docx", "A 22680-2026")</f>
        <v/>
      </c>
      <c r="Y157">
        <f>HYPERLINK("https://klasma.github.io/Logging_2481/tillsynsmail/A 22680-2026 tillsynsbegäran mail.docx", "A 22680-2026")</f>
        <v/>
      </c>
    </row>
    <row r="158" ht="15" customHeight="1">
      <c r="A158" t="inlineStr">
        <is>
          <t>A 28408-2023</t>
        </is>
      </c>
      <c r="B158" s="1" t="n">
        <v>45101</v>
      </c>
      <c r="C158" s="1" t="n">
        <v>46198</v>
      </c>
      <c r="D158" t="inlineStr">
        <is>
          <t>VÄSTERBOTTENS LÄN</t>
        </is>
      </c>
      <c r="E158" t="inlineStr">
        <is>
          <t>LYCKSELE</t>
        </is>
      </c>
      <c r="G158" t="n">
        <v>5.7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28408-2023 artfynd.xlsx", "A 28408-2023")</f>
        <v/>
      </c>
      <c r="T158">
        <f>HYPERLINK("https://klasma.github.io/Logging_2481/kartor/A 28408-2023 karta.png", "A 28408-2023")</f>
        <v/>
      </c>
      <c r="V158">
        <f>HYPERLINK("https://klasma.github.io/Logging_2481/klagomål/A 28408-2023 FSC-klagomål.docx", "A 28408-2023")</f>
        <v/>
      </c>
      <c r="W158">
        <f>HYPERLINK("https://klasma.github.io/Logging_2481/klagomålsmail/A 28408-2023 FSC-klagomål mail.docx", "A 28408-2023")</f>
        <v/>
      </c>
      <c r="X158">
        <f>HYPERLINK("https://klasma.github.io/Logging_2481/tillsyn/A 28408-2023 tillsynsbegäran.docx", "A 28408-2023")</f>
        <v/>
      </c>
      <c r="Y158">
        <f>HYPERLINK("https://klasma.github.io/Logging_2481/tillsynsmail/A 28408-2023 tillsynsbegäran mail.docx", "A 28408-2023")</f>
        <v/>
      </c>
    </row>
    <row r="159" ht="15" customHeight="1">
      <c r="A159" t="inlineStr">
        <is>
          <t>A 50018-2024</t>
        </is>
      </c>
      <c r="B159" s="1" t="n">
        <v>45599</v>
      </c>
      <c r="C159" s="1" t="n">
        <v>46198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50018-2024 artfynd.xlsx", "A 50018-2024")</f>
        <v/>
      </c>
      <c r="T159">
        <f>HYPERLINK("https://klasma.github.io/Logging_2481/kartor/A 50018-2024 karta.png", "A 50018-2024")</f>
        <v/>
      </c>
      <c r="V159">
        <f>HYPERLINK("https://klasma.github.io/Logging_2481/klagomål/A 50018-2024 FSC-klagomål.docx", "A 50018-2024")</f>
        <v/>
      </c>
      <c r="W159">
        <f>HYPERLINK("https://klasma.github.io/Logging_2481/klagomålsmail/A 50018-2024 FSC-klagomål mail.docx", "A 50018-2024")</f>
        <v/>
      </c>
      <c r="X159">
        <f>HYPERLINK("https://klasma.github.io/Logging_2481/tillsyn/A 50018-2024 tillsynsbegäran.docx", "A 50018-2024")</f>
        <v/>
      </c>
      <c r="Y159">
        <f>HYPERLINK("https://klasma.github.io/Logging_2481/tillsynsmail/A 50018-2024 tillsynsbegäran mail.docx", "A 50018-2024")</f>
        <v/>
      </c>
    </row>
    <row r="160" ht="15" customHeight="1">
      <c r="A160" t="inlineStr">
        <is>
          <t>A 23396-2026</t>
        </is>
      </c>
      <c r="B160" s="1" t="n">
        <v>46162</v>
      </c>
      <c r="C160" s="1" t="n">
        <v>46198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Källpraktmossa</t>
        </is>
      </c>
      <c r="S160">
        <f>HYPERLINK("https://klasma.github.io/Logging_2481/artfynd/A 23396-2026 artfynd.xlsx", "A 23396-2026")</f>
        <v/>
      </c>
      <c r="T160">
        <f>HYPERLINK("https://klasma.github.io/Logging_2481/kartor/A 23396-2026 karta.png", "A 23396-2026")</f>
        <v/>
      </c>
      <c r="V160">
        <f>HYPERLINK("https://klasma.github.io/Logging_2481/klagomål/A 23396-2026 FSC-klagomål.docx", "A 23396-2026")</f>
        <v/>
      </c>
      <c r="W160">
        <f>HYPERLINK("https://klasma.github.io/Logging_2481/klagomålsmail/A 23396-2026 FSC-klagomål mail.docx", "A 23396-2026")</f>
        <v/>
      </c>
      <c r="X160">
        <f>HYPERLINK("https://klasma.github.io/Logging_2481/tillsyn/A 23396-2026 tillsynsbegäran.docx", "A 23396-2026")</f>
        <v/>
      </c>
      <c r="Y160">
        <f>HYPERLINK("https://klasma.github.io/Logging_2481/tillsynsmail/A 23396-2026 tillsynsbegäran mail.docx", "A 23396-2026")</f>
        <v/>
      </c>
    </row>
    <row r="161" ht="15" customHeight="1">
      <c r="A161" t="inlineStr">
        <is>
          <t>A 33726-2022</t>
        </is>
      </c>
      <c r="B161" s="1" t="n">
        <v>44789</v>
      </c>
      <c r="C161" s="1" t="n">
        <v>46198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12.7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Pärluggla</t>
        </is>
      </c>
      <c r="S161">
        <f>HYPERLINK("https://klasma.github.io/Logging_2481/artfynd/A 33726-2022 artfynd.xlsx", "A 33726-2022")</f>
        <v/>
      </c>
      <c r="T161">
        <f>HYPERLINK("https://klasma.github.io/Logging_2481/kartor/A 33726-2022 karta.png", "A 33726-2022")</f>
        <v/>
      </c>
      <c r="V161">
        <f>HYPERLINK("https://klasma.github.io/Logging_2481/klagomål/A 33726-2022 FSC-klagomål.docx", "A 33726-2022")</f>
        <v/>
      </c>
      <c r="W161">
        <f>HYPERLINK("https://klasma.github.io/Logging_2481/klagomålsmail/A 33726-2022 FSC-klagomål mail.docx", "A 33726-2022")</f>
        <v/>
      </c>
      <c r="X161">
        <f>HYPERLINK("https://klasma.github.io/Logging_2481/tillsyn/A 33726-2022 tillsynsbegäran.docx", "A 33726-2022")</f>
        <v/>
      </c>
      <c r="Y161">
        <f>HYPERLINK("https://klasma.github.io/Logging_2481/tillsynsmail/A 33726-2022 tillsynsbegäran mail.docx", "A 33726-2022")</f>
        <v/>
      </c>
      <c r="Z161">
        <f>HYPERLINK("https://klasma.github.io/Logging_2481/fåglar/A 33726-2022 prioriterade fågelarter.docx", "A 33726-2022")</f>
        <v/>
      </c>
    </row>
    <row r="162" ht="15" customHeight="1">
      <c r="A162" t="inlineStr">
        <is>
          <t>A 25591-2026</t>
        </is>
      </c>
      <c r="B162" s="1" t="n">
        <v>46177</v>
      </c>
      <c r="C162" s="1" t="n">
        <v>46198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Gränsticka</t>
        </is>
      </c>
      <c r="S162">
        <f>HYPERLINK("https://klasma.github.io/Logging_2481/artfynd/A 25591-2026 artfynd.xlsx", "A 25591-2026")</f>
        <v/>
      </c>
      <c r="T162">
        <f>HYPERLINK("https://klasma.github.io/Logging_2481/kartor/A 25591-2026 karta.png", "A 25591-2026")</f>
        <v/>
      </c>
      <c r="V162">
        <f>HYPERLINK("https://klasma.github.io/Logging_2481/klagomål/A 25591-2026 FSC-klagomål.docx", "A 25591-2026")</f>
        <v/>
      </c>
      <c r="W162">
        <f>HYPERLINK("https://klasma.github.io/Logging_2481/klagomålsmail/A 25591-2026 FSC-klagomål mail.docx", "A 25591-2026")</f>
        <v/>
      </c>
      <c r="X162">
        <f>HYPERLINK("https://klasma.github.io/Logging_2481/tillsyn/A 25591-2026 tillsynsbegäran.docx", "A 25591-2026")</f>
        <v/>
      </c>
      <c r="Y162">
        <f>HYPERLINK("https://klasma.github.io/Logging_2481/tillsynsmail/A 25591-2026 tillsynsbegäran mail.docx", "A 25591-2026")</f>
        <v/>
      </c>
    </row>
    <row r="163" ht="15" customHeight="1">
      <c r="A163" t="inlineStr">
        <is>
          <t>A 219-2025</t>
        </is>
      </c>
      <c r="B163" s="1" t="n">
        <v>45660</v>
      </c>
      <c r="C163" s="1" t="n">
        <v>46198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219-2025 artfynd.xlsx", "A 219-2025")</f>
        <v/>
      </c>
      <c r="T163">
        <f>HYPERLINK("https://klasma.github.io/Logging_2481/kartor/A 219-2025 karta.png", "A 219-2025")</f>
        <v/>
      </c>
      <c r="V163">
        <f>HYPERLINK("https://klasma.github.io/Logging_2481/klagomål/A 219-2025 FSC-klagomål.docx", "A 219-2025")</f>
        <v/>
      </c>
      <c r="W163">
        <f>HYPERLINK("https://klasma.github.io/Logging_2481/klagomålsmail/A 219-2025 FSC-klagomål mail.docx", "A 219-2025")</f>
        <v/>
      </c>
      <c r="X163">
        <f>HYPERLINK("https://klasma.github.io/Logging_2481/tillsyn/A 219-2025 tillsynsbegäran.docx", "A 219-2025")</f>
        <v/>
      </c>
      <c r="Y163">
        <f>HYPERLINK("https://klasma.github.io/Logging_2481/tillsynsmail/A 219-2025 tillsynsbegäran mail.docx", "A 219-2025")</f>
        <v/>
      </c>
    </row>
    <row r="164" ht="15" customHeight="1">
      <c r="A164" t="inlineStr">
        <is>
          <t>A 28838-2024</t>
        </is>
      </c>
      <c r="B164" s="1" t="n">
        <v>45478</v>
      </c>
      <c r="C164" s="1" t="n">
        <v>46198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28838-2024 artfynd.xlsx", "A 28838-2024")</f>
        <v/>
      </c>
      <c r="T164">
        <f>HYPERLINK("https://klasma.github.io/Logging_2481/kartor/A 28838-2024 karta.png", "A 28838-2024")</f>
        <v/>
      </c>
      <c r="V164">
        <f>HYPERLINK("https://klasma.github.io/Logging_2481/klagomål/A 28838-2024 FSC-klagomål.docx", "A 28838-2024")</f>
        <v/>
      </c>
      <c r="W164">
        <f>HYPERLINK("https://klasma.github.io/Logging_2481/klagomålsmail/A 28838-2024 FSC-klagomål mail.docx", "A 28838-2024")</f>
        <v/>
      </c>
      <c r="X164">
        <f>HYPERLINK("https://klasma.github.io/Logging_2481/tillsyn/A 28838-2024 tillsynsbegäran.docx", "A 28838-2024")</f>
        <v/>
      </c>
      <c r="Y164">
        <f>HYPERLINK("https://klasma.github.io/Logging_2481/tillsynsmail/A 28838-2024 tillsynsbegäran mail.docx", "A 28838-2024")</f>
        <v/>
      </c>
    </row>
    <row r="165" ht="15" customHeight="1">
      <c r="A165" t="inlineStr">
        <is>
          <t>A 50826-2024</t>
        </is>
      </c>
      <c r="B165" s="1" t="n">
        <v>45602</v>
      </c>
      <c r="C165" s="1" t="n">
        <v>46198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50826-2024 artfynd.xlsx", "A 50826-2024")</f>
        <v/>
      </c>
      <c r="T165">
        <f>HYPERLINK("https://klasma.github.io/Logging_2481/kartor/A 50826-2024 karta.png", "A 50826-2024")</f>
        <v/>
      </c>
      <c r="V165">
        <f>HYPERLINK("https://klasma.github.io/Logging_2481/klagomål/A 50826-2024 FSC-klagomål.docx", "A 50826-2024")</f>
        <v/>
      </c>
      <c r="W165">
        <f>HYPERLINK("https://klasma.github.io/Logging_2481/klagomålsmail/A 50826-2024 FSC-klagomål mail.docx", "A 50826-2024")</f>
        <v/>
      </c>
      <c r="X165">
        <f>HYPERLINK("https://klasma.github.io/Logging_2481/tillsyn/A 50826-2024 tillsynsbegäran.docx", "A 50826-2024")</f>
        <v/>
      </c>
      <c r="Y165">
        <f>HYPERLINK("https://klasma.github.io/Logging_2481/tillsynsmail/A 50826-2024 tillsynsbegäran mail.docx", "A 50826-2024")</f>
        <v/>
      </c>
    </row>
    <row r="166" ht="15" customHeight="1">
      <c r="A166" t="inlineStr">
        <is>
          <t>A 30636-2024</t>
        </is>
      </c>
      <c r="B166" s="1" t="n">
        <v>45495</v>
      </c>
      <c r="C166" s="1" t="n">
        <v>46198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Garnlav</t>
        </is>
      </c>
      <c r="S166">
        <f>HYPERLINK("https://klasma.github.io/Logging_2481/artfynd/A 30636-2024 artfynd.xlsx", "A 30636-2024")</f>
        <v/>
      </c>
      <c r="T166">
        <f>HYPERLINK("https://klasma.github.io/Logging_2481/kartor/A 30636-2024 karta.png", "A 30636-2024")</f>
        <v/>
      </c>
      <c r="V166">
        <f>HYPERLINK("https://klasma.github.io/Logging_2481/klagomål/A 30636-2024 FSC-klagomål.docx", "A 30636-2024")</f>
        <v/>
      </c>
      <c r="W166">
        <f>HYPERLINK("https://klasma.github.io/Logging_2481/klagomålsmail/A 30636-2024 FSC-klagomål mail.docx", "A 30636-2024")</f>
        <v/>
      </c>
      <c r="X166">
        <f>HYPERLINK("https://klasma.github.io/Logging_2481/tillsyn/A 30636-2024 tillsynsbegäran.docx", "A 30636-2024")</f>
        <v/>
      </c>
      <c r="Y166">
        <f>HYPERLINK("https://klasma.github.io/Logging_2481/tillsynsmail/A 30636-2024 tillsynsbegäran mail.docx", "A 30636-2024")</f>
        <v/>
      </c>
    </row>
    <row r="167" ht="15" customHeight="1">
      <c r="A167" t="inlineStr">
        <is>
          <t>A 496-2024</t>
        </is>
      </c>
      <c r="B167" s="1" t="n">
        <v>45299</v>
      </c>
      <c r="C167" s="1" t="n">
        <v>46198</v>
      </c>
      <c r="D167" t="inlineStr">
        <is>
          <t>VÄSTERBOTTENS LÄN</t>
        </is>
      </c>
      <c r="E167" t="inlineStr">
        <is>
          <t>LYCKSELE</t>
        </is>
      </c>
      <c r="G167" t="n">
        <v>5.2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496-2024 artfynd.xlsx", "A 496-2024")</f>
        <v/>
      </c>
      <c r="T167">
        <f>HYPERLINK("https://klasma.github.io/Logging_2481/kartor/A 496-2024 karta.png", "A 496-2024")</f>
        <v/>
      </c>
      <c r="V167">
        <f>HYPERLINK("https://klasma.github.io/Logging_2481/klagomål/A 496-2024 FSC-klagomål.docx", "A 496-2024")</f>
        <v/>
      </c>
      <c r="W167">
        <f>HYPERLINK("https://klasma.github.io/Logging_2481/klagomålsmail/A 496-2024 FSC-klagomål mail.docx", "A 496-2024")</f>
        <v/>
      </c>
      <c r="X167">
        <f>HYPERLINK("https://klasma.github.io/Logging_2481/tillsyn/A 496-2024 tillsynsbegäran.docx", "A 496-2024")</f>
        <v/>
      </c>
      <c r="Y167">
        <f>HYPERLINK("https://klasma.github.io/Logging_2481/tillsynsmail/A 496-2024 tillsynsbegäran mail.docx", "A 496-2024")</f>
        <v/>
      </c>
      <c r="Z167">
        <f>HYPERLINK("https://klasma.github.io/Logging_2481/fåglar/A 496-2024 prioriterade fågelarter.docx", "A 496-2024")</f>
        <v/>
      </c>
    </row>
    <row r="168" ht="15" customHeight="1">
      <c r="A168" t="inlineStr">
        <is>
          <t>A 22373-2025</t>
        </is>
      </c>
      <c r="B168" s="1" t="n">
        <v>45786</v>
      </c>
      <c r="C168" s="1" t="n">
        <v>46198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Garnlav</t>
        </is>
      </c>
      <c r="S168">
        <f>HYPERLINK("https://klasma.github.io/Logging_2481/artfynd/A 22373-2025 artfynd.xlsx", "A 22373-2025")</f>
        <v/>
      </c>
      <c r="T168">
        <f>HYPERLINK("https://klasma.github.io/Logging_2481/kartor/A 22373-2025 karta.png", "A 22373-2025")</f>
        <v/>
      </c>
      <c r="V168">
        <f>HYPERLINK("https://klasma.github.io/Logging_2481/klagomål/A 22373-2025 FSC-klagomål.docx", "A 22373-2025")</f>
        <v/>
      </c>
      <c r="W168">
        <f>HYPERLINK("https://klasma.github.io/Logging_2481/klagomålsmail/A 22373-2025 FSC-klagomål mail.docx", "A 22373-2025")</f>
        <v/>
      </c>
      <c r="X168">
        <f>HYPERLINK("https://klasma.github.io/Logging_2481/tillsyn/A 22373-2025 tillsynsbegäran.docx", "A 22373-2025")</f>
        <v/>
      </c>
      <c r="Y168">
        <f>HYPERLINK("https://klasma.github.io/Logging_2481/tillsynsmail/A 22373-2025 tillsynsbegäran mail.docx", "A 22373-2025")</f>
        <v/>
      </c>
    </row>
    <row r="169" ht="15" customHeight="1">
      <c r="A169" t="inlineStr">
        <is>
          <t>A 53226-2022</t>
        </is>
      </c>
      <c r="B169" s="1" t="n">
        <v>44876</v>
      </c>
      <c r="C169" s="1" t="n">
        <v>46198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10.5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Ängsmetallvinge</t>
        </is>
      </c>
      <c r="S169">
        <f>HYPERLINK("https://klasma.github.io/Logging_2481/artfynd/A 53226-2022 artfynd.xlsx", "A 53226-2022")</f>
        <v/>
      </c>
      <c r="T169">
        <f>HYPERLINK("https://klasma.github.io/Logging_2481/kartor/A 53226-2022 karta.png", "A 53226-2022")</f>
        <v/>
      </c>
      <c r="V169">
        <f>HYPERLINK("https://klasma.github.io/Logging_2481/klagomål/A 53226-2022 FSC-klagomål.docx", "A 53226-2022")</f>
        <v/>
      </c>
      <c r="W169">
        <f>HYPERLINK("https://klasma.github.io/Logging_2481/klagomålsmail/A 53226-2022 FSC-klagomål mail.docx", "A 53226-2022")</f>
        <v/>
      </c>
      <c r="X169">
        <f>HYPERLINK("https://klasma.github.io/Logging_2481/tillsyn/A 53226-2022 tillsynsbegäran.docx", "A 53226-2022")</f>
        <v/>
      </c>
      <c r="Y169">
        <f>HYPERLINK("https://klasma.github.io/Logging_2481/tillsynsmail/A 53226-2022 tillsynsbegäran mail.docx", "A 53226-2022")</f>
        <v/>
      </c>
    </row>
    <row r="170" ht="15" customHeight="1">
      <c r="A170" t="inlineStr">
        <is>
          <t>A 7768-2023</t>
        </is>
      </c>
      <c r="B170" s="1" t="n">
        <v>44973</v>
      </c>
      <c r="C170" s="1" t="n">
        <v>46198</v>
      </c>
      <c r="D170" t="inlineStr">
        <is>
          <t>VÄSTERBOTTENS LÄN</t>
        </is>
      </c>
      <c r="E170" t="inlineStr">
        <is>
          <t>LYCKSELE</t>
        </is>
      </c>
      <c r="G170" t="n">
        <v>2.3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HYPERLINK("https://klasma.github.io/Logging_2481/artfynd/A 7768-2023 artfynd.xlsx", "A 7768-2023")</f>
        <v/>
      </c>
      <c r="T170">
        <f>HYPERLINK("https://klasma.github.io/Logging_2481/kartor/A 7768-2023 karta.png", "A 7768-2023")</f>
        <v/>
      </c>
      <c r="U170">
        <f>HYPERLINK("https://klasma.github.io/Logging_2481/knärot/A 7768-2023 karta knärot.png", "A 7768-2023")</f>
        <v/>
      </c>
      <c r="V170">
        <f>HYPERLINK("https://klasma.github.io/Logging_2481/klagomål/A 7768-2023 FSC-klagomål.docx", "A 7768-2023")</f>
        <v/>
      </c>
      <c r="W170">
        <f>HYPERLINK("https://klasma.github.io/Logging_2481/klagomålsmail/A 7768-2023 FSC-klagomål mail.docx", "A 7768-2023")</f>
        <v/>
      </c>
      <c r="X170">
        <f>HYPERLINK("https://klasma.github.io/Logging_2481/tillsyn/A 7768-2023 tillsynsbegäran.docx", "A 7768-2023")</f>
        <v/>
      </c>
      <c r="Y170">
        <f>HYPERLINK("https://klasma.github.io/Logging_2481/tillsynsmail/A 7768-2023 tillsynsbegäran mail.docx", "A 7768-2023")</f>
        <v/>
      </c>
    </row>
    <row r="171" ht="15" customHeight="1">
      <c r="A171" t="inlineStr">
        <is>
          <t>A 28307-2025</t>
        </is>
      </c>
      <c r="B171" s="1" t="n">
        <v>45818</v>
      </c>
      <c r="C171" s="1" t="n">
        <v>46198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28307-2025 artfynd.xlsx", "A 28307-2025")</f>
        <v/>
      </c>
      <c r="T171">
        <f>HYPERLINK("https://klasma.github.io/Logging_2481/kartor/A 28307-2025 karta.png", "A 28307-2025")</f>
        <v/>
      </c>
      <c r="V171">
        <f>HYPERLINK("https://klasma.github.io/Logging_2481/klagomål/A 28307-2025 FSC-klagomål.docx", "A 28307-2025")</f>
        <v/>
      </c>
      <c r="W171">
        <f>HYPERLINK("https://klasma.github.io/Logging_2481/klagomålsmail/A 28307-2025 FSC-klagomål mail.docx", "A 28307-2025")</f>
        <v/>
      </c>
      <c r="X171">
        <f>HYPERLINK("https://klasma.github.io/Logging_2481/tillsyn/A 28307-2025 tillsynsbegäran.docx", "A 28307-2025")</f>
        <v/>
      </c>
      <c r="Y171">
        <f>HYPERLINK("https://klasma.github.io/Logging_2481/tillsynsmail/A 28307-2025 tillsynsbegäran mail.docx", "A 28307-2025")</f>
        <v/>
      </c>
    </row>
    <row r="172" ht="15" customHeight="1">
      <c r="A172" t="inlineStr">
        <is>
          <t>A 30515-2025</t>
        </is>
      </c>
      <c r="B172" s="1" t="n">
        <v>45831</v>
      </c>
      <c r="C172" s="1" t="n">
        <v>46198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30515-2025 artfynd.xlsx", "A 30515-2025")</f>
        <v/>
      </c>
      <c r="T172">
        <f>HYPERLINK("https://klasma.github.io/Logging_2481/kartor/A 30515-2025 karta.png", "A 30515-2025")</f>
        <v/>
      </c>
      <c r="V172">
        <f>HYPERLINK("https://klasma.github.io/Logging_2481/klagomål/A 30515-2025 FSC-klagomål.docx", "A 30515-2025")</f>
        <v/>
      </c>
      <c r="W172">
        <f>HYPERLINK("https://klasma.github.io/Logging_2481/klagomålsmail/A 30515-2025 FSC-klagomål mail.docx", "A 30515-2025")</f>
        <v/>
      </c>
      <c r="X172">
        <f>HYPERLINK("https://klasma.github.io/Logging_2481/tillsyn/A 30515-2025 tillsynsbegäran.docx", "A 30515-2025")</f>
        <v/>
      </c>
      <c r="Y172">
        <f>HYPERLINK("https://klasma.github.io/Logging_2481/tillsynsmail/A 30515-2025 tillsynsbegäran mail.docx", "A 30515-2025")</f>
        <v/>
      </c>
    </row>
    <row r="173" ht="15" customHeight="1">
      <c r="A173" t="inlineStr">
        <is>
          <t>A 33346-2025</t>
        </is>
      </c>
      <c r="B173" s="1" t="n">
        <v>45841</v>
      </c>
      <c r="C173" s="1" t="n">
        <v>46198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7.8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Doftskinn</t>
        </is>
      </c>
      <c r="S173">
        <f>HYPERLINK("https://klasma.github.io/Logging_2481/artfynd/A 33346-2025 artfynd.xlsx", "A 33346-2025")</f>
        <v/>
      </c>
      <c r="T173">
        <f>HYPERLINK("https://klasma.github.io/Logging_2481/kartor/A 33346-2025 karta.png", "A 33346-2025")</f>
        <v/>
      </c>
      <c r="V173">
        <f>HYPERLINK("https://klasma.github.io/Logging_2481/klagomål/A 33346-2025 FSC-klagomål.docx", "A 33346-2025")</f>
        <v/>
      </c>
      <c r="W173">
        <f>HYPERLINK("https://klasma.github.io/Logging_2481/klagomålsmail/A 33346-2025 FSC-klagomål mail.docx", "A 33346-2025")</f>
        <v/>
      </c>
      <c r="X173">
        <f>HYPERLINK("https://klasma.github.io/Logging_2481/tillsyn/A 33346-2025 tillsynsbegäran.docx", "A 33346-2025")</f>
        <v/>
      </c>
      <c r="Y173">
        <f>HYPERLINK("https://klasma.github.io/Logging_2481/tillsynsmail/A 33346-2025 tillsynsbegäran mail.docx", "A 33346-2025")</f>
        <v/>
      </c>
    </row>
    <row r="174" ht="15" customHeight="1">
      <c r="A174" t="inlineStr">
        <is>
          <t>A 34032-2025</t>
        </is>
      </c>
      <c r="B174" s="1" t="n">
        <v>45845</v>
      </c>
      <c r="C174" s="1" t="n">
        <v>46198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34032-2025 artfynd.xlsx", "A 34032-2025")</f>
        <v/>
      </c>
      <c r="T174">
        <f>HYPERLINK("https://klasma.github.io/Logging_2481/kartor/A 34032-2025 karta.png", "A 34032-2025")</f>
        <v/>
      </c>
      <c r="V174">
        <f>HYPERLINK("https://klasma.github.io/Logging_2481/klagomål/A 34032-2025 FSC-klagomål.docx", "A 34032-2025")</f>
        <v/>
      </c>
      <c r="W174">
        <f>HYPERLINK("https://klasma.github.io/Logging_2481/klagomålsmail/A 34032-2025 FSC-klagomål mail.docx", "A 34032-2025")</f>
        <v/>
      </c>
      <c r="X174">
        <f>HYPERLINK("https://klasma.github.io/Logging_2481/tillsyn/A 34032-2025 tillsynsbegäran.docx", "A 34032-2025")</f>
        <v/>
      </c>
      <c r="Y174">
        <f>HYPERLINK("https://klasma.github.io/Logging_2481/tillsynsmail/A 34032-2025 tillsynsbegäran mail.docx", "A 34032-2025")</f>
        <v/>
      </c>
    </row>
    <row r="175" ht="15" customHeight="1">
      <c r="A175" t="inlineStr">
        <is>
          <t>A 34958-2025</t>
        </is>
      </c>
      <c r="B175" s="1" t="n">
        <v>45849</v>
      </c>
      <c r="C175" s="1" t="n">
        <v>46198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HYPERLINK("https://klasma.github.io/Logging_2481/artfynd/A 34958-2025 artfynd.xlsx", "A 34958-2025")</f>
        <v/>
      </c>
      <c r="T175">
        <f>HYPERLINK("https://klasma.github.io/Logging_2481/kartor/A 34958-2025 karta.png", "A 34958-2025")</f>
        <v/>
      </c>
      <c r="V175">
        <f>HYPERLINK("https://klasma.github.io/Logging_2481/klagomål/A 34958-2025 FSC-klagomål.docx", "A 34958-2025")</f>
        <v/>
      </c>
      <c r="W175">
        <f>HYPERLINK("https://klasma.github.io/Logging_2481/klagomålsmail/A 34958-2025 FSC-klagomål mail.docx", "A 34958-2025")</f>
        <v/>
      </c>
      <c r="X175">
        <f>HYPERLINK("https://klasma.github.io/Logging_2481/tillsyn/A 34958-2025 tillsynsbegäran.docx", "A 34958-2025")</f>
        <v/>
      </c>
      <c r="Y175">
        <f>HYPERLINK("https://klasma.github.io/Logging_2481/tillsynsmail/A 34958-2025 tillsynsbegäran mail.docx", "A 34958-2025")</f>
        <v/>
      </c>
      <c r="Z175">
        <f>HYPERLINK("https://klasma.github.io/Logging_2481/fåglar/A 34958-2025 prioriterade fågelarter.docx", "A 34958-2025")</f>
        <v/>
      </c>
    </row>
    <row r="176" ht="15" customHeight="1">
      <c r="A176" t="inlineStr">
        <is>
          <t>A 35239-2025</t>
        </is>
      </c>
      <c r="B176" s="1" t="n">
        <v>45853</v>
      </c>
      <c r="C176" s="1" t="n">
        <v>46198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8.699999999999999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35239-2025 artfynd.xlsx", "A 35239-2025")</f>
        <v/>
      </c>
      <c r="T176">
        <f>HYPERLINK("https://klasma.github.io/Logging_2481/kartor/A 35239-2025 karta.png", "A 35239-2025")</f>
        <v/>
      </c>
      <c r="V176">
        <f>HYPERLINK("https://klasma.github.io/Logging_2481/klagomål/A 35239-2025 FSC-klagomål.docx", "A 35239-2025")</f>
        <v/>
      </c>
      <c r="W176">
        <f>HYPERLINK("https://klasma.github.io/Logging_2481/klagomålsmail/A 35239-2025 FSC-klagomål mail.docx", "A 35239-2025")</f>
        <v/>
      </c>
      <c r="X176">
        <f>HYPERLINK("https://klasma.github.io/Logging_2481/tillsyn/A 35239-2025 tillsynsbegäran.docx", "A 35239-2025")</f>
        <v/>
      </c>
      <c r="Y176">
        <f>HYPERLINK("https://klasma.github.io/Logging_2481/tillsynsmail/A 35239-2025 tillsynsbegäran mail.docx", "A 35239-2025")</f>
        <v/>
      </c>
    </row>
    <row r="177" ht="15" customHeight="1">
      <c r="A177" t="inlineStr">
        <is>
          <t>A 35226-2025</t>
        </is>
      </c>
      <c r="B177" s="1" t="n">
        <v>45853</v>
      </c>
      <c r="C177" s="1" t="n">
        <v>46198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35226-2025 artfynd.xlsx", "A 35226-2025")</f>
        <v/>
      </c>
      <c r="T177">
        <f>HYPERLINK("https://klasma.github.io/Logging_2481/kartor/A 35226-2025 karta.png", "A 35226-2025")</f>
        <v/>
      </c>
      <c r="V177">
        <f>HYPERLINK("https://klasma.github.io/Logging_2481/klagomål/A 35226-2025 FSC-klagomål.docx", "A 35226-2025")</f>
        <v/>
      </c>
      <c r="W177">
        <f>HYPERLINK("https://klasma.github.io/Logging_2481/klagomålsmail/A 35226-2025 FSC-klagomål mail.docx", "A 35226-2025")</f>
        <v/>
      </c>
      <c r="X177">
        <f>HYPERLINK("https://klasma.github.io/Logging_2481/tillsyn/A 35226-2025 tillsynsbegäran.docx", "A 35226-2025")</f>
        <v/>
      </c>
      <c r="Y177">
        <f>HYPERLINK("https://klasma.github.io/Logging_2481/tillsynsmail/A 35226-2025 tillsynsbegäran mail.docx", "A 35226-2025")</f>
        <v/>
      </c>
      <c r="Z177">
        <f>HYPERLINK("https://klasma.github.io/Logging_2481/fåglar/A 35226-2025 prioriterade fågelarter.docx", "A 35226-2025")</f>
        <v/>
      </c>
    </row>
    <row r="178" ht="15" customHeight="1">
      <c r="A178" t="inlineStr">
        <is>
          <t>A 7398-2025</t>
        </is>
      </c>
      <c r="B178" s="1" t="n">
        <v>45705</v>
      </c>
      <c r="C178" s="1" t="n">
        <v>46198</v>
      </c>
      <c r="D178" t="inlineStr">
        <is>
          <t>VÄSTERBOTTENS LÄN</t>
        </is>
      </c>
      <c r="E178" t="inlineStr">
        <is>
          <t>LYCKSELE</t>
        </is>
      </c>
      <c r="G178" t="n">
        <v>2.4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Gråspett</t>
        </is>
      </c>
      <c r="S178">
        <f>HYPERLINK("https://klasma.github.io/Logging_2481/artfynd/A 7398-2025 artfynd.xlsx", "A 7398-2025")</f>
        <v/>
      </c>
      <c r="T178">
        <f>HYPERLINK("https://klasma.github.io/Logging_2481/kartor/A 7398-2025 karta.png", "A 7398-2025")</f>
        <v/>
      </c>
      <c r="V178">
        <f>HYPERLINK("https://klasma.github.io/Logging_2481/klagomål/A 7398-2025 FSC-klagomål.docx", "A 7398-2025")</f>
        <v/>
      </c>
      <c r="W178">
        <f>HYPERLINK("https://klasma.github.io/Logging_2481/klagomålsmail/A 7398-2025 FSC-klagomål mail.docx", "A 7398-2025")</f>
        <v/>
      </c>
      <c r="X178">
        <f>HYPERLINK("https://klasma.github.io/Logging_2481/tillsyn/A 7398-2025 tillsynsbegäran.docx", "A 7398-2025")</f>
        <v/>
      </c>
      <c r="Y178">
        <f>HYPERLINK("https://klasma.github.io/Logging_2481/tillsynsmail/A 7398-2025 tillsynsbegäran mail.docx", "A 7398-2025")</f>
        <v/>
      </c>
      <c r="Z178">
        <f>HYPERLINK("https://klasma.github.io/Logging_2481/fåglar/A 7398-2025 prioriterade fågelarter.docx", "A 7398-2025")</f>
        <v/>
      </c>
    </row>
    <row r="179" ht="15" customHeight="1">
      <c r="A179" t="inlineStr">
        <is>
          <t>A 35981-2025</t>
        </is>
      </c>
      <c r="B179" s="1" t="n">
        <v>45863</v>
      </c>
      <c r="C179" s="1" t="n">
        <v>46198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35981-2025 artfynd.xlsx", "A 35981-2025")</f>
        <v/>
      </c>
      <c r="T179">
        <f>HYPERLINK("https://klasma.github.io/Logging_2481/kartor/A 35981-2025 karta.png", "A 35981-2025")</f>
        <v/>
      </c>
      <c r="V179">
        <f>HYPERLINK("https://klasma.github.io/Logging_2481/klagomål/A 35981-2025 FSC-klagomål.docx", "A 35981-2025")</f>
        <v/>
      </c>
      <c r="W179">
        <f>HYPERLINK("https://klasma.github.io/Logging_2481/klagomålsmail/A 35981-2025 FSC-klagomål mail.docx", "A 35981-2025")</f>
        <v/>
      </c>
      <c r="X179">
        <f>HYPERLINK("https://klasma.github.io/Logging_2481/tillsyn/A 35981-2025 tillsynsbegäran.docx", "A 35981-2025")</f>
        <v/>
      </c>
      <c r="Y179">
        <f>HYPERLINK("https://klasma.github.io/Logging_2481/tillsynsmail/A 35981-2025 tillsynsbegäran mail.docx", "A 35981-2025")</f>
        <v/>
      </c>
    </row>
    <row r="180" ht="15" customHeight="1">
      <c r="A180" t="inlineStr">
        <is>
          <t>A 36046-2021</t>
        </is>
      </c>
      <c r="B180" s="1" t="n">
        <v>44386</v>
      </c>
      <c r="C180" s="1" t="n">
        <v>46198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46198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46198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</v>
      </c>
      <c r="C183" s="1" t="n">
        <v>46198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</v>
      </c>
      <c r="C184" s="1" t="n">
        <v>46198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46198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</v>
      </c>
      <c r="C186" s="1" t="n">
        <v>46198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46198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</v>
      </c>
      <c r="C188" s="1" t="n">
        <v>46198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46198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</v>
      </c>
      <c r="C190" s="1" t="n">
        <v>46198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46198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</v>
      </c>
      <c r="C192" s="1" t="n">
        <v>46198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</v>
      </c>
      <c r="C193" s="1" t="n">
        <v>46198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46198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32663-2022</t>
        </is>
      </c>
      <c r="B195" s="1" t="n">
        <v>44783</v>
      </c>
      <c r="C195" s="1" t="n">
        <v>46198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</v>
      </c>
      <c r="C196" s="1" t="n">
        <v>46198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</v>
      </c>
      <c r="C197" s="1" t="n">
        <v>46198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22076-2022</t>
        </is>
      </c>
      <c r="B198" s="1" t="n">
        <v>44711</v>
      </c>
      <c r="C198" s="1" t="n">
        <v>46198</v>
      </c>
      <c r="D198" t="inlineStr">
        <is>
          <t>VÄSTERBOTTENS LÄN</t>
        </is>
      </c>
      <c r="E198" t="inlineStr">
        <is>
          <t>LYCKSELE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55565-2021</t>
        </is>
      </c>
      <c r="B199" s="1" t="n">
        <v>44475</v>
      </c>
      <c r="C199" s="1" t="n">
        <v>46198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46198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10302-2022</t>
        </is>
      </c>
      <c r="B201" s="1" t="n">
        <v>44622</v>
      </c>
      <c r="C201" s="1" t="n">
        <v>46198</v>
      </c>
      <c r="D201" t="inlineStr">
        <is>
          <t>VÄSTERBOTTENS LÄN</t>
        </is>
      </c>
      <c r="E201" t="inlineStr">
        <is>
          <t>LYCKSELE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</v>
      </c>
      <c r="C202" s="1" t="n">
        <v>46198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38544-2021</t>
        </is>
      </c>
      <c r="B203" s="1" t="n">
        <v>44407</v>
      </c>
      <c r="C203" s="1" t="n">
        <v>46198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38712-2021</t>
        </is>
      </c>
      <c r="B204" s="1" t="n">
        <v>44405</v>
      </c>
      <c r="C204" s="1" t="n">
        <v>46198</v>
      </c>
      <c r="D204" t="inlineStr">
        <is>
          <t>VÄSTERBOTTENS LÄN</t>
        </is>
      </c>
      <c r="E204" t="inlineStr">
        <is>
          <t>LYCKSELE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61511-2021</t>
        </is>
      </c>
      <c r="B205" s="1" t="n">
        <v>44501</v>
      </c>
      <c r="C205" s="1" t="n">
        <v>46198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59445-2021</t>
        </is>
      </c>
      <c r="B206" s="1" t="n">
        <v>44490</v>
      </c>
      <c r="C206" s="1" t="n">
        <v>46198</v>
      </c>
      <c r="D206" t="inlineStr">
        <is>
          <t>VÄSTERBOTTENS LÄN</t>
        </is>
      </c>
      <c r="E206" t="inlineStr">
        <is>
          <t>LYCKSELE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30474-2022</t>
        </is>
      </c>
      <c r="B207" s="1" t="n">
        <v>44761</v>
      </c>
      <c r="C207" s="1" t="n">
        <v>46198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44097-2022</t>
        </is>
      </c>
      <c r="B208" s="1" t="n">
        <v>44839</v>
      </c>
      <c r="C208" s="1" t="n">
        <v>46198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46198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45270-2021</t>
        </is>
      </c>
      <c r="B210" s="1" t="n">
        <v>44439</v>
      </c>
      <c r="C210" s="1" t="n">
        <v>46198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35938-2021</t>
        </is>
      </c>
      <c r="B211" s="1" t="n">
        <v>44388</v>
      </c>
      <c r="C211" s="1" t="n">
        <v>46198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27548-2022</t>
        </is>
      </c>
      <c r="B212" s="1" t="n">
        <v>44742</v>
      </c>
      <c r="C212" s="1" t="n">
        <v>46198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22075-2022</t>
        </is>
      </c>
      <c r="B213" s="1" t="n">
        <v>44711</v>
      </c>
      <c r="C213" s="1" t="n">
        <v>46198</v>
      </c>
      <c r="D213" t="inlineStr">
        <is>
          <t>VÄSTERBOTTENS LÄN</t>
        </is>
      </c>
      <c r="E213" t="inlineStr">
        <is>
          <t>LYCKSELE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36869-2022</t>
        </is>
      </c>
      <c r="B214" s="1" t="n">
        <v>44805</v>
      </c>
      <c r="C214" s="1" t="n">
        <v>46198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61900-2021</t>
        </is>
      </c>
      <c r="B215" s="1" t="n">
        <v>44502</v>
      </c>
      <c r="C215" s="1" t="n">
        <v>46198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61907-2021</t>
        </is>
      </c>
      <c r="B216" s="1" t="n">
        <v>44502</v>
      </c>
      <c r="C216" s="1" t="n">
        <v>46198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61573-2021</t>
        </is>
      </c>
      <c r="B217" s="1" t="n">
        <v>44501</v>
      </c>
      <c r="C217" s="1" t="n">
        <v>46198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65487-2021</t>
        </is>
      </c>
      <c r="B218" s="1" t="n">
        <v>44515</v>
      </c>
      <c r="C218" s="1" t="n">
        <v>46198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61651-2021</t>
        </is>
      </c>
      <c r="B219" s="1" t="n">
        <v>44501</v>
      </c>
      <c r="C219" s="1" t="n">
        <v>46198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54794-2021</t>
        </is>
      </c>
      <c r="B220" s="1" t="n">
        <v>44473</v>
      </c>
      <c r="C220" s="1" t="n">
        <v>46198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32668-2022</t>
        </is>
      </c>
      <c r="B221" s="1" t="n">
        <v>44783</v>
      </c>
      <c r="C221" s="1" t="n">
        <v>46198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56898-2021</t>
        </is>
      </c>
      <c r="B222" s="1" t="n">
        <v>44481</v>
      </c>
      <c r="C222" s="1" t="n">
        <v>46198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50779-2022</t>
        </is>
      </c>
      <c r="B223" s="1" t="n">
        <v>44867</v>
      </c>
      <c r="C223" s="1" t="n">
        <v>46198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</v>
      </c>
      <c r="C224" s="1" t="n">
        <v>46198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46198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42818-2021</t>
        </is>
      </c>
      <c r="B226" s="1" t="n">
        <v>44429</v>
      </c>
      <c r="C226" s="1" t="n">
        <v>46198</v>
      </c>
      <c r="D226" t="inlineStr">
        <is>
          <t>VÄSTERBOTTENS LÄN</t>
        </is>
      </c>
      <c r="E226" t="inlineStr">
        <is>
          <t>LYCKSELE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53974-2021</t>
        </is>
      </c>
      <c r="B227" s="1" t="n">
        <v>44469</v>
      </c>
      <c r="C227" s="1" t="n">
        <v>46198</v>
      </c>
      <c r="D227" t="inlineStr">
        <is>
          <t>VÄSTERBOTTENS LÄN</t>
        </is>
      </c>
      <c r="E227" t="inlineStr">
        <is>
          <t>LYCKSELE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43579-2021</t>
        </is>
      </c>
      <c r="B228" s="1" t="n">
        <v>44433</v>
      </c>
      <c r="C228" s="1" t="n">
        <v>46198</v>
      </c>
      <c r="D228" t="inlineStr">
        <is>
          <t>VÄSTERBOTTENS LÄN</t>
        </is>
      </c>
      <c r="E228" t="inlineStr">
        <is>
          <t>LYCKSELE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63827-2021</t>
        </is>
      </c>
      <c r="B229" s="1" t="n">
        <v>44509</v>
      </c>
      <c r="C229" s="1" t="n">
        <v>46198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16845-2022</t>
        </is>
      </c>
      <c r="B230" s="1" t="n">
        <v>44673</v>
      </c>
      <c r="C230" s="1" t="n">
        <v>46198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229-2022</t>
        </is>
      </c>
      <c r="B231" s="1" t="n">
        <v>44564</v>
      </c>
      <c r="C231" s="1" t="n">
        <v>46198</v>
      </c>
      <c r="D231" t="inlineStr">
        <is>
          <t>VÄSTERBOTTENS LÄN</t>
        </is>
      </c>
      <c r="E231" t="inlineStr">
        <is>
          <t>LYCKSELE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72332-2021</t>
        </is>
      </c>
      <c r="B232" s="1" t="n">
        <v>44545</v>
      </c>
      <c r="C232" s="1" t="n">
        <v>46198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46474-2022</t>
        </is>
      </c>
      <c r="B233" s="1" t="n">
        <v>44846</v>
      </c>
      <c r="C233" s="1" t="n">
        <v>46198</v>
      </c>
      <c r="D233" t="inlineStr">
        <is>
          <t>VÄSTERBOTTENS LÄN</t>
        </is>
      </c>
      <c r="E233" t="inlineStr">
        <is>
          <t>LYCKSELE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69627-2021</t>
        </is>
      </c>
      <c r="B234" s="1" t="n">
        <v>44532</v>
      </c>
      <c r="C234" s="1" t="n">
        <v>46198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45964-2022</t>
        </is>
      </c>
      <c r="B235" s="1" t="n">
        <v>44846</v>
      </c>
      <c r="C235" s="1" t="n">
        <v>46198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72377-2021</t>
        </is>
      </c>
      <c r="B236" s="1" t="n">
        <v>44544</v>
      </c>
      <c r="C236" s="1" t="n">
        <v>46198</v>
      </c>
      <c r="D236" t="inlineStr">
        <is>
          <t>VÄSTERBOTTENS LÄN</t>
        </is>
      </c>
      <c r="E236" t="inlineStr">
        <is>
          <t>LYCKSELE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28994-2022</t>
        </is>
      </c>
      <c r="B237" s="1" t="n">
        <v>44749</v>
      </c>
      <c r="C237" s="1" t="n">
        <v>46198</v>
      </c>
      <c r="D237" t="inlineStr">
        <is>
          <t>VÄSTERBOTTENS LÄN</t>
        </is>
      </c>
      <c r="E237" t="inlineStr">
        <is>
          <t>LYCKSELE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57848-2021</t>
        </is>
      </c>
      <c r="B238" s="1" t="n">
        <v>44484</v>
      </c>
      <c r="C238" s="1" t="n">
        <v>46198</v>
      </c>
      <c r="D238" t="inlineStr">
        <is>
          <t>VÄSTERBOTTENS LÄN</t>
        </is>
      </c>
      <c r="E238" t="inlineStr">
        <is>
          <t>LYCKSELE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43556-2022</t>
        </is>
      </c>
      <c r="B239" s="1" t="n">
        <v>44837</v>
      </c>
      <c r="C239" s="1" t="n">
        <v>46198</v>
      </c>
      <c r="D239" t="inlineStr">
        <is>
          <t>VÄSTERBOTTENS LÄN</t>
        </is>
      </c>
      <c r="E239" t="inlineStr">
        <is>
          <t>LYCKSELE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53027-2022</t>
        </is>
      </c>
      <c r="B240" s="1" t="n">
        <v>44875</v>
      </c>
      <c r="C240" s="1" t="n">
        <v>46198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69226-2021</t>
        </is>
      </c>
      <c r="B241" s="1" t="n">
        <v>44531</v>
      </c>
      <c r="C241" s="1" t="n">
        <v>46198</v>
      </c>
      <c r="D241" t="inlineStr">
        <is>
          <t>VÄSTERBOTTENS LÄN</t>
        </is>
      </c>
      <c r="E241" t="inlineStr">
        <is>
          <t>LYCKSELE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65231-2021</t>
        </is>
      </c>
      <c r="B242" s="1" t="n">
        <v>44513</v>
      </c>
      <c r="C242" s="1" t="n">
        <v>46198</v>
      </c>
      <c r="D242" t="inlineStr">
        <is>
          <t>VÄSTERBOTTENS LÄN</t>
        </is>
      </c>
      <c r="E242" t="inlineStr">
        <is>
          <t>LYCKSELE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45266-2021</t>
        </is>
      </c>
      <c r="B243" s="1" t="n">
        <v>44439</v>
      </c>
      <c r="C243" s="1" t="n">
        <v>46198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70817-2021</t>
        </is>
      </c>
      <c r="B244" s="1" t="n">
        <v>44537</v>
      </c>
      <c r="C244" s="1" t="n">
        <v>46198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</v>
      </c>
      <c r="C245" s="1" t="n">
        <v>46198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44632-2021</t>
        </is>
      </c>
      <c r="B246" s="1" t="n">
        <v>44437</v>
      </c>
      <c r="C246" s="1" t="n">
        <v>46198</v>
      </c>
      <c r="D246" t="inlineStr">
        <is>
          <t>VÄSTERBOTTENS LÄN</t>
        </is>
      </c>
      <c r="E246" t="inlineStr">
        <is>
          <t>LYCKSELE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21058-2022</t>
        </is>
      </c>
      <c r="B247" s="1" t="n">
        <v>44704</v>
      </c>
      <c r="C247" s="1" t="n">
        <v>46198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49816-2021</t>
        </is>
      </c>
      <c r="B248" s="1" t="n">
        <v>44454</v>
      </c>
      <c r="C248" s="1" t="n">
        <v>46198</v>
      </c>
      <c r="D248" t="inlineStr">
        <is>
          <t>VÄSTERBOTTENS LÄN</t>
        </is>
      </c>
      <c r="E248" t="inlineStr">
        <is>
          <t>LYCKSELE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60437-2021</t>
        </is>
      </c>
      <c r="B249" s="1" t="n">
        <v>44496</v>
      </c>
      <c r="C249" s="1" t="n">
        <v>46198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46198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47067-2021</t>
        </is>
      </c>
      <c r="B251" s="1" t="n">
        <v>44446</v>
      </c>
      <c r="C251" s="1" t="n">
        <v>46198</v>
      </c>
      <c r="D251" t="inlineStr">
        <is>
          <t>VÄSTERBOTTENS LÄN</t>
        </is>
      </c>
      <c r="E251" t="inlineStr">
        <is>
          <t>LYCKSELE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35485-2022</t>
        </is>
      </c>
      <c r="B252" s="1" t="n">
        <v>44798</v>
      </c>
      <c r="C252" s="1" t="n">
        <v>46198</v>
      </c>
      <c r="D252" t="inlineStr">
        <is>
          <t>VÄSTERBOTTENS LÄN</t>
        </is>
      </c>
      <c r="E252" t="inlineStr">
        <is>
          <t>LYCKSELE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16274-2022</t>
        </is>
      </c>
      <c r="B253" s="1" t="n">
        <v>44670</v>
      </c>
      <c r="C253" s="1" t="n">
        <v>46198</v>
      </c>
      <c r="D253" t="inlineStr">
        <is>
          <t>VÄSTERBOTTENS LÄN</t>
        </is>
      </c>
      <c r="E253" t="inlineStr">
        <is>
          <t>LYCKSELE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24361-2024</t>
        </is>
      </c>
      <c r="B254" s="1" t="n">
        <v>45457</v>
      </c>
      <c r="C254" s="1" t="n">
        <v>46198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23973-2024</t>
        </is>
      </c>
      <c r="B255" s="1" t="n">
        <v>45455</v>
      </c>
      <c r="C255" s="1" t="n">
        <v>46198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45559-2022</t>
        </is>
      </c>
      <c r="B256" s="1" t="n">
        <v>44845</v>
      </c>
      <c r="C256" s="1" t="n">
        <v>46198</v>
      </c>
      <c r="D256" t="inlineStr">
        <is>
          <t>VÄSTERBOTTENS LÄN</t>
        </is>
      </c>
      <c r="E256" t="inlineStr">
        <is>
          <t>LYCKSELE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53116-2024</t>
        </is>
      </c>
      <c r="B257" s="1" t="n">
        <v>45611</v>
      </c>
      <c r="C257" s="1" t="n">
        <v>46198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41980-2024</t>
        </is>
      </c>
      <c r="B258" s="1" t="n">
        <v>45561</v>
      </c>
      <c r="C258" s="1" t="n">
        <v>46198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17688-2025</t>
        </is>
      </c>
      <c r="B259" s="1" t="n">
        <v>45758</v>
      </c>
      <c r="C259" s="1" t="n">
        <v>46198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64346-2023</t>
        </is>
      </c>
      <c r="B260" s="1" t="n">
        <v>45279</v>
      </c>
      <c r="C260" s="1" t="n">
        <v>46198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41419-2022</t>
        </is>
      </c>
      <c r="B261" s="1" t="n">
        <v>44826</v>
      </c>
      <c r="C261" s="1" t="n">
        <v>46198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32.1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33706-2024</t>
        </is>
      </c>
      <c r="B262" s="1" t="n">
        <v>45520</v>
      </c>
      <c r="C262" s="1" t="n">
        <v>46198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42023-2024</t>
        </is>
      </c>
      <c r="B263" s="1" t="n">
        <v>45561</v>
      </c>
      <c r="C263" s="1" t="n">
        <v>46198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52144-2024</t>
        </is>
      </c>
      <c r="B264" s="1" t="n">
        <v>45608</v>
      </c>
      <c r="C264" s="1" t="n">
        <v>46198</v>
      </c>
      <c r="D264" t="inlineStr">
        <is>
          <t>VÄSTERBOTTENS LÄN</t>
        </is>
      </c>
      <c r="E264" t="inlineStr">
        <is>
          <t>LYCKSELE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35021-2021</t>
        </is>
      </c>
      <c r="B265" s="1" t="n">
        <v>44383</v>
      </c>
      <c r="C265" s="1" t="n">
        <v>46198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53740-2022</t>
        </is>
      </c>
      <c r="B266" s="1" t="n">
        <v>44880</v>
      </c>
      <c r="C266" s="1" t="n">
        <v>46198</v>
      </c>
      <c r="D266" t="inlineStr">
        <is>
          <t>VÄSTERBOTTENS LÄN</t>
        </is>
      </c>
      <c r="E266" t="inlineStr">
        <is>
          <t>LYCKSELE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20508-2025</t>
        </is>
      </c>
      <c r="B267" s="1" t="n">
        <v>45775</v>
      </c>
      <c r="C267" s="1" t="n">
        <v>46198</v>
      </c>
      <c r="D267" t="inlineStr">
        <is>
          <t>VÄSTERBOTTENS LÄN</t>
        </is>
      </c>
      <c r="E267" t="inlineStr">
        <is>
          <t>LYCKSELE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33716-2024</t>
        </is>
      </c>
      <c r="B268" s="1" t="n">
        <v>45520</v>
      </c>
      <c r="C268" s="1" t="n">
        <v>46198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33717-2024</t>
        </is>
      </c>
      <c r="B269" s="1" t="n">
        <v>45520</v>
      </c>
      <c r="C269" s="1" t="n">
        <v>46198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56973-2022</t>
        </is>
      </c>
      <c r="B270" s="1" t="n">
        <v>44894</v>
      </c>
      <c r="C270" s="1" t="n">
        <v>46198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16292-2025</t>
        </is>
      </c>
      <c r="B271" s="1" t="n">
        <v>45751</v>
      </c>
      <c r="C271" s="1" t="n">
        <v>46198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34043-2023</t>
        </is>
      </c>
      <c r="B272" s="1" t="n">
        <v>45135</v>
      </c>
      <c r="C272" s="1" t="n">
        <v>46198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54619-2024</t>
        </is>
      </c>
      <c r="B273" s="1" t="n">
        <v>45617</v>
      </c>
      <c r="C273" s="1" t="n">
        <v>46198</v>
      </c>
      <c r="D273" t="inlineStr">
        <is>
          <t>VÄSTERBOTTENS LÄN</t>
        </is>
      </c>
      <c r="E273" t="inlineStr">
        <is>
          <t>LYCKSELE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41977-2024</t>
        </is>
      </c>
      <c r="B274" s="1" t="n">
        <v>45561</v>
      </c>
      <c r="C274" s="1" t="n">
        <v>46198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14343-2024</t>
        </is>
      </c>
      <c r="B275" s="1" t="n">
        <v>45393</v>
      </c>
      <c r="C275" s="1" t="n">
        <v>46198</v>
      </c>
      <c r="D275" t="inlineStr">
        <is>
          <t>VÄSTERBOTTENS LÄN</t>
        </is>
      </c>
      <c r="E275" t="inlineStr">
        <is>
          <t>LYCKSELE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29861-2023</t>
        </is>
      </c>
      <c r="B276" s="1" t="n">
        <v>45107</v>
      </c>
      <c r="C276" s="1" t="n">
        <v>46198</v>
      </c>
      <c r="D276" t="inlineStr">
        <is>
          <t>VÄSTERBOTTENS LÄN</t>
        </is>
      </c>
      <c r="E276" t="inlineStr">
        <is>
          <t>LYCKSELE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3791-2025</t>
        </is>
      </c>
      <c r="B277" s="1" t="n">
        <v>45681</v>
      </c>
      <c r="C277" s="1" t="n">
        <v>46198</v>
      </c>
      <c r="D277" t="inlineStr">
        <is>
          <t>VÄSTERBOTTENS LÄN</t>
        </is>
      </c>
      <c r="E277" t="inlineStr">
        <is>
          <t>LYCKSELE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14623-2025</t>
        </is>
      </c>
      <c r="B278" s="1" t="n">
        <v>45742</v>
      </c>
      <c r="C278" s="1" t="n">
        <v>46198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29937-2024</t>
        </is>
      </c>
      <c r="B279" s="1" t="n">
        <v>45488</v>
      </c>
      <c r="C279" s="1" t="n">
        <v>46198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30470-2022</t>
        </is>
      </c>
      <c r="B280" s="1" t="n">
        <v>44761</v>
      </c>
      <c r="C280" s="1" t="n">
        <v>46198</v>
      </c>
      <c r="D280" t="inlineStr">
        <is>
          <t>VÄSTERBOTTENS LÄN</t>
        </is>
      </c>
      <c r="E280" t="inlineStr">
        <is>
          <t>LYCKSELE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58439-2022</t>
        </is>
      </c>
      <c r="B281" s="1" t="n">
        <v>44901</v>
      </c>
      <c r="C281" s="1" t="n">
        <v>46198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45312-2024</t>
        </is>
      </c>
      <c r="B282" s="1" t="n">
        <v>45576</v>
      </c>
      <c r="C282" s="1" t="n">
        <v>46198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37969-2024</t>
        </is>
      </c>
      <c r="B283" s="1" t="n">
        <v>45544</v>
      </c>
      <c r="C283" s="1" t="n">
        <v>46198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47131-2024</t>
        </is>
      </c>
      <c r="B284" s="1" t="n">
        <v>45586</v>
      </c>
      <c r="C284" s="1" t="n">
        <v>46198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16504-2025</t>
        </is>
      </c>
      <c r="B285" s="1" t="n">
        <v>45751</v>
      </c>
      <c r="C285" s="1" t="n">
        <v>46198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56401-2021</t>
        </is>
      </c>
      <c r="B286" s="1" t="n">
        <v>44477</v>
      </c>
      <c r="C286" s="1" t="n">
        <v>46198</v>
      </c>
      <c r="D286" t="inlineStr">
        <is>
          <t>VÄSTERBOTTENS LÄN</t>
        </is>
      </c>
      <c r="E286" t="inlineStr">
        <is>
          <t>LYCKSELE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47016-2022</t>
        </is>
      </c>
      <c r="B287" s="1" t="n">
        <v>44851</v>
      </c>
      <c r="C287" s="1" t="n">
        <v>46198</v>
      </c>
      <c r="D287" t="inlineStr">
        <is>
          <t>VÄSTERBOTTENS LÄN</t>
        </is>
      </c>
      <c r="E287" t="inlineStr">
        <is>
          <t>LYCKSELE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56518-2023</t>
        </is>
      </c>
      <c r="B288" s="1" t="n">
        <v>45238</v>
      </c>
      <c r="C288" s="1" t="n">
        <v>46198</v>
      </c>
      <c r="D288" t="inlineStr">
        <is>
          <t>VÄSTERBOTTENS LÄN</t>
        </is>
      </c>
      <c r="E288" t="inlineStr">
        <is>
          <t>LYCKSELE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53369-2022</t>
        </is>
      </c>
      <c r="B289" s="1" t="n">
        <v>44874</v>
      </c>
      <c r="C289" s="1" t="n">
        <v>46198</v>
      </c>
      <c r="D289" t="inlineStr">
        <is>
          <t>VÄSTERBOTTENS LÄN</t>
        </is>
      </c>
      <c r="E289" t="inlineStr">
        <is>
          <t>LYCKSELE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38114-2024</t>
        </is>
      </c>
      <c r="B290" s="1" t="n">
        <v>45545</v>
      </c>
      <c r="C290" s="1" t="n">
        <v>46198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31372-2024</t>
        </is>
      </c>
      <c r="B291" s="1" t="n">
        <v>45503</v>
      </c>
      <c r="C291" s="1" t="n">
        <v>46198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12335-2024</t>
        </is>
      </c>
      <c r="B292" s="1" t="n">
        <v>45378</v>
      </c>
      <c r="C292" s="1" t="n">
        <v>46198</v>
      </c>
      <c r="D292" t="inlineStr">
        <is>
          <t>VÄSTERBOTTENS LÄN</t>
        </is>
      </c>
      <c r="E292" t="inlineStr">
        <is>
          <t>LYCKSELE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26397-2022</t>
        </is>
      </c>
      <c r="B293" s="1" t="n">
        <v>44735</v>
      </c>
      <c r="C293" s="1" t="n">
        <v>46198</v>
      </c>
      <c r="D293" t="inlineStr">
        <is>
          <t>VÄSTERBOTTENS LÄN</t>
        </is>
      </c>
      <c r="E293" t="inlineStr">
        <is>
          <t>LYCKSELE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849-2022</t>
        </is>
      </c>
      <c r="B294" s="1" t="n">
        <v>44571</v>
      </c>
      <c r="C294" s="1" t="n">
        <v>46198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25327-2024</t>
        </is>
      </c>
      <c r="B295" s="1" t="n">
        <v>45462</v>
      </c>
      <c r="C295" s="1" t="n">
        <v>46198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41950-2024</t>
        </is>
      </c>
      <c r="B296" s="1" t="n">
        <v>45561</v>
      </c>
      <c r="C296" s="1" t="n">
        <v>46198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58920-2022</t>
        </is>
      </c>
      <c r="B297" s="1" t="n">
        <v>44896</v>
      </c>
      <c r="C297" s="1" t="n">
        <v>46198</v>
      </c>
      <c r="D297" t="inlineStr">
        <is>
          <t>VÄSTERBOTTENS LÄN</t>
        </is>
      </c>
      <c r="E297" t="inlineStr">
        <is>
          <t>LYCKSELE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53035-2023</t>
        </is>
      </c>
      <c r="B298" s="1" t="n">
        <v>45226</v>
      </c>
      <c r="C298" s="1" t="n">
        <v>46198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24340-2024</t>
        </is>
      </c>
      <c r="B299" s="1" t="n">
        <v>45457</v>
      </c>
      <c r="C299" s="1" t="n">
        <v>46198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36900-2023</t>
        </is>
      </c>
      <c r="B300" s="1" t="n">
        <v>45154</v>
      </c>
      <c r="C300" s="1" t="n">
        <v>46198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3947-2023</t>
        </is>
      </c>
      <c r="B301" s="1" t="n">
        <v>44952</v>
      </c>
      <c r="C301" s="1" t="n">
        <v>46198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57263-2024</t>
        </is>
      </c>
      <c r="B302" s="1" t="n">
        <v>45629</v>
      </c>
      <c r="C302" s="1" t="n">
        <v>46198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57246-2024</t>
        </is>
      </c>
      <c r="B303" s="1" t="n">
        <v>45629</v>
      </c>
      <c r="C303" s="1" t="n">
        <v>46198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41749-2024</t>
        </is>
      </c>
      <c r="B304" s="1" t="n">
        <v>45561</v>
      </c>
      <c r="C304" s="1" t="n">
        <v>46198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16183-2025</t>
        </is>
      </c>
      <c r="B305" s="1" t="n">
        <v>45750</v>
      </c>
      <c r="C305" s="1" t="n">
        <v>46198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34903-2023</t>
        </is>
      </c>
      <c r="B306" s="1" t="n">
        <v>45142</v>
      </c>
      <c r="C306" s="1" t="n">
        <v>46198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51669-2024</t>
        </is>
      </c>
      <c r="B307" s="1" t="n">
        <v>45606</v>
      </c>
      <c r="C307" s="1" t="n">
        <v>46198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64336-2023</t>
        </is>
      </c>
      <c r="B308" s="1" t="n">
        <v>45279</v>
      </c>
      <c r="C308" s="1" t="n">
        <v>46198</v>
      </c>
      <c r="D308" t="inlineStr">
        <is>
          <t>VÄSTERBOTTENS LÄN</t>
        </is>
      </c>
      <c r="E308" t="inlineStr">
        <is>
          <t>LYCKSELE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5687-2025</t>
        </is>
      </c>
      <c r="B309" s="1" t="n">
        <v>45694</v>
      </c>
      <c r="C309" s="1" t="n">
        <v>46198</v>
      </c>
      <c r="D309" t="inlineStr">
        <is>
          <t>VÄSTERBOTTENS LÄN</t>
        </is>
      </c>
      <c r="E309" t="inlineStr">
        <is>
          <t>LYCKSELE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35765-2023</t>
        </is>
      </c>
      <c r="B310" s="1" t="n">
        <v>45147</v>
      </c>
      <c r="C310" s="1" t="n">
        <v>46198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29543-2023</t>
        </is>
      </c>
      <c r="B311" s="1" t="n">
        <v>45106</v>
      </c>
      <c r="C311" s="1" t="n">
        <v>46198</v>
      </c>
      <c r="D311" t="inlineStr">
        <is>
          <t>VÄSTERBOTTENS LÄN</t>
        </is>
      </c>
      <c r="E311" t="inlineStr">
        <is>
          <t>LYCKSELE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932-2022</t>
        </is>
      </c>
      <c r="B312" s="1" t="n">
        <v>44571</v>
      </c>
      <c r="C312" s="1" t="n">
        <v>46198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53323-2021</t>
        </is>
      </c>
      <c r="B313" s="1" t="n">
        <v>44468</v>
      </c>
      <c r="C313" s="1" t="n">
        <v>46198</v>
      </c>
      <c r="D313" t="inlineStr">
        <is>
          <t>VÄSTERBOTTENS LÄN</t>
        </is>
      </c>
      <c r="E313" t="inlineStr">
        <is>
          <t>LYCKSELE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37599-2024</t>
        </is>
      </c>
      <c r="B314" s="1" t="n">
        <v>45541</v>
      </c>
      <c r="C314" s="1" t="n">
        <v>46198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15239-2025</t>
        </is>
      </c>
      <c r="B315" s="1" t="n">
        <v>45744</v>
      </c>
      <c r="C315" s="1" t="n">
        <v>46198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2761-2025</t>
        </is>
      </c>
      <c r="B316" s="1" t="n">
        <v>45677</v>
      </c>
      <c r="C316" s="1" t="n">
        <v>46198</v>
      </c>
      <c r="D316" t="inlineStr">
        <is>
          <t>VÄSTERBOTTENS LÄN</t>
        </is>
      </c>
      <c r="E316" t="inlineStr">
        <is>
          <t>LYCKSELE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2794-2025</t>
        </is>
      </c>
      <c r="B317" s="1" t="n">
        <v>45677</v>
      </c>
      <c r="C317" s="1" t="n">
        <v>46198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61401-2024</t>
        </is>
      </c>
      <c r="B318" s="1" t="n">
        <v>45646</v>
      </c>
      <c r="C318" s="1" t="n">
        <v>46198</v>
      </c>
      <c r="D318" t="inlineStr">
        <is>
          <t>VÄSTERBOTTENS LÄN</t>
        </is>
      </c>
      <c r="E318" t="inlineStr">
        <is>
          <t>LYCKSELE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21660-2023</t>
        </is>
      </c>
      <c r="B319" s="1" t="n">
        <v>45063</v>
      </c>
      <c r="C319" s="1" t="n">
        <v>46198</v>
      </c>
      <c r="D319" t="inlineStr">
        <is>
          <t>VÄSTERBOTTENS LÄN</t>
        </is>
      </c>
      <c r="E319" t="inlineStr">
        <is>
          <t>LYCKSELE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39605-2024</t>
        </is>
      </c>
      <c r="B320" s="1" t="n">
        <v>45552</v>
      </c>
      <c r="C320" s="1" t="n">
        <v>46198</v>
      </c>
      <c r="D320" t="inlineStr">
        <is>
          <t>VÄSTERBOTTENS LÄN</t>
        </is>
      </c>
      <c r="E320" t="inlineStr">
        <is>
          <t>LYCKSELE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25902-2022</t>
        </is>
      </c>
      <c r="B321" s="1" t="n">
        <v>44733</v>
      </c>
      <c r="C321" s="1" t="n">
        <v>46198</v>
      </c>
      <c r="D321" t="inlineStr">
        <is>
          <t>VÄSTERBOTTENS LÄN</t>
        </is>
      </c>
      <c r="E321" t="inlineStr">
        <is>
          <t>LYCKSELE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30421-2024</t>
        </is>
      </c>
      <c r="B322" s="1" t="n">
        <v>45491</v>
      </c>
      <c r="C322" s="1" t="n">
        <v>46198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43875-2023</t>
        </is>
      </c>
      <c r="B323" s="1" t="n">
        <v>45187</v>
      </c>
      <c r="C323" s="1" t="n">
        <v>46198</v>
      </c>
      <c r="D323" t="inlineStr">
        <is>
          <t>VÄSTERBOTTENS LÄN</t>
        </is>
      </c>
      <c r="E323" t="inlineStr">
        <is>
          <t>LYCKSELE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48542-2023</t>
        </is>
      </c>
      <c r="B324" s="1" t="n">
        <v>45208</v>
      </c>
      <c r="C324" s="1" t="n">
        <v>46198</v>
      </c>
      <c r="D324" t="inlineStr">
        <is>
          <t>VÄSTERBOTTENS LÄN</t>
        </is>
      </c>
      <c r="E324" t="inlineStr">
        <is>
          <t>LYCKSELE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38623-2024</t>
        </is>
      </c>
      <c r="B325" s="1" t="n">
        <v>45546</v>
      </c>
      <c r="C325" s="1" t="n">
        <v>46198</v>
      </c>
      <c r="D325" t="inlineStr">
        <is>
          <t>VÄSTERBOTTENS LÄN</t>
        </is>
      </c>
      <c r="E325" t="inlineStr">
        <is>
          <t>LYCKSELE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32863-2023</t>
        </is>
      </c>
      <c r="B326" s="1" t="n">
        <v>45124</v>
      </c>
      <c r="C326" s="1" t="n">
        <v>46198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61891-2024</t>
        </is>
      </c>
      <c r="B327" s="1" t="n">
        <v>45652</v>
      </c>
      <c r="C327" s="1" t="n">
        <v>46198</v>
      </c>
      <c r="D327" t="inlineStr">
        <is>
          <t>VÄSTERBOTTENS LÄN</t>
        </is>
      </c>
      <c r="E327" t="inlineStr">
        <is>
          <t>LYCKSELE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8035-2024</t>
        </is>
      </c>
      <c r="B328" s="1" t="n">
        <v>45350</v>
      </c>
      <c r="C328" s="1" t="n">
        <v>46198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64668-2023</t>
        </is>
      </c>
      <c r="B329" s="1" t="n">
        <v>45281</v>
      </c>
      <c r="C329" s="1" t="n">
        <v>46198</v>
      </c>
      <c r="D329" t="inlineStr">
        <is>
          <t>VÄSTERBOTTENS LÄN</t>
        </is>
      </c>
      <c r="E329" t="inlineStr">
        <is>
          <t>LYCKSELE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526-2022</t>
        </is>
      </c>
      <c r="B330" s="1" t="n">
        <v>44566</v>
      </c>
      <c r="C330" s="1" t="n">
        <v>46198</v>
      </c>
      <c r="D330" t="inlineStr">
        <is>
          <t>VÄSTERBOTTENS LÄN</t>
        </is>
      </c>
      <c r="E330" t="inlineStr">
        <is>
          <t>LYCKSELE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34060-2023</t>
        </is>
      </c>
      <c r="B331" s="1" t="n">
        <v>45135</v>
      </c>
      <c r="C331" s="1" t="n">
        <v>46198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18156-2023</t>
        </is>
      </c>
      <c r="B332" s="1" t="n">
        <v>45040</v>
      </c>
      <c r="C332" s="1" t="n">
        <v>46198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22.9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27671-2024</t>
        </is>
      </c>
      <c r="B333" s="1" t="n">
        <v>45474</v>
      </c>
      <c r="C333" s="1" t="n">
        <v>46198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4215-2025</t>
        </is>
      </c>
      <c r="B334" s="1" t="n">
        <v>45685</v>
      </c>
      <c r="C334" s="1" t="n">
        <v>46198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37817-2024</t>
        </is>
      </c>
      <c r="B335" s="1" t="n">
        <v>45544</v>
      </c>
      <c r="C335" s="1" t="n">
        <v>46198</v>
      </c>
      <c r="D335" t="inlineStr">
        <is>
          <t>VÄSTERBOTTENS LÄN</t>
        </is>
      </c>
      <c r="E335" t="inlineStr">
        <is>
          <t>LYCKSELE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25020-2024</t>
        </is>
      </c>
      <c r="B336" s="1" t="n">
        <v>45461</v>
      </c>
      <c r="C336" s="1" t="n">
        <v>46198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37950-2024</t>
        </is>
      </c>
      <c r="B337" s="1" t="n">
        <v>45544</v>
      </c>
      <c r="C337" s="1" t="n">
        <v>46198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26483-2024</t>
        </is>
      </c>
      <c r="B338" s="1" t="n">
        <v>45469</v>
      </c>
      <c r="C338" s="1" t="n">
        <v>46198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47182-2024</t>
        </is>
      </c>
      <c r="B339" s="1" t="n">
        <v>45586</v>
      </c>
      <c r="C339" s="1" t="n">
        <v>46198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51957-2023</t>
        </is>
      </c>
      <c r="B340" s="1" t="n">
        <v>45223</v>
      </c>
      <c r="C340" s="1" t="n">
        <v>46198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28550-2023</t>
        </is>
      </c>
      <c r="B341" s="1" t="n">
        <v>45103</v>
      </c>
      <c r="C341" s="1" t="n">
        <v>46198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64663-2023</t>
        </is>
      </c>
      <c r="B342" s="1" t="n">
        <v>45281</v>
      </c>
      <c r="C342" s="1" t="n">
        <v>46198</v>
      </c>
      <c r="D342" t="inlineStr">
        <is>
          <t>VÄSTERBOTTENS LÄN</t>
        </is>
      </c>
      <c r="E342" t="inlineStr">
        <is>
          <t>LYCKSELE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25170-2024</t>
        </is>
      </c>
      <c r="B343" s="1" t="n">
        <v>45462</v>
      </c>
      <c r="C343" s="1" t="n">
        <v>46198</v>
      </c>
      <c r="D343" t="inlineStr">
        <is>
          <t>VÄSTERBOTTENS LÄN</t>
        </is>
      </c>
      <c r="E343" t="inlineStr">
        <is>
          <t>LYCKSELE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33699-2024</t>
        </is>
      </c>
      <c r="B344" s="1" t="n">
        <v>45520</v>
      </c>
      <c r="C344" s="1" t="n">
        <v>46198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26357-2023</t>
        </is>
      </c>
      <c r="B345" s="1" t="n">
        <v>45091</v>
      </c>
      <c r="C345" s="1" t="n">
        <v>46198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11626-2024</t>
        </is>
      </c>
      <c r="B346" s="1" t="n">
        <v>45373</v>
      </c>
      <c r="C346" s="1" t="n">
        <v>46198</v>
      </c>
      <c r="D346" t="inlineStr">
        <is>
          <t>VÄSTERBOTTENS LÄN</t>
        </is>
      </c>
      <c r="E346" t="inlineStr">
        <is>
          <t>LYCKSELE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48230-2023</t>
        </is>
      </c>
      <c r="B347" s="1" t="n">
        <v>45205</v>
      </c>
      <c r="C347" s="1" t="n">
        <v>46198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18365-2023</t>
        </is>
      </c>
      <c r="B348" s="1" t="n">
        <v>45041</v>
      </c>
      <c r="C348" s="1" t="n">
        <v>46198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22.4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16669-2022</t>
        </is>
      </c>
      <c r="B349" s="1" t="n">
        <v>44672</v>
      </c>
      <c r="C349" s="1" t="n">
        <v>46198</v>
      </c>
      <c r="D349" t="inlineStr">
        <is>
          <t>VÄSTERBOTTENS LÄN</t>
        </is>
      </c>
      <c r="E349" t="inlineStr">
        <is>
          <t>LYCKSELE</t>
        </is>
      </c>
      <c r="G349" t="n">
        <v>12.8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44465-2022</t>
        </is>
      </c>
      <c r="B350" s="1" t="n">
        <v>44840</v>
      </c>
      <c r="C350" s="1" t="n">
        <v>46198</v>
      </c>
      <c r="D350" t="inlineStr">
        <is>
          <t>VÄSTERBOTTENS LÄN</t>
        </is>
      </c>
      <c r="E350" t="inlineStr">
        <is>
          <t>LYCKSELE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13883-2025</t>
        </is>
      </c>
      <c r="B351" s="1" t="n">
        <v>45737</v>
      </c>
      <c r="C351" s="1" t="n">
        <v>46198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59209-2024</t>
        </is>
      </c>
      <c r="B352" s="1" t="n">
        <v>45637</v>
      </c>
      <c r="C352" s="1" t="n">
        <v>46198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41256-2022</t>
        </is>
      </c>
      <c r="B353" s="1" t="n">
        <v>44826</v>
      </c>
      <c r="C353" s="1" t="n">
        <v>46198</v>
      </c>
      <c r="D353" t="inlineStr">
        <is>
          <t>VÄSTERBOTTENS LÄN</t>
        </is>
      </c>
      <c r="E353" t="inlineStr">
        <is>
          <t>LYCKSELE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36542-2025</t>
        </is>
      </c>
      <c r="B354" s="1" t="n">
        <v>45869</v>
      </c>
      <c r="C354" s="1" t="n">
        <v>46198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54697-2024</t>
        </is>
      </c>
      <c r="B355" s="1" t="n">
        <v>45618</v>
      </c>
      <c r="C355" s="1" t="n">
        <v>46198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36439-2025</t>
        </is>
      </c>
      <c r="B356" s="1" t="n">
        <v>45869</v>
      </c>
      <c r="C356" s="1" t="n">
        <v>46198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35832-2025</t>
        </is>
      </c>
      <c r="B357" s="1" t="n">
        <v>45861</v>
      </c>
      <c r="C357" s="1" t="n">
        <v>46198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36689-2025</t>
        </is>
      </c>
      <c r="B358" s="1" t="n">
        <v>45873</v>
      </c>
      <c r="C358" s="1" t="n">
        <v>46198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36736-2025</t>
        </is>
      </c>
      <c r="B359" s="1" t="n">
        <v>45873</v>
      </c>
      <c r="C359" s="1" t="n">
        <v>46198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36702-2025</t>
        </is>
      </c>
      <c r="B360" s="1" t="n">
        <v>45873</v>
      </c>
      <c r="C360" s="1" t="n">
        <v>46198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36787-2025</t>
        </is>
      </c>
      <c r="B361" s="1" t="n">
        <v>45873</v>
      </c>
      <c r="C361" s="1" t="n">
        <v>46198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36709-2025</t>
        </is>
      </c>
      <c r="B362" s="1" t="n">
        <v>45873</v>
      </c>
      <c r="C362" s="1" t="n">
        <v>46198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22050-2024</t>
        </is>
      </c>
      <c r="B363" s="1" t="n">
        <v>45443</v>
      </c>
      <c r="C363" s="1" t="n">
        <v>46198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37078-2025</t>
        </is>
      </c>
      <c r="B364" s="1" t="n">
        <v>45875</v>
      </c>
      <c r="C364" s="1" t="n">
        <v>46198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33704-2024</t>
        </is>
      </c>
      <c r="B365" s="1" t="n">
        <v>45520</v>
      </c>
      <c r="C365" s="1" t="n">
        <v>46198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37105-2025</t>
        </is>
      </c>
      <c r="B366" s="1" t="n">
        <v>45875</v>
      </c>
      <c r="C366" s="1" t="n">
        <v>46198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34111-2025</t>
        </is>
      </c>
      <c r="B367" s="1" t="n">
        <v>45845</v>
      </c>
      <c r="C367" s="1" t="n">
        <v>46198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30401-2023</t>
        </is>
      </c>
      <c r="B368" s="1" t="n">
        <v>45103</v>
      </c>
      <c r="C368" s="1" t="n">
        <v>46198</v>
      </c>
      <c r="D368" t="inlineStr">
        <is>
          <t>VÄSTERBOTTENS LÄN</t>
        </is>
      </c>
      <c r="E368" t="inlineStr">
        <is>
          <t>LYCKSELE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11822-2023</t>
        </is>
      </c>
      <c r="B369" s="1" t="n">
        <v>44994</v>
      </c>
      <c r="C369" s="1" t="n">
        <v>46198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9551-2025</t>
        </is>
      </c>
      <c r="B370" s="1" t="n">
        <v>45715</v>
      </c>
      <c r="C370" s="1" t="n">
        <v>46198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2758-2023</t>
        </is>
      </c>
      <c r="B371" s="1" t="n">
        <v>44943</v>
      </c>
      <c r="C371" s="1" t="n">
        <v>46198</v>
      </c>
      <c r="D371" t="inlineStr">
        <is>
          <t>VÄSTERBOTTENS LÄN</t>
        </is>
      </c>
      <c r="E371" t="inlineStr">
        <is>
          <t>LYCKSELE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42208-2022</t>
        </is>
      </c>
      <c r="B372" s="1" t="n">
        <v>44830</v>
      </c>
      <c r="C372" s="1" t="n">
        <v>46198</v>
      </c>
      <c r="D372" t="inlineStr">
        <is>
          <t>VÄSTERBOTTENS LÄN</t>
        </is>
      </c>
      <c r="E372" t="inlineStr">
        <is>
          <t>LYCKSELE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8727-2024</t>
        </is>
      </c>
      <c r="B373" s="1" t="n">
        <v>45356</v>
      </c>
      <c r="C373" s="1" t="n">
        <v>46198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12430-2025</t>
        </is>
      </c>
      <c r="B374" s="1" t="n">
        <v>45730</v>
      </c>
      <c r="C374" s="1" t="n">
        <v>46198</v>
      </c>
      <c r="D374" t="inlineStr">
        <is>
          <t>VÄSTERBOTTENS LÄN</t>
        </is>
      </c>
      <c r="E374" t="inlineStr">
        <is>
          <t>LYCKSELE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53320-2021</t>
        </is>
      </c>
      <c r="B375" s="1" t="n">
        <v>44468</v>
      </c>
      <c r="C375" s="1" t="n">
        <v>46198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37970-2025</t>
        </is>
      </c>
      <c r="B376" s="1" t="n">
        <v>45881</v>
      </c>
      <c r="C376" s="1" t="n">
        <v>46198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39162-2025</t>
        </is>
      </c>
      <c r="B377" s="1" t="n">
        <v>45888</v>
      </c>
      <c r="C377" s="1" t="n">
        <v>46198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39436-2025</t>
        </is>
      </c>
      <c r="B378" s="1" t="n">
        <v>45889</v>
      </c>
      <c r="C378" s="1" t="n">
        <v>46198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8596-2025</t>
        </is>
      </c>
      <c r="B379" s="1" t="n">
        <v>45709</v>
      </c>
      <c r="C379" s="1" t="n">
        <v>46198</v>
      </c>
      <c r="D379" t="inlineStr">
        <is>
          <t>VÄSTERBOTTENS LÄN</t>
        </is>
      </c>
      <c r="E379" t="inlineStr">
        <is>
          <t>LYCKSELE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38012-2025</t>
        </is>
      </c>
      <c r="B380" s="1" t="n">
        <v>45882</v>
      </c>
      <c r="C380" s="1" t="n">
        <v>46198</v>
      </c>
      <c r="D380" t="inlineStr">
        <is>
          <t>VÄSTERBOTTENS LÄN</t>
        </is>
      </c>
      <c r="E380" t="inlineStr">
        <is>
          <t>LYCKSELE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39135-2025</t>
        </is>
      </c>
      <c r="B381" s="1" t="n">
        <v>45888</v>
      </c>
      <c r="C381" s="1" t="n">
        <v>46198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</v>
      </c>
      <c r="C382" s="1" t="n">
        <v>46198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8360-2024</t>
        </is>
      </c>
      <c r="B383" s="1" t="n">
        <v>45352</v>
      </c>
      <c r="C383" s="1" t="n">
        <v>46198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25461-2026</t>
        </is>
      </c>
      <c r="B384" s="1" t="n">
        <v>46177</v>
      </c>
      <c r="C384" s="1" t="n">
        <v>46198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25491-2026</t>
        </is>
      </c>
      <c r="B385" s="1" t="n">
        <v>46177</v>
      </c>
      <c r="C385" s="1" t="n">
        <v>46198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25453-2026</t>
        </is>
      </c>
      <c r="B386" s="1" t="n">
        <v>46177</v>
      </c>
      <c r="C386" s="1" t="n">
        <v>46198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39239-2025</t>
        </is>
      </c>
      <c r="B387" s="1" t="n">
        <v>45889</v>
      </c>
      <c r="C387" s="1" t="n">
        <v>46198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39143-2025</t>
        </is>
      </c>
      <c r="B388" s="1" t="n">
        <v>45888</v>
      </c>
      <c r="C388" s="1" t="n">
        <v>46198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38347-2025</t>
        </is>
      </c>
      <c r="B389" s="1" t="n">
        <v>45883</v>
      </c>
      <c r="C389" s="1" t="n">
        <v>46198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38988-2025</t>
        </is>
      </c>
      <c r="B390" s="1" t="n">
        <v>45888</v>
      </c>
      <c r="C390" s="1" t="n">
        <v>46198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53036-2023</t>
        </is>
      </c>
      <c r="B391" s="1" t="n">
        <v>45226</v>
      </c>
      <c r="C391" s="1" t="n">
        <v>46198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39151-2025</t>
        </is>
      </c>
      <c r="B392" s="1" t="n">
        <v>45888</v>
      </c>
      <c r="C392" s="1" t="n">
        <v>46198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39342-2025</t>
        </is>
      </c>
      <c r="B393" s="1" t="n">
        <v>45889</v>
      </c>
      <c r="C393" s="1" t="n">
        <v>46198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39521-2025</t>
        </is>
      </c>
      <c r="B394" s="1" t="n">
        <v>45890</v>
      </c>
      <c r="C394" s="1" t="n">
        <v>46198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39562-2025</t>
        </is>
      </c>
      <c r="B395" s="1" t="n">
        <v>45890</v>
      </c>
      <c r="C395" s="1" t="n">
        <v>46198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45139-2025</t>
        </is>
      </c>
      <c r="B396" s="1" t="n">
        <v>45919</v>
      </c>
      <c r="C396" s="1" t="n">
        <v>46198</v>
      </c>
      <c r="D396" t="inlineStr">
        <is>
          <t>VÄSTERBOTTENS LÄN</t>
        </is>
      </c>
      <c r="E396" t="inlineStr">
        <is>
          <t>LYCKSELE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39517-2025</t>
        </is>
      </c>
      <c r="B397" s="1" t="n">
        <v>45890</v>
      </c>
      <c r="C397" s="1" t="n">
        <v>46198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39458-2025</t>
        </is>
      </c>
      <c r="B398" s="1" t="n">
        <v>45889</v>
      </c>
      <c r="C398" s="1" t="n">
        <v>46198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41711-2023</t>
        </is>
      </c>
      <c r="B399" s="1" t="n">
        <v>45176</v>
      </c>
      <c r="C399" s="1" t="n">
        <v>46198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39482-2025</t>
        </is>
      </c>
      <c r="B400" s="1" t="n">
        <v>45890</v>
      </c>
      <c r="C400" s="1" t="n">
        <v>46198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39552-2025</t>
        </is>
      </c>
      <c r="B401" s="1" t="n">
        <v>45890</v>
      </c>
      <c r="C401" s="1" t="n">
        <v>46198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38960-2025</t>
        </is>
      </c>
      <c r="B402" s="1" t="n">
        <v>45887</v>
      </c>
      <c r="C402" s="1" t="n">
        <v>46198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39543-2025</t>
        </is>
      </c>
      <c r="B403" s="1" t="n">
        <v>45890</v>
      </c>
      <c r="C403" s="1" t="n">
        <v>46198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39648-2025</t>
        </is>
      </c>
      <c r="B404" s="1" t="n">
        <v>45890</v>
      </c>
      <c r="C404" s="1" t="n">
        <v>46198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19.3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41992-2022</t>
        </is>
      </c>
      <c r="B405" s="1" t="n">
        <v>44830</v>
      </c>
      <c r="C405" s="1" t="n">
        <v>46198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40079-2025</t>
        </is>
      </c>
      <c r="B406" s="1" t="n">
        <v>45894</v>
      </c>
      <c r="C406" s="1" t="n">
        <v>46198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40238-2025</t>
        </is>
      </c>
      <c r="B407" s="1" t="n">
        <v>45894</v>
      </c>
      <c r="C407" s="1" t="n">
        <v>46198</v>
      </c>
      <c r="D407" t="inlineStr">
        <is>
          <t>VÄSTERBOTTENS LÄN</t>
        </is>
      </c>
      <c r="E407" t="inlineStr">
        <is>
          <t>LYCKSELE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31698-2023</t>
        </is>
      </c>
      <c r="B408" s="1" t="n">
        <v>45117</v>
      </c>
      <c r="C408" s="1" t="n">
        <v>46198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40746-2025</t>
        </is>
      </c>
      <c r="B409" s="1" t="n">
        <v>45897</v>
      </c>
      <c r="C409" s="1" t="n">
        <v>46198</v>
      </c>
      <c r="D409" t="inlineStr">
        <is>
          <t>VÄSTERBOTTENS LÄN</t>
        </is>
      </c>
      <c r="E409" t="inlineStr">
        <is>
          <t>LYCKSELE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40751-2025</t>
        </is>
      </c>
      <c r="B410" s="1" t="n">
        <v>45897</v>
      </c>
      <c r="C410" s="1" t="n">
        <v>46198</v>
      </c>
      <c r="D410" t="inlineStr">
        <is>
          <t>VÄSTERBOTTENS LÄN</t>
        </is>
      </c>
      <c r="E410" t="inlineStr">
        <is>
          <t>LYCKSELE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2323-2025</t>
        </is>
      </c>
      <c r="B411" s="1" t="n">
        <v>45673</v>
      </c>
      <c r="C411" s="1" t="n">
        <v>46198</v>
      </c>
      <c r="D411" t="inlineStr">
        <is>
          <t>VÄSTERBOTTENS LÄN</t>
        </is>
      </c>
      <c r="E411" t="inlineStr">
        <is>
          <t>LYCKSELE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57224-2023</t>
        </is>
      </c>
      <c r="B412" s="1" t="n">
        <v>45239</v>
      </c>
      <c r="C412" s="1" t="n">
        <v>46198</v>
      </c>
      <c r="D412" t="inlineStr">
        <is>
          <t>VÄSTERBOTTENS LÄN</t>
        </is>
      </c>
      <c r="E412" t="inlineStr">
        <is>
          <t>LYCKSELE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38922-2025</t>
        </is>
      </c>
      <c r="B413" s="1" t="n">
        <v>45887</v>
      </c>
      <c r="C413" s="1" t="n">
        <v>46198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41604-2025</t>
        </is>
      </c>
      <c r="B414" s="1" t="n">
        <v>45901</v>
      </c>
      <c r="C414" s="1" t="n">
        <v>46198</v>
      </c>
      <c r="D414" t="inlineStr">
        <is>
          <t>VÄSTERBOTTENS LÄN</t>
        </is>
      </c>
      <c r="E414" t="inlineStr">
        <is>
          <t>LYCKSELE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54277-2024</t>
        </is>
      </c>
      <c r="B415" s="1" t="n">
        <v>45616</v>
      </c>
      <c r="C415" s="1" t="n">
        <v>46198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38777-2025</t>
        </is>
      </c>
      <c r="B416" s="1" t="n">
        <v>45887</v>
      </c>
      <c r="C416" s="1" t="n">
        <v>46198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41523-2024</t>
        </is>
      </c>
      <c r="B417" s="1" t="n">
        <v>45560</v>
      </c>
      <c r="C417" s="1" t="n">
        <v>46198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26999-2023</t>
        </is>
      </c>
      <c r="B418" s="1" t="n">
        <v>45093</v>
      </c>
      <c r="C418" s="1" t="n">
        <v>46198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71412-2021</t>
        </is>
      </c>
      <c r="B419" s="1" t="n">
        <v>44540</v>
      </c>
      <c r="C419" s="1" t="n">
        <v>46198</v>
      </c>
      <c r="D419" t="inlineStr">
        <is>
          <t>VÄSTERBOTTENS LÄN</t>
        </is>
      </c>
      <c r="E419" t="inlineStr">
        <is>
          <t>LYCKSELE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41087-2025</t>
        </is>
      </c>
      <c r="B420" s="1" t="n">
        <v>45898</v>
      </c>
      <c r="C420" s="1" t="n">
        <v>46198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41911-2025</t>
        </is>
      </c>
      <c r="B421" s="1" t="n">
        <v>45903</v>
      </c>
      <c r="C421" s="1" t="n">
        <v>46198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42019-2025</t>
        </is>
      </c>
      <c r="B422" s="1" t="n">
        <v>45903</v>
      </c>
      <c r="C422" s="1" t="n">
        <v>46198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42075-2025</t>
        </is>
      </c>
      <c r="B423" s="1" t="n">
        <v>45902</v>
      </c>
      <c r="C423" s="1" t="n">
        <v>46198</v>
      </c>
      <c r="D423" t="inlineStr">
        <is>
          <t>VÄSTERBOTTENS LÄN</t>
        </is>
      </c>
      <c r="E423" t="inlineStr">
        <is>
          <t>LYCKSELE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42051-2025</t>
        </is>
      </c>
      <c r="B424" s="1" t="n">
        <v>45903</v>
      </c>
      <c r="C424" s="1" t="n">
        <v>46198</v>
      </c>
      <c r="D424" t="inlineStr">
        <is>
          <t>VÄSTERBOTTENS LÄN</t>
        </is>
      </c>
      <c r="E424" t="inlineStr">
        <is>
          <t>LYCKSELE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41906-2025</t>
        </is>
      </c>
      <c r="B425" s="1" t="n">
        <v>45903</v>
      </c>
      <c r="C425" s="1" t="n">
        <v>46198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42028-2025</t>
        </is>
      </c>
      <c r="B426" s="1" t="n">
        <v>45903</v>
      </c>
      <c r="C426" s="1" t="n">
        <v>46198</v>
      </c>
      <c r="D426" t="inlineStr">
        <is>
          <t>VÄSTERBOTTENS LÄN</t>
        </is>
      </c>
      <c r="E426" t="inlineStr">
        <is>
          <t>LYCKSELE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38925-2025</t>
        </is>
      </c>
      <c r="B427" s="1" t="n">
        <v>45887</v>
      </c>
      <c r="C427" s="1" t="n">
        <v>46198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42500-2025</t>
        </is>
      </c>
      <c r="B428" s="1" t="n">
        <v>45905</v>
      </c>
      <c r="C428" s="1" t="n">
        <v>46198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52699-2021</t>
        </is>
      </c>
      <c r="B429" s="1" t="n">
        <v>44466</v>
      </c>
      <c r="C429" s="1" t="n">
        <v>46198</v>
      </c>
      <c r="D429" t="inlineStr">
        <is>
          <t>VÄSTERBOTTENS LÄN</t>
        </is>
      </c>
      <c r="E429" t="inlineStr">
        <is>
          <t>LYCKSELE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62094-2023</t>
        </is>
      </c>
      <c r="B430" s="1" t="n">
        <v>45266</v>
      </c>
      <c r="C430" s="1" t="n">
        <v>46198</v>
      </c>
      <c r="D430" t="inlineStr">
        <is>
          <t>VÄSTERBOTTENS LÄN</t>
        </is>
      </c>
      <c r="E430" t="inlineStr">
        <is>
          <t>LYCKSELE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42405-2025</t>
        </is>
      </c>
      <c r="B431" s="1" t="n">
        <v>45905</v>
      </c>
      <c r="C431" s="1" t="n">
        <v>46198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12261-2022</t>
        </is>
      </c>
      <c r="B432" s="1" t="n">
        <v>44637</v>
      </c>
      <c r="C432" s="1" t="n">
        <v>46198</v>
      </c>
      <c r="D432" t="inlineStr">
        <is>
          <t>VÄSTERBOTTENS LÄN</t>
        </is>
      </c>
      <c r="E432" t="inlineStr">
        <is>
          <t>LYCKSELE</t>
        </is>
      </c>
      <c r="G432" t="n">
        <v>30.8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42616-2025</t>
        </is>
      </c>
      <c r="B433" s="1" t="n">
        <v>45905</v>
      </c>
      <c r="C433" s="1" t="n">
        <v>46198</v>
      </c>
      <c r="D433" t="inlineStr">
        <is>
          <t>VÄSTERBOTTENS LÄN</t>
        </is>
      </c>
      <c r="E433" t="inlineStr">
        <is>
          <t>LYCKSELE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57618-2022</t>
        </is>
      </c>
      <c r="B434" s="1" t="n">
        <v>44897</v>
      </c>
      <c r="C434" s="1" t="n">
        <v>46198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61975-2025</t>
        </is>
      </c>
      <c r="B435" s="1" t="n">
        <v>46003</v>
      </c>
      <c r="C435" s="1" t="n">
        <v>46198</v>
      </c>
      <c r="D435" t="inlineStr">
        <is>
          <t>VÄSTERBOTTENS LÄN</t>
        </is>
      </c>
      <c r="E435" t="inlineStr">
        <is>
          <t>LYCKSELE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42986-2025</t>
        </is>
      </c>
      <c r="B436" s="1" t="n">
        <v>45909</v>
      </c>
      <c r="C436" s="1" t="n">
        <v>46198</v>
      </c>
      <c r="D436" t="inlineStr">
        <is>
          <t>VÄSTERBOTTENS LÄN</t>
        </is>
      </c>
      <c r="E436" t="inlineStr">
        <is>
          <t>LYCKSELE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25565-2025</t>
        </is>
      </c>
      <c r="B437" s="1" t="n">
        <v>45803</v>
      </c>
      <c r="C437" s="1" t="n">
        <v>46198</v>
      </c>
      <c r="D437" t="inlineStr">
        <is>
          <t>VÄSTERBOTTENS LÄN</t>
        </is>
      </c>
      <c r="E437" t="inlineStr">
        <is>
          <t>LYCKSELE</t>
        </is>
      </c>
      <c r="G437" t="n">
        <v>21.9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42984-2025</t>
        </is>
      </c>
      <c r="B438" s="1" t="n">
        <v>45909</v>
      </c>
      <c r="C438" s="1" t="n">
        <v>46198</v>
      </c>
      <c r="D438" t="inlineStr">
        <is>
          <t>VÄSTERBOTTENS LÄN</t>
        </is>
      </c>
      <c r="E438" t="inlineStr">
        <is>
          <t>LYCKSELE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38774-2025</t>
        </is>
      </c>
      <c r="B439" s="1" t="n">
        <v>45887</v>
      </c>
      <c r="C439" s="1" t="n">
        <v>46198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62870-2023</t>
        </is>
      </c>
      <c r="B440" s="1" t="n">
        <v>45271</v>
      </c>
      <c r="C440" s="1" t="n">
        <v>46198</v>
      </c>
      <c r="D440" t="inlineStr">
        <is>
          <t>VÄSTERBOTTENS LÄN</t>
        </is>
      </c>
      <c r="E440" t="inlineStr">
        <is>
          <t>LYCKSELE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47096-2023</t>
        </is>
      </c>
      <c r="B441" s="1" t="n">
        <v>45201</v>
      </c>
      <c r="C441" s="1" t="n">
        <v>46198</v>
      </c>
      <c r="D441" t="inlineStr">
        <is>
          <t>VÄSTERBOTTENS LÄN</t>
        </is>
      </c>
      <c r="E441" t="inlineStr">
        <is>
          <t>LYCKSELE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57898-2021</t>
        </is>
      </c>
      <c r="B442" s="1" t="n">
        <v>44486</v>
      </c>
      <c r="C442" s="1" t="n">
        <v>46198</v>
      </c>
      <c r="D442" t="inlineStr">
        <is>
          <t>VÄSTERBOTTENS LÄN</t>
        </is>
      </c>
      <c r="E442" t="inlineStr">
        <is>
          <t>LYCKSELE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936-2023</t>
        </is>
      </c>
      <c r="B443" s="1" t="n">
        <v>44933</v>
      </c>
      <c r="C443" s="1" t="n">
        <v>46198</v>
      </c>
      <c r="D443" t="inlineStr">
        <is>
          <t>VÄSTERBOTTENS LÄN</t>
        </is>
      </c>
      <c r="E443" t="inlineStr">
        <is>
          <t>LYCKSELE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44087-2025</t>
        </is>
      </c>
      <c r="B444" s="1" t="n">
        <v>45915</v>
      </c>
      <c r="C444" s="1" t="n">
        <v>46198</v>
      </c>
      <c r="D444" t="inlineStr">
        <is>
          <t>VÄSTERBOTTENS LÄN</t>
        </is>
      </c>
      <c r="E444" t="inlineStr">
        <is>
          <t>LYCKSELE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44098-2025</t>
        </is>
      </c>
      <c r="B445" s="1" t="n">
        <v>45915</v>
      </c>
      <c r="C445" s="1" t="n">
        <v>46198</v>
      </c>
      <c r="D445" t="inlineStr">
        <is>
          <t>VÄSTERBOTTENS LÄN</t>
        </is>
      </c>
      <c r="E445" t="inlineStr">
        <is>
          <t>LYCKSELE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43924-2025</t>
        </is>
      </c>
      <c r="B446" s="1" t="n">
        <v>45915</v>
      </c>
      <c r="C446" s="1" t="n">
        <v>46198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43928-2025</t>
        </is>
      </c>
      <c r="B447" s="1" t="n">
        <v>45915</v>
      </c>
      <c r="C447" s="1" t="n">
        <v>46198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43929-2025</t>
        </is>
      </c>
      <c r="B448" s="1" t="n">
        <v>45915</v>
      </c>
      <c r="C448" s="1" t="n">
        <v>46198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30101-2025</t>
        </is>
      </c>
      <c r="B449" s="1" t="n">
        <v>45826</v>
      </c>
      <c r="C449" s="1" t="n">
        <v>46198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43931-2025</t>
        </is>
      </c>
      <c r="B450" s="1" t="n">
        <v>45915</v>
      </c>
      <c r="C450" s="1" t="n">
        <v>46198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20242-2026</t>
        </is>
      </c>
      <c r="B451" s="1" t="n">
        <v>46139</v>
      </c>
      <c r="C451" s="1" t="n">
        <v>46198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44337-2025</t>
        </is>
      </c>
      <c r="B452" s="1" t="n">
        <v>45916</v>
      </c>
      <c r="C452" s="1" t="n">
        <v>46198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44299-2025</t>
        </is>
      </c>
      <c r="B453" s="1" t="n">
        <v>45916</v>
      </c>
      <c r="C453" s="1" t="n">
        <v>46198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44340-2025</t>
        </is>
      </c>
      <c r="B454" s="1" t="n">
        <v>45916</v>
      </c>
      <c r="C454" s="1" t="n">
        <v>46198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13566-2023</t>
        </is>
      </c>
      <c r="B455" s="1" t="n">
        <v>45006</v>
      </c>
      <c r="C455" s="1" t="n">
        <v>46198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46198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44345-2025</t>
        </is>
      </c>
      <c r="B457" s="1" t="n">
        <v>45916</v>
      </c>
      <c r="C457" s="1" t="n">
        <v>46198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2352-2025</t>
        </is>
      </c>
      <c r="B458" s="1" t="n">
        <v>45673</v>
      </c>
      <c r="C458" s="1" t="n">
        <v>46198</v>
      </c>
      <c r="D458" t="inlineStr">
        <is>
          <t>VÄSTERBOTTENS LÄN</t>
        </is>
      </c>
      <c r="E458" t="inlineStr">
        <is>
          <t>LYCKSELE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44547-2025</t>
        </is>
      </c>
      <c r="B459" s="1" t="n">
        <v>45917</v>
      </c>
      <c r="C459" s="1" t="n">
        <v>46198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44342-2025</t>
        </is>
      </c>
      <c r="B460" s="1" t="n">
        <v>45916</v>
      </c>
      <c r="C460" s="1" t="n">
        <v>46198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44346-2025</t>
        </is>
      </c>
      <c r="B461" s="1" t="n">
        <v>45916</v>
      </c>
      <c r="C461" s="1" t="n">
        <v>46198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54428-2024</t>
        </is>
      </c>
      <c r="B462" s="1" t="n">
        <v>45617</v>
      </c>
      <c r="C462" s="1" t="n">
        <v>46198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45174-2025</t>
        </is>
      </c>
      <c r="B463" s="1" t="n">
        <v>45919</v>
      </c>
      <c r="C463" s="1" t="n">
        <v>46198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51152-2024</t>
        </is>
      </c>
      <c r="B464" s="1" t="n">
        <v>45603</v>
      </c>
      <c r="C464" s="1" t="n">
        <v>46198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44107-2025</t>
        </is>
      </c>
      <c r="B465" s="1" t="n">
        <v>45915</v>
      </c>
      <c r="C465" s="1" t="n">
        <v>46198</v>
      </c>
      <c r="D465" t="inlineStr">
        <is>
          <t>VÄSTERBOTTENS LÄN</t>
        </is>
      </c>
      <c r="E465" t="inlineStr">
        <is>
          <t>LYCKSELE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44094-2025</t>
        </is>
      </c>
      <c r="B466" s="1" t="n">
        <v>45915</v>
      </c>
      <c r="C466" s="1" t="n">
        <v>46198</v>
      </c>
      <c r="D466" t="inlineStr">
        <is>
          <t>VÄSTERBOTTENS LÄN</t>
        </is>
      </c>
      <c r="E466" t="inlineStr">
        <is>
          <t>LYCKSELE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62584-2022</t>
        </is>
      </c>
      <c r="B467" s="1" t="n">
        <v>44924</v>
      </c>
      <c r="C467" s="1" t="n">
        <v>46198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44998-2025</t>
        </is>
      </c>
      <c r="B468" s="1" t="n">
        <v>45918</v>
      </c>
      <c r="C468" s="1" t="n">
        <v>46198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25746-2026</t>
        </is>
      </c>
      <c r="B469" s="1" t="n">
        <v>46178</v>
      </c>
      <c r="C469" s="1" t="n">
        <v>46198</v>
      </c>
      <c r="D469" t="inlineStr">
        <is>
          <t>VÄSTERBOTTENS LÄN</t>
        </is>
      </c>
      <c r="E469" t="inlineStr">
        <is>
          <t>LYCKSELE</t>
        </is>
      </c>
      <c r="G469" t="n">
        <v>22.3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16887-2024</t>
        </is>
      </c>
      <c r="B470" s="1" t="n">
        <v>45411</v>
      </c>
      <c r="C470" s="1" t="n">
        <v>46198</v>
      </c>
      <c r="D470" t="inlineStr">
        <is>
          <t>VÄSTERBOTTENS LÄN</t>
        </is>
      </c>
      <c r="E470" t="inlineStr">
        <is>
          <t>LYCKSELE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30306-2024</t>
        </is>
      </c>
      <c r="B471" s="1" t="n">
        <v>45490</v>
      </c>
      <c r="C471" s="1" t="n">
        <v>46198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45837-2025</t>
        </is>
      </c>
      <c r="B472" s="1" t="n">
        <v>45923</v>
      </c>
      <c r="C472" s="1" t="n">
        <v>46198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9879-2022</t>
        </is>
      </c>
      <c r="B473" s="1" t="n">
        <v>44620</v>
      </c>
      <c r="C473" s="1" t="n">
        <v>46198</v>
      </c>
      <c r="D473" t="inlineStr">
        <is>
          <t>VÄSTERBOTTENS LÄN</t>
        </is>
      </c>
      <c r="E473" t="inlineStr">
        <is>
          <t>LYCKSELE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46077-2025</t>
        </is>
      </c>
      <c r="B474" s="1" t="n">
        <v>45924</v>
      </c>
      <c r="C474" s="1" t="n">
        <v>46198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54167-2022</t>
        </is>
      </c>
      <c r="B475" s="1" t="n">
        <v>44881</v>
      </c>
      <c r="C475" s="1" t="n">
        <v>46198</v>
      </c>
      <c r="D475" t="inlineStr">
        <is>
          <t>VÄSTERBOTTENS LÄN</t>
        </is>
      </c>
      <c r="E475" t="inlineStr">
        <is>
          <t>LYCKSELE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29449-2024</t>
        </is>
      </c>
      <c r="B476" s="1" t="n">
        <v>45483</v>
      </c>
      <c r="C476" s="1" t="n">
        <v>46198</v>
      </c>
      <c r="D476" t="inlineStr">
        <is>
          <t>VÄSTERBOTTENS LÄN</t>
        </is>
      </c>
      <c r="E476" t="inlineStr">
        <is>
          <t>LYCKSELE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46074-2025</t>
        </is>
      </c>
      <c r="B477" s="1" t="n">
        <v>45924</v>
      </c>
      <c r="C477" s="1" t="n">
        <v>46198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46198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46286-2025</t>
        </is>
      </c>
      <c r="B479" s="1" t="n">
        <v>45925</v>
      </c>
      <c r="C479" s="1" t="n">
        <v>46198</v>
      </c>
      <c r="D479" t="inlineStr">
        <is>
          <t>VÄSTERBOTTENS LÄN</t>
        </is>
      </c>
      <c r="E479" t="inlineStr">
        <is>
          <t>LYCKSELE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34897-2024</t>
        </is>
      </c>
      <c r="B480" s="1" t="n">
        <v>45527</v>
      </c>
      <c r="C480" s="1" t="n">
        <v>46198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47093-2025</t>
        </is>
      </c>
      <c r="B481" s="1" t="n">
        <v>45929</v>
      </c>
      <c r="C481" s="1" t="n">
        <v>46198</v>
      </c>
      <c r="D481" t="inlineStr">
        <is>
          <t>VÄSTERBOTTENS LÄN</t>
        </is>
      </c>
      <c r="E481" t="inlineStr">
        <is>
          <t>LYCKSELE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60081-2025</t>
        </is>
      </c>
      <c r="B482" s="1" t="n">
        <v>45993</v>
      </c>
      <c r="C482" s="1" t="n">
        <v>46198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47459-2025</t>
        </is>
      </c>
      <c r="B483" s="1" t="n">
        <v>45930</v>
      </c>
      <c r="C483" s="1" t="n">
        <v>46198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47456-2025</t>
        </is>
      </c>
      <c r="B484" s="1" t="n">
        <v>45930</v>
      </c>
      <c r="C484" s="1" t="n">
        <v>46198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50044-2021</t>
        </is>
      </c>
      <c r="B485" s="1" t="n">
        <v>44456</v>
      </c>
      <c r="C485" s="1" t="n">
        <v>46198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47700-2025</t>
        </is>
      </c>
      <c r="B486" s="1" t="n">
        <v>45931</v>
      </c>
      <c r="C486" s="1" t="n">
        <v>46198</v>
      </c>
      <c r="D486" t="inlineStr">
        <is>
          <t>VÄSTERBOTTENS LÄN</t>
        </is>
      </c>
      <c r="E486" t="inlineStr">
        <is>
          <t>LYCKSELE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47461-2025</t>
        </is>
      </c>
      <c r="B487" s="1" t="n">
        <v>45930</v>
      </c>
      <c r="C487" s="1" t="n">
        <v>46198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50468-2024</t>
        </is>
      </c>
      <c r="B488" s="1" t="n">
        <v>45601</v>
      </c>
      <c r="C488" s="1" t="n">
        <v>46198</v>
      </c>
      <c r="D488" t="inlineStr">
        <is>
          <t>VÄSTERBOTTENS LÄN</t>
        </is>
      </c>
      <c r="E488" t="inlineStr">
        <is>
          <t>LYCKSELE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48205-2025</t>
        </is>
      </c>
      <c r="B489" s="1" t="n">
        <v>45933</v>
      </c>
      <c r="C489" s="1" t="n">
        <v>46198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34849-2025</t>
        </is>
      </c>
      <c r="B490" s="1" t="n">
        <v>45849</v>
      </c>
      <c r="C490" s="1" t="n">
        <v>46198</v>
      </c>
      <c r="D490" t="inlineStr">
        <is>
          <t>VÄSTERBOTTENS LÄN</t>
        </is>
      </c>
      <c r="E490" t="inlineStr">
        <is>
          <t>LYCKSELE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25718-2026</t>
        </is>
      </c>
      <c r="B491" s="1" t="n">
        <v>46178</v>
      </c>
      <c r="C491" s="1" t="n">
        <v>46198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47930-2025</t>
        </is>
      </c>
      <c r="B492" s="1" t="n">
        <v>45932</v>
      </c>
      <c r="C492" s="1" t="n">
        <v>46198</v>
      </c>
      <c r="D492" t="inlineStr">
        <is>
          <t>VÄSTERBOTTENS LÄN</t>
        </is>
      </c>
      <c r="E492" t="inlineStr">
        <is>
          <t>LYCKSELE</t>
        </is>
      </c>
      <c r="G492" t="n">
        <v>17.8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48208-2025</t>
        </is>
      </c>
      <c r="B493" s="1" t="n">
        <v>45933</v>
      </c>
      <c r="C493" s="1" t="n">
        <v>46198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58714-2024</t>
        </is>
      </c>
      <c r="B494" s="1" t="n">
        <v>45635</v>
      </c>
      <c r="C494" s="1" t="n">
        <v>46198</v>
      </c>
      <c r="D494" t="inlineStr">
        <is>
          <t>VÄSTERBOTTENS LÄN</t>
        </is>
      </c>
      <c r="E494" t="inlineStr">
        <is>
          <t>LYCKSELE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3632-2024</t>
        </is>
      </c>
      <c r="B495" s="1" t="n">
        <v>45320</v>
      </c>
      <c r="C495" s="1" t="n">
        <v>46198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60117-2022</t>
        </is>
      </c>
      <c r="B496" s="1" t="n">
        <v>44909</v>
      </c>
      <c r="C496" s="1" t="n">
        <v>46198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44092-2025</t>
        </is>
      </c>
      <c r="B497" s="1" t="n">
        <v>45915</v>
      </c>
      <c r="C497" s="1" t="n">
        <v>46198</v>
      </c>
      <c r="D497" t="inlineStr">
        <is>
          <t>VÄSTERBOTTENS LÄN</t>
        </is>
      </c>
      <c r="E497" t="inlineStr">
        <is>
          <t>LYCKSELE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57984-2025</t>
        </is>
      </c>
      <c r="B498" s="1" t="n">
        <v>45982</v>
      </c>
      <c r="C498" s="1" t="n">
        <v>46198</v>
      </c>
      <c r="D498" t="inlineStr">
        <is>
          <t>VÄSTERBOTTENS LÄN</t>
        </is>
      </c>
      <c r="E498" t="inlineStr">
        <is>
          <t>LYCKSELE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48493-2025</t>
        </is>
      </c>
      <c r="B499" s="1" t="n">
        <v>45936</v>
      </c>
      <c r="C499" s="1" t="n">
        <v>46198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48498-2025</t>
        </is>
      </c>
      <c r="B500" s="1" t="n">
        <v>45936</v>
      </c>
      <c r="C500" s="1" t="n">
        <v>46198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25278-2026</t>
        </is>
      </c>
      <c r="B501" s="1" t="n">
        <v>46176</v>
      </c>
      <c r="C501" s="1" t="n">
        <v>46198</v>
      </c>
      <c r="D501" t="inlineStr">
        <is>
          <t>VÄSTERBOTTENS LÄN</t>
        </is>
      </c>
      <c r="E501" t="inlineStr">
        <is>
          <t>LYCKSELE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25727-2026</t>
        </is>
      </c>
      <c r="B502" s="1" t="n">
        <v>46178</v>
      </c>
      <c r="C502" s="1" t="n">
        <v>46198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46654-2025</t>
        </is>
      </c>
      <c r="B503" s="1" t="n">
        <v>45926</v>
      </c>
      <c r="C503" s="1" t="n">
        <v>46198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46562-2025</t>
        </is>
      </c>
      <c r="B504" s="1" t="n">
        <v>45926</v>
      </c>
      <c r="C504" s="1" t="n">
        <v>46198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16192-2024</t>
        </is>
      </c>
      <c r="B505" s="1" t="n">
        <v>45406</v>
      </c>
      <c r="C505" s="1" t="n">
        <v>46198</v>
      </c>
      <c r="D505" t="inlineStr">
        <is>
          <t>VÄSTERBOTTENS LÄN</t>
        </is>
      </c>
      <c r="E505" t="inlineStr">
        <is>
          <t>LYCKSELE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2552-2024</t>
        </is>
      </c>
      <c r="B506" s="1" t="n">
        <v>45313</v>
      </c>
      <c r="C506" s="1" t="n">
        <v>46198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Naturvårdsverket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325-2022</t>
        </is>
      </c>
      <c r="B507" s="1" t="n">
        <v>44564</v>
      </c>
      <c r="C507" s="1" t="n">
        <v>46198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25709-2026</t>
        </is>
      </c>
      <c r="B508" s="1" t="n">
        <v>46178</v>
      </c>
      <c r="C508" s="1" t="n">
        <v>46198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25716-2026</t>
        </is>
      </c>
      <c r="B509" s="1" t="n">
        <v>46178</v>
      </c>
      <c r="C509" s="1" t="n">
        <v>46198</v>
      </c>
      <c r="D509" t="inlineStr">
        <is>
          <t>VÄSTERBOTTENS LÄN</t>
        </is>
      </c>
      <c r="E509" t="inlineStr">
        <is>
          <t>LYCKSELE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25946-2026</t>
        </is>
      </c>
      <c r="B510" s="1" t="n">
        <v>46181</v>
      </c>
      <c r="C510" s="1" t="n">
        <v>46198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47113-2025</t>
        </is>
      </c>
      <c r="B511" s="1" t="n">
        <v>45929</v>
      </c>
      <c r="C511" s="1" t="n">
        <v>46198</v>
      </c>
      <c r="D511" t="inlineStr">
        <is>
          <t>VÄSTERBOTTENS LÄN</t>
        </is>
      </c>
      <c r="E511" t="inlineStr">
        <is>
          <t>LYCKSELE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29034-2025</t>
        </is>
      </c>
      <c r="B512" s="1" t="n">
        <v>45821</v>
      </c>
      <c r="C512" s="1" t="n">
        <v>46198</v>
      </c>
      <c r="D512" t="inlineStr">
        <is>
          <t>VÄSTERBOTTENS LÄN</t>
        </is>
      </c>
      <c r="E512" t="inlineStr">
        <is>
          <t>LYCKSELE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57666-2021</t>
        </is>
      </c>
      <c r="B513" s="1" t="n">
        <v>44484</v>
      </c>
      <c r="C513" s="1" t="n">
        <v>46198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48585-2025</t>
        </is>
      </c>
      <c r="B514" s="1" t="n">
        <v>45936</v>
      </c>
      <c r="C514" s="1" t="n">
        <v>46198</v>
      </c>
      <c r="D514" t="inlineStr">
        <is>
          <t>VÄSTERBOTTENS LÄN</t>
        </is>
      </c>
      <c r="E514" t="inlineStr">
        <is>
          <t>LYCKSELE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36132-2023</t>
        </is>
      </c>
      <c r="B515" s="1" t="n">
        <v>45149</v>
      </c>
      <c r="C515" s="1" t="n">
        <v>46198</v>
      </c>
      <c r="D515" t="inlineStr">
        <is>
          <t>VÄSTERBOTTENS LÄN</t>
        </is>
      </c>
      <c r="E515" t="inlineStr">
        <is>
          <t>LYCKSELE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40342-2025</t>
        </is>
      </c>
      <c r="B516" s="1" t="n">
        <v>45895</v>
      </c>
      <c r="C516" s="1" t="n">
        <v>46198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62547-2022</t>
        </is>
      </c>
      <c r="B517" s="1" t="n">
        <v>44924</v>
      </c>
      <c r="C517" s="1" t="n">
        <v>46198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1289-2022</t>
        </is>
      </c>
      <c r="B518" s="1" t="n">
        <v>44572</v>
      </c>
      <c r="C518" s="1" t="n">
        <v>46198</v>
      </c>
      <c r="D518" t="inlineStr">
        <is>
          <t>VÄSTERBOTTENS LÄN</t>
        </is>
      </c>
      <c r="E518" t="inlineStr">
        <is>
          <t>LYCKSELE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32408-2024</t>
        </is>
      </c>
      <c r="B519" s="1" t="n">
        <v>45512</v>
      </c>
      <c r="C519" s="1" t="n">
        <v>46198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Naturvårdsverket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49366-2025</t>
        </is>
      </c>
      <c r="B520" s="1" t="n">
        <v>45938</v>
      </c>
      <c r="C520" s="1" t="n">
        <v>46198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15809-2023</t>
        </is>
      </c>
      <c r="B521" s="1" t="n">
        <v>45021</v>
      </c>
      <c r="C521" s="1" t="n">
        <v>46198</v>
      </c>
      <c r="D521" t="inlineStr">
        <is>
          <t>VÄSTERBOTTENS LÄN</t>
        </is>
      </c>
      <c r="E521" t="inlineStr">
        <is>
          <t>LYCKSELE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29709-2025</t>
        </is>
      </c>
      <c r="B522" s="1" t="n">
        <v>45825</v>
      </c>
      <c r="C522" s="1" t="n">
        <v>46198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49196-2025</t>
        </is>
      </c>
      <c r="B523" s="1" t="n">
        <v>45938</v>
      </c>
      <c r="C523" s="1" t="n">
        <v>46198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29835-2023</t>
        </is>
      </c>
      <c r="B524" s="1" t="n">
        <v>45107</v>
      </c>
      <c r="C524" s="1" t="n">
        <v>46198</v>
      </c>
      <c r="D524" t="inlineStr">
        <is>
          <t>VÄSTERBOTTENS LÄN</t>
        </is>
      </c>
      <c r="E524" t="inlineStr">
        <is>
          <t>LYCKSELE</t>
        </is>
      </c>
      <c r="G524" t="n">
        <v>17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987-2025</t>
        </is>
      </c>
      <c r="B525" s="1" t="n">
        <v>45666</v>
      </c>
      <c r="C525" s="1" t="n">
        <v>46198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49859-2025</t>
        </is>
      </c>
      <c r="B526" s="1" t="n">
        <v>45940</v>
      </c>
      <c r="C526" s="1" t="n">
        <v>46198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49977-2025</t>
        </is>
      </c>
      <c r="B527" s="1" t="n">
        <v>45942</v>
      </c>
      <c r="C527" s="1" t="n">
        <v>46198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50021-2025</t>
        </is>
      </c>
      <c r="B528" s="1" t="n">
        <v>45943</v>
      </c>
      <c r="C528" s="1" t="n">
        <v>46198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49968-2025</t>
        </is>
      </c>
      <c r="B529" s="1" t="n">
        <v>45941</v>
      </c>
      <c r="C529" s="1" t="n">
        <v>46198</v>
      </c>
      <c r="D529" t="inlineStr">
        <is>
          <t>VÄSTERBOTTENS LÄN</t>
        </is>
      </c>
      <c r="E529" t="inlineStr">
        <is>
          <t>LYCKSELE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39527-2025</t>
        </is>
      </c>
      <c r="B530" s="1" t="n">
        <v>45890</v>
      </c>
      <c r="C530" s="1" t="n">
        <v>46198</v>
      </c>
      <c r="D530" t="inlineStr">
        <is>
          <t>VÄSTERBOTTENS LÄN</t>
        </is>
      </c>
      <c r="E530" t="inlineStr">
        <is>
          <t>LYCKSELE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19059-2026</t>
        </is>
      </c>
      <c r="B531" s="1" t="n">
        <v>46132</v>
      </c>
      <c r="C531" s="1" t="n">
        <v>46198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70197-2021</t>
        </is>
      </c>
      <c r="B532" s="1" t="n">
        <v>44534</v>
      </c>
      <c r="C532" s="1" t="n">
        <v>46198</v>
      </c>
      <c r="D532" t="inlineStr">
        <is>
          <t>VÄSTERBOTTENS LÄN</t>
        </is>
      </c>
      <c r="E532" t="inlineStr">
        <is>
          <t>LYCKSELE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50367-2025</t>
        </is>
      </c>
      <c r="B533" s="1" t="n">
        <v>45944</v>
      </c>
      <c r="C533" s="1" t="n">
        <v>46198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25573-2025</t>
        </is>
      </c>
      <c r="B534" s="1" t="n">
        <v>45803</v>
      </c>
      <c r="C534" s="1" t="n">
        <v>46198</v>
      </c>
      <c r="D534" t="inlineStr">
        <is>
          <t>VÄSTERBOTTENS LÄN</t>
        </is>
      </c>
      <c r="E534" t="inlineStr">
        <is>
          <t>LYCKSELE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35227-2023</t>
        </is>
      </c>
      <c r="B535" s="1" t="n">
        <v>45145</v>
      </c>
      <c r="C535" s="1" t="n">
        <v>46198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50652-2021</t>
        </is>
      </c>
      <c r="B536" s="1" t="n">
        <v>44459</v>
      </c>
      <c r="C536" s="1" t="n">
        <v>46198</v>
      </c>
      <c r="D536" t="inlineStr">
        <is>
          <t>VÄSTERBOTTENS LÄN</t>
        </is>
      </c>
      <c r="E536" t="inlineStr">
        <is>
          <t>LYCKSELE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51207-2025</t>
        </is>
      </c>
      <c r="B537" s="1" t="n">
        <v>45947</v>
      </c>
      <c r="C537" s="1" t="n">
        <v>46198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26387-2026</t>
        </is>
      </c>
      <c r="B538" s="1" t="n">
        <v>46183</v>
      </c>
      <c r="C538" s="1" t="n">
        <v>46198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61366-2024</t>
        </is>
      </c>
      <c r="B539" s="1" t="n">
        <v>45646</v>
      </c>
      <c r="C539" s="1" t="n">
        <v>46198</v>
      </c>
      <c r="D539" t="inlineStr">
        <is>
          <t>VÄSTERBOTTENS LÄN</t>
        </is>
      </c>
      <c r="E539" t="inlineStr">
        <is>
          <t>LYCKSELE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51748-2025</t>
        </is>
      </c>
      <c r="B540" s="1" t="n">
        <v>45951</v>
      </c>
      <c r="C540" s="1" t="n">
        <v>46198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58263-2025</t>
        </is>
      </c>
      <c r="B541" s="1" t="n">
        <v>45985</v>
      </c>
      <c r="C541" s="1" t="n">
        <v>46198</v>
      </c>
      <c r="D541" t="inlineStr">
        <is>
          <t>VÄSTERBOTTENS LÄN</t>
        </is>
      </c>
      <c r="E541" t="inlineStr">
        <is>
          <t>LYCKSELE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51473-2025</t>
        </is>
      </c>
      <c r="B542" s="1" t="n">
        <v>45950</v>
      </c>
      <c r="C542" s="1" t="n">
        <v>46198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26175-2026</t>
        </is>
      </c>
      <c r="B543" s="1" t="n">
        <v>46182</v>
      </c>
      <c r="C543" s="1" t="n">
        <v>46198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20772-2026</t>
        </is>
      </c>
      <c r="B544" s="1" t="n">
        <v>46141</v>
      </c>
      <c r="C544" s="1" t="n">
        <v>46198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50365-2024</t>
        </is>
      </c>
      <c r="B545" s="1" t="n">
        <v>45600</v>
      </c>
      <c r="C545" s="1" t="n">
        <v>46198</v>
      </c>
      <c r="D545" t="inlineStr">
        <is>
          <t>VÄSTERBOTTENS LÄN</t>
        </is>
      </c>
      <c r="E545" t="inlineStr">
        <is>
          <t>LYCKSELE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45447-2024</t>
        </is>
      </c>
      <c r="B546" s="1" t="n">
        <v>45576</v>
      </c>
      <c r="C546" s="1" t="n">
        <v>46198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8600-2025</t>
        </is>
      </c>
      <c r="B547" s="1" t="n">
        <v>45709</v>
      </c>
      <c r="C547" s="1" t="n">
        <v>46198</v>
      </c>
      <c r="D547" t="inlineStr">
        <is>
          <t>VÄSTERBOTTENS LÄN</t>
        </is>
      </c>
      <c r="E547" t="inlineStr">
        <is>
          <t>LYCKSELE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51842-2025</t>
        </is>
      </c>
      <c r="B548" s="1" t="n">
        <v>45952</v>
      </c>
      <c r="C548" s="1" t="n">
        <v>46198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51859-2025</t>
        </is>
      </c>
      <c r="B549" s="1" t="n">
        <v>45952</v>
      </c>
      <c r="C549" s="1" t="n">
        <v>46198</v>
      </c>
      <c r="D549" t="inlineStr">
        <is>
          <t>VÄSTERBOTTENS LÄN</t>
        </is>
      </c>
      <c r="E549" t="inlineStr">
        <is>
          <t>LYCKSELE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26511-2026</t>
        </is>
      </c>
      <c r="B550" s="1" t="n">
        <v>46183</v>
      </c>
      <c r="C550" s="1" t="n">
        <v>46198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33.8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23769-2023</t>
        </is>
      </c>
      <c r="B551" s="1" t="n">
        <v>45077</v>
      </c>
      <c r="C551" s="1" t="n">
        <v>46198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52945-2025</t>
        </is>
      </c>
      <c r="B552" s="1" t="n">
        <v>45957</v>
      </c>
      <c r="C552" s="1" t="n">
        <v>46198</v>
      </c>
      <c r="D552" t="inlineStr">
        <is>
          <t>VÄSTERBOTTENS LÄN</t>
        </is>
      </c>
      <c r="E552" t="inlineStr">
        <is>
          <t>LYCKSELE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58961-2022</t>
        </is>
      </c>
      <c r="B553" s="1" t="n">
        <v>44903</v>
      </c>
      <c r="C553" s="1" t="n">
        <v>46198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52592-2025</t>
        </is>
      </c>
      <c r="B554" s="1" t="n">
        <v>45954</v>
      </c>
      <c r="C554" s="1" t="n">
        <v>46198</v>
      </c>
      <c r="D554" t="inlineStr">
        <is>
          <t>VÄSTERBOTTENS LÄN</t>
        </is>
      </c>
      <c r="E554" t="inlineStr">
        <is>
          <t>LYCKSELE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19233-2023</t>
        </is>
      </c>
      <c r="B555" s="1" t="n">
        <v>45048</v>
      </c>
      <c r="C555" s="1" t="n">
        <v>46198</v>
      </c>
      <c r="D555" t="inlineStr">
        <is>
          <t>VÄSTERBOTTENS LÄN</t>
        </is>
      </c>
      <c r="E555" t="inlineStr">
        <is>
          <t>LYCKSELE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45406-2024</t>
        </is>
      </c>
      <c r="B556" s="1" t="n">
        <v>45576</v>
      </c>
      <c r="C556" s="1" t="n">
        <v>46198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Naturvårdsverket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52941-2025</t>
        </is>
      </c>
      <c r="B557" s="1" t="n">
        <v>45957</v>
      </c>
      <c r="C557" s="1" t="n">
        <v>46198</v>
      </c>
      <c r="D557" t="inlineStr">
        <is>
          <t>VÄSTERBOTTENS LÄN</t>
        </is>
      </c>
      <c r="E557" t="inlineStr">
        <is>
          <t>LYCKSELE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26435-2026</t>
        </is>
      </c>
      <c r="B558" s="1" t="n">
        <v>46183</v>
      </c>
      <c r="C558" s="1" t="n">
        <v>46198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53470-2025</t>
        </is>
      </c>
      <c r="B559" s="1" t="n">
        <v>45959</v>
      </c>
      <c r="C559" s="1" t="n">
        <v>46198</v>
      </c>
      <c r="D559" t="inlineStr">
        <is>
          <t>VÄSTERBOTTENS LÄN</t>
        </is>
      </c>
      <c r="E559" t="inlineStr">
        <is>
          <t>LYCKSELE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53465-2025</t>
        </is>
      </c>
      <c r="B560" s="1" t="n">
        <v>45959</v>
      </c>
      <c r="C560" s="1" t="n">
        <v>46198</v>
      </c>
      <c r="D560" t="inlineStr">
        <is>
          <t>VÄSTERBOTTENS LÄN</t>
        </is>
      </c>
      <c r="E560" t="inlineStr">
        <is>
          <t>LYCKSELE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14343-2025</t>
        </is>
      </c>
      <c r="B561" s="1" t="n">
        <v>45741</v>
      </c>
      <c r="C561" s="1" t="n">
        <v>46198</v>
      </c>
      <c r="D561" t="inlineStr">
        <is>
          <t>VÄSTERBOTTENS LÄN</t>
        </is>
      </c>
      <c r="E561" t="inlineStr">
        <is>
          <t>LYCKSELE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53451-2025</t>
        </is>
      </c>
      <c r="B562" s="1" t="n">
        <v>45959</v>
      </c>
      <c r="C562" s="1" t="n">
        <v>46198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37262-2023</t>
        </is>
      </c>
      <c r="B563" s="1" t="n">
        <v>45155</v>
      </c>
      <c r="C563" s="1" t="n">
        <v>46198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26485-2026</t>
        </is>
      </c>
      <c r="B564" s="1" t="n">
        <v>46183</v>
      </c>
      <c r="C564" s="1" t="n">
        <v>46198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27964-2023</t>
        </is>
      </c>
      <c r="B565" s="1" t="n">
        <v>45098</v>
      </c>
      <c r="C565" s="1" t="n">
        <v>46198</v>
      </c>
      <c r="D565" t="inlineStr">
        <is>
          <t>VÄSTERBOTTENS LÄN</t>
        </is>
      </c>
      <c r="E565" t="inlineStr">
        <is>
          <t>LYCKSELE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26246-2026</t>
        </is>
      </c>
      <c r="B566" s="1" t="n">
        <v>46182</v>
      </c>
      <c r="C566" s="1" t="n">
        <v>46198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26276-2026</t>
        </is>
      </c>
      <c r="B567" s="1" t="n">
        <v>46182</v>
      </c>
      <c r="C567" s="1" t="n">
        <v>46198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48832-2024</t>
        </is>
      </c>
      <c r="B568" s="1" t="n">
        <v>45593</v>
      </c>
      <c r="C568" s="1" t="n">
        <v>46198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26916-2026</t>
        </is>
      </c>
      <c r="B569" s="1" t="n">
        <v>46185</v>
      </c>
      <c r="C569" s="1" t="n">
        <v>46198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26988-2026</t>
        </is>
      </c>
      <c r="B570" s="1" t="n">
        <v>46185</v>
      </c>
      <c r="C570" s="1" t="n">
        <v>46198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32854-2024</t>
        </is>
      </c>
      <c r="B571" s="1" t="n">
        <v>45516</v>
      </c>
      <c r="C571" s="1" t="n">
        <v>46198</v>
      </c>
      <c r="D571" t="inlineStr">
        <is>
          <t>VÄSTERBOTTENS LÄN</t>
        </is>
      </c>
      <c r="E571" t="inlineStr">
        <is>
          <t>LYCKSELE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26980-2026</t>
        </is>
      </c>
      <c r="B572" s="1" t="n">
        <v>46185</v>
      </c>
      <c r="C572" s="1" t="n">
        <v>46198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48379-2024</t>
        </is>
      </c>
      <c r="B573" s="1" t="n">
        <v>45590</v>
      </c>
      <c r="C573" s="1" t="n">
        <v>46198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24511-2025</t>
        </is>
      </c>
      <c r="B574" s="1" t="n">
        <v>45798</v>
      </c>
      <c r="C574" s="1" t="n">
        <v>46198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23971-2024</t>
        </is>
      </c>
      <c r="B575" s="1" t="n">
        <v>45455</v>
      </c>
      <c r="C575" s="1" t="n">
        <v>46198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20148-2025</t>
        </is>
      </c>
      <c r="B576" s="1" t="n">
        <v>45772</v>
      </c>
      <c r="C576" s="1" t="n">
        <v>46198</v>
      </c>
      <c r="D576" t="inlineStr">
        <is>
          <t>VÄSTERBOTTENS LÄN</t>
        </is>
      </c>
      <c r="E576" t="inlineStr">
        <is>
          <t>LYCKSELE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24518-2025</t>
        </is>
      </c>
      <c r="B577" s="1" t="n">
        <v>45798</v>
      </c>
      <c r="C577" s="1" t="n">
        <v>46198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27929-2024</t>
        </is>
      </c>
      <c r="B578" s="1" t="n">
        <v>45475</v>
      </c>
      <c r="C578" s="1" t="n">
        <v>46198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27932-2024</t>
        </is>
      </c>
      <c r="B579" s="1" t="n">
        <v>45475</v>
      </c>
      <c r="C579" s="1" t="n">
        <v>46198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4673-2023</t>
        </is>
      </c>
      <c r="B580" s="1" t="n">
        <v>44952</v>
      </c>
      <c r="C580" s="1" t="n">
        <v>46198</v>
      </c>
      <c r="D580" t="inlineStr">
        <is>
          <t>VÄSTERBOTTENS LÄN</t>
        </is>
      </c>
      <c r="E580" t="inlineStr">
        <is>
          <t>LYCKSELE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62874-2023</t>
        </is>
      </c>
      <c r="B581" s="1" t="n">
        <v>45271</v>
      </c>
      <c r="C581" s="1" t="n">
        <v>46198</v>
      </c>
      <c r="D581" t="inlineStr">
        <is>
          <t>VÄSTERBOTTENS LÄN</t>
        </is>
      </c>
      <c r="E581" t="inlineStr">
        <is>
          <t>LYCKSELE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32475-2024</t>
        </is>
      </c>
      <c r="B582" s="1" t="n">
        <v>45513</v>
      </c>
      <c r="C582" s="1" t="n">
        <v>46198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54942-2025</t>
        </is>
      </c>
      <c r="B583" s="1" t="n">
        <v>45967</v>
      </c>
      <c r="C583" s="1" t="n">
        <v>46198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21080-2026</t>
        </is>
      </c>
      <c r="B584" s="1" t="n">
        <v>46146</v>
      </c>
      <c r="C584" s="1" t="n">
        <v>46198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21096-2026</t>
        </is>
      </c>
      <c r="B585" s="1" t="n">
        <v>46146</v>
      </c>
      <c r="C585" s="1" t="n">
        <v>46198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21141-2026</t>
        </is>
      </c>
      <c r="B586" s="1" t="n">
        <v>46146</v>
      </c>
      <c r="C586" s="1" t="n">
        <v>46198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21150-2026</t>
        </is>
      </c>
      <c r="B587" s="1" t="n">
        <v>46146</v>
      </c>
      <c r="C587" s="1" t="n">
        <v>46198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27436-2026</t>
        </is>
      </c>
      <c r="B588" s="1" t="n">
        <v>46189</v>
      </c>
      <c r="C588" s="1" t="n">
        <v>46198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27427-2026</t>
        </is>
      </c>
      <c r="B589" s="1" t="n">
        <v>46189</v>
      </c>
      <c r="C589" s="1" t="n">
        <v>46198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21066-2026</t>
        </is>
      </c>
      <c r="B590" s="1" t="n">
        <v>46146</v>
      </c>
      <c r="C590" s="1" t="n">
        <v>46198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21082-2026</t>
        </is>
      </c>
      <c r="B591" s="1" t="n">
        <v>46146</v>
      </c>
      <c r="C591" s="1" t="n">
        <v>46198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21317-2026</t>
        </is>
      </c>
      <c r="B592" s="1" t="n">
        <v>46147</v>
      </c>
      <c r="C592" s="1" t="n">
        <v>46198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24509-2025</t>
        </is>
      </c>
      <c r="B593" s="1" t="n">
        <v>45798</v>
      </c>
      <c r="C593" s="1" t="n">
        <v>46198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54906-2025</t>
        </is>
      </c>
      <c r="B594" s="1" t="n">
        <v>45967</v>
      </c>
      <c r="C594" s="1" t="n">
        <v>46198</v>
      </c>
      <c r="D594" t="inlineStr">
        <is>
          <t>VÄSTERBOTTENS LÄN</t>
        </is>
      </c>
      <c r="E594" t="inlineStr">
        <is>
          <t>LYCKSELE</t>
        </is>
      </c>
      <c r="G594" t="n">
        <v>24.9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54943-2025</t>
        </is>
      </c>
      <c r="B595" s="1" t="n">
        <v>45967</v>
      </c>
      <c r="C595" s="1" t="n">
        <v>46198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21142-2026</t>
        </is>
      </c>
      <c r="B596" s="1" t="n">
        <v>46146</v>
      </c>
      <c r="C596" s="1" t="n">
        <v>46198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27219-2026</t>
        </is>
      </c>
      <c r="B597" s="1" t="n">
        <v>46184</v>
      </c>
      <c r="C597" s="1" t="n">
        <v>46198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23679-2025</t>
        </is>
      </c>
      <c r="B598" s="1" t="n">
        <v>45793</v>
      </c>
      <c r="C598" s="1" t="n">
        <v>46198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55536-2025</t>
        </is>
      </c>
      <c r="B599" s="1" t="n">
        <v>45971</v>
      </c>
      <c r="C599" s="1" t="n">
        <v>46198</v>
      </c>
      <c r="D599" t="inlineStr">
        <is>
          <t>VÄSTERBOTTENS LÄN</t>
        </is>
      </c>
      <c r="E599" t="inlineStr">
        <is>
          <t>LYCKSELE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21092-2026</t>
        </is>
      </c>
      <c r="B600" s="1" t="n">
        <v>46146</v>
      </c>
      <c r="C600" s="1" t="n">
        <v>46198</v>
      </c>
      <c r="D600" t="inlineStr">
        <is>
          <t>VÄSTERBOTTENS LÄN</t>
        </is>
      </c>
      <c r="E600" t="inlineStr">
        <is>
          <t>LYCKSELE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55187-2025</t>
        </is>
      </c>
      <c r="B601" s="1" t="n">
        <v>45968</v>
      </c>
      <c r="C601" s="1" t="n">
        <v>46198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21052-2026</t>
        </is>
      </c>
      <c r="B602" s="1" t="n">
        <v>46146</v>
      </c>
      <c r="C602" s="1" t="n">
        <v>46198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21079-2026</t>
        </is>
      </c>
      <c r="B603" s="1" t="n">
        <v>46146</v>
      </c>
      <c r="C603" s="1" t="n">
        <v>46198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21090-2026</t>
        </is>
      </c>
      <c r="B604" s="1" t="n">
        <v>46146</v>
      </c>
      <c r="C604" s="1" t="n">
        <v>46198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22720-2025</t>
        </is>
      </c>
      <c r="B605" s="1" t="n">
        <v>45789</v>
      </c>
      <c r="C605" s="1" t="n">
        <v>46198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29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27430-2026</t>
        </is>
      </c>
      <c r="B606" s="1" t="n">
        <v>46189</v>
      </c>
      <c r="C606" s="1" t="n">
        <v>46198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41101-2022</t>
        </is>
      </c>
      <c r="B607" s="1" t="n">
        <v>44820</v>
      </c>
      <c r="C607" s="1" t="n">
        <v>46198</v>
      </c>
      <c r="D607" t="inlineStr">
        <is>
          <t>VÄSTERBOTTENS LÄN</t>
        </is>
      </c>
      <c r="E607" t="inlineStr">
        <is>
          <t>LYCKSELE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45352-2024</t>
        </is>
      </c>
      <c r="B608" s="1" t="n">
        <v>45576</v>
      </c>
      <c r="C608" s="1" t="n">
        <v>46198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51466-2024</t>
        </is>
      </c>
      <c r="B609" s="1" t="n">
        <v>45604</v>
      </c>
      <c r="C609" s="1" t="n">
        <v>46198</v>
      </c>
      <c r="D609" t="inlineStr">
        <is>
          <t>VÄSTERBOTTENS LÄN</t>
        </is>
      </c>
      <c r="E609" t="inlineStr">
        <is>
          <t>LYCKSELE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55216-2025</t>
        </is>
      </c>
      <c r="B610" s="1" t="n">
        <v>45968</v>
      </c>
      <c r="C610" s="1" t="n">
        <v>46198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Naturvårdsverket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55545-2025</t>
        </is>
      </c>
      <c r="B611" s="1" t="n">
        <v>45971</v>
      </c>
      <c r="C611" s="1" t="n">
        <v>46198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55333-2025</t>
        </is>
      </c>
      <c r="B612" s="1" t="n">
        <v>45971</v>
      </c>
      <c r="C612" s="1" t="n">
        <v>46198</v>
      </c>
      <c r="D612" t="inlineStr">
        <is>
          <t>VÄSTERBOTTENS LÄN</t>
        </is>
      </c>
      <c r="E612" t="inlineStr">
        <is>
          <t>LYCKSELE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57471-2024</t>
        </is>
      </c>
      <c r="B613" s="1" t="n">
        <v>45630</v>
      </c>
      <c r="C613" s="1" t="n">
        <v>46198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55627-2025</t>
        </is>
      </c>
      <c r="B614" s="1" t="n">
        <v>45972</v>
      </c>
      <c r="C614" s="1" t="n">
        <v>46198</v>
      </c>
      <c r="D614" t="inlineStr">
        <is>
          <t>VÄSTERBOTTENS LÄN</t>
        </is>
      </c>
      <c r="E614" t="inlineStr">
        <is>
          <t>LYCKSELE</t>
        </is>
      </c>
      <c r="G614" t="n">
        <v>14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60542-2024</t>
        </is>
      </c>
      <c r="B615" s="1" t="n">
        <v>45643</v>
      </c>
      <c r="C615" s="1" t="n">
        <v>46198</v>
      </c>
      <c r="D615" t="inlineStr">
        <is>
          <t>VÄSTERBOTTENS LÄN</t>
        </is>
      </c>
      <c r="E615" t="inlineStr">
        <is>
          <t>LYCKSELE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55666-2025</t>
        </is>
      </c>
      <c r="B616" s="1" t="n">
        <v>45972</v>
      </c>
      <c r="C616" s="1" t="n">
        <v>46198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15564-2023</t>
        </is>
      </c>
      <c r="B617" s="1" t="n">
        <v>45020</v>
      </c>
      <c r="C617" s="1" t="n">
        <v>46198</v>
      </c>
      <c r="D617" t="inlineStr">
        <is>
          <t>VÄSTERBOTTENS LÄN</t>
        </is>
      </c>
      <c r="E617" t="inlineStr">
        <is>
          <t>LYCKSELE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46817-2024</t>
        </is>
      </c>
      <c r="B618" s="1" t="n">
        <v>45583</v>
      </c>
      <c r="C618" s="1" t="n">
        <v>46198</v>
      </c>
      <c r="D618" t="inlineStr">
        <is>
          <t>VÄSTERBOTTENS LÄN</t>
        </is>
      </c>
      <c r="E618" t="inlineStr">
        <is>
          <t>LYCKSELE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35970-2024</t>
        </is>
      </c>
      <c r="B619" s="1" t="n">
        <v>45533</v>
      </c>
      <c r="C619" s="1" t="n">
        <v>46198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43973-2023</t>
        </is>
      </c>
      <c r="B620" s="1" t="n">
        <v>45187</v>
      </c>
      <c r="C620" s="1" t="n">
        <v>46198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15046-2023</t>
        </is>
      </c>
      <c r="B621" s="1" t="n">
        <v>45015</v>
      </c>
      <c r="C621" s="1" t="n">
        <v>46198</v>
      </c>
      <c r="D621" t="inlineStr">
        <is>
          <t>VÄSTERBOTTENS LÄN</t>
        </is>
      </c>
      <c r="E621" t="inlineStr">
        <is>
          <t>LYCKSELE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45361-2024</t>
        </is>
      </c>
      <c r="B622" s="1" t="n">
        <v>45576</v>
      </c>
      <c r="C622" s="1" t="n">
        <v>46198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56172-2025</t>
        </is>
      </c>
      <c r="B623" s="1" t="n">
        <v>45974</v>
      </c>
      <c r="C623" s="1" t="n">
        <v>46198</v>
      </c>
      <c r="D623" t="inlineStr">
        <is>
          <t>VÄSTERBOTTENS LÄN</t>
        </is>
      </c>
      <c r="E623" t="inlineStr">
        <is>
          <t>LYCKSELE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57238-2025</t>
        </is>
      </c>
      <c r="B624" s="1" t="n">
        <v>45979</v>
      </c>
      <c r="C624" s="1" t="n">
        <v>46198</v>
      </c>
      <c r="D624" t="inlineStr">
        <is>
          <t>VÄSTERBOTTENS LÄN</t>
        </is>
      </c>
      <c r="E624" t="inlineStr">
        <is>
          <t>LYCKSELE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21642-2026</t>
        </is>
      </c>
      <c r="B625" s="1" t="n">
        <v>46149</v>
      </c>
      <c r="C625" s="1" t="n">
        <v>46198</v>
      </c>
      <c r="D625" t="inlineStr">
        <is>
          <t>VÄSTERBOTTENS LÄN</t>
        </is>
      </c>
      <c r="E625" t="inlineStr">
        <is>
          <t>LYCKSELE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9090-2025</t>
        </is>
      </c>
      <c r="B626" s="1" t="n">
        <v>45713</v>
      </c>
      <c r="C626" s="1" t="n">
        <v>46198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57197-2025</t>
        </is>
      </c>
      <c r="B627" s="1" t="n">
        <v>45979</v>
      </c>
      <c r="C627" s="1" t="n">
        <v>46198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41756-2024</t>
        </is>
      </c>
      <c r="B628" s="1" t="n">
        <v>45561</v>
      </c>
      <c r="C628" s="1" t="n">
        <v>46198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56744-2025</t>
        </is>
      </c>
      <c r="B629" s="1" t="n">
        <v>45978</v>
      </c>
      <c r="C629" s="1" t="n">
        <v>46198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59272-2022</t>
        </is>
      </c>
      <c r="B630" s="1" t="n">
        <v>44904</v>
      </c>
      <c r="C630" s="1" t="n">
        <v>46198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57241-2025</t>
        </is>
      </c>
      <c r="B631" s="1" t="n">
        <v>45979</v>
      </c>
      <c r="C631" s="1" t="n">
        <v>46198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14773-2025</t>
        </is>
      </c>
      <c r="B632" s="1" t="n">
        <v>45742</v>
      </c>
      <c r="C632" s="1" t="n">
        <v>46198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50.1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58140-2025</t>
        </is>
      </c>
      <c r="B633" s="1" t="n">
        <v>45981</v>
      </c>
      <c r="C633" s="1" t="n">
        <v>46198</v>
      </c>
      <c r="D633" t="inlineStr">
        <is>
          <t>VÄSTERBOTTENS LÄN</t>
        </is>
      </c>
      <c r="E633" t="inlineStr">
        <is>
          <t>LYCKSELE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57330-2025</t>
        </is>
      </c>
      <c r="B634" s="1" t="n">
        <v>45980</v>
      </c>
      <c r="C634" s="1" t="n">
        <v>46198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27883-2026</t>
        </is>
      </c>
      <c r="B635" s="1" t="n">
        <v>46191</v>
      </c>
      <c r="C635" s="1" t="n">
        <v>46198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57669-2025</t>
        </is>
      </c>
      <c r="B636" s="1" t="n">
        <v>45981</v>
      </c>
      <c r="C636" s="1" t="n">
        <v>46198</v>
      </c>
      <c r="D636" t="inlineStr">
        <is>
          <t>VÄSTERBOTTENS LÄN</t>
        </is>
      </c>
      <c r="E636" t="inlineStr">
        <is>
          <t>LYCKSELE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68665-2021</t>
        </is>
      </c>
      <c r="B637" s="1" t="n">
        <v>44529</v>
      </c>
      <c r="C637" s="1" t="n">
        <v>46198</v>
      </c>
      <c r="D637" t="inlineStr">
        <is>
          <t>VÄSTERBOTTENS LÄN</t>
        </is>
      </c>
      <c r="E637" t="inlineStr">
        <is>
          <t>LYCKSELE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57531-2025</t>
        </is>
      </c>
      <c r="B638" s="1" t="n">
        <v>45980</v>
      </c>
      <c r="C638" s="1" t="n">
        <v>46198</v>
      </c>
      <c r="D638" t="inlineStr">
        <is>
          <t>VÄSTERBOTTENS LÄN</t>
        </is>
      </c>
      <c r="E638" t="inlineStr">
        <is>
          <t>LYCKSELE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57668-2025</t>
        </is>
      </c>
      <c r="B639" s="1" t="n">
        <v>45981</v>
      </c>
      <c r="C639" s="1" t="n">
        <v>46198</v>
      </c>
      <c r="D639" t="inlineStr">
        <is>
          <t>VÄSTERBOTTENS LÄN</t>
        </is>
      </c>
      <c r="E639" t="inlineStr">
        <is>
          <t>LYCKSELE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58097-2025</t>
        </is>
      </c>
      <c r="B640" s="1" t="n">
        <v>45982</v>
      </c>
      <c r="C640" s="1" t="n">
        <v>46198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58094-2025</t>
        </is>
      </c>
      <c r="B641" s="1" t="n">
        <v>45982</v>
      </c>
      <c r="C641" s="1" t="n">
        <v>46198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58171-2025</t>
        </is>
      </c>
      <c r="B642" s="1" t="n">
        <v>45982</v>
      </c>
      <c r="C642" s="1" t="n">
        <v>46198</v>
      </c>
      <c r="D642" t="inlineStr">
        <is>
          <t>VÄSTERBOTTENS LÄN</t>
        </is>
      </c>
      <c r="E642" t="inlineStr">
        <is>
          <t>LYCKSELE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28525-2023</t>
        </is>
      </c>
      <c r="B643" s="1" t="n">
        <v>45103</v>
      </c>
      <c r="C643" s="1" t="n">
        <v>46198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28545-2023</t>
        </is>
      </c>
      <c r="B644" s="1" t="n">
        <v>45103</v>
      </c>
      <c r="C644" s="1" t="n">
        <v>46198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27854-2026</t>
        </is>
      </c>
      <c r="B645" s="1" t="n">
        <v>46191</v>
      </c>
      <c r="C645" s="1" t="n">
        <v>46198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12424-2025</t>
        </is>
      </c>
      <c r="B646" s="1" t="n">
        <v>45730</v>
      </c>
      <c r="C646" s="1" t="n">
        <v>46198</v>
      </c>
      <c r="D646" t="inlineStr">
        <is>
          <t>VÄSTERBOTTENS LÄN</t>
        </is>
      </c>
      <c r="E646" t="inlineStr">
        <is>
          <t>LYCKSELE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73113-2021</t>
        </is>
      </c>
      <c r="B647" s="1" t="n">
        <v>44550</v>
      </c>
      <c r="C647" s="1" t="n">
        <v>46198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7837-2023</t>
        </is>
      </c>
      <c r="B648" s="1" t="n">
        <v>44973</v>
      </c>
      <c r="C648" s="1" t="n">
        <v>46198</v>
      </c>
      <c r="D648" t="inlineStr">
        <is>
          <t>VÄSTERBOTTENS LÄN</t>
        </is>
      </c>
      <c r="E648" t="inlineStr">
        <is>
          <t>LYCKSELE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12333-2024</t>
        </is>
      </c>
      <c r="B649" s="1" t="n">
        <v>45378</v>
      </c>
      <c r="C649" s="1" t="n">
        <v>46198</v>
      </c>
      <c r="D649" t="inlineStr">
        <is>
          <t>VÄSTERBOTTENS LÄN</t>
        </is>
      </c>
      <c r="E649" t="inlineStr">
        <is>
          <t>LYCKSELE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27842-2026</t>
        </is>
      </c>
      <c r="B650" s="1" t="n">
        <v>46191</v>
      </c>
      <c r="C650" s="1" t="n">
        <v>46198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18566-2025</t>
        </is>
      </c>
      <c r="B651" s="1" t="n">
        <v>45763</v>
      </c>
      <c r="C651" s="1" t="n">
        <v>46198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58610-2025</t>
        </is>
      </c>
      <c r="B652" s="1" t="n">
        <v>45986</v>
      </c>
      <c r="C652" s="1" t="n">
        <v>46198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24377-2024</t>
        </is>
      </c>
      <c r="B653" s="1" t="n">
        <v>45457</v>
      </c>
      <c r="C653" s="1" t="n">
        <v>46198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27843-2026</t>
        </is>
      </c>
      <c r="B654" s="1" t="n">
        <v>46191</v>
      </c>
      <c r="C654" s="1" t="n">
        <v>46198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59080-2025</t>
        </is>
      </c>
      <c r="B655" s="1" t="n">
        <v>45988</v>
      </c>
      <c r="C655" s="1" t="n">
        <v>46198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30899-2024</t>
        </is>
      </c>
      <c r="B656" s="1" t="n">
        <v>45498</v>
      </c>
      <c r="C656" s="1" t="n">
        <v>46198</v>
      </c>
      <c r="D656" t="inlineStr">
        <is>
          <t>VÄSTERBOTTENS LÄN</t>
        </is>
      </c>
      <c r="E656" t="inlineStr">
        <is>
          <t>LYCKSELE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21109-2023</t>
        </is>
      </c>
      <c r="B657" s="1" t="n">
        <v>45061</v>
      </c>
      <c r="C657" s="1" t="n">
        <v>46198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8577-2026</t>
        </is>
      </c>
      <c r="B658" s="1" t="n">
        <v>46065</v>
      </c>
      <c r="C658" s="1" t="n">
        <v>46198</v>
      </c>
      <c r="D658" t="inlineStr">
        <is>
          <t>VÄSTERBOTTENS LÄN</t>
        </is>
      </c>
      <c r="E658" t="inlineStr">
        <is>
          <t>LYCKSELE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59821-2025</t>
        </is>
      </c>
      <c r="B659" s="1" t="n">
        <v>45992</v>
      </c>
      <c r="C659" s="1" t="n">
        <v>46198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59825-2025</t>
        </is>
      </c>
      <c r="B660" s="1" t="n">
        <v>45992</v>
      </c>
      <c r="C660" s="1" t="n">
        <v>46198</v>
      </c>
      <c r="D660" t="inlineStr">
        <is>
          <t>VÄSTERBOTTENS LÄN</t>
        </is>
      </c>
      <c r="E660" t="inlineStr">
        <is>
          <t>LYCKSELE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59818-2025</t>
        </is>
      </c>
      <c r="B661" s="1" t="n">
        <v>45992</v>
      </c>
      <c r="C661" s="1" t="n">
        <v>46198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59927-2025</t>
        </is>
      </c>
      <c r="B662" s="1" t="n">
        <v>45993</v>
      </c>
      <c r="C662" s="1" t="n">
        <v>46198</v>
      </c>
      <c r="D662" t="inlineStr">
        <is>
          <t>VÄSTERBOTTENS LÄN</t>
        </is>
      </c>
      <c r="E662" t="inlineStr">
        <is>
          <t>LYCKSELE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57571-2025</t>
        </is>
      </c>
      <c r="B663" s="1" t="n">
        <v>45980</v>
      </c>
      <c r="C663" s="1" t="n">
        <v>46198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22451-2026</t>
        </is>
      </c>
      <c r="B664" s="1" t="n">
        <v>46153</v>
      </c>
      <c r="C664" s="1" t="n">
        <v>46198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49631-2023</t>
        </is>
      </c>
      <c r="B665" s="1" t="n">
        <v>45211</v>
      </c>
      <c r="C665" s="1" t="n">
        <v>46198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Kommuner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59928-2025</t>
        </is>
      </c>
      <c r="B666" s="1" t="n">
        <v>45993</v>
      </c>
      <c r="C666" s="1" t="n">
        <v>46198</v>
      </c>
      <c r="D666" t="inlineStr">
        <is>
          <t>VÄSTERBOTTENS LÄN</t>
        </is>
      </c>
      <c r="E666" t="inlineStr">
        <is>
          <t>LYCKSELE</t>
        </is>
      </c>
      <c r="G666" t="n">
        <v>18.7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38478-2024</t>
        </is>
      </c>
      <c r="B667" s="1" t="n">
        <v>45546</v>
      </c>
      <c r="C667" s="1" t="n">
        <v>46198</v>
      </c>
      <c r="D667" t="inlineStr">
        <is>
          <t>VÄSTERBOTTENS LÄN</t>
        </is>
      </c>
      <c r="E667" t="inlineStr">
        <is>
          <t>LYCKSELE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46176-2023</t>
        </is>
      </c>
      <c r="B668" s="1" t="n">
        <v>45196</v>
      </c>
      <c r="C668" s="1" t="n">
        <v>46198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59736-2025</t>
        </is>
      </c>
      <c r="B669" s="1" t="n">
        <v>45992</v>
      </c>
      <c r="C669" s="1" t="n">
        <v>46198</v>
      </c>
      <c r="D669" t="inlineStr">
        <is>
          <t>VÄSTERBOTTENS LÄN</t>
        </is>
      </c>
      <c r="E669" t="inlineStr">
        <is>
          <t>LYCKSELE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59812-2025</t>
        </is>
      </c>
      <c r="B670" s="1" t="n">
        <v>45992</v>
      </c>
      <c r="C670" s="1" t="n">
        <v>46198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58553-2023</t>
        </is>
      </c>
      <c r="B671" s="1" t="n">
        <v>45251</v>
      </c>
      <c r="C671" s="1" t="n">
        <v>46198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54778-2024</t>
        </is>
      </c>
      <c r="B672" s="1" t="n">
        <v>45618</v>
      </c>
      <c r="C672" s="1" t="n">
        <v>46198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21918-2026</t>
        </is>
      </c>
      <c r="B673" s="1" t="n">
        <v>46150</v>
      </c>
      <c r="C673" s="1" t="n">
        <v>46198</v>
      </c>
      <c r="D673" t="inlineStr">
        <is>
          <t>VÄSTERBOTTENS LÄN</t>
        </is>
      </c>
      <c r="E673" t="inlineStr">
        <is>
          <t>LYCKSELE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31453-2024</t>
        </is>
      </c>
      <c r="B674" s="1" t="n">
        <v>45505</v>
      </c>
      <c r="C674" s="1" t="n">
        <v>46198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60309-2025</t>
        </is>
      </c>
      <c r="B675" s="1" t="n">
        <v>45994</v>
      </c>
      <c r="C675" s="1" t="n">
        <v>46198</v>
      </c>
      <c r="D675" t="inlineStr">
        <is>
          <t>VÄSTERBOTTENS LÄN</t>
        </is>
      </c>
      <c r="E675" t="inlineStr">
        <is>
          <t>LYCKSELE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40912-2024</t>
        </is>
      </c>
      <c r="B676" s="1" t="n">
        <v>45558</v>
      </c>
      <c r="C676" s="1" t="n">
        <v>46198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53241-2022</t>
        </is>
      </c>
      <c r="B677" s="1" t="n">
        <v>44876</v>
      </c>
      <c r="C677" s="1" t="n">
        <v>46198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60594-2025</t>
        </is>
      </c>
      <c r="B678" s="1" t="n">
        <v>45996</v>
      </c>
      <c r="C678" s="1" t="n">
        <v>46198</v>
      </c>
      <c r="D678" t="inlineStr">
        <is>
          <t>VÄSTERBOTTENS LÄN</t>
        </is>
      </c>
      <c r="E678" t="inlineStr">
        <is>
          <t>LYCKSELE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61086-2025</t>
        </is>
      </c>
      <c r="B679" s="1" t="n">
        <v>46000</v>
      </c>
      <c r="C679" s="1" t="n">
        <v>46198</v>
      </c>
      <c r="D679" t="inlineStr">
        <is>
          <t>VÄSTERBOTTENS LÄN</t>
        </is>
      </c>
      <c r="E679" t="inlineStr">
        <is>
          <t>LYCKSELE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61115-2025</t>
        </is>
      </c>
      <c r="B680" s="1" t="n">
        <v>46000</v>
      </c>
      <c r="C680" s="1" t="n">
        <v>46198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61334-2025</t>
        </is>
      </c>
      <c r="B681" s="1" t="n">
        <v>46001</v>
      </c>
      <c r="C681" s="1" t="n">
        <v>46198</v>
      </c>
      <c r="D681" t="inlineStr">
        <is>
          <t>VÄSTERBOTTENS LÄN</t>
        </is>
      </c>
      <c r="E681" t="inlineStr">
        <is>
          <t>LYCKSELE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61088-2025</t>
        </is>
      </c>
      <c r="B682" s="1" t="n">
        <v>46000</v>
      </c>
      <c r="C682" s="1" t="n">
        <v>46198</v>
      </c>
      <c r="D682" t="inlineStr">
        <is>
          <t>VÄSTERBOTTENS LÄN</t>
        </is>
      </c>
      <c r="E682" t="inlineStr">
        <is>
          <t>LYCKSELE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61096-2025</t>
        </is>
      </c>
      <c r="B683" s="1" t="n">
        <v>46000</v>
      </c>
      <c r="C683" s="1" t="n">
        <v>46198</v>
      </c>
      <c r="D683" t="inlineStr">
        <is>
          <t>VÄSTERBOTTENS LÄN</t>
        </is>
      </c>
      <c r="E683" t="inlineStr">
        <is>
          <t>LYCKSELE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9517-2025</t>
        </is>
      </c>
      <c r="B684" s="1" t="n">
        <v>45715</v>
      </c>
      <c r="C684" s="1" t="n">
        <v>46198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61091-2025</t>
        </is>
      </c>
      <c r="B685" s="1" t="n">
        <v>46000</v>
      </c>
      <c r="C685" s="1" t="n">
        <v>46198</v>
      </c>
      <c r="D685" t="inlineStr">
        <is>
          <t>VÄSTERBOTTENS LÄN</t>
        </is>
      </c>
      <c r="E685" t="inlineStr">
        <is>
          <t>LYCKSELE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61128-2025</t>
        </is>
      </c>
      <c r="B686" s="1" t="n">
        <v>46000</v>
      </c>
      <c r="C686" s="1" t="n">
        <v>46198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61281-2022</t>
        </is>
      </c>
      <c r="B687" s="1" t="n">
        <v>44909</v>
      </c>
      <c r="C687" s="1" t="n">
        <v>46198</v>
      </c>
      <c r="D687" t="inlineStr">
        <is>
          <t>VÄSTERBOTTENS LÄN</t>
        </is>
      </c>
      <c r="E687" t="inlineStr">
        <is>
          <t>LYCKSELE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61335-2025</t>
        </is>
      </c>
      <c r="B688" s="1" t="n">
        <v>46001</v>
      </c>
      <c r="C688" s="1" t="n">
        <v>46198</v>
      </c>
      <c r="D688" t="inlineStr">
        <is>
          <t>VÄSTERBOTTENS LÄN</t>
        </is>
      </c>
      <c r="E688" t="inlineStr">
        <is>
          <t>LYCKSELE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61353-2025</t>
        </is>
      </c>
      <c r="B689" s="1" t="n">
        <v>46001</v>
      </c>
      <c r="C689" s="1" t="n">
        <v>46198</v>
      </c>
      <c r="D689" t="inlineStr">
        <is>
          <t>VÄSTERBOTTENS LÄN</t>
        </is>
      </c>
      <c r="E689" t="inlineStr">
        <is>
          <t>LYCKSELE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61351-2025</t>
        </is>
      </c>
      <c r="B690" s="1" t="n">
        <v>46001</v>
      </c>
      <c r="C690" s="1" t="n">
        <v>46198</v>
      </c>
      <c r="D690" t="inlineStr">
        <is>
          <t>VÄSTERBOTTENS LÄN</t>
        </is>
      </c>
      <c r="E690" t="inlineStr">
        <is>
          <t>LYCKSELE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61472-2025</t>
        </is>
      </c>
      <c r="B691" s="1" t="n">
        <v>46001</v>
      </c>
      <c r="C691" s="1" t="n">
        <v>46198</v>
      </c>
      <c r="D691" t="inlineStr">
        <is>
          <t>VÄSTERBOTTENS LÄN</t>
        </is>
      </c>
      <c r="E691" t="inlineStr">
        <is>
          <t>LYCKSELE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61590-2025</t>
        </is>
      </c>
      <c r="B692" s="1" t="n">
        <v>46002</v>
      </c>
      <c r="C692" s="1" t="n">
        <v>46198</v>
      </c>
      <c r="D692" t="inlineStr">
        <is>
          <t>VÄSTERBOTTENS LÄN</t>
        </is>
      </c>
      <c r="E692" t="inlineStr">
        <is>
          <t>LYCKSELE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61854-2025</t>
        </is>
      </c>
      <c r="B693" s="1" t="n">
        <v>46003</v>
      </c>
      <c r="C693" s="1" t="n">
        <v>46198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49514-2022</t>
        </is>
      </c>
      <c r="B694" s="1" t="n">
        <v>44861</v>
      </c>
      <c r="C694" s="1" t="n">
        <v>46198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21289-2025</t>
        </is>
      </c>
      <c r="B695" s="1" t="n">
        <v>45779</v>
      </c>
      <c r="C695" s="1" t="n">
        <v>46198</v>
      </c>
      <c r="D695" t="inlineStr">
        <is>
          <t>VÄSTERBOTTENS LÄN</t>
        </is>
      </c>
      <c r="E695" t="inlineStr">
        <is>
          <t>LYCKSELE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61593-2025</t>
        </is>
      </c>
      <c r="B696" s="1" t="n">
        <v>46002</v>
      </c>
      <c r="C696" s="1" t="n">
        <v>46198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22367-2026</t>
        </is>
      </c>
      <c r="B697" s="1" t="n">
        <v>46154</v>
      </c>
      <c r="C697" s="1" t="n">
        <v>46198</v>
      </c>
      <c r="D697" t="inlineStr">
        <is>
          <t>VÄSTERBOTTENS LÄN</t>
        </is>
      </c>
      <c r="E697" t="inlineStr">
        <is>
          <t>LYCKSELE</t>
        </is>
      </c>
      <c r="G697" t="n">
        <v>18.8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54234-2023</t>
        </is>
      </c>
      <c r="B698" s="1" t="n">
        <v>45232</v>
      </c>
      <c r="C698" s="1" t="n">
        <v>46198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62476-2025</t>
        </is>
      </c>
      <c r="B699" s="1" t="n">
        <v>46007</v>
      </c>
      <c r="C699" s="1" t="n">
        <v>46198</v>
      </c>
      <c r="D699" t="inlineStr">
        <is>
          <t>VÄSTERBOTTENS LÄN</t>
        </is>
      </c>
      <c r="E699" t="inlineStr">
        <is>
          <t>LYCKSELE</t>
        </is>
      </c>
      <c r="G699" t="n">
        <v>36.8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28890-2024</t>
        </is>
      </c>
      <c r="B700" s="1" t="n">
        <v>45479</v>
      </c>
      <c r="C700" s="1" t="n">
        <v>46198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28892-2024</t>
        </is>
      </c>
      <c r="B701" s="1" t="n">
        <v>45479</v>
      </c>
      <c r="C701" s="1" t="n">
        <v>46198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22654-2026</t>
        </is>
      </c>
      <c r="B702" s="1" t="n">
        <v>46155</v>
      </c>
      <c r="C702" s="1" t="n">
        <v>46198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63100-2025</t>
        </is>
      </c>
      <c r="B703" s="1" t="n">
        <v>46009</v>
      </c>
      <c r="C703" s="1" t="n">
        <v>46198</v>
      </c>
      <c r="D703" t="inlineStr">
        <is>
          <t>VÄSTERBOTTENS LÄN</t>
        </is>
      </c>
      <c r="E703" t="inlineStr">
        <is>
          <t>LYCKSELE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62906-2025</t>
        </is>
      </c>
      <c r="B704" s="1" t="n">
        <v>46009</v>
      </c>
      <c r="C704" s="1" t="n">
        <v>46198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54287-2024</t>
        </is>
      </c>
      <c r="B705" s="1" t="n">
        <v>45617</v>
      </c>
      <c r="C705" s="1" t="n">
        <v>46198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63096-2025</t>
        </is>
      </c>
      <c r="B706" s="1" t="n">
        <v>46009</v>
      </c>
      <c r="C706" s="1" t="n">
        <v>46198</v>
      </c>
      <c r="D706" t="inlineStr">
        <is>
          <t>VÄSTERBOTTENS LÄN</t>
        </is>
      </c>
      <c r="E706" t="inlineStr">
        <is>
          <t>LYCKSELE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19390-2024</t>
        </is>
      </c>
      <c r="B707" s="1" t="n">
        <v>45429</v>
      </c>
      <c r="C707" s="1" t="n">
        <v>46198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63223-2025</t>
        </is>
      </c>
      <c r="B708" s="1" t="n">
        <v>46010</v>
      </c>
      <c r="C708" s="1" t="n">
        <v>46198</v>
      </c>
      <c r="D708" t="inlineStr">
        <is>
          <t>VÄSTERBOTTENS LÄN</t>
        </is>
      </c>
      <c r="E708" t="inlineStr">
        <is>
          <t>LYCKSELE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57298-2025</t>
        </is>
      </c>
      <c r="B709" s="1" t="n">
        <v>45979</v>
      </c>
      <c r="C709" s="1" t="n">
        <v>46198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53011-2024</t>
        </is>
      </c>
      <c r="B710" s="1" t="n">
        <v>45611</v>
      </c>
      <c r="C710" s="1" t="n">
        <v>46198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43134-2023</t>
        </is>
      </c>
      <c r="B711" s="1" t="n">
        <v>45182</v>
      </c>
      <c r="C711" s="1" t="n">
        <v>46198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63315-2025</t>
        </is>
      </c>
      <c r="B712" s="1" t="n">
        <v>46010</v>
      </c>
      <c r="C712" s="1" t="n">
        <v>46198</v>
      </c>
      <c r="D712" t="inlineStr">
        <is>
          <t>VÄSTERBOTTENS LÄN</t>
        </is>
      </c>
      <c r="E712" t="inlineStr">
        <is>
          <t>LYCKSELE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19765-2024</t>
        </is>
      </c>
      <c r="B713" s="1" t="n">
        <v>45432</v>
      </c>
      <c r="C713" s="1" t="n">
        <v>46198</v>
      </c>
      <c r="D713" t="inlineStr">
        <is>
          <t>VÄSTERBOTTENS LÄN</t>
        </is>
      </c>
      <c r="E713" t="inlineStr">
        <is>
          <t>LYCKSELE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27818-2024</t>
        </is>
      </c>
      <c r="B714" s="1" t="n">
        <v>45475</v>
      </c>
      <c r="C714" s="1" t="n">
        <v>46198</v>
      </c>
      <c r="D714" t="inlineStr">
        <is>
          <t>VÄSTERBOTTENS LÄN</t>
        </is>
      </c>
      <c r="E714" t="inlineStr">
        <is>
          <t>LYCKSELE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2193-2023</t>
        </is>
      </c>
      <c r="B715" s="1" t="n">
        <v>44942</v>
      </c>
      <c r="C715" s="1" t="n">
        <v>46198</v>
      </c>
      <c r="D715" t="inlineStr">
        <is>
          <t>VÄSTERBOTTENS LÄN</t>
        </is>
      </c>
      <c r="E715" t="inlineStr">
        <is>
          <t>LYCKSELE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63639-2025</t>
        </is>
      </c>
      <c r="B716" s="1" t="n">
        <v>46014</v>
      </c>
      <c r="C716" s="1" t="n">
        <v>46198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42216-2022</t>
        </is>
      </c>
      <c r="B717" s="1" t="n">
        <v>44830</v>
      </c>
      <c r="C717" s="1" t="n">
        <v>46198</v>
      </c>
      <c r="D717" t="inlineStr">
        <is>
          <t>VÄSTERBOTTENS LÄN</t>
        </is>
      </c>
      <c r="E717" t="inlineStr">
        <is>
          <t>LYCKSELE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12839-2022</t>
        </is>
      </c>
      <c r="B718" s="1" t="n">
        <v>44642</v>
      </c>
      <c r="C718" s="1" t="n">
        <v>46198</v>
      </c>
      <c r="D718" t="inlineStr">
        <is>
          <t>VÄSTERBOTTENS LÄN</t>
        </is>
      </c>
      <c r="E718" t="inlineStr">
        <is>
          <t>LYCKSELE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46692-2025</t>
        </is>
      </c>
      <c r="B719" s="1" t="n">
        <v>45926</v>
      </c>
      <c r="C719" s="1" t="n">
        <v>46198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58716-2024</t>
        </is>
      </c>
      <c r="B720" s="1" t="n">
        <v>45635</v>
      </c>
      <c r="C720" s="1" t="n">
        <v>46198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28345-2025</t>
        </is>
      </c>
      <c r="B721" s="1" t="n">
        <v>45818</v>
      </c>
      <c r="C721" s="1" t="n">
        <v>46198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26396-2022</t>
        </is>
      </c>
      <c r="B722" s="1" t="n">
        <v>44735</v>
      </c>
      <c r="C722" s="1" t="n">
        <v>46198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46181-2025</t>
        </is>
      </c>
      <c r="B723" s="1" t="n">
        <v>45924</v>
      </c>
      <c r="C723" s="1" t="n">
        <v>46198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28586-2026</t>
        </is>
      </c>
      <c r="B724" s="1" t="n">
        <v>46197</v>
      </c>
      <c r="C724" s="1" t="n">
        <v>46198</v>
      </c>
      <c r="D724" t="inlineStr">
        <is>
          <t>VÄSTERBOTTENS LÄN</t>
        </is>
      </c>
      <c r="E724" t="inlineStr">
        <is>
          <t>LYCKSELE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14276-2025</t>
        </is>
      </c>
      <c r="B725" s="1" t="n">
        <v>45740</v>
      </c>
      <c r="C725" s="1" t="n">
        <v>46198</v>
      </c>
      <c r="D725" t="inlineStr">
        <is>
          <t>VÄSTERBOTTENS LÄN</t>
        </is>
      </c>
      <c r="E725" t="inlineStr">
        <is>
          <t>LYCKSELE</t>
        </is>
      </c>
      <c r="G725" t="n">
        <v>34.9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22285-2026</t>
        </is>
      </c>
      <c r="B726" s="1" t="n">
        <v>46154</v>
      </c>
      <c r="C726" s="1" t="n">
        <v>46198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62877-2023</t>
        </is>
      </c>
      <c r="B727" s="1" t="n">
        <v>45271</v>
      </c>
      <c r="C727" s="1" t="n">
        <v>46198</v>
      </c>
      <c r="D727" t="inlineStr">
        <is>
          <t>VÄSTERBOTTENS LÄN</t>
        </is>
      </c>
      <c r="E727" t="inlineStr">
        <is>
          <t>LYCKSELE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26531-2024</t>
        </is>
      </c>
      <c r="B728" s="1" t="n">
        <v>45469</v>
      </c>
      <c r="C728" s="1" t="n">
        <v>46198</v>
      </c>
      <c r="D728" t="inlineStr">
        <is>
          <t>VÄSTERBOTTENS LÄN</t>
        </is>
      </c>
      <c r="E728" t="inlineStr">
        <is>
          <t>LYCKSELE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1103-2026</t>
        </is>
      </c>
      <c r="B729" s="1" t="n">
        <v>46030</v>
      </c>
      <c r="C729" s="1" t="n">
        <v>46198</v>
      </c>
      <c r="D729" t="inlineStr">
        <is>
          <t>VÄSTERBOTTENS LÄN</t>
        </is>
      </c>
      <c r="E729" t="inlineStr">
        <is>
          <t>LYCKSELE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61367-2024</t>
        </is>
      </c>
      <c r="B730" s="1" t="n">
        <v>45646</v>
      </c>
      <c r="C730" s="1" t="n">
        <v>46198</v>
      </c>
      <c r="D730" t="inlineStr">
        <is>
          <t>VÄSTERBOTTENS LÄN</t>
        </is>
      </c>
      <c r="E730" t="inlineStr">
        <is>
          <t>LYCKSELE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61382-2024</t>
        </is>
      </c>
      <c r="B731" s="1" t="n">
        <v>45646</v>
      </c>
      <c r="C731" s="1" t="n">
        <v>46198</v>
      </c>
      <c r="D731" t="inlineStr">
        <is>
          <t>VÄSTERBOTTENS LÄN</t>
        </is>
      </c>
      <c r="E731" t="inlineStr">
        <is>
          <t>LYCKSELE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28421-2026</t>
        </is>
      </c>
      <c r="B732" s="1" t="n">
        <v>46197</v>
      </c>
      <c r="C732" s="1" t="n">
        <v>46198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1085-2026</t>
        </is>
      </c>
      <c r="B733" s="1" t="n">
        <v>46030</v>
      </c>
      <c r="C733" s="1" t="n">
        <v>46198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28459-2026</t>
        </is>
      </c>
      <c r="B734" s="1" t="n">
        <v>46197</v>
      </c>
      <c r="C734" s="1" t="n">
        <v>46198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34567-2023</t>
        </is>
      </c>
      <c r="B735" s="1" t="n">
        <v>45140</v>
      </c>
      <c r="C735" s="1" t="n">
        <v>46198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66460-2021</t>
        </is>
      </c>
      <c r="B736" s="1" t="n">
        <v>44518</v>
      </c>
      <c r="C736" s="1" t="n">
        <v>46198</v>
      </c>
      <c r="D736" t="inlineStr">
        <is>
          <t>VÄSTERBOTTENS LÄN</t>
        </is>
      </c>
      <c r="E736" t="inlineStr">
        <is>
          <t>LYCKSELE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17192-2025</t>
        </is>
      </c>
      <c r="B737" s="1" t="n">
        <v>45756</v>
      </c>
      <c r="C737" s="1" t="n">
        <v>46198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28217-2026</t>
        </is>
      </c>
      <c r="B738" s="1" t="n">
        <v>46196</v>
      </c>
      <c r="C738" s="1" t="n">
        <v>46198</v>
      </c>
      <c r="D738" t="inlineStr">
        <is>
          <t>VÄSTERBOTTENS LÄN</t>
        </is>
      </c>
      <c r="E738" t="inlineStr">
        <is>
          <t>LYCKSELE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1561-2026</t>
        </is>
      </c>
      <c r="B739" s="1" t="n">
        <v>46034</v>
      </c>
      <c r="C739" s="1" t="n">
        <v>46198</v>
      </c>
      <c r="D739" t="inlineStr">
        <is>
          <t>VÄSTERBOTTENS LÄN</t>
        </is>
      </c>
      <c r="E739" t="inlineStr">
        <is>
          <t>LYCKSELE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52755-2023</t>
        </is>
      </c>
      <c r="B740" s="1" t="n">
        <v>45225</v>
      </c>
      <c r="C740" s="1" t="n">
        <v>46198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9550-2025</t>
        </is>
      </c>
      <c r="B741" s="1" t="n">
        <v>45715</v>
      </c>
      <c r="C741" s="1" t="n">
        <v>46198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20.6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1613-2026</t>
        </is>
      </c>
      <c r="B742" s="1" t="n">
        <v>46034</v>
      </c>
      <c r="C742" s="1" t="n">
        <v>46198</v>
      </c>
      <c r="D742" t="inlineStr">
        <is>
          <t>VÄSTERBOTTENS LÄN</t>
        </is>
      </c>
      <c r="E742" t="inlineStr">
        <is>
          <t>LYCKSELE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14857-2023</t>
        </is>
      </c>
      <c r="B743" s="1" t="n">
        <v>45014</v>
      </c>
      <c r="C743" s="1" t="n">
        <v>46198</v>
      </c>
      <c r="D743" t="inlineStr">
        <is>
          <t>VÄSTERBOTTENS LÄN</t>
        </is>
      </c>
      <c r="E743" t="inlineStr">
        <is>
          <t>LYCKSELE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1746-2026</t>
        </is>
      </c>
      <c r="B744" s="1" t="n">
        <v>46034</v>
      </c>
      <c r="C744" s="1" t="n">
        <v>46198</v>
      </c>
      <c r="D744" t="inlineStr">
        <is>
          <t>VÄSTERBOTTENS LÄN</t>
        </is>
      </c>
      <c r="E744" t="inlineStr">
        <is>
          <t>LYCKSELE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1751-2026</t>
        </is>
      </c>
      <c r="B745" s="1" t="n">
        <v>46034</v>
      </c>
      <c r="C745" s="1" t="n">
        <v>46198</v>
      </c>
      <c r="D745" t="inlineStr">
        <is>
          <t>VÄSTERBOTTENS LÄN</t>
        </is>
      </c>
      <c r="E745" t="inlineStr">
        <is>
          <t>LYCKSELE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37391-2024</t>
        </is>
      </c>
      <c r="B746" s="1" t="n">
        <v>45540</v>
      </c>
      <c r="C746" s="1" t="n">
        <v>46198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2859-2022</t>
        </is>
      </c>
      <c r="B747" s="1" t="n">
        <v>44581</v>
      </c>
      <c r="C747" s="1" t="n">
        <v>46198</v>
      </c>
      <c r="D747" t="inlineStr">
        <is>
          <t>VÄSTERBOTTENS LÄN</t>
        </is>
      </c>
      <c r="E747" t="inlineStr">
        <is>
          <t>LYCKSELE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62715-2022</t>
        </is>
      </c>
      <c r="B748" s="1" t="n">
        <v>44925</v>
      </c>
      <c r="C748" s="1" t="n">
        <v>46198</v>
      </c>
      <c r="D748" t="inlineStr">
        <is>
          <t>VÄSTERBOTTENS LÄN</t>
        </is>
      </c>
      <c r="E748" t="inlineStr">
        <is>
          <t>LYCKSELE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20560-2025</t>
        </is>
      </c>
      <c r="B749" s="1" t="n">
        <v>45775</v>
      </c>
      <c r="C749" s="1" t="n">
        <v>46198</v>
      </c>
      <c r="D749" t="inlineStr">
        <is>
          <t>VÄSTERBOTTENS LÄN</t>
        </is>
      </c>
      <c r="E749" t="inlineStr">
        <is>
          <t>LYCKSELE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29524-2023</t>
        </is>
      </c>
      <c r="B750" s="1" t="n">
        <v>45106</v>
      </c>
      <c r="C750" s="1" t="n">
        <v>46198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408-2023</t>
        </is>
      </c>
      <c r="B751" s="1" t="n">
        <v>44924</v>
      </c>
      <c r="C751" s="1" t="n">
        <v>46198</v>
      </c>
      <c r="D751" t="inlineStr">
        <is>
          <t>VÄSTERBOTTENS LÄN</t>
        </is>
      </c>
      <c r="E751" t="inlineStr">
        <is>
          <t>LYCKSELE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32800-2024</t>
        </is>
      </c>
      <c r="B752" s="1" t="n">
        <v>45516</v>
      </c>
      <c r="C752" s="1" t="n">
        <v>46198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64893-2021</t>
        </is>
      </c>
      <c r="B753" s="1" t="n">
        <v>44512</v>
      </c>
      <c r="C753" s="1" t="n">
        <v>46198</v>
      </c>
      <c r="D753" t="inlineStr">
        <is>
          <t>VÄSTERBOTTENS LÄN</t>
        </is>
      </c>
      <c r="E753" t="inlineStr">
        <is>
          <t>LYCKSELE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46826-2023</t>
        </is>
      </c>
      <c r="B754" s="1" t="n">
        <v>45198</v>
      </c>
      <c r="C754" s="1" t="n">
        <v>46198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38178-2022</t>
        </is>
      </c>
      <c r="B755" s="1" t="n">
        <v>44812</v>
      </c>
      <c r="C755" s="1" t="n">
        <v>46198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4254-2026</t>
        </is>
      </c>
      <c r="B756" s="1" t="n">
        <v>46045</v>
      </c>
      <c r="C756" s="1" t="n">
        <v>46198</v>
      </c>
      <c r="D756" t="inlineStr">
        <is>
          <t>VÄSTERBOTTENS LÄN</t>
        </is>
      </c>
      <c r="E756" t="inlineStr">
        <is>
          <t>LYCKSELE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3982-2026</t>
        </is>
      </c>
      <c r="B757" s="1" t="n">
        <v>46044</v>
      </c>
      <c r="C757" s="1" t="n">
        <v>46198</v>
      </c>
      <c r="D757" t="inlineStr">
        <is>
          <t>VÄSTERBOTTENS LÄN</t>
        </is>
      </c>
      <c r="E757" t="inlineStr">
        <is>
          <t>LYCKSELE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4388-2026</t>
        </is>
      </c>
      <c r="B758" s="1" t="n">
        <v>46045</v>
      </c>
      <c r="C758" s="1" t="n">
        <v>46198</v>
      </c>
      <c r="D758" t="inlineStr">
        <is>
          <t>VÄSTERBOTTENS LÄN</t>
        </is>
      </c>
      <c r="E758" t="inlineStr">
        <is>
          <t>LYCKSELE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4102-2026</t>
        </is>
      </c>
      <c r="B759" s="1" t="n">
        <v>46044</v>
      </c>
      <c r="C759" s="1" t="n">
        <v>46198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45444-2024</t>
        </is>
      </c>
      <c r="B760" s="1" t="n">
        <v>45576</v>
      </c>
      <c r="C760" s="1" t="n">
        <v>46198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4671-2025</t>
        </is>
      </c>
      <c r="B761" s="1" t="n">
        <v>45687</v>
      </c>
      <c r="C761" s="1" t="n">
        <v>46198</v>
      </c>
      <c r="D761" t="inlineStr">
        <is>
          <t>VÄSTERBOTTENS LÄN</t>
        </is>
      </c>
      <c r="E761" t="inlineStr">
        <is>
          <t>LYCKSELE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14070-2024</t>
        </is>
      </c>
      <c r="B762" s="1" t="n">
        <v>45392</v>
      </c>
      <c r="C762" s="1" t="n">
        <v>46198</v>
      </c>
      <c r="D762" t="inlineStr">
        <is>
          <t>VÄSTERBOTTENS LÄN</t>
        </is>
      </c>
      <c r="E762" t="inlineStr">
        <is>
          <t>LYCKSELE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19246-2025</t>
        </is>
      </c>
      <c r="B763" s="1" t="n">
        <v>45769</v>
      </c>
      <c r="C763" s="1" t="n">
        <v>46198</v>
      </c>
      <c r="D763" t="inlineStr">
        <is>
          <t>VÄSTERBOTTENS LÄN</t>
        </is>
      </c>
      <c r="E763" t="inlineStr">
        <is>
          <t>LYCKSELE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5026-2026</t>
        </is>
      </c>
      <c r="B764" s="1" t="n">
        <v>46049</v>
      </c>
      <c r="C764" s="1" t="n">
        <v>46198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5508-2026</t>
        </is>
      </c>
      <c r="B765" s="1" t="n">
        <v>46050</v>
      </c>
      <c r="C765" s="1" t="n">
        <v>46198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40262-2022</t>
        </is>
      </c>
      <c r="B766" s="1" t="n">
        <v>44820</v>
      </c>
      <c r="C766" s="1" t="n">
        <v>46198</v>
      </c>
      <c r="D766" t="inlineStr">
        <is>
          <t>VÄSTERBOTTENS LÄN</t>
        </is>
      </c>
      <c r="E766" t="inlineStr">
        <is>
          <t>LYCKSELE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51048-2023</t>
        </is>
      </c>
      <c r="B767" s="1" t="n">
        <v>45218</v>
      </c>
      <c r="C767" s="1" t="n">
        <v>46198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24041-2023</t>
        </is>
      </c>
      <c r="B768" s="1" t="n">
        <v>45078</v>
      </c>
      <c r="C768" s="1" t="n">
        <v>46198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11743-2023</t>
        </is>
      </c>
      <c r="B769" s="1" t="n">
        <v>44994</v>
      </c>
      <c r="C769" s="1" t="n">
        <v>46198</v>
      </c>
      <c r="D769" t="inlineStr">
        <is>
          <t>VÄSTERBOTTENS LÄN</t>
        </is>
      </c>
      <c r="E769" t="inlineStr">
        <is>
          <t>LYCKSELE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19270-2024</t>
        </is>
      </c>
      <c r="B770" s="1" t="n">
        <v>45428</v>
      </c>
      <c r="C770" s="1" t="n">
        <v>46198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34810-2024</t>
        </is>
      </c>
      <c r="B771" s="1" t="n">
        <v>45526</v>
      </c>
      <c r="C771" s="1" t="n">
        <v>46198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55170-2022</t>
        </is>
      </c>
      <c r="B772" s="1" t="n">
        <v>44886</v>
      </c>
      <c r="C772" s="1" t="n">
        <v>46198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3021-2026</t>
        </is>
      </c>
      <c r="B773" s="1" t="n">
        <v>46038</v>
      </c>
      <c r="C773" s="1" t="n">
        <v>46198</v>
      </c>
      <c r="D773" t="inlineStr">
        <is>
          <t>VÄSTERBOTTENS LÄN</t>
        </is>
      </c>
      <c r="E773" t="inlineStr">
        <is>
          <t>LYCKSELE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58775-2025</t>
        </is>
      </c>
      <c r="B774" s="1" t="n">
        <v>45986</v>
      </c>
      <c r="C774" s="1" t="n">
        <v>46198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59653-2022</t>
        </is>
      </c>
      <c r="B775" s="1" t="n">
        <v>44907</v>
      </c>
      <c r="C775" s="1" t="n">
        <v>46198</v>
      </c>
      <c r="D775" t="inlineStr">
        <is>
          <t>VÄSTERBOTTENS LÄN</t>
        </is>
      </c>
      <c r="E775" t="inlineStr">
        <is>
          <t>LYCKSELE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7829-2026</t>
        </is>
      </c>
      <c r="B776" s="1" t="n">
        <v>46062</v>
      </c>
      <c r="C776" s="1" t="n">
        <v>46198</v>
      </c>
      <c r="D776" t="inlineStr">
        <is>
          <t>VÄSTERBOTTENS LÄN</t>
        </is>
      </c>
      <c r="E776" t="inlineStr">
        <is>
          <t>LYCKSELE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7954-2026</t>
        </is>
      </c>
      <c r="B777" s="1" t="n">
        <v>46063</v>
      </c>
      <c r="C777" s="1" t="n">
        <v>46198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Naturvårdsverket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71407-2021</t>
        </is>
      </c>
      <c r="B778" s="1" t="n">
        <v>44540</v>
      </c>
      <c r="C778" s="1" t="n">
        <v>46198</v>
      </c>
      <c r="D778" t="inlineStr">
        <is>
          <t>VÄSTERBOTTENS LÄN</t>
        </is>
      </c>
      <c r="E778" t="inlineStr">
        <is>
          <t>LYCKSELE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8018-2026</t>
        </is>
      </c>
      <c r="B779" s="1" t="n">
        <v>46063</v>
      </c>
      <c r="C779" s="1" t="n">
        <v>46198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Naturvårdsverket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7842-2026</t>
        </is>
      </c>
      <c r="B780" s="1" t="n">
        <v>46062</v>
      </c>
      <c r="C780" s="1" t="n">
        <v>46198</v>
      </c>
      <c r="D780" t="inlineStr">
        <is>
          <t>VÄSTERBOTTENS LÄN</t>
        </is>
      </c>
      <c r="E780" t="inlineStr">
        <is>
          <t>LYCKSELE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8485-2026</t>
        </is>
      </c>
      <c r="B781" s="1" t="n">
        <v>46065</v>
      </c>
      <c r="C781" s="1" t="n">
        <v>46198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8273-2026</t>
        </is>
      </c>
      <c r="B782" s="1" t="n">
        <v>46064</v>
      </c>
      <c r="C782" s="1" t="n">
        <v>46198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Naturvårdsverket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8272-2026</t>
        </is>
      </c>
      <c r="B783" s="1" t="n">
        <v>46064</v>
      </c>
      <c r="C783" s="1" t="n">
        <v>46198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Naturvårdsverket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8467-2026</t>
        </is>
      </c>
      <c r="B784" s="1" t="n">
        <v>46065</v>
      </c>
      <c r="C784" s="1" t="n">
        <v>46198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1962-2024</t>
        </is>
      </c>
      <c r="B785" s="1" t="n">
        <v>45308</v>
      </c>
      <c r="C785" s="1" t="n">
        <v>46198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41361-2023</t>
        </is>
      </c>
      <c r="B786" s="1" t="n">
        <v>45174</v>
      </c>
      <c r="C786" s="1" t="n">
        <v>46198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33713-2024</t>
        </is>
      </c>
      <c r="B787" s="1" t="n">
        <v>45520</v>
      </c>
      <c r="C787" s="1" t="n">
        <v>46198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53614-2021</t>
        </is>
      </c>
      <c r="B788" s="1" t="n">
        <v>44469</v>
      </c>
      <c r="C788" s="1" t="n">
        <v>46198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9310-2026</t>
        </is>
      </c>
      <c r="B789" s="1" t="n">
        <v>46070</v>
      </c>
      <c r="C789" s="1" t="n">
        <v>46198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60685-2022</t>
        </is>
      </c>
      <c r="B790" s="1" t="n">
        <v>44911</v>
      </c>
      <c r="C790" s="1" t="n">
        <v>46198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18674-2025</t>
        </is>
      </c>
      <c r="B791" s="1" t="n">
        <v>45763</v>
      </c>
      <c r="C791" s="1" t="n">
        <v>46198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18705-2025</t>
        </is>
      </c>
      <c r="B792" s="1" t="n">
        <v>45763</v>
      </c>
      <c r="C792" s="1" t="n">
        <v>46198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47807-2024</t>
        </is>
      </c>
      <c r="B793" s="1" t="n">
        <v>45588</v>
      </c>
      <c r="C793" s="1" t="n">
        <v>46198</v>
      </c>
      <c r="D793" t="inlineStr">
        <is>
          <t>VÄSTERBOTTENS LÄN</t>
        </is>
      </c>
      <c r="E793" t="inlineStr">
        <is>
          <t>LYCKSELE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9716-2026</t>
        </is>
      </c>
      <c r="B794" s="1" t="n">
        <v>46072</v>
      </c>
      <c r="C794" s="1" t="n">
        <v>46198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10180-2026</t>
        </is>
      </c>
      <c r="B795" s="1" t="n">
        <v>46076</v>
      </c>
      <c r="C795" s="1" t="n">
        <v>46198</v>
      </c>
      <c r="D795" t="inlineStr">
        <is>
          <t>VÄSTERBOTTENS LÄN</t>
        </is>
      </c>
      <c r="E795" t="inlineStr">
        <is>
          <t>LYCKSELE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42887-2024</t>
        </is>
      </c>
      <c r="B796" s="1" t="n">
        <v>45566</v>
      </c>
      <c r="C796" s="1" t="n">
        <v>46198</v>
      </c>
      <c r="D796" t="inlineStr">
        <is>
          <t>VÄSTERBOTTENS LÄN</t>
        </is>
      </c>
      <c r="E796" t="inlineStr">
        <is>
          <t>LYCKSELE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10208-2024</t>
        </is>
      </c>
      <c r="B797" s="1" t="n">
        <v>45364</v>
      </c>
      <c r="C797" s="1" t="n">
        <v>46198</v>
      </c>
      <c r="D797" t="inlineStr">
        <is>
          <t>VÄSTERBOTTENS LÄN</t>
        </is>
      </c>
      <c r="E797" t="inlineStr">
        <is>
          <t>LYCKSELE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10230-2026</t>
        </is>
      </c>
      <c r="B798" s="1" t="n">
        <v>46076</v>
      </c>
      <c r="C798" s="1" t="n">
        <v>46198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59174-2024</t>
        </is>
      </c>
      <c r="B799" s="1" t="n">
        <v>45637</v>
      </c>
      <c r="C799" s="1" t="n">
        <v>46198</v>
      </c>
      <c r="D799" t="inlineStr">
        <is>
          <t>VÄSTERBOTTENS LÄN</t>
        </is>
      </c>
      <c r="E799" t="inlineStr">
        <is>
          <t>LYCKSELE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10478-2026</t>
        </is>
      </c>
      <c r="B800" s="1" t="n">
        <v>46077</v>
      </c>
      <c r="C800" s="1" t="n">
        <v>46198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10443-2026</t>
        </is>
      </c>
      <c r="B801" s="1" t="n">
        <v>46077</v>
      </c>
      <c r="C801" s="1" t="n">
        <v>46198</v>
      </c>
      <c r="D801" t="inlineStr">
        <is>
          <t>VÄSTERBOTTENS LÄN</t>
        </is>
      </c>
      <c r="E801" t="inlineStr">
        <is>
          <t>LYCKSELE</t>
        </is>
      </c>
      <c r="G801" t="n">
        <v>18.8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37271-2023</t>
        </is>
      </c>
      <c r="B802" s="1" t="n">
        <v>45155</v>
      </c>
      <c r="C802" s="1" t="n">
        <v>46198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10174-2026</t>
        </is>
      </c>
      <c r="B803" s="1" t="n">
        <v>46076</v>
      </c>
      <c r="C803" s="1" t="n">
        <v>46198</v>
      </c>
      <c r="D803" t="inlineStr">
        <is>
          <t>VÄSTERBOTTENS LÄN</t>
        </is>
      </c>
      <c r="E803" t="inlineStr">
        <is>
          <t>LYCKSELE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10321-2026</t>
        </is>
      </c>
      <c r="B804" s="1" t="n">
        <v>46076</v>
      </c>
      <c r="C804" s="1" t="n">
        <v>46198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61506-2021</t>
        </is>
      </c>
      <c r="B805" s="1" t="n">
        <v>44501</v>
      </c>
      <c r="C805" s="1" t="n">
        <v>46198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60267-2022</t>
        </is>
      </c>
      <c r="B806" s="1" t="n">
        <v>44910</v>
      </c>
      <c r="C806" s="1" t="n">
        <v>46198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40115-2024</t>
        </is>
      </c>
      <c r="B807" s="1" t="n">
        <v>45554</v>
      </c>
      <c r="C807" s="1" t="n">
        <v>46198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27495-2024</t>
        </is>
      </c>
      <c r="B808" s="1" t="n">
        <v>45474</v>
      </c>
      <c r="C808" s="1" t="n">
        <v>46198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31689-2023</t>
        </is>
      </c>
      <c r="B809" s="1" t="n">
        <v>45117</v>
      </c>
      <c r="C809" s="1" t="n">
        <v>46198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32690-2024</t>
        </is>
      </c>
      <c r="B810" s="1" t="n">
        <v>45515</v>
      </c>
      <c r="C810" s="1" t="n">
        <v>46198</v>
      </c>
      <c r="D810" t="inlineStr">
        <is>
          <t>VÄSTERBOTTENS LÄN</t>
        </is>
      </c>
      <c r="E810" t="inlineStr">
        <is>
          <t>LYCKSELE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36875-2023</t>
        </is>
      </c>
      <c r="B811" s="1" t="n">
        <v>45154</v>
      </c>
      <c r="C811" s="1" t="n">
        <v>46198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12083-2026</t>
        </is>
      </c>
      <c r="B812" s="1" t="n">
        <v>46086</v>
      </c>
      <c r="C812" s="1" t="n">
        <v>46198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11870-2026</t>
        </is>
      </c>
      <c r="B813" s="1" t="n">
        <v>46085</v>
      </c>
      <c r="C813" s="1" t="n">
        <v>46198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10331-2023</t>
        </is>
      </c>
      <c r="B814" s="1" t="n">
        <v>44980</v>
      </c>
      <c r="C814" s="1" t="n">
        <v>46198</v>
      </c>
      <c r="D814" t="inlineStr">
        <is>
          <t>VÄSTERBOTTENS LÄN</t>
        </is>
      </c>
      <c r="E814" t="inlineStr">
        <is>
          <t>LYCKSELE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12292-2026</t>
        </is>
      </c>
      <c r="B815" s="1" t="n">
        <v>46087</v>
      </c>
      <c r="C815" s="1" t="n">
        <v>46198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55315-2024</t>
        </is>
      </c>
      <c r="B816" s="1" t="n">
        <v>45621</v>
      </c>
      <c r="C816" s="1" t="n">
        <v>46198</v>
      </c>
      <c r="D816" t="inlineStr">
        <is>
          <t>VÄSTERBOTTENS LÄN</t>
        </is>
      </c>
      <c r="E816" t="inlineStr">
        <is>
          <t>LYCKSELE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51943-2023</t>
        </is>
      </c>
      <c r="B817" s="1" t="n">
        <v>45223</v>
      </c>
      <c r="C817" s="1" t="n">
        <v>46198</v>
      </c>
      <c r="D817" t="inlineStr">
        <is>
          <t>VÄSTERBOTTENS LÄN</t>
        </is>
      </c>
      <c r="E817" t="inlineStr">
        <is>
          <t>LYCKSELE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12302-2026</t>
        </is>
      </c>
      <c r="B818" s="1" t="n">
        <v>46087</v>
      </c>
      <c r="C818" s="1" t="n">
        <v>46198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12436-2026</t>
        </is>
      </c>
      <c r="B819" s="1" t="n">
        <v>46090</v>
      </c>
      <c r="C819" s="1" t="n">
        <v>46198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38250-2023</t>
        </is>
      </c>
      <c r="B820" s="1" t="n">
        <v>45161</v>
      </c>
      <c r="C820" s="1" t="n">
        <v>46198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12327-2026</t>
        </is>
      </c>
      <c r="B821" s="1" t="n">
        <v>46087</v>
      </c>
      <c r="C821" s="1" t="n">
        <v>46198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11199-2024</t>
        </is>
      </c>
      <c r="B822" s="1" t="n">
        <v>45371</v>
      </c>
      <c r="C822" s="1" t="n">
        <v>46198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55.8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37984-2021</t>
        </is>
      </c>
      <c r="B823" s="1" t="n">
        <v>44403</v>
      </c>
      <c r="C823" s="1" t="n">
        <v>46198</v>
      </c>
      <c r="D823" t="inlineStr">
        <is>
          <t>VÄSTERBOTTENS LÄN</t>
        </is>
      </c>
      <c r="E823" t="inlineStr">
        <is>
          <t>LYCKSELE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12889-2026</t>
        </is>
      </c>
      <c r="B824" s="1" t="n">
        <v>46092</v>
      </c>
      <c r="C824" s="1" t="n">
        <v>46198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49130-2024</t>
        </is>
      </c>
      <c r="B825" s="1" t="n">
        <v>45594</v>
      </c>
      <c r="C825" s="1" t="n">
        <v>46198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61094-2023</t>
        </is>
      </c>
      <c r="B826" s="1" t="n">
        <v>45261</v>
      </c>
      <c r="C826" s="1" t="n">
        <v>46198</v>
      </c>
      <c r="D826" t="inlineStr">
        <is>
          <t>VÄSTERBOTTENS LÄN</t>
        </is>
      </c>
      <c r="E826" t="inlineStr">
        <is>
          <t>LYCKSELE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12980-2026</t>
        </is>
      </c>
      <c r="B827" s="1" t="n">
        <v>46092</v>
      </c>
      <c r="C827" s="1" t="n">
        <v>46198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12662-2026</t>
        </is>
      </c>
      <c r="B828" s="1" t="n">
        <v>46091</v>
      </c>
      <c r="C828" s="1" t="n">
        <v>46198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12998-2026</t>
        </is>
      </c>
      <c r="B829" s="1" t="n">
        <v>46092</v>
      </c>
      <c r="C829" s="1" t="n">
        <v>46198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12735-2026</t>
        </is>
      </c>
      <c r="B830" s="1" t="n">
        <v>46091</v>
      </c>
      <c r="C830" s="1" t="n">
        <v>46198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1812-2024</t>
        </is>
      </c>
      <c r="B831" s="1" t="n">
        <v>45307</v>
      </c>
      <c r="C831" s="1" t="n">
        <v>46198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12618-2026</t>
        </is>
      </c>
      <c r="B832" s="1" t="n">
        <v>46091</v>
      </c>
      <c r="C832" s="1" t="n">
        <v>46198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21668-2024</t>
        </is>
      </c>
      <c r="B833" s="1" t="n">
        <v>45441</v>
      </c>
      <c r="C833" s="1" t="n">
        <v>46198</v>
      </c>
      <c r="D833" t="inlineStr">
        <is>
          <t>VÄSTERBOTTENS LÄN</t>
        </is>
      </c>
      <c r="E833" t="inlineStr">
        <is>
          <t>LYCKSELE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12336-2024</t>
        </is>
      </c>
      <c r="B834" s="1" t="n">
        <v>45378</v>
      </c>
      <c r="C834" s="1" t="n">
        <v>46198</v>
      </c>
      <c r="D834" t="inlineStr">
        <is>
          <t>VÄSTERBOTTENS LÄN</t>
        </is>
      </c>
      <c r="E834" t="inlineStr">
        <is>
          <t>LYCKSELE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13502-2026</t>
        </is>
      </c>
      <c r="B835" s="1" t="n">
        <v>46094</v>
      </c>
      <c r="C835" s="1" t="n">
        <v>46198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26717-2024</t>
        </is>
      </c>
      <c r="B836" s="1" t="n">
        <v>45470</v>
      </c>
      <c r="C836" s="1" t="n">
        <v>46198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13436-2026</t>
        </is>
      </c>
      <c r="B837" s="1" t="n">
        <v>46094</v>
      </c>
      <c r="C837" s="1" t="n">
        <v>46198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31251-2024</t>
        </is>
      </c>
      <c r="B838" s="1" t="n">
        <v>45503</v>
      </c>
      <c r="C838" s="1" t="n">
        <v>46198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13384-2026</t>
        </is>
      </c>
      <c r="B839" s="1" t="n">
        <v>46094</v>
      </c>
      <c r="C839" s="1" t="n">
        <v>46198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13477-2026</t>
        </is>
      </c>
      <c r="B840" s="1" t="n">
        <v>46094</v>
      </c>
      <c r="C840" s="1" t="n">
        <v>46198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13413-2026</t>
        </is>
      </c>
      <c r="B841" s="1" t="n">
        <v>46094</v>
      </c>
      <c r="C841" s="1" t="n">
        <v>46198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33400-2023</t>
        </is>
      </c>
      <c r="B842" s="1" t="n">
        <v>45128</v>
      </c>
      <c r="C842" s="1" t="n">
        <v>46198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13480-2026</t>
        </is>
      </c>
      <c r="B843" s="1" t="n">
        <v>46094</v>
      </c>
      <c r="C843" s="1" t="n">
        <v>46198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13517-2026</t>
        </is>
      </c>
      <c r="B844" s="1" t="n">
        <v>46094</v>
      </c>
      <c r="C844" s="1" t="n">
        <v>46198</v>
      </c>
      <c r="D844" t="inlineStr">
        <is>
          <t>VÄSTERBOTTENS LÄN</t>
        </is>
      </c>
      <c r="E844" t="inlineStr">
        <is>
          <t>LYCKSELE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13518-2026</t>
        </is>
      </c>
      <c r="B845" s="1" t="n">
        <v>46094</v>
      </c>
      <c r="C845" s="1" t="n">
        <v>46198</v>
      </c>
      <c r="D845" t="inlineStr">
        <is>
          <t>VÄSTERBOTTENS LÄN</t>
        </is>
      </c>
      <c r="E845" t="inlineStr">
        <is>
          <t>LYCKSELE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55456-2022</t>
        </is>
      </c>
      <c r="B846" s="1" t="n">
        <v>44887</v>
      </c>
      <c r="C846" s="1" t="n">
        <v>46198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13954-2026</t>
        </is>
      </c>
      <c r="B847" s="1" t="n">
        <v>46098</v>
      </c>
      <c r="C847" s="1" t="n">
        <v>46198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13908-2026</t>
        </is>
      </c>
      <c r="B848" s="1" t="n">
        <v>46098</v>
      </c>
      <c r="C848" s="1" t="n">
        <v>46198</v>
      </c>
      <c r="D848" t="inlineStr">
        <is>
          <t>VÄSTERBOTTENS LÄN</t>
        </is>
      </c>
      <c r="E848" t="inlineStr">
        <is>
          <t>LYCKSELE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13921-2026</t>
        </is>
      </c>
      <c r="B849" s="1" t="n">
        <v>46098</v>
      </c>
      <c r="C849" s="1" t="n">
        <v>46198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13627-2026</t>
        </is>
      </c>
      <c r="B850" s="1" t="n">
        <v>46097</v>
      </c>
      <c r="C850" s="1" t="n">
        <v>46198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29675-2023</t>
        </is>
      </c>
      <c r="B851" s="1" t="n">
        <v>45107</v>
      </c>
      <c r="C851" s="1" t="n">
        <v>46198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14235-2026</t>
        </is>
      </c>
      <c r="B852" s="1" t="n">
        <v>46099</v>
      </c>
      <c r="C852" s="1" t="n">
        <v>46198</v>
      </c>
      <c r="D852" t="inlineStr">
        <is>
          <t>VÄSTERBOTTENS LÄN</t>
        </is>
      </c>
      <c r="E852" t="inlineStr">
        <is>
          <t>LYCKSELE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14404-2026</t>
        </is>
      </c>
      <c r="B853" s="1" t="n">
        <v>46100</v>
      </c>
      <c r="C853" s="1" t="n">
        <v>46198</v>
      </c>
      <c r="D853" t="inlineStr">
        <is>
          <t>VÄSTERBOTTENS LÄN</t>
        </is>
      </c>
      <c r="E853" t="inlineStr">
        <is>
          <t>LYCKSELE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14243-2026</t>
        </is>
      </c>
      <c r="B854" s="1" t="n">
        <v>46099</v>
      </c>
      <c r="C854" s="1" t="n">
        <v>46198</v>
      </c>
      <c r="D854" t="inlineStr">
        <is>
          <t>VÄSTERBOTTENS LÄN</t>
        </is>
      </c>
      <c r="E854" t="inlineStr">
        <is>
          <t>LYCKSELE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41358-2022</t>
        </is>
      </c>
      <c r="B855" s="1" t="n">
        <v>44826</v>
      </c>
      <c r="C855" s="1" t="n">
        <v>46198</v>
      </c>
      <c r="D855" t="inlineStr">
        <is>
          <t>VÄSTERBOTTENS LÄN</t>
        </is>
      </c>
      <c r="E855" t="inlineStr">
        <is>
          <t>LYCKSELE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58594-2022</t>
        </is>
      </c>
      <c r="B856" s="1" t="n">
        <v>44902</v>
      </c>
      <c r="C856" s="1" t="n">
        <v>46198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14405-2026</t>
        </is>
      </c>
      <c r="B857" s="1" t="n">
        <v>46100</v>
      </c>
      <c r="C857" s="1" t="n">
        <v>46198</v>
      </c>
      <c r="D857" t="inlineStr">
        <is>
          <t>VÄSTERBOTTENS LÄN</t>
        </is>
      </c>
      <c r="E857" t="inlineStr">
        <is>
          <t>LYCKSELE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38212-2024</t>
        </is>
      </c>
      <c r="B858" s="1" t="n">
        <v>45545</v>
      </c>
      <c r="C858" s="1" t="n">
        <v>46198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53839-2023</t>
        </is>
      </c>
      <c r="B859" s="1" t="n">
        <v>45231</v>
      </c>
      <c r="C859" s="1" t="n">
        <v>46198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14675-2026</t>
        </is>
      </c>
      <c r="B860" s="1" t="n">
        <v>46101</v>
      </c>
      <c r="C860" s="1" t="n">
        <v>46198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6943-2025</t>
        </is>
      </c>
      <c r="B861" s="1" t="n">
        <v>45701</v>
      </c>
      <c r="C861" s="1" t="n">
        <v>46198</v>
      </c>
      <c r="D861" t="inlineStr">
        <is>
          <t>VÄSTERBOTTENS LÄN</t>
        </is>
      </c>
      <c r="E861" t="inlineStr">
        <is>
          <t>LYCKSELE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14856-2026</t>
        </is>
      </c>
      <c r="B862" s="1" t="n">
        <v>46104</v>
      </c>
      <c r="C862" s="1" t="n">
        <v>46198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59559-2022</t>
        </is>
      </c>
      <c r="B863" s="1" t="n">
        <v>44900</v>
      </c>
      <c r="C863" s="1" t="n">
        <v>46198</v>
      </c>
      <c r="D863" t="inlineStr">
        <is>
          <t>VÄSTERBOTTENS LÄN</t>
        </is>
      </c>
      <c r="E863" t="inlineStr">
        <is>
          <t>LYCKSELE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14725-2026</t>
        </is>
      </c>
      <c r="B864" s="1" t="n">
        <v>46101</v>
      </c>
      <c r="C864" s="1" t="n">
        <v>46198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14788-2026</t>
        </is>
      </c>
      <c r="B865" s="1" t="n">
        <v>46101</v>
      </c>
      <c r="C865" s="1" t="n">
        <v>46198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14712-2026</t>
        </is>
      </c>
      <c r="B866" s="1" t="n">
        <v>46101</v>
      </c>
      <c r="C866" s="1" t="n">
        <v>46198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14845-2026</t>
        </is>
      </c>
      <c r="B867" s="1" t="n">
        <v>46104</v>
      </c>
      <c r="C867" s="1" t="n">
        <v>46198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15389-2026</t>
        </is>
      </c>
      <c r="B868" s="1" t="n">
        <v>46106</v>
      </c>
      <c r="C868" s="1" t="n">
        <v>46198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58192-2023</t>
        </is>
      </c>
      <c r="B869" s="1" t="n">
        <v>45245</v>
      </c>
      <c r="C869" s="1" t="n">
        <v>46198</v>
      </c>
      <c r="D869" t="inlineStr">
        <is>
          <t>VÄSTERBOTTENS LÄN</t>
        </is>
      </c>
      <c r="E869" t="inlineStr">
        <is>
          <t>LYCKSELE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15655-2026</t>
        </is>
      </c>
      <c r="B870" s="1" t="n">
        <v>46106</v>
      </c>
      <c r="C870" s="1" t="n">
        <v>46198</v>
      </c>
      <c r="D870" t="inlineStr">
        <is>
          <t>VÄSTERBOTTENS LÄN</t>
        </is>
      </c>
      <c r="E870" t="inlineStr">
        <is>
          <t>LYCKSELE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53037-2023</t>
        </is>
      </c>
      <c r="B871" s="1" t="n">
        <v>45226</v>
      </c>
      <c r="C871" s="1" t="n">
        <v>46198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53335-2024</t>
        </is>
      </c>
      <c r="B872" s="1" t="n">
        <v>45614</v>
      </c>
      <c r="C872" s="1" t="n">
        <v>46198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24810-2024</t>
        </is>
      </c>
      <c r="B873" s="1" t="n">
        <v>45460</v>
      </c>
      <c r="C873" s="1" t="n">
        <v>46198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15696-2026</t>
        </is>
      </c>
      <c r="B874" s="1" t="n">
        <v>46107</v>
      </c>
      <c r="C874" s="1" t="n">
        <v>46198</v>
      </c>
      <c r="D874" t="inlineStr">
        <is>
          <t>VÄSTERBOTTENS LÄN</t>
        </is>
      </c>
      <c r="E874" t="inlineStr">
        <is>
          <t>LYCKSELE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60859-2022</t>
        </is>
      </c>
      <c r="B875" s="1" t="n">
        <v>44908</v>
      </c>
      <c r="C875" s="1" t="n">
        <v>46198</v>
      </c>
      <c r="D875" t="inlineStr">
        <is>
          <t>VÄSTERBOTTENS LÄN</t>
        </is>
      </c>
      <c r="E875" t="inlineStr">
        <is>
          <t>LYCKSELE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16138-2026</t>
        </is>
      </c>
      <c r="B876" s="1" t="n">
        <v>46108</v>
      </c>
      <c r="C876" s="1" t="n">
        <v>46198</v>
      </c>
      <c r="D876" t="inlineStr">
        <is>
          <t>VÄSTERBOTTENS LÄN</t>
        </is>
      </c>
      <c r="E876" t="inlineStr">
        <is>
          <t>LYCKSELE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26351-2022</t>
        </is>
      </c>
      <c r="B877" s="1" t="n">
        <v>44735</v>
      </c>
      <c r="C877" s="1" t="n">
        <v>46198</v>
      </c>
      <c r="D877" t="inlineStr">
        <is>
          <t>VÄSTERBOTTENS LÄN</t>
        </is>
      </c>
      <c r="E877" t="inlineStr">
        <is>
          <t>LYCKSELE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54446-2023</t>
        </is>
      </c>
      <c r="B878" s="1" t="n">
        <v>45233</v>
      </c>
      <c r="C878" s="1" t="n">
        <v>46198</v>
      </c>
      <c r="D878" t="inlineStr">
        <is>
          <t>VÄSTERBOTTENS LÄN</t>
        </is>
      </c>
      <c r="E878" t="inlineStr">
        <is>
          <t>LYCKSELE</t>
        </is>
      </c>
      <c r="G878" t="n">
        <v>21.4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16642-2026</t>
        </is>
      </c>
      <c r="B879" s="1" t="n">
        <v>46112</v>
      </c>
      <c r="C879" s="1" t="n">
        <v>46198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52956-2022</t>
        </is>
      </c>
      <c r="B880" s="1" t="n">
        <v>44875</v>
      </c>
      <c r="C880" s="1" t="n">
        <v>46198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35990-2025</t>
        </is>
      </c>
      <c r="B881" s="1" t="n">
        <v>45863</v>
      </c>
      <c r="C881" s="1" t="n">
        <v>46198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16539-2026</t>
        </is>
      </c>
      <c r="B882" s="1" t="n">
        <v>46112</v>
      </c>
      <c r="C882" s="1" t="n">
        <v>46198</v>
      </c>
      <c r="D882" t="inlineStr">
        <is>
          <t>VÄSTERBOTTENS LÄN</t>
        </is>
      </c>
      <c r="E882" t="inlineStr">
        <is>
          <t>LYCKSELE</t>
        </is>
      </c>
      <c r="G882" t="n">
        <v>13.9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16540-2026</t>
        </is>
      </c>
      <c r="B883" s="1" t="n">
        <v>46112</v>
      </c>
      <c r="C883" s="1" t="n">
        <v>46198</v>
      </c>
      <c r="D883" t="inlineStr">
        <is>
          <t>VÄSTERBOTTENS LÄN</t>
        </is>
      </c>
      <c r="E883" t="inlineStr">
        <is>
          <t>LYCKSELE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38112-2024</t>
        </is>
      </c>
      <c r="B884" s="1" t="n">
        <v>45545</v>
      </c>
      <c r="C884" s="1" t="n">
        <v>46198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59516-2021</t>
        </is>
      </c>
      <c r="B885" s="1" t="n">
        <v>44491</v>
      </c>
      <c r="C885" s="1" t="n">
        <v>46198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16397-2026</t>
        </is>
      </c>
      <c r="B886" s="1" t="n">
        <v>46111</v>
      </c>
      <c r="C886" s="1" t="n">
        <v>46198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56343-2022</t>
        </is>
      </c>
      <c r="B887" s="1" t="n">
        <v>44890</v>
      </c>
      <c r="C887" s="1" t="n">
        <v>46198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16643-2026</t>
        </is>
      </c>
      <c r="B888" s="1" t="n">
        <v>46112</v>
      </c>
      <c r="C888" s="1" t="n">
        <v>46198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16646-2026</t>
        </is>
      </c>
      <c r="B889" s="1" t="n">
        <v>46112</v>
      </c>
      <c r="C889" s="1" t="n">
        <v>46198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16986-2026</t>
        </is>
      </c>
      <c r="B890" s="1" t="n">
        <v>46114</v>
      </c>
      <c r="C890" s="1" t="n">
        <v>46198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22685-2026</t>
        </is>
      </c>
      <c r="B891" s="1" t="n">
        <v>46156</v>
      </c>
      <c r="C891" s="1" t="n">
        <v>46198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16723-2026</t>
        </is>
      </c>
      <c r="B892" s="1" t="n">
        <v>46113</v>
      </c>
      <c r="C892" s="1" t="n">
        <v>46198</v>
      </c>
      <c r="D892" t="inlineStr">
        <is>
          <t>VÄSTERBOTTENS LÄN</t>
        </is>
      </c>
      <c r="E892" t="inlineStr">
        <is>
          <t>LYCKSELE</t>
        </is>
      </c>
      <c r="G892" t="n">
        <v>16.5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16733-2026</t>
        </is>
      </c>
      <c r="B893" s="1" t="n">
        <v>46113</v>
      </c>
      <c r="C893" s="1" t="n">
        <v>46198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16731-2026</t>
        </is>
      </c>
      <c r="B894" s="1" t="n">
        <v>46113</v>
      </c>
      <c r="C894" s="1" t="n">
        <v>46198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16729-2026</t>
        </is>
      </c>
      <c r="B895" s="1" t="n">
        <v>46113</v>
      </c>
      <c r="C895" s="1" t="n">
        <v>46198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4056-2023</t>
        </is>
      </c>
      <c r="B896" s="1" t="n">
        <v>44952</v>
      </c>
      <c r="C896" s="1" t="n">
        <v>46198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49175-2023</t>
        </is>
      </c>
      <c r="B897" s="1" t="n">
        <v>45210</v>
      </c>
      <c r="C897" s="1" t="n">
        <v>46198</v>
      </c>
      <c r="D897" t="inlineStr">
        <is>
          <t>VÄSTERBOTTENS LÄN</t>
        </is>
      </c>
      <c r="E897" t="inlineStr">
        <is>
          <t>LYCKSELE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33701-2024</t>
        </is>
      </c>
      <c r="B898" s="1" t="n">
        <v>45520</v>
      </c>
      <c r="C898" s="1" t="n">
        <v>46198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67092-2021</t>
        </is>
      </c>
      <c r="B899" s="1" t="n">
        <v>44522</v>
      </c>
      <c r="C899" s="1" t="n">
        <v>46198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23274-2026</t>
        </is>
      </c>
      <c r="B900" s="1" t="n">
        <v>46162</v>
      </c>
      <c r="C900" s="1" t="n">
        <v>46198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30425-2024</t>
        </is>
      </c>
      <c r="B901" s="1" t="n">
        <v>45491</v>
      </c>
      <c r="C901" s="1" t="n">
        <v>46198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23356-2026</t>
        </is>
      </c>
      <c r="B902" s="1" t="n">
        <v>46162</v>
      </c>
      <c r="C902" s="1" t="n">
        <v>46198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21666-2024</t>
        </is>
      </c>
      <c r="B903" s="1" t="n">
        <v>45441</v>
      </c>
      <c r="C903" s="1" t="n">
        <v>46198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35284-2023</t>
        </is>
      </c>
      <c r="B904" s="1" t="n">
        <v>45145</v>
      </c>
      <c r="C904" s="1" t="n">
        <v>46198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17329-2026</t>
        </is>
      </c>
      <c r="B905" s="1" t="n">
        <v>46119</v>
      </c>
      <c r="C905" s="1" t="n">
        <v>46198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23391-2026</t>
        </is>
      </c>
      <c r="B906" s="1" t="n">
        <v>46162</v>
      </c>
      <c r="C906" s="1" t="n">
        <v>46198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23773-2026</t>
        </is>
      </c>
      <c r="B907" s="1" t="n">
        <v>46164</v>
      </c>
      <c r="C907" s="1" t="n">
        <v>46198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34929-2023</t>
        </is>
      </c>
      <c r="B908" s="1" t="n">
        <v>45142</v>
      </c>
      <c r="C908" s="1" t="n">
        <v>46198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17650-2026</t>
        </is>
      </c>
      <c r="B909" s="1" t="n">
        <v>46121</v>
      </c>
      <c r="C909" s="1" t="n">
        <v>46198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35569-2024</t>
        </is>
      </c>
      <c r="B910" s="1" t="n">
        <v>45531</v>
      </c>
      <c r="C910" s="1" t="n">
        <v>46198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60122-2022</t>
        </is>
      </c>
      <c r="B911" s="1" t="n">
        <v>44909</v>
      </c>
      <c r="C911" s="1" t="n">
        <v>46198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23988-2026</t>
        </is>
      </c>
      <c r="B912" s="1" t="n">
        <v>46167</v>
      </c>
      <c r="C912" s="1" t="n">
        <v>46198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31648-2024</t>
        </is>
      </c>
      <c r="B913" s="1" t="n">
        <v>45506</v>
      </c>
      <c r="C913" s="1" t="n">
        <v>46198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24205-2026</t>
        </is>
      </c>
      <c r="B914" s="1" t="n">
        <v>46168</v>
      </c>
      <c r="C914" s="1" t="n">
        <v>46198</v>
      </c>
      <c r="D914" t="inlineStr">
        <is>
          <t>VÄSTERBOTTENS LÄN</t>
        </is>
      </c>
      <c r="E914" t="inlineStr">
        <is>
          <t>LYCKSELE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24175-2026</t>
        </is>
      </c>
      <c r="B915" s="1" t="n">
        <v>46168</v>
      </c>
      <c r="C915" s="1" t="n">
        <v>46198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57818-2021</t>
        </is>
      </c>
      <c r="B916" s="1" t="n">
        <v>44484</v>
      </c>
      <c r="C916" s="1" t="n">
        <v>46198</v>
      </c>
      <c r="D916" t="inlineStr">
        <is>
          <t>VÄSTERBOTTENS LÄN</t>
        </is>
      </c>
      <c r="E916" t="inlineStr">
        <is>
          <t>LYCKSELE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34857-2024</t>
        </is>
      </c>
      <c r="B917" s="1" t="n">
        <v>45527</v>
      </c>
      <c r="C917" s="1" t="n">
        <v>46198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24204-2026</t>
        </is>
      </c>
      <c r="B918" s="1" t="n">
        <v>46168</v>
      </c>
      <c r="C918" s="1" t="n">
        <v>46198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24548-2026</t>
        </is>
      </c>
      <c r="B919" s="1" t="n">
        <v>46170</v>
      </c>
      <c r="C919" s="1" t="n">
        <v>46198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20344-2025</t>
        </is>
      </c>
      <c r="B920" s="1" t="n">
        <v>45775</v>
      </c>
      <c r="C920" s="1" t="n">
        <v>46198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15037-2025</t>
        </is>
      </c>
      <c r="B921" s="1" t="n">
        <v>45743</v>
      </c>
      <c r="C921" s="1" t="n">
        <v>46198</v>
      </c>
      <c r="D921" t="inlineStr">
        <is>
          <t>VÄSTERBOTTENS LÄN</t>
        </is>
      </c>
      <c r="E921" t="inlineStr">
        <is>
          <t>LYCKSELE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24763-2026</t>
        </is>
      </c>
      <c r="B922" s="1" t="n">
        <v>46171</v>
      </c>
      <c r="C922" s="1" t="n">
        <v>46198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36150-2024</t>
        </is>
      </c>
      <c r="B923" s="1" t="n">
        <v>45534</v>
      </c>
      <c r="C923" s="1" t="n">
        <v>46198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64656-2023</t>
        </is>
      </c>
      <c r="B924" s="1" t="n">
        <v>45281</v>
      </c>
      <c r="C924" s="1" t="n">
        <v>46198</v>
      </c>
      <c r="D924" t="inlineStr">
        <is>
          <t>VÄSTERBOTTENS LÄN</t>
        </is>
      </c>
      <c r="E924" t="inlineStr">
        <is>
          <t>LYCKSELE</t>
        </is>
      </c>
      <c r="G924" t="n">
        <v>12.3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18737-2026</t>
        </is>
      </c>
      <c r="B925" s="1" t="n">
        <v>46128</v>
      </c>
      <c r="C925" s="1" t="n">
        <v>46198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24497-2026</t>
        </is>
      </c>
      <c r="B926" s="1" t="n">
        <v>46170</v>
      </c>
      <c r="C926" s="1" t="n">
        <v>46198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70195-2021</t>
        </is>
      </c>
      <c r="B927" s="1" t="n">
        <v>44534</v>
      </c>
      <c r="C927" s="1" t="n">
        <v>46198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40527-2024</t>
        </is>
      </c>
      <c r="B928" s="1" t="n">
        <v>45555</v>
      </c>
      <c r="C928" s="1" t="n">
        <v>46198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24552-2026</t>
        </is>
      </c>
      <c r="B929" s="1" t="n">
        <v>46170</v>
      </c>
      <c r="C929" s="1" t="n">
        <v>46198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18651-2026</t>
        </is>
      </c>
      <c r="B930" s="1" t="n">
        <v>46128</v>
      </c>
      <c r="C930" s="1" t="n">
        <v>46198</v>
      </c>
      <c r="D930" t="inlineStr">
        <is>
          <t>VÄSTERBOTTENS LÄN</t>
        </is>
      </c>
      <c r="E930" t="inlineStr">
        <is>
          <t>LYCKSELE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18789-2026</t>
        </is>
      </c>
      <c r="B931" s="1" t="n">
        <v>46128</v>
      </c>
      <c r="C931" s="1" t="n">
        <v>46198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24289-2023</t>
        </is>
      </c>
      <c r="B932" s="1" t="n">
        <v>45079</v>
      </c>
      <c r="C932" s="1" t="n">
        <v>46198</v>
      </c>
      <c r="D932" t="inlineStr">
        <is>
          <t>VÄSTERBOTTENS LÄN</t>
        </is>
      </c>
      <c r="E932" t="inlineStr">
        <is>
          <t>LYCKSELE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24574-2026</t>
        </is>
      </c>
      <c r="B933" s="1" t="n">
        <v>46170</v>
      </c>
      <c r="C933" s="1" t="n">
        <v>46198</v>
      </c>
      <c r="D933" t="inlineStr">
        <is>
          <t>VÄSTERBOTTENS LÄN</t>
        </is>
      </c>
      <c r="E933" t="inlineStr">
        <is>
          <t>LYCKSELE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28893-2024</t>
        </is>
      </c>
      <c r="B934" s="1" t="n">
        <v>45479</v>
      </c>
      <c r="C934" s="1" t="n">
        <v>46198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18581-2026</t>
        </is>
      </c>
      <c r="B935" s="1" t="n">
        <v>46127</v>
      </c>
      <c r="C935" s="1" t="n">
        <v>46198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18908-2026</t>
        </is>
      </c>
      <c r="B936" s="1" t="n">
        <v>46129</v>
      </c>
      <c r="C936" s="1" t="n">
        <v>46198</v>
      </c>
      <c r="D936" t="inlineStr">
        <is>
          <t>VÄSTERBOTTENS LÄN</t>
        </is>
      </c>
      <c r="E936" t="inlineStr">
        <is>
          <t>LYCKSELE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20161-2025</t>
        </is>
      </c>
      <c r="B937" s="1" t="n">
        <v>45772</v>
      </c>
      <c r="C937" s="1" t="n">
        <v>46198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60482-2024</t>
        </is>
      </c>
      <c r="B938" s="1" t="n">
        <v>45643</v>
      </c>
      <c r="C938" s="1" t="n">
        <v>46198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25039-2026</t>
        </is>
      </c>
      <c r="B939" s="1" t="n">
        <v>46174</v>
      </c>
      <c r="C939" s="1" t="n">
        <v>46198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25080-2026</t>
        </is>
      </c>
      <c r="B940" s="1" t="n">
        <v>46174</v>
      </c>
      <c r="C940" s="1" t="n">
        <v>46198</v>
      </c>
      <c r="D940" t="inlineStr">
        <is>
          <t>VÄSTERBOTTENS LÄN</t>
        </is>
      </c>
      <c r="E940" t="inlineStr">
        <is>
          <t>LYCKSELE</t>
        </is>
      </c>
      <c r="G940" t="n">
        <v>13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53096-2024</t>
        </is>
      </c>
      <c r="B941" s="1" t="n">
        <v>45611</v>
      </c>
      <c r="C941" s="1" t="n">
        <v>46198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55203-2024</t>
        </is>
      </c>
      <c r="B942" s="1" t="n">
        <v>45621</v>
      </c>
      <c r="C942" s="1" t="n">
        <v>46198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19215-2026</t>
        </is>
      </c>
      <c r="B943" s="1" t="n">
        <v>46132</v>
      </c>
      <c r="C943" s="1" t="n">
        <v>46198</v>
      </c>
      <c r="D943" t="inlineStr">
        <is>
          <t>VÄSTERBOTTENS LÄN</t>
        </is>
      </c>
      <c r="E943" t="inlineStr">
        <is>
          <t>LYCKSELE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24954-2026</t>
        </is>
      </c>
      <c r="B944" s="1" t="n">
        <v>46174</v>
      </c>
      <c r="C944" s="1" t="n">
        <v>46198</v>
      </c>
      <c r="D944" t="inlineStr">
        <is>
          <t>VÄSTERBOTTENS LÄN</t>
        </is>
      </c>
      <c r="E944" t="inlineStr">
        <is>
          <t>LYCKSELE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19062-2026</t>
        </is>
      </c>
      <c r="B945" s="1" t="n">
        <v>46132</v>
      </c>
      <c r="C945" s="1" t="n">
        <v>46198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19058-2026</t>
        </is>
      </c>
      <c r="B946" s="1" t="n">
        <v>46132</v>
      </c>
      <c r="C946" s="1" t="n">
        <v>46198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60061-2023</t>
        </is>
      </c>
      <c r="B947" s="1" t="n">
        <v>45258</v>
      </c>
      <c r="C947" s="1" t="n">
        <v>46198</v>
      </c>
      <c r="D947" t="inlineStr">
        <is>
          <t>VÄSTERBOTTENS LÄN</t>
        </is>
      </c>
      <c r="E947" t="inlineStr">
        <is>
          <t>LYCKSELE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19325-2026</t>
        </is>
      </c>
      <c r="B948" s="1" t="n">
        <v>46133</v>
      </c>
      <c r="C948" s="1" t="n">
        <v>46198</v>
      </c>
      <c r="D948" t="inlineStr">
        <is>
          <t>VÄSTERBOTTENS LÄN</t>
        </is>
      </c>
      <c r="E948" t="inlineStr">
        <is>
          <t>LYCKSELE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37491-2023</t>
        </is>
      </c>
      <c r="B949" s="1" t="n">
        <v>45156</v>
      </c>
      <c r="C949" s="1" t="n">
        <v>46198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19701-2026</t>
        </is>
      </c>
      <c r="B950" s="1" t="n">
        <v>46134</v>
      </c>
      <c r="C950" s="1" t="n">
        <v>46198</v>
      </c>
      <c r="D950" t="inlineStr">
        <is>
          <t>VÄSTERBOTTENS LÄN</t>
        </is>
      </c>
      <c r="E950" t="inlineStr">
        <is>
          <t>LYCKSELE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11640-2024</t>
        </is>
      </c>
      <c r="B951" s="1" t="n">
        <v>45373</v>
      </c>
      <c r="C951" s="1" t="n">
        <v>46198</v>
      </c>
      <c r="D951" t="inlineStr">
        <is>
          <t>VÄSTERBOTTENS LÄN</t>
        </is>
      </c>
      <c r="E951" t="inlineStr">
        <is>
          <t>LYCKSELE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33693-2024</t>
        </is>
      </c>
      <c r="B952" s="1" t="n">
        <v>45520</v>
      </c>
      <c r="C952" s="1" t="n">
        <v>46198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25490-2026</t>
        </is>
      </c>
      <c r="B953" s="1" t="n">
        <v>46177</v>
      </c>
      <c r="C953" s="1" t="n">
        <v>46198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25492-2026</t>
        </is>
      </c>
      <c r="B954" s="1" t="n">
        <v>46177</v>
      </c>
      <c r="C954" s="1" t="n">
        <v>46198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25328-2026</t>
        </is>
      </c>
      <c r="B955" s="1" t="n">
        <v>46176</v>
      </c>
      <c r="C955" s="1" t="n">
        <v>46198</v>
      </c>
      <c r="D955" t="inlineStr">
        <is>
          <t>VÄSTERBOTTENS LÄN</t>
        </is>
      </c>
      <c r="E955" t="inlineStr">
        <is>
          <t>LYCKSELE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957-2023</t>
        </is>
      </c>
      <c r="B956" s="1" t="n">
        <v>44934</v>
      </c>
      <c r="C956" s="1" t="n">
        <v>46198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43770-2025</t>
        </is>
      </c>
      <c r="B957" s="1" t="n">
        <v>45912</v>
      </c>
      <c r="C957" s="1" t="n">
        <v>46198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16289-2025</t>
        </is>
      </c>
      <c r="B958" s="1" t="n">
        <v>45751</v>
      </c>
      <c r="C958" s="1" t="n">
        <v>46198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5856-2025</t>
        </is>
      </c>
      <c r="B959" s="1" t="n">
        <v>45695</v>
      </c>
      <c r="C959" s="1" t="n">
        <v>46198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19702-2026</t>
        </is>
      </c>
      <c r="B960" s="1" t="n">
        <v>46134</v>
      </c>
      <c r="C960" s="1" t="n">
        <v>46198</v>
      </c>
      <c r="D960" t="inlineStr">
        <is>
          <t>VÄSTERBOTTENS LÄN</t>
        </is>
      </c>
      <c r="E960" t="inlineStr">
        <is>
          <t>LYCKSELE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8915-2025</t>
        </is>
      </c>
      <c r="B961" s="1" t="n">
        <v>45713</v>
      </c>
      <c r="C961" s="1" t="n">
        <v>46198</v>
      </c>
      <c r="D961" t="inlineStr">
        <is>
          <t>VÄSTERBOTTENS LÄN</t>
        </is>
      </c>
      <c r="E961" t="inlineStr">
        <is>
          <t>LYCKSELE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33708-2024</t>
        </is>
      </c>
      <c r="B962" s="1" t="n">
        <v>45520</v>
      </c>
      <c r="C962" s="1" t="n">
        <v>46198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33714-2024</t>
        </is>
      </c>
      <c r="B963" s="1" t="n">
        <v>45520</v>
      </c>
      <c r="C963" s="1" t="n">
        <v>46198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34273-2024</t>
        </is>
      </c>
      <c r="B964" s="1" t="n">
        <v>45524</v>
      </c>
      <c r="C964" s="1" t="n">
        <v>46198</v>
      </c>
      <c r="D964" t="inlineStr">
        <is>
          <t>VÄSTERBOTTENS LÄN</t>
        </is>
      </c>
      <c r="E964" t="inlineStr">
        <is>
          <t>LYCKSELE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14249-2025</t>
        </is>
      </c>
      <c r="B965" s="1" t="n">
        <v>45740</v>
      </c>
      <c r="C965" s="1" t="n">
        <v>46198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9976-2024</t>
        </is>
      </c>
      <c r="B966" s="1" t="n">
        <v>45363</v>
      </c>
      <c r="C966" s="1" t="n">
        <v>46198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11604-2023</t>
        </is>
      </c>
      <c r="B967" s="1" t="n">
        <v>44994</v>
      </c>
      <c r="C967" s="1" t="n">
        <v>46198</v>
      </c>
      <c r="D967" t="inlineStr">
        <is>
          <t>VÄSTERBOTTENS LÄN</t>
        </is>
      </c>
      <c r="E967" t="inlineStr">
        <is>
          <t>LYCKSELE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12585-2025</t>
        </is>
      </c>
      <c r="B968" s="1" t="n">
        <v>45732</v>
      </c>
      <c r="C968" s="1" t="n">
        <v>46198</v>
      </c>
      <c r="D968" t="inlineStr">
        <is>
          <t>VÄSTERBOTTENS LÄN</t>
        </is>
      </c>
      <c r="E968" t="inlineStr">
        <is>
          <t>LYCKSELE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28409-2023</t>
        </is>
      </c>
      <c r="B969" s="1" t="n">
        <v>45101</v>
      </c>
      <c r="C969" s="1" t="n">
        <v>46198</v>
      </c>
      <c r="D969" t="inlineStr">
        <is>
          <t>VÄSTERBOTTENS LÄN</t>
        </is>
      </c>
      <c r="E969" t="inlineStr">
        <is>
          <t>LYCKSELE</t>
        </is>
      </c>
      <c r="G969" t="n">
        <v>12.9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20034-2025</t>
        </is>
      </c>
      <c r="B970" s="1" t="n">
        <v>45772</v>
      </c>
      <c r="C970" s="1" t="n">
        <v>46198</v>
      </c>
      <c r="D970" t="inlineStr">
        <is>
          <t>VÄSTERBOTTENS LÄN</t>
        </is>
      </c>
      <c r="E970" t="inlineStr">
        <is>
          <t>LYCKSELE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4858-2025</t>
        </is>
      </c>
      <c r="B971" s="1" t="n">
        <v>45688</v>
      </c>
      <c r="C971" s="1" t="n">
        <v>46198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9892-2022</t>
        </is>
      </c>
      <c r="B972" s="1" t="n">
        <v>44620</v>
      </c>
      <c r="C972" s="1" t="n">
        <v>46198</v>
      </c>
      <c r="D972" t="inlineStr">
        <is>
          <t>VÄSTERBOTTENS LÄN</t>
        </is>
      </c>
      <c r="E972" t="inlineStr">
        <is>
          <t>LYCKSELE</t>
        </is>
      </c>
      <c r="G972" t="n">
        <v>14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24234-2023</t>
        </is>
      </c>
      <c r="B973" s="1" t="n">
        <v>45079</v>
      </c>
      <c r="C973" s="1" t="n">
        <v>46198</v>
      </c>
      <c r="D973" t="inlineStr">
        <is>
          <t>VÄSTERBOTTENS LÄN</t>
        </is>
      </c>
      <c r="E973" t="inlineStr">
        <is>
          <t>LYCKSELE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58975-2022</t>
        </is>
      </c>
      <c r="B974" s="1" t="n">
        <v>44903</v>
      </c>
      <c r="C974" s="1" t="n">
        <v>46198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2576-2022</t>
        </is>
      </c>
      <c r="B975" s="1" t="n">
        <v>44580</v>
      </c>
      <c r="C975" s="1" t="n">
        <v>46198</v>
      </c>
      <c r="D975" t="inlineStr">
        <is>
          <t>VÄSTERBOTTENS LÄN</t>
        </is>
      </c>
      <c r="E975" t="inlineStr">
        <is>
          <t>LYCKSELE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48543-2024</t>
        </is>
      </c>
      <c r="B976" s="1" t="n">
        <v>45593</v>
      </c>
      <c r="C976" s="1" t="n">
        <v>46198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60272-2022</t>
        </is>
      </c>
      <c r="B977" s="1" t="n">
        <v>44910</v>
      </c>
      <c r="C977" s="1" t="n">
        <v>46198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15221-2025</t>
        </is>
      </c>
      <c r="B978" s="1" t="n">
        <v>45744</v>
      </c>
      <c r="C978" s="1" t="n">
        <v>46198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39321-2024</t>
        </is>
      </c>
      <c r="B979" s="1" t="n">
        <v>45551</v>
      </c>
      <c r="C979" s="1" t="n">
        <v>46198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59569-2024</t>
        </is>
      </c>
      <c r="B980" s="1" t="n">
        <v>45638</v>
      </c>
      <c r="C980" s="1" t="n">
        <v>46198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48330-2024</t>
        </is>
      </c>
      <c r="B981" s="1" t="n">
        <v>45590</v>
      </c>
      <c r="C981" s="1" t="n">
        <v>46198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46541-2022</t>
        </is>
      </c>
      <c r="B982" s="1" t="n">
        <v>44847</v>
      </c>
      <c r="C982" s="1" t="n">
        <v>46198</v>
      </c>
      <c r="D982" t="inlineStr">
        <is>
          <t>VÄSTERBOTTENS LÄN</t>
        </is>
      </c>
      <c r="E982" t="inlineStr">
        <is>
          <t>LYCKSELE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52124-2024</t>
        </is>
      </c>
      <c r="B983" s="1" t="n">
        <v>45608</v>
      </c>
      <c r="C983" s="1" t="n">
        <v>46198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36357-2024</t>
        </is>
      </c>
      <c r="B984" s="1" t="n">
        <v>45534</v>
      </c>
      <c r="C984" s="1" t="n">
        <v>46198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6800-2025</t>
        </is>
      </c>
      <c r="B985" s="1" t="n">
        <v>45700</v>
      </c>
      <c r="C985" s="1" t="n">
        <v>46198</v>
      </c>
      <c r="D985" t="inlineStr">
        <is>
          <t>VÄSTERBOTTENS LÄN</t>
        </is>
      </c>
      <c r="E985" t="inlineStr">
        <is>
          <t>LYCKSELE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60143-2022</t>
        </is>
      </c>
      <c r="B986" s="1" t="n">
        <v>44909</v>
      </c>
      <c r="C986" s="1" t="n">
        <v>46198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7063-2022</t>
        </is>
      </c>
      <c r="B987" s="1" t="n">
        <v>44603</v>
      </c>
      <c r="C987" s="1" t="n">
        <v>46198</v>
      </c>
      <c r="D987" t="inlineStr">
        <is>
          <t>VÄSTERBOTTENS LÄN</t>
        </is>
      </c>
      <c r="E987" t="inlineStr">
        <is>
          <t>LYCKSELE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41703-2023</t>
        </is>
      </c>
      <c r="B988" s="1" t="n">
        <v>45176</v>
      </c>
      <c r="C988" s="1" t="n">
        <v>46198</v>
      </c>
      <c r="D988" t="inlineStr">
        <is>
          <t>VÄSTERBOTTENS LÄN</t>
        </is>
      </c>
      <c r="E988" t="inlineStr">
        <is>
          <t>LYCKSELE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47697-2021</t>
        </is>
      </c>
      <c r="B989" s="1" t="n">
        <v>44448</v>
      </c>
      <c r="C989" s="1" t="n">
        <v>46198</v>
      </c>
      <c r="D989" t="inlineStr">
        <is>
          <t>VÄSTERBOTTENS LÄN</t>
        </is>
      </c>
      <c r="E989" t="inlineStr">
        <is>
          <t>LYCKSELE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34635-2024</t>
        </is>
      </c>
      <c r="B990" s="1" t="n">
        <v>45526</v>
      </c>
      <c r="C990" s="1" t="n">
        <v>46198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54680-2024</t>
        </is>
      </c>
      <c r="B991" s="1" t="n">
        <v>45618</v>
      </c>
      <c r="C991" s="1" t="n">
        <v>46198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8917-2023</t>
        </is>
      </c>
      <c r="B992" s="1" t="n">
        <v>44979</v>
      </c>
      <c r="C992" s="1" t="n">
        <v>46198</v>
      </c>
      <c r="D992" t="inlineStr">
        <is>
          <t>VÄSTERBOTTENS LÄN</t>
        </is>
      </c>
      <c r="E992" t="inlineStr">
        <is>
          <t>LYCKSELE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27595-2023</t>
        </is>
      </c>
      <c r="B993" s="1" t="n">
        <v>45097</v>
      </c>
      <c r="C993" s="1" t="n">
        <v>46198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37658-2024</t>
        </is>
      </c>
      <c r="B994" s="1" t="n">
        <v>45541</v>
      </c>
      <c r="C994" s="1" t="n">
        <v>46198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23295-2023</t>
        </is>
      </c>
      <c r="B995" s="1" t="n">
        <v>45075</v>
      </c>
      <c r="C995" s="1" t="n">
        <v>46198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52370-2022</t>
        </is>
      </c>
      <c r="B996" s="1" t="n">
        <v>44874</v>
      </c>
      <c r="C996" s="1" t="n">
        <v>46198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53788-2024</t>
        </is>
      </c>
      <c r="B997" s="1" t="n">
        <v>45615</v>
      </c>
      <c r="C997" s="1" t="n">
        <v>46198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48992-2023</t>
        </is>
      </c>
      <c r="B998" s="1" t="n">
        <v>45209</v>
      </c>
      <c r="C998" s="1" t="n">
        <v>46198</v>
      </c>
      <c r="D998" t="inlineStr">
        <is>
          <t>VÄSTERBOTTENS LÄN</t>
        </is>
      </c>
      <c r="E998" t="inlineStr">
        <is>
          <t>LYCKSELE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46198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23164-2022</t>
        </is>
      </c>
      <c r="B1000" s="1" t="n">
        <v>44719</v>
      </c>
      <c r="C1000" s="1" t="n">
        <v>46198</v>
      </c>
      <c r="D1000" t="inlineStr">
        <is>
          <t>VÄSTERBOTTENS LÄN</t>
        </is>
      </c>
      <c r="E1000" t="inlineStr">
        <is>
          <t>LYCKSELE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41728-2023</t>
        </is>
      </c>
      <c r="B1001" s="1" t="n">
        <v>45176</v>
      </c>
      <c r="C1001" s="1" t="n">
        <v>46198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7001-2022</t>
        </is>
      </c>
      <c r="B1002" s="1" t="n">
        <v>44603</v>
      </c>
      <c r="C1002" s="1" t="n">
        <v>46198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20287-2022</t>
        </is>
      </c>
      <c r="B1003" s="1" t="n">
        <v>44698</v>
      </c>
      <c r="C1003" s="1" t="n">
        <v>46198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43566-2024</t>
        </is>
      </c>
      <c r="B1004" s="1" t="n">
        <v>45569</v>
      </c>
      <c r="C1004" s="1" t="n">
        <v>46198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26358-2023</t>
        </is>
      </c>
      <c r="B1005" s="1" t="n">
        <v>45091</v>
      </c>
      <c r="C1005" s="1" t="n">
        <v>46198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26071-2024</t>
        </is>
      </c>
      <c r="B1006" s="1" t="n">
        <v>45468</v>
      </c>
      <c r="C1006" s="1" t="n">
        <v>46198</v>
      </c>
      <c r="D1006" t="inlineStr">
        <is>
          <t>VÄSTERBOTTENS LÄN</t>
        </is>
      </c>
      <c r="E1006" t="inlineStr">
        <is>
          <t>LYCKSELE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61799-2023</t>
        </is>
      </c>
      <c r="B1007" s="1" t="n">
        <v>45265</v>
      </c>
      <c r="C1007" s="1" t="n">
        <v>46198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28833-2024</t>
        </is>
      </c>
      <c r="B1008" s="1" t="n">
        <v>45478</v>
      </c>
      <c r="C1008" s="1" t="n">
        <v>46198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2109-2025</t>
        </is>
      </c>
      <c r="B1009" s="1" t="n">
        <v>45672</v>
      </c>
      <c r="C1009" s="1" t="n">
        <v>46198</v>
      </c>
      <c r="D1009" t="inlineStr">
        <is>
          <t>VÄSTERBOTTENS LÄN</t>
        </is>
      </c>
      <c r="E1009" t="inlineStr">
        <is>
          <t>LYCKSELE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36274-2024</t>
        </is>
      </c>
      <c r="B1010" s="1" t="n">
        <v>45534</v>
      </c>
      <c r="C1010" s="1" t="n">
        <v>46198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57108-2024</t>
        </is>
      </c>
      <c r="B1011" s="1" t="n">
        <v>45629</v>
      </c>
      <c r="C1011" s="1" t="n">
        <v>46198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57109-2024</t>
        </is>
      </c>
      <c r="B1012" s="1" t="n">
        <v>45629</v>
      </c>
      <c r="C1012" s="1" t="n">
        <v>46198</v>
      </c>
      <c r="D1012" t="inlineStr">
        <is>
          <t>VÄSTERBOTTENS LÄN</t>
        </is>
      </c>
      <c r="E1012" t="inlineStr">
        <is>
          <t>LYCKSELE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17393-2023</t>
        </is>
      </c>
      <c r="B1013" s="1" t="n">
        <v>45035</v>
      </c>
      <c r="C1013" s="1" t="n">
        <v>46198</v>
      </c>
      <c r="D1013" t="inlineStr">
        <is>
          <t>VÄSTERBOTTENS LÄN</t>
        </is>
      </c>
      <c r="E1013" t="inlineStr">
        <is>
          <t>LYCKSELE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16563-2024</t>
        </is>
      </c>
      <c r="B1014" s="1" t="n">
        <v>45408</v>
      </c>
      <c r="C1014" s="1" t="n">
        <v>46198</v>
      </c>
      <c r="D1014" t="inlineStr">
        <is>
          <t>VÄSTERBOTTENS LÄN</t>
        </is>
      </c>
      <c r="E1014" t="inlineStr">
        <is>
          <t>LYCKSELE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20685-2025</t>
        </is>
      </c>
      <c r="B1015" s="1" t="n">
        <v>45776</v>
      </c>
      <c r="C1015" s="1" t="n">
        <v>46198</v>
      </c>
      <c r="D1015" t="inlineStr">
        <is>
          <t>VÄSTERBOTTENS LÄN</t>
        </is>
      </c>
      <c r="E1015" t="inlineStr">
        <is>
          <t>LYCKSELE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21046-2025</t>
        </is>
      </c>
      <c r="B1016" s="1" t="n">
        <v>45777</v>
      </c>
      <c r="C1016" s="1" t="n">
        <v>46198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20979-2025</t>
        </is>
      </c>
      <c r="B1017" s="1" t="n">
        <v>45777</v>
      </c>
      <c r="C1017" s="1" t="n">
        <v>46198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21266-2025</t>
        </is>
      </c>
      <c r="B1018" s="1" t="n">
        <v>45779</v>
      </c>
      <c r="C1018" s="1" t="n">
        <v>46198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21888-2025</t>
        </is>
      </c>
      <c r="B1019" s="1" t="n">
        <v>45784</v>
      </c>
      <c r="C1019" s="1" t="n">
        <v>46198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22127-2025</t>
        </is>
      </c>
      <c r="B1020" s="1" t="n">
        <v>45785</v>
      </c>
      <c r="C1020" s="1" t="n">
        <v>46198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21861-2025</t>
        </is>
      </c>
      <c r="B1021" s="1" t="n">
        <v>45784</v>
      </c>
      <c r="C1021" s="1" t="n">
        <v>46198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39165-2021</t>
        </is>
      </c>
      <c r="B1022" s="1" t="n">
        <v>44412</v>
      </c>
      <c r="C1022" s="1" t="n">
        <v>46198</v>
      </c>
      <c r="D1022" t="inlineStr">
        <is>
          <t>VÄSTERBOTTENS LÄN</t>
        </is>
      </c>
      <c r="E1022" t="inlineStr">
        <is>
          <t>LYCKSELE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22759-2025</t>
        </is>
      </c>
      <c r="B1023" s="1" t="n">
        <v>45789</v>
      </c>
      <c r="C1023" s="1" t="n">
        <v>46198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22408-2025</t>
        </is>
      </c>
      <c r="B1024" s="1" t="n">
        <v>45786</v>
      </c>
      <c r="C1024" s="1" t="n">
        <v>46198</v>
      </c>
      <c r="D1024" t="inlineStr">
        <is>
          <t>VÄSTERBOTTENS LÄN</t>
        </is>
      </c>
      <c r="E1024" t="inlineStr">
        <is>
          <t>LYCKSELE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22452-2025</t>
        </is>
      </c>
      <c r="B1025" s="1" t="n">
        <v>45786</v>
      </c>
      <c r="C1025" s="1" t="n">
        <v>46198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32474-2024</t>
        </is>
      </c>
      <c r="B1026" s="1" t="n">
        <v>45513</v>
      </c>
      <c r="C1026" s="1" t="n">
        <v>46198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22309-2025</t>
        </is>
      </c>
      <c r="B1027" s="1" t="n">
        <v>45786</v>
      </c>
      <c r="C1027" s="1" t="n">
        <v>46198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22344-2025</t>
        </is>
      </c>
      <c r="B1028" s="1" t="n">
        <v>45786</v>
      </c>
      <c r="C1028" s="1" t="n">
        <v>46198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64391-2023</t>
        </is>
      </c>
      <c r="B1029" s="1" t="n">
        <v>45280</v>
      </c>
      <c r="C1029" s="1" t="n">
        <v>46198</v>
      </c>
      <c r="D1029" t="inlineStr">
        <is>
          <t>VÄSTERBOTTENS LÄN</t>
        </is>
      </c>
      <c r="E1029" t="inlineStr">
        <is>
          <t>LYCKSELE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22343-2025</t>
        </is>
      </c>
      <c r="B1030" s="1" t="n">
        <v>45786</v>
      </c>
      <c r="C1030" s="1" t="n">
        <v>46198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22453-2025</t>
        </is>
      </c>
      <c r="B1031" s="1" t="n">
        <v>45786</v>
      </c>
      <c r="C1031" s="1" t="n">
        <v>46198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22456-2025</t>
        </is>
      </c>
      <c r="B1032" s="1" t="n">
        <v>45786</v>
      </c>
      <c r="C1032" s="1" t="n">
        <v>46198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23801-2025</t>
        </is>
      </c>
      <c r="B1033" s="1" t="n">
        <v>45793</v>
      </c>
      <c r="C1033" s="1" t="n">
        <v>46198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24129-2025</t>
        </is>
      </c>
      <c r="B1034" s="1" t="n">
        <v>45796</v>
      </c>
      <c r="C1034" s="1" t="n">
        <v>46198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48997-2021</t>
        </is>
      </c>
      <c r="B1035" s="1" t="n">
        <v>44453</v>
      </c>
      <c r="C1035" s="1" t="n">
        <v>46198</v>
      </c>
      <c r="D1035" t="inlineStr">
        <is>
          <t>VÄSTERBOTTENS LÄN</t>
        </is>
      </c>
      <c r="E1035" t="inlineStr">
        <is>
          <t>LYCKSELE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45503-2021</t>
        </is>
      </c>
      <c r="B1036" s="1" t="n">
        <v>44440</v>
      </c>
      <c r="C1036" s="1" t="n">
        <v>46198</v>
      </c>
      <c r="D1036" t="inlineStr">
        <is>
          <t>VÄSTERBOTTENS LÄN</t>
        </is>
      </c>
      <c r="E1036" t="inlineStr">
        <is>
          <t>LYCKSELE</t>
        </is>
      </c>
      <c r="G1036" t="n">
        <v>29.1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60226-2022</t>
        </is>
      </c>
      <c r="B1037" s="1" t="n">
        <v>44910</v>
      </c>
      <c r="C1037" s="1" t="n">
        <v>46198</v>
      </c>
      <c r="D1037" t="inlineStr">
        <is>
          <t>VÄSTERBOTTENS LÄN</t>
        </is>
      </c>
      <c r="E1037" t="inlineStr">
        <is>
          <t>LYCKSELE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23315-2024</t>
        </is>
      </c>
      <c r="B1038" s="1" t="n">
        <v>45453</v>
      </c>
      <c r="C1038" s="1" t="n">
        <v>46198</v>
      </c>
      <c r="D1038" t="inlineStr">
        <is>
          <t>VÄSTERBOTTENS LÄN</t>
        </is>
      </c>
      <c r="E1038" t="inlineStr">
        <is>
          <t>LYCKSELE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31848-2024</t>
        </is>
      </c>
      <c r="B1039" s="1" t="n">
        <v>45509</v>
      </c>
      <c r="C1039" s="1" t="n">
        <v>46198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24063-2025</t>
        </is>
      </c>
      <c r="B1040" s="1" t="n">
        <v>45796</v>
      </c>
      <c r="C1040" s="1" t="n">
        <v>46198</v>
      </c>
      <c r="D1040" t="inlineStr">
        <is>
          <t>VÄSTERBOTTENS LÄN</t>
        </is>
      </c>
      <c r="E1040" t="inlineStr">
        <is>
          <t>LYCKSELE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24514-2025</t>
        </is>
      </c>
      <c r="B1041" s="1" t="n">
        <v>45798</v>
      </c>
      <c r="C1041" s="1" t="n">
        <v>46198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24770-2025</t>
        </is>
      </c>
      <c r="B1042" s="1" t="n">
        <v>45799</v>
      </c>
      <c r="C1042" s="1" t="n">
        <v>46198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25061-2025</t>
        </is>
      </c>
      <c r="B1043" s="1" t="n">
        <v>45799</v>
      </c>
      <c r="C1043" s="1" t="n">
        <v>46198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24729-2025</t>
        </is>
      </c>
      <c r="B1044" s="1" t="n">
        <v>45799</v>
      </c>
      <c r="C1044" s="1" t="n">
        <v>46198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24603-2025</t>
        </is>
      </c>
      <c r="B1045" s="1" t="n">
        <v>45798</v>
      </c>
      <c r="C1045" s="1" t="n">
        <v>46198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54893-2023</t>
        </is>
      </c>
      <c r="B1046" s="1" t="n">
        <v>45236</v>
      </c>
      <c r="C1046" s="1" t="n">
        <v>46198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24906-2025</t>
        </is>
      </c>
      <c r="B1047" s="1" t="n">
        <v>45799</v>
      </c>
      <c r="C1047" s="1" t="n">
        <v>46198</v>
      </c>
      <c r="D1047" t="inlineStr">
        <is>
          <t>VÄSTERBOTTENS LÄN</t>
        </is>
      </c>
      <c r="E1047" t="inlineStr">
        <is>
          <t>LYCKSELE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24680-2025</t>
        </is>
      </c>
      <c r="B1048" s="1" t="n">
        <v>45798</v>
      </c>
      <c r="C1048" s="1" t="n">
        <v>46198</v>
      </c>
      <c r="D1048" t="inlineStr">
        <is>
          <t>VÄSTERBOTTENS LÄN</t>
        </is>
      </c>
      <c r="E1048" t="inlineStr">
        <is>
          <t>LYCKSELE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25590-2025</t>
        </is>
      </c>
      <c r="B1049" s="1" t="n">
        <v>45803</v>
      </c>
      <c r="C1049" s="1" t="n">
        <v>46198</v>
      </c>
      <c r="D1049" t="inlineStr">
        <is>
          <t>VÄSTERBOTTENS LÄN</t>
        </is>
      </c>
      <c r="E1049" t="inlineStr">
        <is>
          <t>LYCKSELE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25537-2025</t>
        </is>
      </c>
      <c r="B1050" s="1" t="n">
        <v>45803</v>
      </c>
      <c r="C1050" s="1" t="n">
        <v>46198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25581-2025</t>
        </is>
      </c>
      <c r="B1051" s="1" t="n">
        <v>45803</v>
      </c>
      <c r="C1051" s="1" t="n">
        <v>46198</v>
      </c>
      <c r="D1051" t="inlineStr">
        <is>
          <t>VÄSTERBOTTENS LÄN</t>
        </is>
      </c>
      <c r="E1051" t="inlineStr">
        <is>
          <t>LYCKSELE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25655-2025</t>
        </is>
      </c>
      <c r="B1052" s="1" t="n">
        <v>45803</v>
      </c>
      <c r="C1052" s="1" t="n">
        <v>46198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60714-2022</t>
        </is>
      </c>
      <c r="B1053" s="1" t="n">
        <v>44912</v>
      </c>
      <c r="C1053" s="1" t="n">
        <v>46198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26318-2024</t>
        </is>
      </c>
      <c r="B1054" s="1" t="n">
        <v>45468</v>
      </c>
      <c r="C1054" s="1" t="n">
        <v>46198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26228-2025</t>
        </is>
      </c>
      <c r="B1055" s="1" t="n">
        <v>45805</v>
      </c>
      <c r="C1055" s="1" t="n">
        <v>46198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26410-2025</t>
        </is>
      </c>
      <c r="B1056" s="1" t="n">
        <v>45807</v>
      </c>
      <c r="C1056" s="1" t="n">
        <v>46198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26398-2025</t>
        </is>
      </c>
      <c r="B1057" s="1" t="n">
        <v>45807</v>
      </c>
      <c r="C1057" s="1" t="n">
        <v>46198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27072-2025</t>
        </is>
      </c>
      <c r="B1058" s="1" t="n">
        <v>45811</v>
      </c>
      <c r="C1058" s="1" t="n">
        <v>46198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55250-2024</t>
        </is>
      </c>
      <c r="B1059" s="1" t="n">
        <v>45621</v>
      </c>
      <c r="C1059" s="1" t="n">
        <v>46198</v>
      </c>
      <c r="D1059" t="inlineStr">
        <is>
          <t>VÄSTERBOTTENS LÄN</t>
        </is>
      </c>
      <c r="E1059" t="inlineStr">
        <is>
          <t>LYCKSELE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26622-2025</t>
        </is>
      </c>
      <c r="B1060" s="1" t="n">
        <v>45810</v>
      </c>
      <c r="C1060" s="1" t="n">
        <v>46198</v>
      </c>
      <c r="D1060" t="inlineStr">
        <is>
          <t>VÄSTERBOTTENS LÄN</t>
        </is>
      </c>
      <c r="E1060" t="inlineStr">
        <is>
          <t>LYCKSELE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26951-2025</t>
        </is>
      </c>
      <c r="B1061" s="1" t="n">
        <v>45811</v>
      </c>
      <c r="C1061" s="1" t="n">
        <v>46198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52039-2023</t>
        </is>
      </c>
      <c r="B1062" s="1" t="n">
        <v>45223</v>
      </c>
      <c r="C1062" s="1" t="n">
        <v>46198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3303-2024</t>
        </is>
      </c>
      <c r="B1063" s="1" t="n">
        <v>45316</v>
      </c>
      <c r="C1063" s="1" t="n">
        <v>46198</v>
      </c>
      <c r="D1063" t="inlineStr">
        <is>
          <t>VÄSTERBOTTENS LÄN</t>
        </is>
      </c>
      <c r="E1063" t="inlineStr">
        <is>
          <t>LYCKSELE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64334-2023</t>
        </is>
      </c>
      <c r="B1064" s="1" t="n">
        <v>45279</v>
      </c>
      <c r="C1064" s="1" t="n">
        <v>46198</v>
      </c>
      <c r="D1064" t="inlineStr">
        <is>
          <t>VÄSTERBOTTENS LÄN</t>
        </is>
      </c>
      <c r="E1064" t="inlineStr">
        <is>
          <t>LYCKSELE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27588-2025</t>
        </is>
      </c>
      <c r="B1065" s="1" t="n">
        <v>45813</v>
      </c>
      <c r="C1065" s="1" t="n">
        <v>46198</v>
      </c>
      <c r="D1065" t="inlineStr">
        <is>
          <t>VÄSTERBOTTENS LÄN</t>
        </is>
      </c>
      <c r="E1065" t="inlineStr">
        <is>
          <t>LYCKSELE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27471-2025</t>
        </is>
      </c>
      <c r="B1066" s="1" t="n">
        <v>45813</v>
      </c>
      <c r="C1066" s="1" t="n">
        <v>46198</v>
      </c>
      <c r="D1066" t="inlineStr">
        <is>
          <t>VÄSTERBOTTENS LÄN</t>
        </is>
      </c>
      <c r="E1066" t="inlineStr">
        <is>
          <t>LYCKSELE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27595-2025</t>
        </is>
      </c>
      <c r="B1067" s="1" t="n">
        <v>45813</v>
      </c>
      <c r="C1067" s="1" t="n">
        <v>46198</v>
      </c>
      <c r="D1067" t="inlineStr">
        <is>
          <t>VÄSTERBOTTENS LÄN</t>
        </is>
      </c>
      <c r="E1067" t="inlineStr">
        <is>
          <t>LYCKSELE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27643-2025</t>
        </is>
      </c>
      <c r="B1068" s="1" t="n">
        <v>45813</v>
      </c>
      <c r="C1068" s="1" t="n">
        <v>46198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27610-2025</t>
        </is>
      </c>
      <c r="B1069" s="1" t="n">
        <v>45813</v>
      </c>
      <c r="C1069" s="1" t="n">
        <v>46198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13563-2023</t>
        </is>
      </c>
      <c r="B1070" s="1" t="n">
        <v>45006</v>
      </c>
      <c r="C1070" s="1" t="n">
        <v>46198</v>
      </c>
      <c r="D1070" t="inlineStr">
        <is>
          <t>VÄSTERBOTTENS LÄN</t>
        </is>
      </c>
      <c r="E1070" t="inlineStr">
        <is>
          <t>LYCKSELE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5039-2025</t>
        </is>
      </c>
      <c r="B1071" s="1" t="n">
        <v>45691</v>
      </c>
      <c r="C1071" s="1" t="n">
        <v>46198</v>
      </c>
      <c r="D1071" t="inlineStr">
        <is>
          <t>VÄSTERBOTTENS LÄN</t>
        </is>
      </c>
      <c r="E1071" t="inlineStr">
        <is>
          <t>LYCKSELE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8313-2025</t>
        </is>
      </c>
      <c r="B1072" s="1" t="n">
        <v>45708</v>
      </c>
      <c r="C1072" s="1" t="n">
        <v>46198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28306-2025</t>
        </is>
      </c>
      <c r="B1073" s="1" t="n">
        <v>45818</v>
      </c>
      <c r="C1073" s="1" t="n">
        <v>46198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29277-2023</t>
        </is>
      </c>
      <c r="B1074" s="1" t="n">
        <v>45105</v>
      </c>
      <c r="C1074" s="1" t="n">
        <v>46198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Naturvårdsverket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28486-2025</t>
        </is>
      </c>
      <c r="B1075" s="1" t="n">
        <v>45819</v>
      </c>
      <c r="C1075" s="1" t="n">
        <v>46198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30161-2024</t>
        </is>
      </c>
      <c r="B1076" s="1" t="n">
        <v>45488</v>
      </c>
      <c r="C1076" s="1" t="n">
        <v>46198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29088-2025</t>
        </is>
      </c>
      <c r="B1077" s="1" t="n">
        <v>45821</v>
      </c>
      <c r="C1077" s="1" t="n">
        <v>46198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28833-2025</t>
        </is>
      </c>
      <c r="B1078" s="1" t="n">
        <v>45820</v>
      </c>
      <c r="C1078" s="1" t="n">
        <v>46198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29123-2025</t>
        </is>
      </c>
      <c r="B1079" s="1" t="n">
        <v>45821</v>
      </c>
      <c r="C1079" s="1" t="n">
        <v>46198</v>
      </c>
      <c r="D1079" t="inlineStr">
        <is>
          <t>VÄSTERBOTTENS LÄN</t>
        </is>
      </c>
      <c r="E1079" t="inlineStr">
        <is>
          <t>LYCKSELE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29784-2025</t>
        </is>
      </c>
      <c r="B1080" s="1" t="n">
        <v>45825</v>
      </c>
      <c r="C1080" s="1" t="n">
        <v>46198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29236-2025</t>
        </is>
      </c>
      <c r="B1081" s="1" t="n">
        <v>45824</v>
      </c>
      <c r="C1081" s="1" t="n">
        <v>46198</v>
      </c>
      <c r="D1081" t="inlineStr">
        <is>
          <t>VÄSTERBOTTENS LÄN</t>
        </is>
      </c>
      <c r="E1081" t="inlineStr">
        <is>
          <t>LYCKSELE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29235-2025</t>
        </is>
      </c>
      <c r="B1082" s="1" t="n">
        <v>45824</v>
      </c>
      <c r="C1082" s="1" t="n">
        <v>46198</v>
      </c>
      <c r="D1082" t="inlineStr">
        <is>
          <t>VÄSTERBOTTENS LÄN</t>
        </is>
      </c>
      <c r="E1082" t="inlineStr">
        <is>
          <t>LYCKSELE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30258-2025</t>
        </is>
      </c>
      <c r="B1083" s="1" t="n">
        <v>45827</v>
      </c>
      <c r="C1083" s="1" t="n">
        <v>46198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30385-2025</t>
        </is>
      </c>
      <c r="B1084" s="1" t="n">
        <v>45827</v>
      </c>
      <c r="C1084" s="1" t="n">
        <v>46198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30154-2025</t>
        </is>
      </c>
      <c r="B1085" s="1" t="n">
        <v>45827</v>
      </c>
      <c r="C1085" s="1" t="n">
        <v>46198</v>
      </c>
      <c r="D1085" t="inlineStr">
        <is>
          <t>VÄSTERBOTTENS LÄN</t>
        </is>
      </c>
      <c r="E1085" t="inlineStr">
        <is>
          <t>LYCKSELE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29866-2025</t>
        </is>
      </c>
      <c r="B1086" s="1" t="n">
        <v>45826</v>
      </c>
      <c r="C1086" s="1" t="n">
        <v>46198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30624-2025</t>
        </is>
      </c>
      <c r="B1087" s="1" t="n">
        <v>45831</v>
      </c>
      <c r="C1087" s="1" t="n">
        <v>46198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9.5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30656-2025</t>
        </is>
      </c>
      <c r="B1088" s="1" t="n">
        <v>45831</v>
      </c>
      <c r="C1088" s="1" t="n">
        <v>46198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30623-2025</t>
        </is>
      </c>
      <c r="B1089" s="1" t="n">
        <v>45831</v>
      </c>
      <c r="C1089" s="1" t="n">
        <v>46198</v>
      </c>
      <c r="D1089" t="inlineStr">
        <is>
          <t>VÄSTERBOTTENS LÄN</t>
        </is>
      </c>
      <c r="E1089" t="inlineStr">
        <is>
          <t>LYCKSELE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30632-2025</t>
        </is>
      </c>
      <c r="B1090" s="1" t="n">
        <v>45831</v>
      </c>
      <c r="C1090" s="1" t="n">
        <v>46198</v>
      </c>
      <c r="D1090" t="inlineStr">
        <is>
          <t>VÄSTERBOTTENS LÄN</t>
        </is>
      </c>
      <c r="E1090" t="inlineStr">
        <is>
          <t>LYCKSELE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31022-2025</t>
        </is>
      </c>
      <c r="B1091" s="1" t="n">
        <v>45832</v>
      </c>
      <c r="C1091" s="1" t="n">
        <v>46198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31693-2025</t>
        </is>
      </c>
      <c r="B1092" s="1" t="n">
        <v>45834</v>
      </c>
      <c r="C1092" s="1" t="n">
        <v>46198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31897-2025</t>
        </is>
      </c>
      <c r="B1093" s="1" t="n">
        <v>45834</v>
      </c>
      <c r="C1093" s="1" t="n">
        <v>46198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32619-2025</t>
        </is>
      </c>
      <c r="B1094" s="1" t="n">
        <v>45838</v>
      </c>
      <c r="C1094" s="1" t="n">
        <v>46198</v>
      </c>
      <c r="D1094" t="inlineStr">
        <is>
          <t>VÄSTERBOTTENS LÄN</t>
        </is>
      </c>
      <c r="E1094" t="inlineStr">
        <is>
          <t>LYCKSELE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32722-2025</t>
        </is>
      </c>
      <c r="B1095" s="1" t="n">
        <v>45839</v>
      </c>
      <c r="C1095" s="1" t="n">
        <v>46198</v>
      </c>
      <c r="D1095" t="inlineStr">
        <is>
          <t>VÄSTERBOTTENS LÄN</t>
        </is>
      </c>
      <c r="E1095" t="inlineStr">
        <is>
          <t>LYCKSELE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32431-2025</t>
        </is>
      </c>
      <c r="B1096" s="1" t="n">
        <v>45838</v>
      </c>
      <c r="C1096" s="1" t="n">
        <v>46198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32783-2025</t>
        </is>
      </c>
      <c r="B1097" s="1" t="n">
        <v>45839</v>
      </c>
      <c r="C1097" s="1" t="n">
        <v>46198</v>
      </c>
      <c r="D1097" t="inlineStr">
        <is>
          <t>VÄSTERBOTTENS LÄN</t>
        </is>
      </c>
      <c r="E1097" t="inlineStr">
        <is>
          <t>LYCKSELE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33527-2025</t>
        </is>
      </c>
      <c r="B1098" s="1" t="n">
        <v>45841</v>
      </c>
      <c r="C1098" s="1" t="n">
        <v>46198</v>
      </c>
      <c r="D1098" t="inlineStr">
        <is>
          <t>VÄSTERBOTTENS LÄN</t>
        </is>
      </c>
      <c r="E1098" t="inlineStr">
        <is>
          <t>LYCKSELE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33415-2025</t>
        </is>
      </c>
      <c r="B1099" s="1" t="n">
        <v>45841</v>
      </c>
      <c r="C1099" s="1" t="n">
        <v>46198</v>
      </c>
      <c r="D1099" t="inlineStr">
        <is>
          <t>VÄSTERBOTTENS LÄN</t>
        </is>
      </c>
      <c r="E1099" t="inlineStr">
        <is>
          <t>LYCKSELE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33467-2025</t>
        </is>
      </c>
      <c r="B1100" s="1" t="n">
        <v>45841</v>
      </c>
      <c r="C1100" s="1" t="n">
        <v>46198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33067-2025</t>
        </is>
      </c>
      <c r="B1101" s="1" t="n">
        <v>45840</v>
      </c>
      <c r="C1101" s="1" t="n">
        <v>46198</v>
      </c>
      <c r="D1101" t="inlineStr">
        <is>
          <t>VÄSTERBOTTENS LÄN</t>
        </is>
      </c>
      <c r="E1101" t="inlineStr">
        <is>
          <t>LYCKSELE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33431-2025</t>
        </is>
      </c>
      <c r="B1102" s="1" t="n">
        <v>45841</v>
      </c>
      <c r="C1102" s="1" t="n">
        <v>46198</v>
      </c>
      <c r="D1102" t="inlineStr">
        <is>
          <t>VÄSTERBOTTENS LÄN</t>
        </is>
      </c>
      <c r="E1102" t="inlineStr">
        <is>
          <t>LYCKSELE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33423-2025</t>
        </is>
      </c>
      <c r="B1103" s="1" t="n">
        <v>45841</v>
      </c>
      <c r="C1103" s="1" t="n">
        <v>46198</v>
      </c>
      <c r="D1103" t="inlineStr">
        <is>
          <t>VÄSTERBOTTENS LÄN</t>
        </is>
      </c>
      <c r="E1103" t="inlineStr">
        <is>
          <t>LYCKSELE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33991-2025</t>
        </is>
      </c>
      <c r="B1104" s="1" t="n">
        <v>45843</v>
      </c>
      <c r="C1104" s="1" t="n">
        <v>46198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34017-2025</t>
        </is>
      </c>
      <c r="B1105" s="1" t="n">
        <v>45845</v>
      </c>
      <c r="C1105" s="1" t="n">
        <v>46198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33966-2025</t>
        </is>
      </c>
      <c r="B1106" s="1" t="n">
        <v>45842</v>
      </c>
      <c r="C1106" s="1" t="n">
        <v>46198</v>
      </c>
      <c r="D1106" t="inlineStr">
        <is>
          <t>VÄSTERBOTTENS LÄN</t>
        </is>
      </c>
      <c r="E1106" t="inlineStr">
        <is>
          <t>LYCKSELE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33992-2025</t>
        </is>
      </c>
      <c r="B1107" s="1" t="n">
        <v>45843</v>
      </c>
      <c r="C1107" s="1" t="n">
        <v>46198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34110-2025</t>
        </is>
      </c>
      <c r="B1108" s="1" t="n">
        <v>45845</v>
      </c>
      <c r="C1108" s="1" t="n">
        <v>46198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34465-2025</t>
        </is>
      </c>
      <c r="B1109" s="1" t="n">
        <v>45847</v>
      </c>
      <c r="C1109" s="1" t="n">
        <v>46198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34504-2025</t>
        </is>
      </c>
      <c r="B1110" s="1" t="n">
        <v>45847</v>
      </c>
      <c r="C1110" s="1" t="n">
        <v>46198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34918-2025</t>
        </is>
      </c>
      <c r="B1111" s="1" t="n">
        <v>45849</v>
      </c>
      <c r="C1111" s="1" t="n">
        <v>46198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34940-2025</t>
        </is>
      </c>
      <c r="B1112" s="1" t="n">
        <v>45849</v>
      </c>
      <c r="C1112" s="1" t="n">
        <v>46198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34954-2025</t>
        </is>
      </c>
      <c r="B1113" s="1" t="n">
        <v>45849</v>
      </c>
      <c r="C1113" s="1" t="n">
        <v>46198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34863-2025</t>
        </is>
      </c>
      <c r="B1114" s="1" t="n">
        <v>45849</v>
      </c>
      <c r="C1114" s="1" t="n">
        <v>46198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34915-2025</t>
        </is>
      </c>
      <c r="B1115" s="1" t="n">
        <v>45849</v>
      </c>
      <c r="C1115" s="1" t="n">
        <v>46198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34896-2025</t>
        </is>
      </c>
      <c r="B1116" s="1" t="n">
        <v>45849</v>
      </c>
      <c r="C1116" s="1" t="n">
        <v>46198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34955-2025</t>
        </is>
      </c>
      <c r="B1117" s="1" t="n">
        <v>45849</v>
      </c>
      <c r="C1117" s="1" t="n">
        <v>46198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9.4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35192-2025</t>
        </is>
      </c>
      <c r="B1118" s="1" t="n">
        <v>45853</v>
      </c>
      <c r="C1118" s="1" t="n">
        <v>46198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35237-2025</t>
        </is>
      </c>
      <c r="B1119" s="1" t="n">
        <v>45853</v>
      </c>
      <c r="C1119" s="1" t="n">
        <v>46198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35130-2025</t>
        </is>
      </c>
      <c r="B1120" s="1" t="n">
        <v>45852</v>
      </c>
      <c r="C1120" s="1" t="n">
        <v>46198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35225-2025</t>
        </is>
      </c>
      <c r="B1121" s="1" t="n">
        <v>45853</v>
      </c>
      <c r="C1121" s="1" t="n">
        <v>46198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35234-2025</t>
        </is>
      </c>
      <c r="B1122" s="1" t="n">
        <v>45853</v>
      </c>
      <c r="C1122" s="1" t="n">
        <v>46198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35232-2025</t>
        </is>
      </c>
      <c r="B1123" s="1" t="n">
        <v>45853</v>
      </c>
      <c r="C1123" s="1" t="n">
        <v>46198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35332-2025</t>
        </is>
      </c>
      <c r="B1124" s="1" t="n">
        <v>45854</v>
      </c>
      <c r="C1124" s="1" t="n">
        <v>46198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35333-2025</t>
        </is>
      </c>
      <c r="B1125" s="1" t="n">
        <v>45854</v>
      </c>
      <c r="C1125" s="1" t="n">
        <v>46198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35303-2025</t>
        </is>
      </c>
      <c r="B1126" s="1" t="n">
        <v>45854</v>
      </c>
      <c r="C1126" s="1" t="n">
        <v>46198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35604-2025</t>
        </is>
      </c>
      <c r="B1127" s="1" t="n">
        <v>45859</v>
      </c>
      <c r="C1127" s="1" t="n">
        <v>46198</v>
      </c>
      <c r="D1127" t="inlineStr">
        <is>
          <t>VÄSTERBOTTENS LÄN</t>
        </is>
      </c>
      <c r="E1127" t="inlineStr">
        <is>
          <t>LYCKSELE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35566-2025</t>
        </is>
      </c>
      <c r="B1128" s="1" t="n">
        <v>45856</v>
      </c>
      <c r="C1128" s="1" t="n">
        <v>46198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35662-2025</t>
        </is>
      </c>
      <c r="B1129" s="1" t="n">
        <v>45859</v>
      </c>
      <c r="C1129" s="1" t="n">
        <v>46198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35671-2025</t>
        </is>
      </c>
      <c r="B1130" s="1" t="n">
        <v>45859</v>
      </c>
      <c r="C1130" s="1" t="n">
        <v>46198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35833-2025</t>
        </is>
      </c>
      <c r="B1131" s="1" t="n">
        <v>45861</v>
      </c>
      <c r="C1131" s="1" t="n">
        <v>46198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35841-2025</t>
        </is>
      </c>
      <c r="B1132" s="1" t="n">
        <v>45861</v>
      </c>
      <c r="C1132" s="1" t="n">
        <v>46198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35606-2025</t>
        </is>
      </c>
      <c r="B1133" s="1" t="n">
        <v>45859</v>
      </c>
      <c r="C1133" s="1" t="n">
        <v>46198</v>
      </c>
      <c r="D1133" t="inlineStr">
        <is>
          <t>VÄSTERBOTTENS LÄN</t>
        </is>
      </c>
      <c r="E1133" t="inlineStr">
        <is>
          <t>LYCKSELE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35920-2025</t>
        </is>
      </c>
      <c r="B1134" s="1" t="n">
        <v>45862</v>
      </c>
      <c r="C1134" s="1" t="n">
        <v>46198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2026-06-25T00:49:21Z</dcterms:created>
  <dcterms:modified xmlns:dcterms="http://purl.org/dc/terms/" xmlns:xsi="http://www.w3.org/2001/XMLSchema-instance" xsi:type="dcterms:W3CDTF">2026-06-25T00:49:22Z</dcterms:modified>
</cp:coreProperties>
</file>