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45740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45740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45740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45740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45740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45740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45740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45740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45740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45740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45740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45740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45740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45740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45740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45740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45740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45740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45740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45740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45740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45740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45740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45740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45740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45740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45740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45740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45740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45740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45740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45740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45740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45740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45740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45740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45740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45740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45740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45740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45740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45740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45740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45740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45740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45740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45740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45740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45740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45740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45740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45740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45740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45740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45740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45740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45740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45740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45740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45740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45740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45740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45740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45740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45740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45740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45740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45740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45740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45740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45740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45740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45740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45740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45740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45740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45740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45740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45740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45740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45740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45740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45740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45740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45740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45740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45740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45740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45740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45740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45740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45740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45740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45740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45740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45740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45740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45740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45740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45740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45740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45740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45740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45740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45740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45740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45740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45740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45740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45740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45740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45740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45740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45740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45740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45740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45740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45740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45740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45740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45740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45740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45740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45740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45740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45740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45740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45740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45740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45740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45740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45740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45740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45740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45740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13645-2025</t>
        </is>
      </c>
      <c r="B137" s="1" t="n">
        <v>45736</v>
      </c>
      <c r="C137" s="1" t="n">
        <v>45740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19.6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Talltita
Dropptaggsvamp</t>
        </is>
      </c>
      <c r="S137">
        <f>HYPERLINK("https://klasma.github.io/Logging_2481/artfynd/A 13645-2025 artfynd.xlsx", "A 13645-2025")</f>
        <v/>
      </c>
      <c r="T137">
        <f>HYPERLINK("https://klasma.github.io/Logging_2481/kartor/A 13645-2025 karta.png", "A 13645-2025")</f>
        <v/>
      </c>
      <c r="V137">
        <f>HYPERLINK("https://klasma.github.io/Logging_2481/klagomål/A 13645-2025 FSC-klagomål.docx", "A 13645-2025")</f>
        <v/>
      </c>
      <c r="W137">
        <f>HYPERLINK("https://klasma.github.io/Logging_2481/klagomålsmail/A 13645-2025 FSC-klagomål mail.docx", "A 13645-2025")</f>
        <v/>
      </c>
      <c r="X137">
        <f>HYPERLINK("https://klasma.github.io/Logging_2481/tillsyn/A 13645-2025 tillsynsbegäran.docx", "A 13645-2025")</f>
        <v/>
      </c>
      <c r="Y137">
        <f>HYPERLINK("https://klasma.github.io/Logging_2481/tillsynsmail/A 13645-2025 tillsynsbegäran mail.docx", "A 13645-2025")</f>
        <v/>
      </c>
      <c r="Z137">
        <f>HYPERLINK("https://klasma.github.io/Logging_2481/fåglar/A 13645-2025 prioriterade fågelarter.docx", "A 13645-2025")</f>
        <v/>
      </c>
    </row>
    <row r="138" ht="15" customHeight="1">
      <c r="A138" t="inlineStr">
        <is>
          <t>A 36373-2019</t>
        </is>
      </c>
      <c r="B138" s="1" t="n">
        <v>43670</v>
      </c>
      <c r="C138" s="1" t="n">
        <v>45740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HYPERLINK("https://klasma.github.io/Logging_2481/artfynd/A 36373-2019 artfynd.xlsx", "A 36373-2019")</f>
        <v/>
      </c>
      <c r="T138">
        <f>HYPERLINK("https://klasma.github.io/Logging_2481/kartor/A 36373-2019 karta.png", "A 36373-2019")</f>
        <v/>
      </c>
      <c r="U138">
        <f>HYPERLINK("https://klasma.github.io/Logging_2481/knärot/A 36373-2019 karta knärot.png", "A 36373-2019")</f>
        <v/>
      </c>
      <c r="V138">
        <f>HYPERLINK("https://klasma.github.io/Logging_2481/klagomål/A 36373-2019 FSC-klagomål.docx", "A 36373-2019")</f>
        <v/>
      </c>
      <c r="W138">
        <f>HYPERLINK("https://klasma.github.io/Logging_2481/klagomålsmail/A 36373-2019 FSC-klagomål mail.docx", "A 36373-2019")</f>
        <v/>
      </c>
      <c r="X138">
        <f>HYPERLINK("https://klasma.github.io/Logging_2481/tillsyn/A 36373-2019 tillsynsbegäran.docx", "A 36373-2019")</f>
        <v/>
      </c>
      <c r="Y138">
        <f>HYPERLINK("https://klasma.github.io/Logging_2481/tillsynsmail/A 36373-2019 tillsynsbegäran mail.docx", "A 36373-2019")</f>
        <v/>
      </c>
    </row>
    <row r="139" ht="15" customHeight="1">
      <c r="A139" t="inlineStr">
        <is>
          <t>A 51211-2019</t>
        </is>
      </c>
      <c r="B139" s="1" t="n">
        <v>43739</v>
      </c>
      <c r="C139" s="1" t="n">
        <v>45740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Kyrkan</t>
        </is>
      </c>
      <c r="G139" t="n">
        <v>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HYPERLINK("https://klasma.github.io/Logging_2481/artfynd/A 51211-2019 artfynd.xlsx", "A 51211-2019")</f>
        <v/>
      </c>
      <c r="T139">
        <f>HYPERLINK("https://klasma.github.io/Logging_2481/kartor/A 51211-2019 karta.png", "A 51211-2019")</f>
        <v/>
      </c>
      <c r="V139">
        <f>HYPERLINK("https://klasma.github.io/Logging_2481/klagomål/A 51211-2019 FSC-klagomål.docx", "A 51211-2019")</f>
        <v/>
      </c>
      <c r="W139">
        <f>HYPERLINK("https://klasma.github.io/Logging_2481/klagomålsmail/A 51211-2019 FSC-klagomål mail.docx", "A 51211-2019")</f>
        <v/>
      </c>
      <c r="X139">
        <f>HYPERLINK("https://klasma.github.io/Logging_2481/tillsyn/A 51211-2019 tillsynsbegäran.docx", "A 51211-2019")</f>
        <v/>
      </c>
      <c r="Y139">
        <f>HYPERLINK("https://klasma.github.io/Logging_2481/tillsynsmail/A 51211-2019 tillsynsbegäran mail.docx", "A 51211-2019")</f>
        <v/>
      </c>
    </row>
    <row r="140" ht="15" customHeight="1">
      <c r="A140" t="inlineStr">
        <is>
          <t>A 60563-2019</t>
        </is>
      </c>
      <c r="B140" s="1" t="n">
        <v>43781</v>
      </c>
      <c r="C140" s="1" t="n">
        <v>45740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60563-2019 artfynd.xlsx", "A 60563-2019")</f>
        <v/>
      </c>
      <c r="T140">
        <f>HYPERLINK("https://klasma.github.io/Logging_2481/kartor/A 60563-2019 karta.png", "A 60563-2019")</f>
        <v/>
      </c>
      <c r="V140">
        <f>HYPERLINK("https://klasma.github.io/Logging_2481/klagomål/A 60563-2019 FSC-klagomål.docx", "A 60563-2019")</f>
        <v/>
      </c>
      <c r="W140">
        <f>HYPERLINK("https://klasma.github.io/Logging_2481/klagomålsmail/A 60563-2019 FSC-klagomål mail.docx", "A 60563-2019")</f>
        <v/>
      </c>
      <c r="X140">
        <f>HYPERLINK("https://klasma.github.io/Logging_2481/tillsyn/A 60563-2019 tillsynsbegäran.docx", "A 60563-2019")</f>
        <v/>
      </c>
      <c r="Y140">
        <f>HYPERLINK("https://klasma.github.io/Logging_2481/tillsynsmail/A 60563-2019 tillsynsbegäran mail.docx", "A 60563-2019")</f>
        <v/>
      </c>
    </row>
    <row r="141" ht="15" customHeight="1">
      <c r="A141" t="inlineStr">
        <is>
          <t>A 67975-2019</t>
        </is>
      </c>
      <c r="B141" s="1" t="n">
        <v>43816</v>
      </c>
      <c r="C141" s="1" t="n">
        <v>45740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67975-2019 artfynd.xlsx", "A 67975-2019")</f>
        <v/>
      </c>
      <c r="T141">
        <f>HYPERLINK("https://klasma.github.io/Logging_2481/kartor/A 67975-2019 karta.png", "A 67975-2019")</f>
        <v/>
      </c>
      <c r="V141">
        <f>HYPERLINK("https://klasma.github.io/Logging_2481/klagomål/A 67975-2019 FSC-klagomål.docx", "A 67975-2019")</f>
        <v/>
      </c>
      <c r="W141">
        <f>HYPERLINK("https://klasma.github.io/Logging_2481/klagomålsmail/A 67975-2019 FSC-klagomål mail.docx", "A 67975-2019")</f>
        <v/>
      </c>
      <c r="X141">
        <f>HYPERLINK("https://klasma.github.io/Logging_2481/tillsyn/A 67975-2019 tillsynsbegäran.docx", "A 67975-2019")</f>
        <v/>
      </c>
      <c r="Y141">
        <f>HYPERLINK("https://klasma.github.io/Logging_2481/tillsynsmail/A 67975-2019 tillsynsbegäran mail.docx", "A 67975-2019")</f>
        <v/>
      </c>
    </row>
    <row r="142" ht="15" customHeight="1">
      <c r="A142" t="inlineStr">
        <is>
          <t>A 68098-2019</t>
        </is>
      </c>
      <c r="B142" s="1" t="n">
        <v>43817</v>
      </c>
      <c r="C142" s="1" t="n">
        <v>45740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68098-2019 artfynd.xlsx", "A 68098-2019")</f>
        <v/>
      </c>
      <c r="T142">
        <f>HYPERLINK("https://klasma.github.io/Logging_2481/kartor/A 68098-2019 karta.png", "A 68098-2019")</f>
        <v/>
      </c>
      <c r="V142">
        <f>HYPERLINK("https://klasma.github.io/Logging_2481/klagomål/A 68098-2019 FSC-klagomål.docx", "A 68098-2019")</f>
        <v/>
      </c>
      <c r="W142">
        <f>HYPERLINK("https://klasma.github.io/Logging_2481/klagomålsmail/A 68098-2019 FSC-klagomål mail.docx", "A 68098-2019")</f>
        <v/>
      </c>
      <c r="X142">
        <f>HYPERLINK("https://klasma.github.io/Logging_2481/tillsyn/A 68098-2019 tillsynsbegäran.docx", "A 68098-2019")</f>
        <v/>
      </c>
      <c r="Y142">
        <f>HYPERLINK("https://klasma.github.io/Logging_2481/tillsynsmail/A 68098-2019 tillsynsbegäran mail.docx", "A 68098-2019")</f>
        <v/>
      </c>
    </row>
    <row r="143" ht="15" customHeight="1">
      <c r="A143" t="inlineStr">
        <is>
          <t>A 28098-2020</t>
        </is>
      </c>
      <c r="B143" s="1" t="n">
        <v>43997</v>
      </c>
      <c r="C143" s="1" t="n">
        <v>45740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Kyrkan</t>
        </is>
      </c>
      <c r="G143" t="n">
        <v>6.4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Mindre märgborre</t>
        </is>
      </c>
      <c r="S143">
        <f>HYPERLINK("https://klasma.github.io/Logging_2481/artfynd/A 28098-2020 artfynd.xlsx", "A 28098-2020")</f>
        <v/>
      </c>
      <c r="T143">
        <f>HYPERLINK("https://klasma.github.io/Logging_2481/kartor/A 28098-2020 karta.png", "A 28098-2020")</f>
        <v/>
      </c>
      <c r="V143">
        <f>HYPERLINK("https://klasma.github.io/Logging_2481/klagomål/A 28098-2020 FSC-klagomål.docx", "A 28098-2020")</f>
        <v/>
      </c>
      <c r="W143">
        <f>HYPERLINK("https://klasma.github.io/Logging_2481/klagomålsmail/A 28098-2020 FSC-klagomål mail.docx", "A 28098-2020")</f>
        <v/>
      </c>
      <c r="X143">
        <f>HYPERLINK("https://klasma.github.io/Logging_2481/tillsyn/A 28098-2020 tillsynsbegäran.docx", "A 28098-2020")</f>
        <v/>
      </c>
      <c r="Y143">
        <f>HYPERLINK("https://klasma.github.io/Logging_2481/tillsynsmail/A 28098-2020 tillsynsbegäran mail.docx", "A 28098-2020")</f>
        <v/>
      </c>
    </row>
    <row r="144" ht="15" customHeight="1">
      <c r="A144" t="inlineStr">
        <is>
          <t>A 31460-2021</t>
        </is>
      </c>
      <c r="B144" s="1" t="n">
        <v>44369</v>
      </c>
      <c r="C144" s="1" t="n">
        <v>45740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Nordtagging</t>
        </is>
      </c>
      <c r="S144">
        <f>HYPERLINK("https://klasma.github.io/Logging_2481/artfynd/A 31460-2021 artfynd.xlsx", "A 31460-2021")</f>
        <v/>
      </c>
      <c r="T144">
        <f>HYPERLINK("https://klasma.github.io/Logging_2481/kartor/A 31460-2021 karta.png", "A 31460-2021")</f>
        <v/>
      </c>
      <c r="V144">
        <f>HYPERLINK("https://klasma.github.io/Logging_2481/klagomål/A 31460-2021 FSC-klagomål.docx", "A 31460-2021")</f>
        <v/>
      </c>
      <c r="W144">
        <f>HYPERLINK("https://klasma.github.io/Logging_2481/klagomålsmail/A 31460-2021 FSC-klagomål mail.docx", "A 31460-2021")</f>
        <v/>
      </c>
      <c r="X144">
        <f>HYPERLINK("https://klasma.github.io/Logging_2481/tillsyn/A 31460-2021 tillsynsbegäran.docx", "A 31460-2021")</f>
        <v/>
      </c>
      <c r="Y144">
        <f>HYPERLINK("https://klasma.github.io/Logging_2481/tillsynsmail/A 31460-2021 tillsynsbegäran mail.docx", "A 31460-2021")</f>
        <v/>
      </c>
    </row>
    <row r="145" ht="15" customHeight="1">
      <c r="A145" t="inlineStr">
        <is>
          <t>A 37583-2021</t>
        </is>
      </c>
      <c r="B145" s="1" t="n">
        <v>44399</v>
      </c>
      <c r="C145" s="1" t="n">
        <v>45740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37583-2021 artfynd.xlsx", "A 37583-2021")</f>
        <v/>
      </c>
      <c r="T145">
        <f>HYPERLINK("https://klasma.github.io/Logging_2481/kartor/A 37583-2021 karta.png", "A 37583-2021")</f>
        <v/>
      </c>
      <c r="V145">
        <f>HYPERLINK("https://klasma.github.io/Logging_2481/klagomål/A 37583-2021 FSC-klagomål.docx", "A 37583-2021")</f>
        <v/>
      </c>
      <c r="W145">
        <f>HYPERLINK("https://klasma.github.io/Logging_2481/klagomålsmail/A 37583-2021 FSC-klagomål mail.docx", "A 37583-2021")</f>
        <v/>
      </c>
      <c r="X145">
        <f>HYPERLINK("https://klasma.github.io/Logging_2481/tillsyn/A 37583-2021 tillsynsbegäran.docx", "A 37583-2021")</f>
        <v/>
      </c>
      <c r="Y145">
        <f>HYPERLINK("https://klasma.github.io/Logging_2481/tillsynsmail/A 37583-2021 tillsynsbegäran mail.docx", "A 37583-2021")</f>
        <v/>
      </c>
      <c r="Z145">
        <f>HYPERLINK("https://klasma.github.io/Logging_2481/fåglar/A 37583-2021 prioriterade fågelarter.docx", "A 37583-2021")</f>
        <v/>
      </c>
    </row>
    <row r="146" ht="15" customHeight="1">
      <c r="A146" t="inlineStr">
        <is>
          <t>A 54142-2021</t>
        </is>
      </c>
      <c r="B146" s="1" t="n">
        <v>44470</v>
      </c>
      <c r="C146" s="1" t="n">
        <v>45740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54142-2021 artfynd.xlsx", "A 54142-2021")</f>
        <v/>
      </c>
      <c r="T146">
        <f>HYPERLINK("https://klasma.github.io/Logging_2481/kartor/A 54142-2021 karta.png", "A 54142-2021")</f>
        <v/>
      </c>
      <c r="U146">
        <f>HYPERLINK("https://klasma.github.io/Logging_2481/knärot/A 54142-2021 karta knärot.png", "A 54142-2021")</f>
        <v/>
      </c>
      <c r="V146">
        <f>HYPERLINK("https://klasma.github.io/Logging_2481/klagomål/A 54142-2021 FSC-klagomål.docx", "A 54142-2021")</f>
        <v/>
      </c>
      <c r="W146">
        <f>HYPERLINK("https://klasma.github.io/Logging_2481/klagomålsmail/A 54142-2021 FSC-klagomål mail.docx", "A 54142-2021")</f>
        <v/>
      </c>
      <c r="X146">
        <f>HYPERLINK("https://klasma.github.io/Logging_2481/tillsyn/A 54142-2021 tillsynsbegäran.docx", "A 54142-2021")</f>
        <v/>
      </c>
      <c r="Y146">
        <f>HYPERLINK("https://klasma.github.io/Logging_2481/tillsynsmail/A 54142-2021 tillsynsbegäran mail.docx", "A 54142-2021")</f>
        <v/>
      </c>
    </row>
    <row r="147" ht="15" customHeight="1">
      <c r="A147" t="inlineStr">
        <is>
          <t>A 59780-2021</t>
        </is>
      </c>
      <c r="B147" s="1" t="n">
        <v>44494</v>
      </c>
      <c r="C147" s="1" t="n">
        <v>45740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59780-2021 artfynd.xlsx", "A 59780-2021")</f>
        <v/>
      </c>
      <c r="T147">
        <f>HYPERLINK("https://klasma.github.io/Logging_2481/kartor/A 59780-2021 karta.png", "A 59780-2021")</f>
        <v/>
      </c>
      <c r="V147">
        <f>HYPERLINK("https://klasma.github.io/Logging_2481/klagomål/A 59780-2021 FSC-klagomål.docx", "A 59780-2021")</f>
        <v/>
      </c>
      <c r="W147">
        <f>HYPERLINK("https://klasma.github.io/Logging_2481/klagomålsmail/A 59780-2021 FSC-klagomål mail.docx", "A 59780-2021")</f>
        <v/>
      </c>
      <c r="X147">
        <f>HYPERLINK("https://klasma.github.io/Logging_2481/tillsyn/A 59780-2021 tillsynsbegäran.docx", "A 59780-2021")</f>
        <v/>
      </c>
      <c r="Y147">
        <f>HYPERLINK("https://klasma.github.io/Logging_2481/tillsynsmail/A 59780-2021 tillsynsbegäran mail.docx", "A 59780-2021")</f>
        <v/>
      </c>
    </row>
    <row r="148" ht="15" customHeight="1">
      <c r="A148" t="inlineStr">
        <is>
          <t>A 60045-2021</t>
        </is>
      </c>
      <c r="B148" s="1" t="n">
        <v>44495</v>
      </c>
      <c r="C148" s="1" t="n">
        <v>45740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60045-2021 artfynd.xlsx", "A 60045-2021")</f>
        <v/>
      </c>
      <c r="T148">
        <f>HYPERLINK("https://klasma.github.io/Logging_2481/kartor/A 60045-2021 karta.png", "A 60045-2021")</f>
        <v/>
      </c>
      <c r="V148">
        <f>HYPERLINK("https://klasma.github.io/Logging_2481/klagomål/A 60045-2021 FSC-klagomål.docx", "A 60045-2021")</f>
        <v/>
      </c>
      <c r="W148">
        <f>HYPERLINK("https://klasma.github.io/Logging_2481/klagomålsmail/A 60045-2021 FSC-klagomål mail.docx", "A 60045-2021")</f>
        <v/>
      </c>
      <c r="X148">
        <f>HYPERLINK("https://klasma.github.io/Logging_2481/tillsyn/A 60045-2021 tillsynsbegäran.docx", "A 60045-2021")</f>
        <v/>
      </c>
      <c r="Y148">
        <f>HYPERLINK("https://klasma.github.io/Logging_2481/tillsynsmail/A 60045-2021 tillsynsbegäran mail.docx", "A 60045-2021")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45740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73357-2021</t>
        </is>
      </c>
      <c r="B150" s="1" t="n">
        <v>44551</v>
      </c>
      <c r="C150" s="1" t="n">
        <v>45740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3929-2022</t>
        </is>
      </c>
      <c r="B151" s="1" t="n">
        <v>44587</v>
      </c>
      <c r="C151" s="1" t="n">
        <v>45740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3929-2022 artfynd.xlsx", "A 3929-2022")</f>
        <v/>
      </c>
      <c r="T151">
        <f>HYPERLINK("https://klasma.github.io/Logging_2481/kartor/A 3929-2022 karta.png", "A 3929-2022")</f>
        <v/>
      </c>
      <c r="V151">
        <f>HYPERLINK("https://klasma.github.io/Logging_2481/klagomål/A 3929-2022 FSC-klagomål.docx", "A 3929-2022")</f>
        <v/>
      </c>
      <c r="W151">
        <f>HYPERLINK("https://klasma.github.io/Logging_2481/klagomålsmail/A 3929-2022 FSC-klagomål mail.docx", "A 3929-2022")</f>
        <v/>
      </c>
      <c r="X151">
        <f>HYPERLINK("https://klasma.github.io/Logging_2481/tillsyn/A 3929-2022 tillsynsbegäran.docx", "A 3929-2022")</f>
        <v/>
      </c>
      <c r="Y151">
        <f>HYPERLINK("https://klasma.github.io/Logging_2481/tillsynsmail/A 3929-2022 tillsynsbegäran mail.docx", "A 3929-2022")</f>
        <v/>
      </c>
    </row>
    <row r="152" ht="15" customHeight="1">
      <c r="A152" t="inlineStr">
        <is>
          <t>A 9073-2022</t>
        </is>
      </c>
      <c r="B152" s="1" t="n">
        <v>44615</v>
      </c>
      <c r="C152" s="1" t="n">
        <v>45740</v>
      </c>
      <c r="D152" t="inlineStr">
        <is>
          <t>VÄSTERBOTTENS LÄN</t>
        </is>
      </c>
      <c r="E152" t="inlineStr">
        <is>
          <t>LYCKSELE</t>
        </is>
      </c>
      <c r="G152" t="n">
        <v>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HYPERLINK("https://klasma.github.io/Logging_2481/artfynd/A 9073-2022 artfynd.xlsx", "A 9073-2022")</f>
        <v/>
      </c>
      <c r="T152">
        <f>HYPERLINK("https://klasma.github.io/Logging_2481/kartor/A 9073-2022 karta.png", "A 9073-2022")</f>
        <v/>
      </c>
      <c r="V152">
        <f>HYPERLINK("https://klasma.github.io/Logging_2481/klagomål/A 9073-2022 FSC-klagomål.docx", "A 9073-2022")</f>
        <v/>
      </c>
      <c r="W152">
        <f>HYPERLINK("https://klasma.github.io/Logging_2481/klagomålsmail/A 9073-2022 FSC-klagomål mail.docx", "A 9073-2022")</f>
        <v/>
      </c>
      <c r="X152">
        <f>HYPERLINK("https://klasma.github.io/Logging_2481/tillsyn/A 9073-2022 tillsynsbegäran.docx", "A 9073-2022")</f>
        <v/>
      </c>
      <c r="Y152">
        <f>HYPERLINK("https://klasma.github.io/Logging_2481/tillsynsmail/A 9073-2022 tillsynsbegäran mail.docx", "A 9073-2022")</f>
        <v/>
      </c>
    </row>
    <row r="153" ht="15" customHeight="1">
      <c r="A153" t="inlineStr">
        <is>
          <t>A 9341-2022</t>
        </is>
      </c>
      <c r="B153" s="1" t="n">
        <v>44616</v>
      </c>
      <c r="C153" s="1" t="n">
        <v>45740</v>
      </c>
      <c r="D153" t="inlineStr">
        <is>
          <t>VÄSTERBOTTENS LÄN</t>
        </is>
      </c>
      <c r="E153" t="inlineStr">
        <is>
          <t>LYCKSELE</t>
        </is>
      </c>
      <c r="G153" t="n">
        <v>6.9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HYPERLINK("https://klasma.github.io/Logging_2481/artfynd/A 9341-2022 artfynd.xlsx", "A 9341-2022")</f>
        <v/>
      </c>
      <c r="T153">
        <f>HYPERLINK("https://klasma.github.io/Logging_2481/kartor/A 9341-2022 karta.png", "A 9341-2022")</f>
        <v/>
      </c>
      <c r="V153">
        <f>HYPERLINK("https://klasma.github.io/Logging_2481/klagomål/A 9341-2022 FSC-klagomål.docx", "A 9341-2022")</f>
        <v/>
      </c>
      <c r="W153">
        <f>HYPERLINK("https://klasma.github.io/Logging_2481/klagomålsmail/A 9341-2022 FSC-klagomål mail.docx", "A 9341-2022")</f>
        <v/>
      </c>
      <c r="X153">
        <f>HYPERLINK("https://klasma.github.io/Logging_2481/tillsyn/A 9341-2022 tillsynsbegäran.docx", "A 9341-2022")</f>
        <v/>
      </c>
      <c r="Y153">
        <f>HYPERLINK("https://klasma.github.io/Logging_2481/tillsynsmail/A 9341-2022 tillsynsbegäran mail.docx", "A 9341-2022")</f>
        <v/>
      </c>
    </row>
    <row r="154" ht="15" customHeight="1">
      <c r="A154" t="inlineStr">
        <is>
          <t>A 23308-2022</t>
        </is>
      </c>
      <c r="B154" s="1" t="n">
        <v>44720</v>
      </c>
      <c r="C154" s="1" t="n">
        <v>45740</v>
      </c>
      <c r="D154" t="inlineStr">
        <is>
          <t>VÄSTERBOTTENS LÄN</t>
        </is>
      </c>
      <c r="E154" t="inlineStr">
        <is>
          <t>LYCKSELE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23308-2022 artfynd.xlsx", "A 23308-2022")</f>
        <v/>
      </c>
      <c r="T154">
        <f>HYPERLINK("https://klasma.github.io/Logging_2481/kartor/A 23308-2022 karta.png", "A 23308-2022")</f>
        <v/>
      </c>
      <c r="V154">
        <f>HYPERLINK("https://klasma.github.io/Logging_2481/klagomål/A 23308-2022 FSC-klagomål.docx", "A 23308-2022")</f>
        <v/>
      </c>
      <c r="W154">
        <f>HYPERLINK("https://klasma.github.io/Logging_2481/klagomålsmail/A 23308-2022 FSC-klagomål mail.docx", "A 23308-2022")</f>
        <v/>
      </c>
      <c r="X154">
        <f>HYPERLINK("https://klasma.github.io/Logging_2481/tillsyn/A 23308-2022 tillsynsbegäran.docx", "A 23308-2022")</f>
        <v/>
      </c>
      <c r="Y154">
        <f>HYPERLINK("https://klasma.github.io/Logging_2481/tillsynsmail/A 23308-2022 tillsynsbegäran mail.docx", "A 23308-2022")</f>
        <v/>
      </c>
    </row>
    <row r="155" ht="15" customHeight="1">
      <c r="A155" t="inlineStr">
        <is>
          <t>A 32638-2022</t>
        </is>
      </c>
      <c r="B155" s="1" t="n">
        <v>44783</v>
      </c>
      <c r="C155" s="1" t="n">
        <v>45740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32638-2022 artfynd.xlsx", "A 32638-2022")</f>
        <v/>
      </c>
      <c r="T155">
        <f>HYPERLINK("https://klasma.github.io/Logging_2481/kartor/A 32638-2022 karta.png", "A 32638-2022")</f>
        <v/>
      </c>
      <c r="V155">
        <f>HYPERLINK("https://klasma.github.io/Logging_2481/klagomål/A 32638-2022 FSC-klagomål.docx", "A 32638-2022")</f>
        <v/>
      </c>
      <c r="W155">
        <f>HYPERLINK("https://klasma.github.io/Logging_2481/klagomålsmail/A 32638-2022 FSC-klagomål mail.docx", "A 32638-2022")</f>
        <v/>
      </c>
      <c r="X155">
        <f>HYPERLINK("https://klasma.github.io/Logging_2481/tillsyn/A 32638-2022 tillsynsbegäran.docx", "A 32638-2022")</f>
        <v/>
      </c>
      <c r="Y155">
        <f>HYPERLINK("https://klasma.github.io/Logging_2481/tillsynsmail/A 32638-2022 tillsynsbegäran mail.docx", "A 32638-2022")</f>
        <v/>
      </c>
    </row>
    <row r="156" ht="15" customHeight="1">
      <c r="A156" t="inlineStr">
        <is>
          <t>A 34810-2022</t>
        </is>
      </c>
      <c r="B156" s="1" t="n">
        <v>44795</v>
      </c>
      <c r="C156" s="1" t="n">
        <v>45740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34810-2022 artfynd.xlsx", "A 34810-2022")</f>
        <v/>
      </c>
      <c r="T156">
        <f>HYPERLINK("https://klasma.github.io/Logging_2481/kartor/A 34810-2022 karta.png", "A 34810-2022")</f>
        <v/>
      </c>
      <c r="V156">
        <f>HYPERLINK("https://klasma.github.io/Logging_2481/klagomål/A 34810-2022 FSC-klagomål.docx", "A 34810-2022")</f>
        <v/>
      </c>
      <c r="W156">
        <f>HYPERLINK("https://klasma.github.io/Logging_2481/klagomålsmail/A 34810-2022 FSC-klagomål mail.docx", "A 34810-2022")</f>
        <v/>
      </c>
      <c r="X156">
        <f>HYPERLINK("https://klasma.github.io/Logging_2481/tillsyn/A 34810-2022 tillsynsbegäran.docx", "A 34810-2022")</f>
        <v/>
      </c>
      <c r="Y156">
        <f>HYPERLINK("https://klasma.github.io/Logging_2481/tillsynsmail/A 34810-2022 tillsynsbegäran mail.docx", "A 34810-2022")</f>
        <v/>
      </c>
    </row>
    <row r="157" ht="15" customHeight="1">
      <c r="A157" t="inlineStr">
        <is>
          <t>A 34809-2022</t>
        </is>
      </c>
      <c r="B157" s="1" t="n">
        <v>44795</v>
      </c>
      <c r="C157" s="1" t="n">
        <v>45740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34809-2022 artfynd.xlsx", "A 34809-2022")</f>
        <v/>
      </c>
      <c r="T157">
        <f>HYPERLINK("https://klasma.github.io/Logging_2481/kartor/A 34809-2022 karta.png", "A 34809-2022")</f>
        <v/>
      </c>
      <c r="V157">
        <f>HYPERLINK("https://klasma.github.io/Logging_2481/klagomål/A 34809-2022 FSC-klagomål.docx", "A 34809-2022")</f>
        <v/>
      </c>
      <c r="W157">
        <f>HYPERLINK("https://klasma.github.io/Logging_2481/klagomålsmail/A 34809-2022 FSC-klagomål mail.docx", "A 34809-2022")</f>
        <v/>
      </c>
      <c r="X157">
        <f>HYPERLINK("https://klasma.github.io/Logging_2481/tillsyn/A 34809-2022 tillsynsbegäran.docx", "A 34809-2022")</f>
        <v/>
      </c>
      <c r="Y157">
        <f>HYPERLINK("https://klasma.github.io/Logging_2481/tillsynsmail/A 34809-2022 tillsynsbegäran mail.docx", "A 34809-2022")</f>
        <v/>
      </c>
    </row>
    <row r="158" ht="15" customHeight="1">
      <c r="A158" t="inlineStr">
        <is>
          <t>A 40133-2022</t>
        </is>
      </c>
      <c r="B158" s="1" t="n">
        <v>44820</v>
      </c>
      <c r="C158" s="1" t="n">
        <v>45740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Gräddporing</t>
        </is>
      </c>
      <c r="S158">
        <f>HYPERLINK("https://klasma.github.io/Logging_2481/artfynd/A 40133-2022 artfynd.xlsx", "A 40133-2022")</f>
        <v/>
      </c>
      <c r="T158">
        <f>HYPERLINK("https://klasma.github.io/Logging_2481/kartor/A 40133-2022 karta.png", "A 40133-2022")</f>
        <v/>
      </c>
      <c r="V158">
        <f>HYPERLINK("https://klasma.github.io/Logging_2481/klagomål/A 40133-2022 FSC-klagomål.docx", "A 40133-2022")</f>
        <v/>
      </c>
      <c r="W158">
        <f>HYPERLINK("https://klasma.github.io/Logging_2481/klagomålsmail/A 40133-2022 FSC-klagomål mail.docx", "A 40133-2022")</f>
        <v/>
      </c>
      <c r="X158">
        <f>HYPERLINK("https://klasma.github.io/Logging_2481/tillsyn/A 40133-2022 tillsynsbegäran.docx", "A 40133-2022")</f>
        <v/>
      </c>
      <c r="Y158">
        <f>HYPERLINK("https://klasma.github.io/Logging_2481/tillsynsmail/A 40133-2022 tillsynsbegäran mail.docx", "A 40133-2022")</f>
        <v/>
      </c>
    </row>
    <row r="159" ht="15" customHeight="1">
      <c r="A159" t="inlineStr">
        <is>
          <t>A 43418-2022</t>
        </is>
      </c>
      <c r="B159" s="1" t="n">
        <v>44834</v>
      </c>
      <c r="C159" s="1" t="n">
        <v>45740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8.4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43418-2022 artfynd.xlsx", "A 43418-2022")</f>
        <v/>
      </c>
      <c r="T159">
        <f>HYPERLINK("https://klasma.github.io/Logging_2481/kartor/A 43418-2022 karta.png", "A 43418-2022")</f>
        <v/>
      </c>
      <c r="V159">
        <f>HYPERLINK("https://klasma.github.io/Logging_2481/klagomål/A 43418-2022 FSC-klagomål.docx", "A 43418-2022")</f>
        <v/>
      </c>
      <c r="W159">
        <f>HYPERLINK("https://klasma.github.io/Logging_2481/klagomålsmail/A 43418-2022 FSC-klagomål mail.docx", "A 43418-2022")</f>
        <v/>
      </c>
      <c r="X159">
        <f>HYPERLINK("https://klasma.github.io/Logging_2481/tillsyn/A 43418-2022 tillsynsbegäran.docx", "A 43418-2022")</f>
        <v/>
      </c>
      <c r="Y159">
        <f>HYPERLINK("https://klasma.github.io/Logging_2481/tillsynsmail/A 43418-2022 tillsynsbegäran mail.docx", "A 43418-2022")</f>
        <v/>
      </c>
    </row>
    <row r="160" ht="15" customHeight="1">
      <c r="A160" t="inlineStr">
        <is>
          <t>A 51554-2022</t>
        </is>
      </c>
      <c r="B160" s="1" t="n">
        <v>44869</v>
      </c>
      <c r="C160" s="1" t="n">
        <v>45740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HYPERLINK("https://klasma.github.io/Logging_2481/artfynd/A 51554-2022 artfynd.xlsx", "A 51554-2022")</f>
        <v/>
      </c>
      <c r="T160">
        <f>HYPERLINK("https://klasma.github.io/Logging_2481/kartor/A 51554-2022 karta.png", "A 51554-2022")</f>
        <v/>
      </c>
      <c r="V160">
        <f>HYPERLINK("https://klasma.github.io/Logging_2481/klagomål/A 51554-2022 FSC-klagomål.docx", "A 51554-2022")</f>
        <v/>
      </c>
      <c r="W160">
        <f>HYPERLINK("https://klasma.github.io/Logging_2481/klagomålsmail/A 51554-2022 FSC-klagomål mail.docx", "A 51554-2022")</f>
        <v/>
      </c>
      <c r="X160">
        <f>HYPERLINK("https://klasma.github.io/Logging_2481/tillsyn/A 51554-2022 tillsynsbegäran.docx", "A 51554-2022")</f>
        <v/>
      </c>
      <c r="Y160">
        <f>HYPERLINK("https://klasma.github.io/Logging_2481/tillsynsmail/A 51554-2022 tillsynsbegäran mail.docx", "A 51554-2022")</f>
        <v/>
      </c>
      <c r="Z160">
        <f>HYPERLINK("https://klasma.github.io/Logging_2481/fåglar/A 51554-2022 prioriterade fågelarter.docx", "A 51554-2022")</f>
        <v/>
      </c>
    </row>
    <row r="161" ht="15" customHeight="1">
      <c r="A161" t="inlineStr">
        <is>
          <t>A 54135-2022</t>
        </is>
      </c>
      <c r="B161" s="1" t="n">
        <v>44881</v>
      </c>
      <c r="C161" s="1" t="n">
        <v>45740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HYPERLINK("https://klasma.github.io/Logging_2481/artfynd/A 54135-2022 artfynd.xlsx", "A 54135-2022")</f>
        <v/>
      </c>
      <c r="T161">
        <f>HYPERLINK("https://klasma.github.io/Logging_2481/kartor/A 54135-2022 karta.png", "A 54135-2022")</f>
        <v/>
      </c>
      <c r="U161">
        <f>HYPERLINK("https://klasma.github.io/Logging_2481/knärot/A 54135-2022 karta knärot.png", "A 54135-2022")</f>
        <v/>
      </c>
      <c r="V161">
        <f>HYPERLINK("https://klasma.github.io/Logging_2481/klagomål/A 54135-2022 FSC-klagomål.docx", "A 54135-2022")</f>
        <v/>
      </c>
      <c r="W161">
        <f>HYPERLINK("https://klasma.github.io/Logging_2481/klagomålsmail/A 54135-2022 FSC-klagomål mail.docx", "A 54135-2022")</f>
        <v/>
      </c>
      <c r="X161">
        <f>HYPERLINK("https://klasma.github.io/Logging_2481/tillsyn/A 54135-2022 tillsynsbegäran.docx", "A 54135-2022")</f>
        <v/>
      </c>
      <c r="Y161">
        <f>HYPERLINK("https://klasma.github.io/Logging_2481/tillsynsmail/A 54135-2022 tillsynsbegäran mail.docx", "A 54135-2022")</f>
        <v/>
      </c>
    </row>
    <row r="162" ht="15" customHeight="1">
      <c r="A162" t="inlineStr">
        <is>
          <t>A 55503-2022</t>
        </is>
      </c>
      <c r="B162" s="1" t="n">
        <v>44887</v>
      </c>
      <c r="C162" s="1" t="n">
        <v>45740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55503-2022 artfynd.xlsx", "A 55503-2022")</f>
        <v/>
      </c>
      <c r="T162">
        <f>HYPERLINK("https://klasma.github.io/Logging_2481/kartor/A 55503-2022 karta.png", "A 55503-2022")</f>
        <v/>
      </c>
      <c r="V162">
        <f>HYPERLINK("https://klasma.github.io/Logging_2481/klagomål/A 55503-2022 FSC-klagomål.docx", "A 55503-2022")</f>
        <v/>
      </c>
      <c r="W162">
        <f>HYPERLINK("https://klasma.github.io/Logging_2481/klagomålsmail/A 55503-2022 FSC-klagomål mail.docx", "A 55503-2022")</f>
        <v/>
      </c>
      <c r="X162">
        <f>HYPERLINK("https://klasma.github.io/Logging_2481/tillsyn/A 55503-2022 tillsynsbegäran.docx", "A 55503-2022")</f>
        <v/>
      </c>
      <c r="Y162">
        <f>HYPERLINK("https://klasma.github.io/Logging_2481/tillsynsmail/A 55503-2022 tillsynsbegäran mail.docx", "A 55503-2022")</f>
        <v/>
      </c>
    </row>
    <row r="163" ht="15" customHeight="1">
      <c r="A163" t="inlineStr">
        <is>
          <t>A 57618-2022</t>
        </is>
      </c>
      <c r="B163" s="1" t="n">
        <v>44897</v>
      </c>
      <c r="C163" s="1" t="n">
        <v>45740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Flodpärlmussla</t>
        </is>
      </c>
      <c r="S163">
        <f>HYPERLINK("https://klasma.github.io/Logging_2481/artfynd/A 57618-2022 artfynd.xlsx", "A 57618-2022")</f>
        <v/>
      </c>
      <c r="T163">
        <f>HYPERLINK("https://klasma.github.io/Logging_2481/kartor/A 57618-2022 karta.png", "A 57618-2022")</f>
        <v/>
      </c>
      <c r="V163">
        <f>HYPERLINK("https://klasma.github.io/Logging_2481/klagomål/A 57618-2022 FSC-klagomål.docx", "A 57618-2022")</f>
        <v/>
      </c>
      <c r="W163">
        <f>HYPERLINK("https://klasma.github.io/Logging_2481/klagomålsmail/A 57618-2022 FSC-klagomål mail.docx", "A 57618-2022")</f>
        <v/>
      </c>
      <c r="X163">
        <f>HYPERLINK("https://klasma.github.io/Logging_2481/tillsyn/A 57618-2022 tillsynsbegäran.docx", "A 57618-2022")</f>
        <v/>
      </c>
      <c r="Y163">
        <f>HYPERLINK("https://klasma.github.io/Logging_2481/tillsynsmail/A 57618-2022 tillsynsbegäran mail.docx", "A 57618-2022")</f>
        <v/>
      </c>
    </row>
    <row r="164" ht="15" customHeight="1">
      <c r="A164" t="inlineStr">
        <is>
          <t>A 11552-2023</t>
        </is>
      </c>
      <c r="B164" s="1" t="n">
        <v>44993</v>
      </c>
      <c r="C164" s="1" t="n">
        <v>45740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11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Tornseglare</t>
        </is>
      </c>
      <c r="S164">
        <f>HYPERLINK("https://klasma.github.io/Logging_2481/artfynd/A 11552-2023 artfynd.xlsx", "A 11552-2023")</f>
        <v/>
      </c>
      <c r="T164">
        <f>HYPERLINK("https://klasma.github.io/Logging_2481/kartor/A 11552-2023 karta.png", "A 11552-2023")</f>
        <v/>
      </c>
      <c r="V164">
        <f>HYPERLINK("https://klasma.github.io/Logging_2481/klagomål/A 11552-2023 FSC-klagomål.docx", "A 11552-2023")</f>
        <v/>
      </c>
      <c r="W164">
        <f>HYPERLINK("https://klasma.github.io/Logging_2481/klagomålsmail/A 11552-2023 FSC-klagomål mail.docx", "A 11552-2023")</f>
        <v/>
      </c>
      <c r="X164">
        <f>HYPERLINK("https://klasma.github.io/Logging_2481/tillsyn/A 11552-2023 tillsynsbegäran.docx", "A 11552-2023")</f>
        <v/>
      </c>
      <c r="Y164">
        <f>HYPERLINK("https://klasma.github.io/Logging_2481/tillsynsmail/A 11552-2023 tillsynsbegäran mail.docx", "A 11552-2023")</f>
        <v/>
      </c>
      <c r="Z164">
        <f>HYPERLINK("https://klasma.github.io/Logging_2481/fåglar/A 11552-2023 prioriterade fågelarter.docx", "A 11552-2023")</f>
        <v/>
      </c>
    </row>
    <row r="165" ht="15" customHeight="1">
      <c r="A165" t="inlineStr">
        <is>
          <t>A 15114-2023</t>
        </is>
      </c>
      <c r="B165" s="1" t="n">
        <v>45015</v>
      </c>
      <c r="C165" s="1" t="n">
        <v>45740</v>
      </c>
      <c r="D165" t="inlineStr">
        <is>
          <t>VÄSTERBOTTENS LÄN</t>
        </is>
      </c>
      <c r="E165" t="inlineStr">
        <is>
          <t>LYCKSELE</t>
        </is>
      </c>
      <c r="G165" t="n">
        <v>8.5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15114-2023 artfynd.xlsx", "A 15114-2023")</f>
        <v/>
      </c>
      <c r="T165">
        <f>HYPERLINK("https://klasma.github.io/Logging_2481/kartor/A 15114-2023 karta.png", "A 15114-2023")</f>
        <v/>
      </c>
      <c r="V165">
        <f>HYPERLINK("https://klasma.github.io/Logging_2481/klagomål/A 15114-2023 FSC-klagomål.docx", "A 15114-2023")</f>
        <v/>
      </c>
      <c r="W165">
        <f>HYPERLINK("https://klasma.github.io/Logging_2481/klagomålsmail/A 15114-2023 FSC-klagomål mail.docx", "A 15114-2023")</f>
        <v/>
      </c>
      <c r="X165">
        <f>HYPERLINK("https://klasma.github.io/Logging_2481/tillsyn/A 15114-2023 tillsynsbegäran.docx", "A 15114-2023")</f>
        <v/>
      </c>
      <c r="Y165">
        <f>HYPERLINK("https://klasma.github.io/Logging_2481/tillsynsmail/A 15114-2023 tillsynsbegäran mail.docx", "A 15114-2023")</f>
        <v/>
      </c>
    </row>
    <row r="166" ht="15" customHeight="1">
      <c r="A166" t="inlineStr">
        <is>
          <t>A 20940-2023</t>
        </is>
      </c>
      <c r="B166" s="1" t="n">
        <v>45061</v>
      </c>
      <c r="C166" s="1" t="n">
        <v>45740</v>
      </c>
      <c r="D166" t="inlineStr">
        <is>
          <t>VÄSTERBOTTENS LÄN</t>
        </is>
      </c>
      <c r="E166" t="inlineStr">
        <is>
          <t>LYCKSELE</t>
        </is>
      </c>
      <c r="G166" t="n">
        <v>4.6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20940-2023 artfynd.xlsx", "A 20940-2023")</f>
        <v/>
      </c>
      <c r="T166">
        <f>HYPERLINK("https://klasma.github.io/Logging_2481/kartor/A 20940-2023 karta.png", "A 20940-2023")</f>
        <v/>
      </c>
      <c r="V166">
        <f>HYPERLINK("https://klasma.github.io/Logging_2481/klagomål/A 20940-2023 FSC-klagomål.docx", "A 20940-2023")</f>
        <v/>
      </c>
      <c r="W166">
        <f>HYPERLINK("https://klasma.github.io/Logging_2481/klagomålsmail/A 20940-2023 FSC-klagomål mail.docx", "A 20940-2023")</f>
        <v/>
      </c>
      <c r="X166">
        <f>HYPERLINK("https://klasma.github.io/Logging_2481/tillsyn/A 20940-2023 tillsynsbegäran.docx", "A 20940-2023")</f>
        <v/>
      </c>
      <c r="Y166">
        <f>HYPERLINK("https://klasma.github.io/Logging_2481/tillsynsmail/A 20940-2023 tillsynsbegäran mail.docx", "A 20940-2023")</f>
        <v/>
      </c>
    </row>
    <row r="167" ht="15" customHeight="1">
      <c r="A167" t="inlineStr">
        <is>
          <t>A 27447-2023</t>
        </is>
      </c>
      <c r="B167" s="1" t="n">
        <v>45097</v>
      </c>
      <c r="C167" s="1" t="n">
        <v>45740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Gräddticka</t>
        </is>
      </c>
      <c r="S167">
        <f>HYPERLINK("https://klasma.github.io/Logging_2481/artfynd/A 27447-2023 artfynd.xlsx", "A 27447-2023")</f>
        <v/>
      </c>
      <c r="T167">
        <f>HYPERLINK("https://klasma.github.io/Logging_2481/kartor/A 27447-2023 karta.png", "A 27447-2023")</f>
        <v/>
      </c>
      <c r="V167">
        <f>HYPERLINK("https://klasma.github.io/Logging_2481/klagomål/A 27447-2023 FSC-klagomål.docx", "A 27447-2023")</f>
        <v/>
      </c>
      <c r="W167">
        <f>HYPERLINK("https://klasma.github.io/Logging_2481/klagomålsmail/A 27447-2023 FSC-klagomål mail.docx", "A 27447-2023")</f>
        <v/>
      </c>
      <c r="X167">
        <f>HYPERLINK("https://klasma.github.io/Logging_2481/tillsyn/A 27447-2023 tillsynsbegäran.docx", "A 27447-2023")</f>
        <v/>
      </c>
      <c r="Y167">
        <f>HYPERLINK("https://klasma.github.io/Logging_2481/tillsynsmail/A 27447-2023 tillsynsbegäran mail.docx", "A 27447-2023")</f>
        <v/>
      </c>
    </row>
    <row r="168" ht="15" customHeight="1">
      <c r="A168" t="inlineStr">
        <is>
          <t>A 29561-2023</t>
        </is>
      </c>
      <c r="B168" s="1" t="n">
        <v>45106</v>
      </c>
      <c r="C168" s="1" t="n">
        <v>45740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26.7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29561-2023 artfynd.xlsx", "A 29561-2023")</f>
        <v/>
      </c>
      <c r="T168">
        <f>HYPERLINK("https://klasma.github.io/Logging_2481/kartor/A 29561-2023 karta.png", "A 29561-2023")</f>
        <v/>
      </c>
      <c r="V168">
        <f>HYPERLINK("https://klasma.github.io/Logging_2481/klagomål/A 29561-2023 FSC-klagomål.docx", "A 29561-2023")</f>
        <v/>
      </c>
      <c r="W168">
        <f>HYPERLINK("https://klasma.github.io/Logging_2481/klagomålsmail/A 29561-2023 FSC-klagomål mail.docx", "A 29561-2023")</f>
        <v/>
      </c>
      <c r="X168">
        <f>HYPERLINK("https://klasma.github.io/Logging_2481/tillsyn/A 29561-2023 tillsynsbegäran.docx", "A 29561-2023")</f>
        <v/>
      </c>
      <c r="Y168">
        <f>HYPERLINK("https://klasma.github.io/Logging_2481/tillsynsmail/A 29561-2023 tillsynsbegäran mail.docx", "A 29561-2023")</f>
        <v/>
      </c>
    </row>
    <row r="169" ht="15" customHeight="1">
      <c r="A169" t="inlineStr">
        <is>
          <t>A 32661-2023</t>
        </is>
      </c>
      <c r="B169" s="1" t="n">
        <v>45121</v>
      </c>
      <c r="C169" s="1" t="n">
        <v>45740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32661-2023 artfynd.xlsx", "A 32661-2023")</f>
        <v/>
      </c>
      <c r="T169">
        <f>HYPERLINK("https://klasma.github.io/Logging_2481/kartor/A 32661-2023 karta.png", "A 32661-2023")</f>
        <v/>
      </c>
      <c r="V169">
        <f>HYPERLINK("https://klasma.github.io/Logging_2481/klagomål/A 32661-2023 FSC-klagomål.docx", "A 32661-2023")</f>
        <v/>
      </c>
      <c r="W169">
        <f>HYPERLINK("https://klasma.github.io/Logging_2481/klagomålsmail/A 32661-2023 FSC-klagomål mail.docx", "A 32661-2023")</f>
        <v/>
      </c>
      <c r="X169">
        <f>HYPERLINK("https://klasma.github.io/Logging_2481/tillsyn/A 32661-2023 tillsynsbegäran.docx", "A 32661-2023")</f>
        <v/>
      </c>
      <c r="Y169">
        <f>HYPERLINK("https://klasma.github.io/Logging_2481/tillsynsmail/A 32661-2023 tillsynsbegäran mail.docx", "A 32661-2023")</f>
        <v/>
      </c>
    </row>
    <row r="170" ht="15" customHeight="1">
      <c r="A170" t="inlineStr">
        <is>
          <t>A 34781-2023</t>
        </is>
      </c>
      <c r="B170" s="1" t="n">
        <v>45141</v>
      </c>
      <c r="C170" s="1" t="n">
        <v>45740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34781-2023 artfynd.xlsx", "A 34781-2023")</f>
        <v/>
      </c>
      <c r="T170">
        <f>HYPERLINK("https://klasma.github.io/Logging_2481/kartor/A 34781-2023 karta.png", "A 34781-2023")</f>
        <v/>
      </c>
      <c r="V170">
        <f>HYPERLINK("https://klasma.github.io/Logging_2481/klagomål/A 34781-2023 FSC-klagomål.docx", "A 34781-2023")</f>
        <v/>
      </c>
      <c r="W170">
        <f>HYPERLINK("https://klasma.github.io/Logging_2481/klagomålsmail/A 34781-2023 FSC-klagomål mail.docx", "A 34781-2023")</f>
        <v/>
      </c>
      <c r="X170">
        <f>HYPERLINK("https://klasma.github.io/Logging_2481/tillsyn/A 34781-2023 tillsynsbegäran.docx", "A 34781-2023")</f>
        <v/>
      </c>
      <c r="Y170">
        <f>HYPERLINK("https://klasma.github.io/Logging_2481/tillsynsmail/A 34781-2023 tillsynsbegäran mail.docx", "A 34781-2023")</f>
        <v/>
      </c>
    </row>
    <row r="171" ht="15" customHeight="1">
      <c r="A171" t="inlineStr">
        <is>
          <t>A 34871-2023</t>
        </is>
      </c>
      <c r="B171" s="1" t="n">
        <v>45142</v>
      </c>
      <c r="C171" s="1" t="n">
        <v>45740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HYPERLINK("https://klasma.github.io/Logging_2481/artfynd/A 34871-2023 artfynd.xlsx", "A 34871-2023")</f>
        <v/>
      </c>
      <c r="T171">
        <f>HYPERLINK("https://klasma.github.io/Logging_2481/kartor/A 34871-2023 karta.png", "A 34871-2023")</f>
        <v/>
      </c>
      <c r="V171">
        <f>HYPERLINK("https://klasma.github.io/Logging_2481/klagomål/A 34871-2023 FSC-klagomål.docx", "A 34871-2023")</f>
        <v/>
      </c>
      <c r="W171">
        <f>HYPERLINK("https://klasma.github.io/Logging_2481/klagomålsmail/A 34871-2023 FSC-klagomål mail.docx", "A 34871-2023")</f>
        <v/>
      </c>
      <c r="X171">
        <f>HYPERLINK("https://klasma.github.io/Logging_2481/tillsyn/A 34871-2023 tillsynsbegäran.docx", "A 34871-2023")</f>
        <v/>
      </c>
      <c r="Y171">
        <f>HYPERLINK("https://klasma.github.io/Logging_2481/tillsynsmail/A 34871-2023 tillsynsbegäran mail.docx", "A 34871-2023")</f>
        <v/>
      </c>
    </row>
    <row r="172" ht="15" customHeight="1">
      <c r="A172" t="inlineStr">
        <is>
          <t>A 37612-2023</t>
        </is>
      </c>
      <c r="B172" s="1" t="n">
        <v>45159</v>
      </c>
      <c r="C172" s="1" t="n">
        <v>45740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37612-2023 artfynd.xlsx", "A 37612-2023")</f>
        <v/>
      </c>
      <c r="T172">
        <f>HYPERLINK("https://klasma.github.io/Logging_2481/kartor/A 37612-2023 karta.png", "A 37612-2023")</f>
        <v/>
      </c>
      <c r="V172">
        <f>HYPERLINK("https://klasma.github.io/Logging_2481/klagomål/A 37612-2023 FSC-klagomål.docx", "A 37612-2023")</f>
        <v/>
      </c>
      <c r="W172">
        <f>HYPERLINK("https://klasma.github.io/Logging_2481/klagomålsmail/A 37612-2023 FSC-klagomål mail.docx", "A 37612-2023")</f>
        <v/>
      </c>
      <c r="X172">
        <f>HYPERLINK("https://klasma.github.io/Logging_2481/tillsyn/A 37612-2023 tillsynsbegäran.docx", "A 37612-2023")</f>
        <v/>
      </c>
      <c r="Y172">
        <f>HYPERLINK("https://klasma.github.io/Logging_2481/tillsynsmail/A 37612-2023 tillsynsbegäran mail.docx", "A 37612-2023")</f>
        <v/>
      </c>
    </row>
    <row r="173" ht="15" customHeight="1">
      <c r="A173" t="inlineStr">
        <is>
          <t>A 38507-2023</t>
        </is>
      </c>
      <c r="B173" s="1" t="n">
        <v>45162</v>
      </c>
      <c r="C173" s="1" t="n">
        <v>45740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40526-2023</t>
        </is>
      </c>
      <c r="B174" s="1" t="n">
        <v>45170</v>
      </c>
      <c r="C174" s="1" t="n">
        <v>45740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40526-2023 artfynd.xlsx", "A 40526-2023")</f>
        <v/>
      </c>
      <c r="T174">
        <f>HYPERLINK("https://klasma.github.io/Logging_2481/kartor/A 40526-2023 karta.png", "A 40526-2023")</f>
        <v/>
      </c>
      <c r="V174">
        <f>HYPERLINK("https://klasma.github.io/Logging_2481/klagomål/A 40526-2023 FSC-klagomål.docx", "A 40526-2023")</f>
        <v/>
      </c>
      <c r="W174">
        <f>HYPERLINK("https://klasma.github.io/Logging_2481/klagomålsmail/A 40526-2023 FSC-klagomål mail.docx", "A 40526-2023")</f>
        <v/>
      </c>
      <c r="X174">
        <f>HYPERLINK("https://klasma.github.io/Logging_2481/tillsyn/A 40526-2023 tillsynsbegäran.docx", "A 40526-2023")</f>
        <v/>
      </c>
      <c r="Y174">
        <f>HYPERLINK("https://klasma.github.io/Logging_2481/tillsynsmail/A 40526-2023 tillsynsbegäran mail.docx", "A 40526-2023")</f>
        <v/>
      </c>
    </row>
    <row r="175" ht="15" customHeight="1">
      <c r="A175" t="inlineStr">
        <is>
          <t>A 41432-2023</t>
        </is>
      </c>
      <c r="B175" s="1" t="n">
        <v>45175</v>
      </c>
      <c r="C175" s="1" t="n">
        <v>45740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41432-2023 artfynd.xlsx", "A 41432-2023")</f>
        <v/>
      </c>
      <c r="T175">
        <f>HYPERLINK("https://klasma.github.io/Logging_2481/kartor/A 41432-2023 karta.png", "A 41432-2023")</f>
        <v/>
      </c>
      <c r="V175">
        <f>HYPERLINK("https://klasma.github.io/Logging_2481/klagomål/A 41432-2023 FSC-klagomål.docx", "A 41432-2023")</f>
        <v/>
      </c>
      <c r="W175">
        <f>HYPERLINK("https://klasma.github.io/Logging_2481/klagomålsmail/A 41432-2023 FSC-klagomål mail.docx", "A 41432-2023")</f>
        <v/>
      </c>
      <c r="X175">
        <f>HYPERLINK("https://klasma.github.io/Logging_2481/tillsyn/A 41432-2023 tillsynsbegäran.docx", "A 41432-2023")</f>
        <v/>
      </c>
      <c r="Y175">
        <f>HYPERLINK("https://klasma.github.io/Logging_2481/tillsynsmail/A 41432-2023 tillsynsbegäran mail.docx", "A 41432-2023")</f>
        <v/>
      </c>
    </row>
    <row r="176" ht="15" customHeight="1">
      <c r="A176" t="inlineStr">
        <is>
          <t>A 43619-2023</t>
        </is>
      </c>
      <c r="B176" s="1" t="n">
        <v>45184</v>
      </c>
      <c r="C176" s="1" t="n">
        <v>45740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43619-2023 artfynd.xlsx", "A 43619-2023")</f>
        <v/>
      </c>
      <c r="T176">
        <f>HYPERLINK("https://klasma.github.io/Logging_2481/kartor/A 43619-2023 karta.png", "A 43619-2023")</f>
        <v/>
      </c>
      <c r="V176">
        <f>HYPERLINK("https://klasma.github.io/Logging_2481/klagomål/A 43619-2023 FSC-klagomål.docx", "A 43619-2023")</f>
        <v/>
      </c>
      <c r="W176">
        <f>HYPERLINK("https://klasma.github.io/Logging_2481/klagomålsmail/A 43619-2023 FSC-klagomål mail.docx", "A 43619-2023")</f>
        <v/>
      </c>
      <c r="X176">
        <f>HYPERLINK("https://klasma.github.io/Logging_2481/tillsyn/A 43619-2023 tillsynsbegäran.docx", "A 43619-2023")</f>
        <v/>
      </c>
      <c r="Y176">
        <f>HYPERLINK("https://klasma.github.io/Logging_2481/tillsynsmail/A 43619-2023 tillsynsbegäran mail.docx", "A 43619-2023")</f>
        <v/>
      </c>
    </row>
    <row r="177" ht="15" customHeight="1">
      <c r="A177" t="inlineStr">
        <is>
          <t>A 43616-2023</t>
        </is>
      </c>
      <c r="B177" s="1" t="n">
        <v>45184</v>
      </c>
      <c r="C177" s="1" t="n">
        <v>45740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43616-2023 artfynd.xlsx", "A 43616-2023")</f>
        <v/>
      </c>
      <c r="T177">
        <f>HYPERLINK("https://klasma.github.io/Logging_2481/kartor/A 43616-2023 karta.png", "A 43616-2023")</f>
        <v/>
      </c>
      <c r="V177">
        <f>HYPERLINK("https://klasma.github.io/Logging_2481/klagomål/A 43616-2023 FSC-klagomål.docx", "A 43616-2023")</f>
        <v/>
      </c>
      <c r="W177">
        <f>HYPERLINK("https://klasma.github.io/Logging_2481/klagomålsmail/A 43616-2023 FSC-klagomål mail.docx", "A 43616-2023")</f>
        <v/>
      </c>
      <c r="X177">
        <f>HYPERLINK("https://klasma.github.io/Logging_2481/tillsyn/A 43616-2023 tillsynsbegäran.docx", "A 43616-2023")</f>
        <v/>
      </c>
      <c r="Y177">
        <f>HYPERLINK("https://klasma.github.io/Logging_2481/tillsynsmail/A 43616-2023 tillsynsbegäran mail.docx", "A 43616-2023")</f>
        <v/>
      </c>
    </row>
    <row r="178" ht="15" customHeight="1">
      <c r="A178" t="inlineStr">
        <is>
          <t>A 44194-2023</t>
        </is>
      </c>
      <c r="B178" s="1" t="n">
        <v>45188</v>
      </c>
      <c r="C178" s="1" t="n">
        <v>45740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44194-2023 artfynd.xlsx", "A 44194-2023")</f>
        <v/>
      </c>
      <c r="T178">
        <f>HYPERLINK("https://klasma.github.io/Logging_2481/kartor/A 44194-2023 karta.png", "A 44194-2023")</f>
        <v/>
      </c>
      <c r="V178">
        <f>HYPERLINK("https://klasma.github.io/Logging_2481/klagomål/A 44194-2023 FSC-klagomål.docx", "A 44194-2023")</f>
        <v/>
      </c>
      <c r="W178">
        <f>HYPERLINK("https://klasma.github.io/Logging_2481/klagomålsmail/A 44194-2023 FSC-klagomål mail.docx", "A 44194-2023")</f>
        <v/>
      </c>
      <c r="X178">
        <f>HYPERLINK("https://klasma.github.io/Logging_2481/tillsyn/A 44194-2023 tillsynsbegäran.docx", "A 44194-2023")</f>
        <v/>
      </c>
      <c r="Y178">
        <f>HYPERLINK("https://klasma.github.io/Logging_2481/tillsynsmail/A 44194-2023 tillsynsbegäran mail.docx", "A 44194-2023")</f>
        <v/>
      </c>
    </row>
    <row r="179" ht="15" customHeight="1">
      <c r="A179" t="inlineStr">
        <is>
          <t>A 46114-2023</t>
        </is>
      </c>
      <c r="B179" s="1" t="n">
        <v>45196</v>
      </c>
      <c r="C179" s="1" t="n">
        <v>45740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46114-2023 artfynd.xlsx", "A 46114-2023")</f>
        <v/>
      </c>
      <c r="T179">
        <f>HYPERLINK("https://klasma.github.io/Logging_2481/kartor/A 46114-2023 karta.png", "A 46114-2023")</f>
        <v/>
      </c>
      <c r="V179">
        <f>HYPERLINK("https://klasma.github.io/Logging_2481/klagomål/A 46114-2023 FSC-klagomål.docx", "A 46114-2023")</f>
        <v/>
      </c>
      <c r="W179">
        <f>HYPERLINK("https://klasma.github.io/Logging_2481/klagomålsmail/A 46114-2023 FSC-klagomål mail.docx", "A 46114-2023")</f>
        <v/>
      </c>
      <c r="X179">
        <f>HYPERLINK("https://klasma.github.io/Logging_2481/tillsyn/A 46114-2023 tillsynsbegäran.docx", "A 46114-2023")</f>
        <v/>
      </c>
      <c r="Y179">
        <f>HYPERLINK("https://klasma.github.io/Logging_2481/tillsynsmail/A 46114-2023 tillsynsbegäran mail.docx", "A 46114-2023")</f>
        <v/>
      </c>
    </row>
    <row r="180" ht="15" customHeight="1">
      <c r="A180" t="inlineStr">
        <is>
          <t>A 50997-2023</t>
        </is>
      </c>
      <c r="B180" s="1" t="n">
        <v>45218</v>
      </c>
      <c r="C180" s="1" t="n">
        <v>45740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50997-2023 artfynd.xlsx", "A 50997-2023")</f>
        <v/>
      </c>
      <c r="T180">
        <f>HYPERLINK("https://klasma.github.io/Logging_2481/kartor/A 50997-2023 karta.png", "A 50997-2023")</f>
        <v/>
      </c>
      <c r="V180">
        <f>HYPERLINK("https://klasma.github.io/Logging_2481/klagomål/A 50997-2023 FSC-klagomål.docx", "A 50997-2023")</f>
        <v/>
      </c>
      <c r="W180">
        <f>HYPERLINK("https://klasma.github.io/Logging_2481/klagomålsmail/A 50997-2023 FSC-klagomål mail.docx", "A 50997-2023")</f>
        <v/>
      </c>
      <c r="X180">
        <f>HYPERLINK("https://klasma.github.io/Logging_2481/tillsyn/A 50997-2023 tillsynsbegäran.docx", "A 50997-2023")</f>
        <v/>
      </c>
      <c r="Y180">
        <f>HYPERLINK("https://klasma.github.io/Logging_2481/tillsynsmail/A 50997-2023 tillsynsbegäran mail.docx", "A 50997-2023")</f>
        <v/>
      </c>
    </row>
    <row r="181" ht="15" customHeight="1">
      <c r="A181" t="inlineStr">
        <is>
          <t>A 52929-2023</t>
        </is>
      </c>
      <c r="B181" s="1" t="n">
        <v>45226</v>
      </c>
      <c r="C181" s="1" t="n">
        <v>45740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52929-2023 artfynd.xlsx", "A 52929-2023")</f>
        <v/>
      </c>
      <c r="T181">
        <f>HYPERLINK("https://klasma.github.io/Logging_2481/kartor/A 52929-2023 karta.png", "A 52929-2023")</f>
        <v/>
      </c>
      <c r="V181">
        <f>HYPERLINK("https://klasma.github.io/Logging_2481/klagomål/A 52929-2023 FSC-klagomål.docx", "A 52929-2023")</f>
        <v/>
      </c>
      <c r="W181">
        <f>HYPERLINK("https://klasma.github.io/Logging_2481/klagomålsmail/A 52929-2023 FSC-klagomål mail.docx", "A 52929-2023")</f>
        <v/>
      </c>
      <c r="X181">
        <f>HYPERLINK("https://klasma.github.io/Logging_2481/tillsyn/A 52929-2023 tillsynsbegäran.docx", "A 52929-2023")</f>
        <v/>
      </c>
      <c r="Y181">
        <f>HYPERLINK("https://klasma.github.io/Logging_2481/tillsynsmail/A 52929-2023 tillsynsbegäran mail.docx", "A 52929-2023")</f>
        <v/>
      </c>
    </row>
    <row r="182" ht="15" customHeight="1">
      <c r="A182" t="inlineStr">
        <is>
          <t>A 53869-2023</t>
        </is>
      </c>
      <c r="B182" s="1" t="n">
        <v>45231</v>
      </c>
      <c r="C182" s="1" t="n">
        <v>45740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53869-2023 artfynd.xlsx", "A 53869-2023")</f>
        <v/>
      </c>
      <c r="T182">
        <f>HYPERLINK("https://klasma.github.io/Logging_2481/kartor/A 53869-2023 karta.png", "A 53869-2023")</f>
        <v/>
      </c>
      <c r="V182">
        <f>HYPERLINK("https://klasma.github.io/Logging_2481/klagomål/A 53869-2023 FSC-klagomål.docx", "A 53869-2023")</f>
        <v/>
      </c>
      <c r="W182">
        <f>HYPERLINK("https://klasma.github.io/Logging_2481/klagomålsmail/A 53869-2023 FSC-klagomål mail.docx", "A 53869-2023")</f>
        <v/>
      </c>
      <c r="X182">
        <f>HYPERLINK("https://klasma.github.io/Logging_2481/tillsyn/A 53869-2023 tillsynsbegäran.docx", "A 53869-2023")</f>
        <v/>
      </c>
      <c r="Y182">
        <f>HYPERLINK("https://klasma.github.io/Logging_2481/tillsynsmail/A 53869-2023 tillsynsbegäran mail.docx", "A 53869-2023")</f>
        <v/>
      </c>
    </row>
    <row r="183" ht="15" customHeight="1">
      <c r="A183" t="inlineStr">
        <is>
          <t>A 57462-2023</t>
        </is>
      </c>
      <c r="B183" s="1" t="n">
        <v>45246</v>
      </c>
      <c r="C183" s="1" t="n">
        <v>45740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Mörk kolflarnlav</t>
        </is>
      </c>
      <c r="S183">
        <f>HYPERLINK("https://klasma.github.io/Logging_2481/artfynd/A 57462-2023 artfynd.xlsx", "A 57462-2023")</f>
        <v/>
      </c>
      <c r="T183">
        <f>HYPERLINK("https://klasma.github.io/Logging_2481/kartor/A 57462-2023 karta.png", "A 57462-2023")</f>
        <v/>
      </c>
      <c r="V183">
        <f>HYPERLINK("https://klasma.github.io/Logging_2481/klagomål/A 57462-2023 FSC-klagomål.docx", "A 57462-2023")</f>
        <v/>
      </c>
      <c r="W183">
        <f>HYPERLINK("https://klasma.github.io/Logging_2481/klagomålsmail/A 57462-2023 FSC-klagomål mail.docx", "A 57462-2023")</f>
        <v/>
      </c>
      <c r="X183">
        <f>HYPERLINK("https://klasma.github.io/Logging_2481/tillsyn/A 57462-2023 tillsynsbegäran.docx", "A 57462-2023")</f>
        <v/>
      </c>
      <c r="Y183">
        <f>HYPERLINK("https://klasma.github.io/Logging_2481/tillsynsmail/A 57462-2023 tillsynsbegäran mail.docx", "A 57462-2023")</f>
        <v/>
      </c>
    </row>
    <row r="184" ht="15" customHeight="1">
      <c r="A184" t="inlineStr">
        <is>
          <t>A 58657-2023</t>
        </is>
      </c>
      <c r="B184" s="1" t="n">
        <v>45251</v>
      </c>
      <c r="C184" s="1" t="n">
        <v>45740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Bollvitmossa</t>
        </is>
      </c>
      <c r="S184">
        <f>HYPERLINK("https://klasma.github.io/Logging_2481/artfynd/A 58657-2023 artfynd.xlsx", "A 58657-2023")</f>
        <v/>
      </c>
      <c r="T184">
        <f>HYPERLINK("https://klasma.github.io/Logging_2481/kartor/A 58657-2023 karta.png", "A 58657-2023")</f>
        <v/>
      </c>
      <c r="V184">
        <f>HYPERLINK("https://klasma.github.io/Logging_2481/klagomål/A 58657-2023 FSC-klagomål.docx", "A 58657-2023")</f>
        <v/>
      </c>
      <c r="W184">
        <f>HYPERLINK("https://klasma.github.io/Logging_2481/klagomålsmail/A 58657-2023 FSC-klagomål mail.docx", "A 58657-2023")</f>
        <v/>
      </c>
      <c r="X184">
        <f>HYPERLINK("https://klasma.github.io/Logging_2481/tillsyn/A 58657-2023 tillsynsbegäran.docx", "A 58657-2023")</f>
        <v/>
      </c>
      <c r="Y184">
        <f>HYPERLINK("https://klasma.github.io/Logging_2481/tillsynsmail/A 58657-2023 tillsynsbegäran mail.docx", "A 58657-2023")</f>
        <v/>
      </c>
    </row>
    <row r="185" ht="15" customHeight="1">
      <c r="A185" t="inlineStr">
        <is>
          <t>A 59300-2023</t>
        </is>
      </c>
      <c r="B185" s="1" t="n">
        <v>45253</v>
      </c>
      <c r="C185" s="1" t="n">
        <v>45740</v>
      </c>
      <c r="D185" t="inlineStr">
        <is>
          <t>VÄSTERBOTTENS LÄN</t>
        </is>
      </c>
      <c r="E185" t="inlineStr">
        <is>
          <t>LYCKSELE</t>
        </is>
      </c>
      <c r="G185" t="n">
        <v>22.1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HYPERLINK("https://klasma.github.io/Logging_2481/artfynd/A 59300-2023 artfynd.xlsx", "A 59300-2023")</f>
        <v/>
      </c>
      <c r="T185">
        <f>HYPERLINK("https://klasma.github.io/Logging_2481/kartor/A 59300-2023 karta.png", "A 59300-2023")</f>
        <v/>
      </c>
      <c r="V185">
        <f>HYPERLINK("https://klasma.github.io/Logging_2481/klagomål/A 59300-2023 FSC-klagomål.docx", "A 59300-2023")</f>
        <v/>
      </c>
      <c r="W185">
        <f>HYPERLINK("https://klasma.github.io/Logging_2481/klagomålsmail/A 59300-2023 FSC-klagomål mail.docx", "A 59300-2023")</f>
        <v/>
      </c>
      <c r="X185">
        <f>HYPERLINK("https://klasma.github.io/Logging_2481/tillsyn/A 59300-2023 tillsynsbegäran.docx", "A 59300-2023")</f>
        <v/>
      </c>
      <c r="Y185">
        <f>HYPERLINK("https://klasma.github.io/Logging_2481/tillsynsmail/A 59300-2023 tillsynsbegäran mail.docx", "A 59300-2023")</f>
        <v/>
      </c>
    </row>
    <row r="186" ht="15" customHeight="1">
      <c r="A186" t="inlineStr">
        <is>
          <t>A 61590-2023</t>
        </is>
      </c>
      <c r="B186" s="1" t="n">
        <v>45265</v>
      </c>
      <c r="C186" s="1" t="n">
        <v>45740</v>
      </c>
      <c r="D186" t="inlineStr">
        <is>
          <t>VÄSTERBOTTENS LÄN</t>
        </is>
      </c>
      <c r="E186" t="inlineStr">
        <is>
          <t>LYCKSELE</t>
        </is>
      </c>
      <c r="G186" t="n">
        <v>8.800000000000001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Plattlummer</t>
        </is>
      </c>
      <c r="S186">
        <f>HYPERLINK("https://klasma.github.io/Logging_2481/artfynd/A 61590-2023 artfynd.xlsx", "A 61590-2023")</f>
        <v/>
      </c>
      <c r="T186">
        <f>HYPERLINK("https://klasma.github.io/Logging_2481/kartor/A 61590-2023 karta.png", "A 61590-2023")</f>
        <v/>
      </c>
      <c r="V186">
        <f>HYPERLINK("https://klasma.github.io/Logging_2481/klagomål/A 61590-2023 FSC-klagomål.docx", "A 61590-2023")</f>
        <v/>
      </c>
      <c r="W186">
        <f>HYPERLINK("https://klasma.github.io/Logging_2481/klagomålsmail/A 61590-2023 FSC-klagomål mail.docx", "A 61590-2023")</f>
        <v/>
      </c>
      <c r="X186">
        <f>HYPERLINK("https://klasma.github.io/Logging_2481/tillsyn/A 61590-2023 tillsynsbegäran.docx", "A 61590-2023")</f>
        <v/>
      </c>
      <c r="Y186">
        <f>HYPERLINK("https://klasma.github.io/Logging_2481/tillsynsmail/A 61590-2023 tillsynsbegäran mail.docx", "A 61590-2023")</f>
        <v/>
      </c>
    </row>
    <row r="187" ht="15" customHeight="1">
      <c r="A187" t="inlineStr">
        <is>
          <t>A 496-2024</t>
        </is>
      </c>
      <c r="B187" s="1" t="n">
        <v>45299</v>
      </c>
      <c r="C187" s="1" t="n">
        <v>45740</v>
      </c>
      <c r="D187" t="inlineStr">
        <is>
          <t>VÄSTERBOTTENS LÄN</t>
        </is>
      </c>
      <c r="E187" t="inlineStr">
        <is>
          <t>LYCKSELE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HYPERLINK("https://klasma.github.io/Logging_2481/artfynd/A 496-2024 artfynd.xlsx", "A 496-2024")</f>
        <v/>
      </c>
      <c r="T187">
        <f>HYPERLINK("https://klasma.github.io/Logging_2481/kartor/A 496-2024 karta.png", "A 496-2024")</f>
        <v/>
      </c>
      <c r="V187">
        <f>HYPERLINK("https://klasma.github.io/Logging_2481/klagomål/A 496-2024 FSC-klagomål.docx", "A 496-2024")</f>
        <v/>
      </c>
      <c r="W187">
        <f>HYPERLINK("https://klasma.github.io/Logging_2481/klagomålsmail/A 496-2024 FSC-klagomål mail.docx", "A 496-2024")</f>
        <v/>
      </c>
      <c r="X187">
        <f>HYPERLINK("https://klasma.github.io/Logging_2481/tillsyn/A 496-2024 tillsynsbegäran.docx", "A 496-2024")</f>
        <v/>
      </c>
      <c r="Y187">
        <f>HYPERLINK("https://klasma.github.io/Logging_2481/tillsynsmail/A 496-2024 tillsynsbegäran mail.docx", "A 496-2024")</f>
        <v/>
      </c>
      <c r="Z187">
        <f>HYPERLINK("https://klasma.github.io/Logging_2481/fåglar/A 496-2024 prioriterade fågelarter.docx", "A 496-2024")</f>
        <v/>
      </c>
    </row>
    <row r="188" ht="15" customHeight="1">
      <c r="A188" t="inlineStr">
        <is>
          <t>A 1778-2024</t>
        </is>
      </c>
      <c r="B188" s="1" t="n">
        <v>45307</v>
      </c>
      <c r="C188" s="1" t="n">
        <v>45740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9.800000000000001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1778-2024 artfynd.xlsx", "A 1778-2024")</f>
        <v/>
      </c>
      <c r="T188">
        <f>HYPERLINK("https://klasma.github.io/Logging_2481/kartor/A 1778-2024 karta.png", "A 1778-2024")</f>
        <v/>
      </c>
      <c r="V188">
        <f>HYPERLINK("https://klasma.github.io/Logging_2481/klagomål/A 1778-2024 FSC-klagomål.docx", "A 1778-2024")</f>
        <v/>
      </c>
      <c r="W188">
        <f>HYPERLINK("https://klasma.github.io/Logging_2481/klagomålsmail/A 1778-2024 FSC-klagomål mail.docx", "A 1778-2024")</f>
        <v/>
      </c>
      <c r="X188">
        <f>HYPERLINK("https://klasma.github.io/Logging_2481/tillsyn/A 1778-2024 tillsynsbegäran.docx", "A 1778-2024")</f>
        <v/>
      </c>
      <c r="Y188">
        <f>HYPERLINK("https://klasma.github.io/Logging_2481/tillsynsmail/A 1778-2024 tillsynsbegäran mail.docx", "A 1778-2024")</f>
        <v/>
      </c>
    </row>
    <row r="189" ht="15" customHeight="1">
      <c r="A189" t="inlineStr">
        <is>
          <t>A 1973-2024</t>
        </is>
      </c>
      <c r="B189" s="1" t="n">
        <v>45308</v>
      </c>
      <c r="C189" s="1" t="n">
        <v>45740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1973-2024 artfynd.xlsx", "A 1973-2024")</f>
        <v/>
      </c>
      <c r="T189">
        <f>HYPERLINK("https://klasma.github.io/Logging_2481/kartor/A 1973-2024 karta.png", "A 1973-2024")</f>
        <v/>
      </c>
      <c r="V189">
        <f>HYPERLINK("https://klasma.github.io/Logging_2481/klagomål/A 1973-2024 FSC-klagomål.docx", "A 1973-2024")</f>
        <v/>
      </c>
      <c r="W189">
        <f>HYPERLINK("https://klasma.github.io/Logging_2481/klagomålsmail/A 1973-2024 FSC-klagomål mail.docx", "A 1973-2024")</f>
        <v/>
      </c>
      <c r="X189">
        <f>HYPERLINK("https://klasma.github.io/Logging_2481/tillsyn/A 1973-2024 tillsynsbegäran.docx", "A 1973-2024")</f>
        <v/>
      </c>
      <c r="Y189">
        <f>HYPERLINK("https://klasma.github.io/Logging_2481/tillsynsmail/A 1973-2024 tillsynsbegäran mail.docx", "A 1973-2024")</f>
        <v/>
      </c>
    </row>
    <row r="190" ht="15" customHeight="1">
      <c r="A190" t="inlineStr">
        <is>
          <t>A 1936-2024</t>
        </is>
      </c>
      <c r="B190" s="1" t="n">
        <v>45308</v>
      </c>
      <c r="C190" s="1" t="n">
        <v>45740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HYPERLINK("https://klasma.github.io/Logging_2481/artfynd/A 1936-2024 artfynd.xlsx", "A 1936-2024")</f>
        <v/>
      </c>
      <c r="T190">
        <f>HYPERLINK("https://klasma.github.io/Logging_2481/kartor/A 1936-2024 karta.png", "A 1936-2024")</f>
        <v/>
      </c>
      <c r="V190">
        <f>HYPERLINK("https://klasma.github.io/Logging_2481/klagomål/A 1936-2024 FSC-klagomål.docx", "A 1936-2024")</f>
        <v/>
      </c>
      <c r="W190">
        <f>HYPERLINK("https://klasma.github.io/Logging_2481/klagomålsmail/A 1936-2024 FSC-klagomål mail.docx", "A 1936-2024")</f>
        <v/>
      </c>
      <c r="X190">
        <f>HYPERLINK("https://klasma.github.io/Logging_2481/tillsyn/A 1936-2024 tillsynsbegäran.docx", "A 1936-2024")</f>
        <v/>
      </c>
      <c r="Y190">
        <f>HYPERLINK("https://klasma.github.io/Logging_2481/tillsynsmail/A 1936-2024 tillsynsbegäran mail.docx", "A 1936-2024")</f>
        <v/>
      </c>
    </row>
    <row r="191" ht="15" customHeight="1">
      <c r="A191" t="inlineStr">
        <is>
          <t>A 17415-2024</t>
        </is>
      </c>
      <c r="B191" s="1" t="n">
        <v>45414</v>
      </c>
      <c r="C191" s="1" t="n">
        <v>45740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Reliktbock</t>
        </is>
      </c>
      <c r="S191">
        <f>HYPERLINK("https://klasma.github.io/Logging_2481/artfynd/A 17415-2024 artfynd.xlsx", "A 17415-2024")</f>
        <v/>
      </c>
      <c r="T191">
        <f>HYPERLINK("https://klasma.github.io/Logging_2481/kartor/A 17415-2024 karta.png", "A 17415-2024")</f>
        <v/>
      </c>
      <c r="V191">
        <f>HYPERLINK("https://klasma.github.io/Logging_2481/klagomål/A 17415-2024 FSC-klagomål.docx", "A 17415-2024")</f>
        <v/>
      </c>
      <c r="W191">
        <f>HYPERLINK("https://klasma.github.io/Logging_2481/klagomålsmail/A 17415-2024 FSC-klagomål mail.docx", "A 17415-2024")</f>
        <v/>
      </c>
      <c r="X191">
        <f>HYPERLINK("https://klasma.github.io/Logging_2481/tillsyn/A 17415-2024 tillsynsbegäran.docx", "A 17415-2024")</f>
        <v/>
      </c>
      <c r="Y191">
        <f>HYPERLINK("https://klasma.github.io/Logging_2481/tillsynsmail/A 17415-2024 tillsynsbegäran mail.docx", "A 17415-2024")</f>
        <v/>
      </c>
    </row>
    <row r="192" ht="15" customHeight="1">
      <c r="A192" t="inlineStr">
        <is>
          <t>A 24824-2024</t>
        </is>
      </c>
      <c r="B192" s="1" t="n">
        <v>45461</v>
      </c>
      <c r="C192" s="1" t="n">
        <v>45740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Kungsörn</t>
        </is>
      </c>
      <c r="S192">
        <f>HYPERLINK("https://klasma.github.io/Logging_2481/artfynd/A 24824-2024 artfynd.xlsx", "A 24824-2024")</f>
        <v/>
      </c>
      <c r="T192">
        <f>HYPERLINK("https://klasma.github.io/Logging_2481/kartor/A 24824-2024 karta.png", "A 24824-2024")</f>
        <v/>
      </c>
      <c r="V192">
        <f>HYPERLINK("https://klasma.github.io/Logging_2481/klagomål/A 24824-2024 FSC-klagomål.docx", "A 24824-2024")</f>
        <v/>
      </c>
      <c r="W192">
        <f>HYPERLINK("https://klasma.github.io/Logging_2481/klagomålsmail/A 24824-2024 FSC-klagomål mail.docx", "A 24824-2024")</f>
        <v/>
      </c>
      <c r="X192">
        <f>HYPERLINK("https://klasma.github.io/Logging_2481/tillsyn/A 24824-2024 tillsynsbegäran.docx", "A 24824-2024")</f>
        <v/>
      </c>
      <c r="Y192">
        <f>HYPERLINK("https://klasma.github.io/Logging_2481/tillsynsmail/A 24824-2024 tillsynsbegäran mail.docx", "A 24824-2024")</f>
        <v/>
      </c>
      <c r="Z192">
        <f>HYPERLINK("https://klasma.github.io/Logging_2481/fåglar/A 24824-2024 prioriterade fågelarter.docx", "A 24824-2024")</f>
        <v/>
      </c>
    </row>
    <row r="193" ht="15" customHeight="1">
      <c r="A193" t="inlineStr">
        <is>
          <t>A 25667-2024</t>
        </is>
      </c>
      <c r="B193" s="1" t="n">
        <v>45463</v>
      </c>
      <c r="C193" s="1" t="n">
        <v>45740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25667-2024 artfynd.xlsx", "A 25667-2024")</f>
        <v/>
      </c>
      <c r="T193">
        <f>HYPERLINK("https://klasma.github.io/Logging_2481/kartor/A 25667-2024 karta.png", "A 25667-2024")</f>
        <v/>
      </c>
      <c r="V193">
        <f>HYPERLINK("https://klasma.github.io/Logging_2481/klagomål/A 25667-2024 FSC-klagomål.docx", "A 25667-2024")</f>
        <v/>
      </c>
      <c r="W193">
        <f>HYPERLINK("https://klasma.github.io/Logging_2481/klagomålsmail/A 25667-2024 FSC-klagomål mail.docx", "A 25667-2024")</f>
        <v/>
      </c>
      <c r="X193">
        <f>HYPERLINK("https://klasma.github.io/Logging_2481/tillsyn/A 25667-2024 tillsynsbegäran.docx", "A 25667-2024")</f>
        <v/>
      </c>
      <c r="Y193">
        <f>HYPERLINK("https://klasma.github.io/Logging_2481/tillsynsmail/A 25667-2024 tillsynsbegäran mail.docx", "A 25667-2024")</f>
        <v/>
      </c>
    </row>
    <row r="194" ht="15" customHeight="1">
      <c r="A194" t="inlineStr">
        <is>
          <t>A 26539-2024</t>
        </is>
      </c>
      <c r="B194" s="1" t="n">
        <v>45469</v>
      </c>
      <c r="C194" s="1" t="n">
        <v>45740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15.2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26539-2024 artfynd.xlsx", "A 26539-2024")</f>
        <v/>
      </c>
      <c r="T194">
        <f>HYPERLINK("https://klasma.github.io/Logging_2481/kartor/A 26539-2024 karta.png", "A 26539-2024")</f>
        <v/>
      </c>
      <c r="V194">
        <f>HYPERLINK("https://klasma.github.io/Logging_2481/klagomål/A 26539-2024 FSC-klagomål.docx", "A 26539-2024")</f>
        <v/>
      </c>
      <c r="W194">
        <f>HYPERLINK("https://klasma.github.io/Logging_2481/klagomålsmail/A 26539-2024 FSC-klagomål mail.docx", "A 26539-2024")</f>
        <v/>
      </c>
      <c r="X194">
        <f>HYPERLINK("https://klasma.github.io/Logging_2481/tillsyn/A 26539-2024 tillsynsbegäran.docx", "A 26539-2024")</f>
        <v/>
      </c>
      <c r="Y194">
        <f>HYPERLINK("https://klasma.github.io/Logging_2481/tillsynsmail/A 26539-2024 tillsynsbegäran mail.docx", "A 26539-2024")</f>
        <v/>
      </c>
    </row>
    <row r="195" ht="15" customHeight="1">
      <c r="A195" t="inlineStr">
        <is>
          <t>A 26857-2024</t>
        </is>
      </c>
      <c r="B195" s="1" t="n">
        <v>45470</v>
      </c>
      <c r="C195" s="1" t="n">
        <v>45740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26857-2024 artfynd.xlsx", "A 26857-2024")</f>
        <v/>
      </c>
      <c r="T195">
        <f>HYPERLINK("https://klasma.github.io/Logging_2481/kartor/A 26857-2024 karta.png", "A 26857-2024")</f>
        <v/>
      </c>
      <c r="V195">
        <f>HYPERLINK("https://klasma.github.io/Logging_2481/klagomål/A 26857-2024 FSC-klagomål.docx", "A 26857-2024")</f>
        <v/>
      </c>
      <c r="W195">
        <f>HYPERLINK("https://klasma.github.io/Logging_2481/klagomålsmail/A 26857-2024 FSC-klagomål mail.docx", "A 26857-2024")</f>
        <v/>
      </c>
      <c r="X195">
        <f>HYPERLINK("https://klasma.github.io/Logging_2481/tillsyn/A 26857-2024 tillsynsbegäran.docx", "A 26857-2024")</f>
        <v/>
      </c>
      <c r="Y195">
        <f>HYPERLINK("https://klasma.github.io/Logging_2481/tillsynsmail/A 26857-2024 tillsynsbegäran mail.docx", "A 26857-2024")</f>
        <v/>
      </c>
    </row>
    <row r="196" ht="15" customHeight="1">
      <c r="A196" t="inlineStr">
        <is>
          <t>A 27669-2024</t>
        </is>
      </c>
      <c r="B196" s="1" t="n">
        <v>45475</v>
      </c>
      <c r="C196" s="1" t="n">
        <v>45740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Bårdlav</t>
        </is>
      </c>
      <c r="S196">
        <f>HYPERLINK("https://klasma.github.io/Logging_2481/artfynd/A 27669-2024 artfynd.xlsx", "A 27669-2024")</f>
        <v/>
      </c>
      <c r="T196">
        <f>HYPERLINK("https://klasma.github.io/Logging_2481/kartor/A 27669-2024 karta.png", "A 27669-2024")</f>
        <v/>
      </c>
      <c r="V196">
        <f>HYPERLINK("https://klasma.github.io/Logging_2481/klagomål/A 27669-2024 FSC-klagomål.docx", "A 27669-2024")</f>
        <v/>
      </c>
      <c r="W196">
        <f>HYPERLINK("https://klasma.github.io/Logging_2481/klagomålsmail/A 27669-2024 FSC-klagomål mail.docx", "A 27669-2024")</f>
        <v/>
      </c>
      <c r="X196">
        <f>HYPERLINK("https://klasma.github.io/Logging_2481/tillsyn/A 27669-2024 tillsynsbegäran.docx", "A 27669-2024")</f>
        <v/>
      </c>
      <c r="Y196">
        <f>HYPERLINK("https://klasma.github.io/Logging_2481/tillsynsmail/A 27669-2024 tillsynsbegäran mail.docx", "A 27669-2024")</f>
        <v/>
      </c>
    </row>
    <row r="197" ht="15" customHeight="1">
      <c r="A197" t="inlineStr">
        <is>
          <t>A 27930-2024</t>
        </is>
      </c>
      <c r="B197" s="1" t="n">
        <v>45475</v>
      </c>
      <c r="C197" s="1" t="n">
        <v>45740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Naturvårdsverket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HYPERLINK("https://klasma.github.io/Logging_2481/artfynd/A 27930-2024 artfynd.xlsx", "A 27930-2024")</f>
        <v/>
      </c>
      <c r="T197">
        <f>HYPERLINK("https://klasma.github.io/Logging_2481/kartor/A 27930-2024 karta.png", "A 27930-2024")</f>
        <v/>
      </c>
      <c r="V197">
        <f>HYPERLINK("https://klasma.github.io/Logging_2481/klagomål/A 27930-2024 FSC-klagomål.docx", "A 27930-2024")</f>
        <v/>
      </c>
      <c r="W197">
        <f>HYPERLINK("https://klasma.github.io/Logging_2481/klagomålsmail/A 27930-2024 FSC-klagomål mail.docx", "A 27930-2024")</f>
        <v/>
      </c>
      <c r="X197">
        <f>HYPERLINK("https://klasma.github.io/Logging_2481/tillsyn/A 27930-2024 tillsynsbegäran.docx", "A 27930-2024")</f>
        <v/>
      </c>
      <c r="Y197">
        <f>HYPERLINK("https://klasma.github.io/Logging_2481/tillsynsmail/A 27930-2024 tillsynsbegäran mail.docx", "A 27930-2024")</f>
        <v/>
      </c>
    </row>
    <row r="198" ht="15" customHeight="1">
      <c r="A198" t="inlineStr">
        <is>
          <t>A 28012-2024</t>
        </is>
      </c>
      <c r="B198" s="1" t="n">
        <v>45476</v>
      </c>
      <c r="C198" s="1" t="n">
        <v>45740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28012-2024 artfynd.xlsx", "A 28012-2024")</f>
        <v/>
      </c>
      <c r="T198">
        <f>HYPERLINK("https://klasma.github.io/Logging_2481/kartor/A 28012-2024 karta.png", "A 28012-2024")</f>
        <v/>
      </c>
      <c r="V198">
        <f>HYPERLINK("https://klasma.github.io/Logging_2481/klagomål/A 28012-2024 FSC-klagomål.docx", "A 28012-2024")</f>
        <v/>
      </c>
      <c r="W198">
        <f>HYPERLINK("https://klasma.github.io/Logging_2481/klagomålsmail/A 28012-2024 FSC-klagomål mail.docx", "A 28012-2024")</f>
        <v/>
      </c>
      <c r="X198">
        <f>HYPERLINK("https://klasma.github.io/Logging_2481/tillsyn/A 28012-2024 tillsynsbegäran.docx", "A 28012-2024")</f>
        <v/>
      </c>
      <c r="Y198">
        <f>HYPERLINK("https://klasma.github.io/Logging_2481/tillsynsmail/A 28012-2024 tillsynsbegäran mail.docx", "A 28012-2024")</f>
        <v/>
      </c>
    </row>
    <row r="199" ht="15" customHeight="1">
      <c r="A199" t="inlineStr">
        <is>
          <t>A 28841-2024</t>
        </is>
      </c>
      <c r="B199" s="1" t="n">
        <v>45478</v>
      </c>
      <c r="C199" s="1" t="n">
        <v>45740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28841-2024 artfynd.xlsx", "A 28841-2024")</f>
        <v/>
      </c>
      <c r="T199">
        <f>HYPERLINK("https://klasma.github.io/Logging_2481/kartor/A 28841-2024 karta.png", "A 28841-2024")</f>
        <v/>
      </c>
      <c r="V199">
        <f>HYPERLINK("https://klasma.github.io/Logging_2481/klagomål/A 28841-2024 FSC-klagomål.docx", "A 28841-2024")</f>
        <v/>
      </c>
      <c r="W199">
        <f>HYPERLINK("https://klasma.github.io/Logging_2481/klagomålsmail/A 28841-2024 FSC-klagomål mail.docx", "A 28841-2024")</f>
        <v/>
      </c>
      <c r="X199">
        <f>HYPERLINK("https://klasma.github.io/Logging_2481/tillsyn/A 28841-2024 tillsynsbegäran.docx", "A 28841-2024")</f>
        <v/>
      </c>
      <c r="Y199">
        <f>HYPERLINK("https://klasma.github.io/Logging_2481/tillsynsmail/A 28841-2024 tillsynsbegäran mail.docx", "A 28841-2024")</f>
        <v/>
      </c>
    </row>
    <row r="200" ht="15" customHeight="1">
      <c r="A200" t="inlineStr">
        <is>
          <t>A 28838-2024</t>
        </is>
      </c>
      <c r="B200" s="1" t="n">
        <v>45478</v>
      </c>
      <c r="C200" s="1" t="n">
        <v>45740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28838-2024 artfynd.xlsx", "A 28838-2024")</f>
        <v/>
      </c>
      <c r="T200">
        <f>HYPERLINK("https://klasma.github.io/Logging_2481/kartor/A 28838-2024 karta.png", "A 28838-2024")</f>
        <v/>
      </c>
      <c r="V200">
        <f>HYPERLINK("https://klasma.github.io/Logging_2481/klagomål/A 28838-2024 FSC-klagomål.docx", "A 28838-2024")</f>
        <v/>
      </c>
      <c r="W200">
        <f>HYPERLINK("https://klasma.github.io/Logging_2481/klagomålsmail/A 28838-2024 FSC-klagomål mail.docx", "A 28838-2024")</f>
        <v/>
      </c>
      <c r="X200">
        <f>HYPERLINK("https://klasma.github.io/Logging_2481/tillsyn/A 28838-2024 tillsynsbegäran.docx", "A 28838-2024")</f>
        <v/>
      </c>
      <c r="Y200">
        <f>HYPERLINK("https://klasma.github.io/Logging_2481/tillsynsmail/A 28838-2024 tillsynsbegäran mail.docx", "A 28838-2024")</f>
        <v/>
      </c>
    </row>
    <row r="201" ht="15" customHeight="1">
      <c r="A201" t="inlineStr">
        <is>
          <t>A 28828-2024</t>
        </is>
      </c>
      <c r="B201" s="1" t="n">
        <v>45478</v>
      </c>
      <c r="C201" s="1" t="n">
        <v>45740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28828-2024 artfynd.xlsx", "A 28828-2024")</f>
        <v/>
      </c>
      <c r="T201">
        <f>HYPERLINK("https://klasma.github.io/Logging_2481/kartor/A 28828-2024 karta.png", "A 28828-2024")</f>
        <v/>
      </c>
      <c r="V201">
        <f>HYPERLINK("https://klasma.github.io/Logging_2481/klagomål/A 28828-2024 FSC-klagomål.docx", "A 28828-2024")</f>
        <v/>
      </c>
      <c r="W201">
        <f>HYPERLINK("https://klasma.github.io/Logging_2481/klagomålsmail/A 28828-2024 FSC-klagomål mail.docx", "A 28828-2024")</f>
        <v/>
      </c>
      <c r="X201">
        <f>HYPERLINK("https://klasma.github.io/Logging_2481/tillsyn/A 28828-2024 tillsynsbegäran.docx", "A 28828-2024")</f>
        <v/>
      </c>
      <c r="Y201">
        <f>HYPERLINK("https://klasma.github.io/Logging_2481/tillsynsmail/A 28828-2024 tillsynsbegäran mail.docx", "A 28828-2024")</f>
        <v/>
      </c>
    </row>
    <row r="202" ht="15" customHeight="1">
      <c r="A202" t="inlineStr">
        <is>
          <t>A 29471-2024</t>
        </is>
      </c>
      <c r="B202" s="1" t="n">
        <v>45484</v>
      </c>
      <c r="C202" s="1" t="n">
        <v>45740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HYPERLINK("https://klasma.github.io/Logging_2481/artfynd/A 29471-2024 artfynd.xlsx", "A 29471-2024")</f>
        <v/>
      </c>
      <c r="T202">
        <f>HYPERLINK("https://klasma.github.io/Logging_2481/kartor/A 29471-2024 karta.png", "A 29471-2024")</f>
        <v/>
      </c>
      <c r="U202">
        <f>HYPERLINK("https://klasma.github.io/Logging_2481/knärot/A 29471-2024 karta knärot.png", "A 29471-2024")</f>
        <v/>
      </c>
      <c r="V202">
        <f>HYPERLINK("https://klasma.github.io/Logging_2481/klagomål/A 29471-2024 FSC-klagomål.docx", "A 29471-2024")</f>
        <v/>
      </c>
      <c r="W202">
        <f>HYPERLINK("https://klasma.github.io/Logging_2481/klagomålsmail/A 29471-2024 FSC-klagomål mail.docx", "A 29471-2024")</f>
        <v/>
      </c>
      <c r="X202">
        <f>HYPERLINK("https://klasma.github.io/Logging_2481/tillsyn/A 29471-2024 tillsynsbegäran.docx", "A 29471-2024")</f>
        <v/>
      </c>
      <c r="Y202">
        <f>HYPERLINK("https://klasma.github.io/Logging_2481/tillsynsmail/A 29471-2024 tillsynsbegäran mail.docx", "A 29471-2024")</f>
        <v/>
      </c>
    </row>
    <row r="203" ht="15" customHeight="1">
      <c r="A203" t="inlineStr">
        <is>
          <t>A 29623-2024</t>
        </is>
      </c>
      <c r="B203" s="1" t="n">
        <v>45484</v>
      </c>
      <c r="C203" s="1" t="n">
        <v>45740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23.2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29623-2024 artfynd.xlsx", "A 29623-2024")</f>
        <v/>
      </c>
      <c r="T203">
        <f>HYPERLINK("https://klasma.github.io/Logging_2481/kartor/A 29623-2024 karta.png", "A 29623-2024")</f>
        <v/>
      </c>
      <c r="V203">
        <f>HYPERLINK("https://klasma.github.io/Logging_2481/klagomål/A 29623-2024 FSC-klagomål.docx", "A 29623-2024")</f>
        <v/>
      </c>
      <c r="W203">
        <f>HYPERLINK("https://klasma.github.io/Logging_2481/klagomålsmail/A 29623-2024 FSC-klagomål mail.docx", "A 29623-2024")</f>
        <v/>
      </c>
      <c r="X203">
        <f>HYPERLINK("https://klasma.github.io/Logging_2481/tillsyn/A 29623-2024 tillsynsbegäran.docx", "A 29623-2024")</f>
        <v/>
      </c>
      <c r="Y203">
        <f>HYPERLINK("https://klasma.github.io/Logging_2481/tillsynsmail/A 29623-2024 tillsynsbegäran mail.docx", "A 29623-2024")</f>
        <v/>
      </c>
    </row>
    <row r="204" ht="15" customHeight="1">
      <c r="A204" t="inlineStr">
        <is>
          <t>A 30025-2024</t>
        </is>
      </c>
      <c r="B204" s="1" t="n">
        <v>45488</v>
      </c>
      <c r="C204" s="1" t="n">
        <v>45740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30025-2024 artfynd.xlsx", "A 30025-2024")</f>
        <v/>
      </c>
      <c r="T204">
        <f>HYPERLINK("https://klasma.github.io/Logging_2481/kartor/A 30025-2024 karta.png", "A 30025-2024")</f>
        <v/>
      </c>
      <c r="V204">
        <f>HYPERLINK("https://klasma.github.io/Logging_2481/klagomål/A 30025-2024 FSC-klagomål.docx", "A 30025-2024")</f>
        <v/>
      </c>
      <c r="W204">
        <f>HYPERLINK("https://klasma.github.io/Logging_2481/klagomålsmail/A 30025-2024 FSC-klagomål mail.docx", "A 30025-2024")</f>
        <v/>
      </c>
      <c r="X204">
        <f>HYPERLINK("https://klasma.github.io/Logging_2481/tillsyn/A 30025-2024 tillsynsbegäran.docx", "A 30025-2024")</f>
        <v/>
      </c>
      <c r="Y204">
        <f>HYPERLINK("https://klasma.github.io/Logging_2481/tillsynsmail/A 30025-2024 tillsynsbegäran mail.docx", "A 30025-2024")</f>
        <v/>
      </c>
    </row>
    <row r="205" ht="15" customHeight="1">
      <c r="A205" t="inlineStr">
        <is>
          <t>A 33633-2024</t>
        </is>
      </c>
      <c r="B205" s="1" t="n">
        <v>45520</v>
      </c>
      <c r="C205" s="1" t="n">
        <v>45740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HYPERLINK("https://klasma.github.io/Logging_2481/artfynd/A 33633-2024 artfynd.xlsx", "A 33633-2024")</f>
        <v/>
      </c>
      <c r="T205">
        <f>HYPERLINK("https://klasma.github.io/Logging_2481/kartor/A 33633-2024 karta.png", "A 33633-2024")</f>
        <v/>
      </c>
      <c r="V205">
        <f>HYPERLINK("https://klasma.github.io/Logging_2481/klagomål/A 33633-2024 FSC-klagomål.docx", "A 33633-2024")</f>
        <v/>
      </c>
      <c r="W205">
        <f>HYPERLINK("https://klasma.github.io/Logging_2481/klagomålsmail/A 33633-2024 FSC-klagomål mail.docx", "A 33633-2024")</f>
        <v/>
      </c>
      <c r="X205">
        <f>HYPERLINK("https://klasma.github.io/Logging_2481/tillsyn/A 33633-2024 tillsynsbegäran.docx", "A 33633-2024")</f>
        <v/>
      </c>
      <c r="Y205">
        <f>HYPERLINK("https://klasma.github.io/Logging_2481/tillsynsmail/A 33633-2024 tillsynsbegäran mail.docx", "A 33633-2024")</f>
        <v/>
      </c>
    </row>
    <row r="206" ht="15" customHeight="1">
      <c r="A206" t="inlineStr">
        <is>
          <t>A 33700-2024</t>
        </is>
      </c>
      <c r="B206" s="1" t="n">
        <v>45520</v>
      </c>
      <c r="C206" s="1" t="n">
        <v>45740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33700-2024 artfynd.xlsx", "A 33700-2024")</f>
        <v/>
      </c>
      <c r="T206">
        <f>HYPERLINK("https://klasma.github.io/Logging_2481/kartor/A 33700-2024 karta.png", "A 33700-2024")</f>
        <v/>
      </c>
      <c r="V206">
        <f>HYPERLINK("https://klasma.github.io/Logging_2481/klagomål/A 33700-2024 FSC-klagomål.docx", "A 33700-2024")</f>
        <v/>
      </c>
      <c r="W206">
        <f>HYPERLINK("https://klasma.github.io/Logging_2481/klagomålsmail/A 33700-2024 FSC-klagomål mail.docx", "A 33700-2024")</f>
        <v/>
      </c>
      <c r="X206">
        <f>HYPERLINK("https://klasma.github.io/Logging_2481/tillsyn/A 33700-2024 tillsynsbegäran.docx", "A 33700-2024")</f>
        <v/>
      </c>
      <c r="Y206">
        <f>HYPERLINK("https://klasma.github.io/Logging_2481/tillsynsmail/A 33700-2024 tillsynsbegäran mail.docx", "A 33700-2024")</f>
        <v/>
      </c>
    </row>
    <row r="207" ht="15" customHeight="1">
      <c r="A207" t="inlineStr">
        <is>
          <t>A 35600-2024</t>
        </is>
      </c>
      <c r="B207" s="1" t="n">
        <v>45531</v>
      </c>
      <c r="C207" s="1" t="n">
        <v>45740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35600-2024 artfynd.xlsx", "A 35600-2024")</f>
        <v/>
      </c>
      <c r="T207">
        <f>HYPERLINK("https://klasma.github.io/Logging_2481/kartor/A 35600-2024 karta.png", "A 35600-2024")</f>
        <v/>
      </c>
      <c r="V207">
        <f>HYPERLINK("https://klasma.github.io/Logging_2481/klagomål/A 35600-2024 FSC-klagomål.docx", "A 35600-2024")</f>
        <v/>
      </c>
      <c r="W207">
        <f>HYPERLINK("https://klasma.github.io/Logging_2481/klagomålsmail/A 35600-2024 FSC-klagomål mail.docx", "A 35600-2024")</f>
        <v/>
      </c>
      <c r="X207">
        <f>HYPERLINK("https://klasma.github.io/Logging_2481/tillsyn/A 35600-2024 tillsynsbegäran.docx", "A 35600-2024")</f>
        <v/>
      </c>
      <c r="Y207">
        <f>HYPERLINK("https://klasma.github.io/Logging_2481/tillsynsmail/A 35600-2024 tillsynsbegäran mail.docx", "A 35600-2024")</f>
        <v/>
      </c>
    </row>
    <row r="208" ht="15" customHeight="1">
      <c r="A208" t="inlineStr">
        <is>
          <t>A 35931-2024</t>
        </is>
      </c>
      <c r="B208" s="1" t="n">
        <v>45533</v>
      </c>
      <c r="C208" s="1" t="n">
        <v>45740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35931-2024 artfynd.xlsx", "A 35931-2024")</f>
        <v/>
      </c>
      <c r="T208">
        <f>HYPERLINK("https://klasma.github.io/Logging_2481/kartor/A 35931-2024 karta.png", "A 35931-2024")</f>
        <v/>
      </c>
      <c r="V208">
        <f>HYPERLINK("https://klasma.github.io/Logging_2481/klagomål/A 35931-2024 FSC-klagomål.docx", "A 35931-2024")</f>
        <v/>
      </c>
      <c r="W208">
        <f>HYPERLINK("https://klasma.github.io/Logging_2481/klagomålsmail/A 35931-2024 FSC-klagomål mail.docx", "A 35931-2024")</f>
        <v/>
      </c>
      <c r="X208">
        <f>HYPERLINK("https://klasma.github.io/Logging_2481/tillsyn/A 35931-2024 tillsynsbegäran.docx", "A 35931-2024")</f>
        <v/>
      </c>
      <c r="Y208">
        <f>HYPERLINK("https://klasma.github.io/Logging_2481/tillsynsmail/A 35931-2024 tillsynsbegäran mail.docx", "A 35931-2024")</f>
        <v/>
      </c>
    </row>
    <row r="209" ht="15" customHeight="1">
      <c r="A209" t="inlineStr">
        <is>
          <t>A 36307-2024</t>
        </is>
      </c>
      <c r="B209" s="1" t="n">
        <v>45534</v>
      </c>
      <c r="C209" s="1" t="n">
        <v>45740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36307-2024 artfynd.xlsx", "A 36307-2024")</f>
        <v/>
      </c>
      <c r="T209">
        <f>HYPERLINK("https://klasma.github.io/Logging_2481/kartor/A 36307-2024 karta.png", "A 36307-2024")</f>
        <v/>
      </c>
      <c r="V209">
        <f>HYPERLINK("https://klasma.github.io/Logging_2481/klagomål/A 36307-2024 FSC-klagomål.docx", "A 36307-2024")</f>
        <v/>
      </c>
      <c r="W209">
        <f>HYPERLINK("https://klasma.github.io/Logging_2481/klagomålsmail/A 36307-2024 FSC-klagomål mail.docx", "A 36307-2024")</f>
        <v/>
      </c>
      <c r="X209">
        <f>HYPERLINK("https://klasma.github.io/Logging_2481/tillsyn/A 36307-2024 tillsynsbegäran.docx", "A 36307-2024")</f>
        <v/>
      </c>
      <c r="Y209">
        <f>HYPERLINK("https://klasma.github.io/Logging_2481/tillsynsmail/A 36307-2024 tillsynsbegäran mail.docx", "A 36307-2024")</f>
        <v/>
      </c>
    </row>
    <row r="210" ht="15" customHeight="1">
      <c r="A210" t="inlineStr">
        <is>
          <t>A 37633-2024</t>
        </is>
      </c>
      <c r="B210" s="1" t="n">
        <v>45541</v>
      </c>
      <c r="C210" s="1" t="n">
        <v>45740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37633-2024 artfynd.xlsx", "A 37633-2024")</f>
        <v/>
      </c>
      <c r="T210">
        <f>HYPERLINK("https://klasma.github.io/Logging_2481/kartor/A 37633-2024 karta.png", "A 37633-2024")</f>
        <v/>
      </c>
      <c r="V210">
        <f>HYPERLINK("https://klasma.github.io/Logging_2481/klagomål/A 37633-2024 FSC-klagomål.docx", "A 37633-2024")</f>
        <v/>
      </c>
      <c r="W210">
        <f>HYPERLINK("https://klasma.github.io/Logging_2481/klagomålsmail/A 37633-2024 FSC-klagomål mail.docx", "A 37633-2024")</f>
        <v/>
      </c>
      <c r="X210">
        <f>HYPERLINK("https://klasma.github.io/Logging_2481/tillsyn/A 37633-2024 tillsynsbegäran.docx", "A 37633-2024")</f>
        <v/>
      </c>
      <c r="Y210">
        <f>HYPERLINK("https://klasma.github.io/Logging_2481/tillsynsmail/A 37633-2024 tillsynsbegäran mail.docx", "A 37633-2024")</f>
        <v/>
      </c>
    </row>
    <row r="211" ht="15" customHeight="1">
      <c r="A211" t="inlineStr">
        <is>
          <t>A 37669-2024</t>
        </is>
      </c>
      <c r="B211" s="1" t="n">
        <v>45541</v>
      </c>
      <c r="C211" s="1" t="n">
        <v>45740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37669-2024 artfynd.xlsx", "A 37669-2024")</f>
        <v/>
      </c>
      <c r="T211">
        <f>HYPERLINK("https://klasma.github.io/Logging_2481/kartor/A 37669-2024 karta.png", "A 37669-2024")</f>
        <v/>
      </c>
      <c r="V211">
        <f>HYPERLINK("https://klasma.github.io/Logging_2481/klagomål/A 37669-2024 FSC-klagomål.docx", "A 37669-2024")</f>
        <v/>
      </c>
      <c r="W211">
        <f>HYPERLINK("https://klasma.github.io/Logging_2481/klagomålsmail/A 37669-2024 FSC-klagomål mail.docx", "A 37669-2024")</f>
        <v/>
      </c>
      <c r="X211">
        <f>HYPERLINK("https://klasma.github.io/Logging_2481/tillsyn/A 37669-2024 tillsynsbegäran.docx", "A 37669-2024")</f>
        <v/>
      </c>
      <c r="Y211">
        <f>HYPERLINK("https://klasma.github.io/Logging_2481/tillsynsmail/A 37669-2024 tillsynsbegäran mail.docx", "A 37669-2024")</f>
        <v/>
      </c>
    </row>
    <row r="212" ht="15" customHeight="1">
      <c r="A212" t="inlineStr">
        <is>
          <t>A 38490-2024</t>
        </is>
      </c>
      <c r="B212" s="1" t="n">
        <v>45546</v>
      </c>
      <c r="C212" s="1" t="n">
        <v>45740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38490-2024 artfynd.xlsx", "A 38490-2024")</f>
        <v/>
      </c>
      <c r="T212">
        <f>HYPERLINK("https://klasma.github.io/Logging_2481/kartor/A 38490-2024 karta.png", "A 38490-2024")</f>
        <v/>
      </c>
      <c r="V212">
        <f>HYPERLINK("https://klasma.github.io/Logging_2481/klagomål/A 38490-2024 FSC-klagomål.docx", "A 38490-2024")</f>
        <v/>
      </c>
      <c r="W212">
        <f>HYPERLINK("https://klasma.github.io/Logging_2481/klagomålsmail/A 38490-2024 FSC-klagomål mail.docx", "A 38490-2024")</f>
        <v/>
      </c>
      <c r="X212">
        <f>HYPERLINK("https://klasma.github.io/Logging_2481/tillsyn/A 38490-2024 tillsynsbegäran.docx", "A 38490-2024")</f>
        <v/>
      </c>
      <c r="Y212">
        <f>HYPERLINK("https://klasma.github.io/Logging_2481/tillsynsmail/A 38490-2024 tillsynsbegäran mail.docx", "A 38490-2024")</f>
        <v/>
      </c>
    </row>
    <row r="213" ht="15" customHeight="1">
      <c r="A213" t="inlineStr">
        <is>
          <t>A 39572-2024</t>
        </is>
      </c>
      <c r="B213" s="1" t="n">
        <v>45552</v>
      </c>
      <c r="C213" s="1" t="n">
        <v>45740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Grynig filtlav</t>
        </is>
      </c>
      <c r="S213">
        <f>HYPERLINK("https://klasma.github.io/Logging_2481/artfynd/A 39572-2024 artfynd.xlsx", "A 39572-2024")</f>
        <v/>
      </c>
      <c r="T213">
        <f>HYPERLINK("https://klasma.github.io/Logging_2481/kartor/A 39572-2024 karta.png", "A 39572-2024")</f>
        <v/>
      </c>
      <c r="V213">
        <f>HYPERLINK("https://klasma.github.io/Logging_2481/klagomål/A 39572-2024 FSC-klagomål.docx", "A 39572-2024")</f>
        <v/>
      </c>
      <c r="W213">
        <f>HYPERLINK("https://klasma.github.io/Logging_2481/klagomålsmail/A 39572-2024 FSC-klagomål mail.docx", "A 39572-2024")</f>
        <v/>
      </c>
      <c r="X213">
        <f>HYPERLINK("https://klasma.github.io/Logging_2481/tillsyn/A 39572-2024 tillsynsbegäran.docx", "A 39572-2024")</f>
        <v/>
      </c>
      <c r="Y213">
        <f>HYPERLINK("https://klasma.github.io/Logging_2481/tillsynsmail/A 39572-2024 tillsynsbegäran mail.docx", "A 39572-2024")</f>
        <v/>
      </c>
    </row>
    <row r="214" ht="15" customHeight="1">
      <c r="A214" t="inlineStr">
        <is>
          <t>A 40512-2024</t>
        </is>
      </c>
      <c r="B214" s="1" t="n">
        <v>45555</v>
      </c>
      <c r="C214" s="1" t="n">
        <v>45740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40512-2024 artfynd.xlsx", "A 40512-2024")</f>
        <v/>
      </c>
      <c r="T214">
        <f>HYPERLINK("https://klasma.github.io/Logging_2481/kartor/A 40512-2024 karta.png", "A 40512-2024")</f>
        <v/>
      </c>
      <c r="V214">
        <f>HYPERLINK("https://klasma.github.io/Logging_2481/klagomål/A 40512-2024 FSC-klagomål.docx", "A 40512-2024")</f>
        <v/>
      </c>
      <c r="W214">
        <f>HYPERLINK("https://klasma.github.io/Logging_2481/klagomålsmail/A 40512-2024 FSC-klagomål mail.docx", "A 40512-2024")</f>
        <v/>
      </c>
      <c r="X214">
        <f>HYPERLINK("https://klasma.github.io/Logging_2481/tillsyn/A 40512-2024 tillsynsbegäran.docx", "A 40512-2024")</f>
        <v/>
      </c>
      <c r="Y214">
        <f>HYPERLINK("https://klasma.github.io/Logging_2481/tillsynsmail/A 40512-2024 tillsynsbegäran mail.docx", "A 40512-2024")</f>
        <v/>
      </c>
    </row>
    <row r="215" ht="15" customHeight="1">
      <c r="A215" t="inlineStr">
        <is>
          <t>A 40543-2024</t>
        </is>
      </c>
      <c r="B215" s="1" t="n">
        <v>45555</v>
      </c>
      <c r="C215" s="1" t="n">
        <v>45740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Svartvit taggsvamp</t>
        </is>
      </c>
      <c r="S215">
        <f>HYPERLINK("https://klasma.github.io/Logging_2481/artfynd/A 40543-2024 artfynd.xlsx", "A 40543-2024")</f>
        <v/>
      </c>
      <c r="T215">
        <f>HYPERLINK("https://klasma.github.io/Logging_2481/kartor/A 40543-2024 karta.png", "A 40543-2024")</f>
        <v/>
      </c>
      <c r="V215">
        <f>HYPERLINK("https://klasma.github.io/Logging_2481/klagomål/A 40543-2024 FSC-klagomål.docx", "A 40543-2024")</f>
        <v/>
      </c>
      <c r="W215">
        <f>HYPERLINK("https://klasma.github.io/Logging_2481/klagomålsmail/A 40543-2024 FSC-klagomål mail.docx", "A 40543-2024")</f>
        <v/>
      </c>
      <c r="X215">
        <f>HYPERLINK("https://klasma.github.io/Logging_2481/tillsyn/A 40543-2024 tillsynsbegäran.docx", "A 40543-2024")</f>
        <v/>
      </c>
      <c r="Y215">
        <f>HYPERLINK("https://klasma.github.io/Logging_2481/tillsynsmail/A 40543-2024 tillsynsbegäran mail.docx", "A 40543-2024")</f>
        <v/>
      </c>
    </row>
    <row r="216" ht="15" customHeight="1">
      <c r="A216" t="inlineStr">
        <is>
          <t>A 41637-2024</t>
        </is>
      </c>
      <c r="B216" s="1" t="n">
        <v>45560</v>
      </c>
      <c r="C216" s="1" t="n">
        <v>45740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41637-2024 artfynd.xlsx", "A 41637-2024")</f>
        <v/>
      </c>
      <c r="T216">
        <f>HYPERLINK("https://klasma.github.io/Logging_2481/kartor/A 41637-2024 karta.png", "A 41637-2024")</f>
        <v/>
      </c>
      <c r="V216">
        <f>HYPERLINK("https://klasma.github.io/Logging_2481/klagomål/A 41637-2024 FSC-klagomål.docx", "A 41637-2024")</f>
        <v/>
      </c>
      <c r="W216">
        <f>HYPERLINK("https://klasma.github.io/Logging_2481/klagomålsmail/A 41637-2024 FSC-klagomål mail.docx", "A 41637-2024")</f>
        <v/>
      </c>
      <c r="X216">
        <f>HYPERLINK("https://klasma.github.io/Logging_2481/tillsyn/A 41637-2024 tillsynsbegäran.docx", "A 41637-2024")</f>
        <v/>
      </c>
      <c r="Y216">
        <f>HYPERLINK("https://klasma.github.io/Logging_2481/tillsynsmail/A 41637-2024 tillsynsbegäran mail.docx", "A 41637-2024")</f>
        <v/>
      </c>
    </row>
    <row r="217" ht="15" customHeight="1">
      <c r="A217" t="inlineStr">
        <is>
          <t>A 41776-2024</t>
        </is>
      </c>
      <c r="B217" s="1" t="n">
        <v>45561</v>
      </c>
      <c r="C217" s="1" t="n">
        <v>45740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41776-2024 artfynd.xlsx", "A 41776-2024")</f>
        <v/>
      </c>
      <c r="T217">
        <f>HYPERLINK("https://klasma.github.io/Logging_2481/kartor/A 41776-2024 karta.png", "A 41776-2024")</f>
        <v/>
      </c>
      <c r="V217">
        <f>HYPERLINK("https://klasma.github.io/Logging_2481/klagomål/A 41776-2024 FSC-klagomål.docx", "A 41776-2024")</f>
        <v/>
      </c>
      <c r="W217">
        <f>HYPERLINK("https://klasma.github.io/Logging_2481/klagomålsmail/A 41776-2024 FSC-klagomål mail.docx", "A 41776-2024")</f>
        <v/>
      </c>
      <c r="X217">
        <f>HYPERLINK("https://klasma.github.io/Logging_2481/tillsyn/A 41776-2024 tillsynsbegäran.docx", "A 41776-2024")</f>
        <v/>
      </c>
      <c r="Y217">
        <f>HYPERLINK("https://klasma.github.io/Logging_2481/tillsynsmail/A 41776-2024 tillsynsbegäran mail.docx", "A 41776-2024")</f>
        <v/>
      </c>
    </row>
    <row r="218" ht="15" customHeight="1">
      <c r="A218" t="inlineStr">
        <is>
          <t>A 42287-2024</t>
        </is>
      </c>
      <c r="B218" s="1" t="n">
        <v>45562</v>
      </c>
      <c r="C218" s="1" t="n">
        <v>45740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42287-2024 artfynd.xlsx", "A 42287-2024")</f>
        <v/>
      </c>
      <c r="T218">
        <f>HYPERLINK("https://klasma.github.io/Logging_2481/kartor/A 42287-2024 karta.png", "A 42287-2024")</f>
        <v/>
      </c>
      <c r="V218">
        <f>HYPERLINK("https://klasma.github.io/Logging_2481/klagomål/A 42287-2024 FSC-klagomål.docx", "A 42287-2024")</f>
        <v/>
      </c>
      <c r="W218">
        <f>HYPERLINK("https://klasma.github.io/Logging_2481/klagomålsmail/A 42287-2024 FSC-klagomål mail.docx", "A 42287-2024")</f>
        <v/>
      </c>
      <c r="X218">
        <f>HYPERLINK("https://klasma.github.io/Logging_2481/tillsyn/A 42287-2024 tillsynsbegäran.docx", "A 42287-2024")</f>
        <v/>
      </c>
      <c r="Y218">
        <f>HYPERLINK("https://klasma.github.io/Logging_2481/tillsynsmail/A 42287-2024 tillsynsbegäran mail.docx", "A 42287-2024")</f>
        <v/>
      </c>
    </row>
    <row r="219" ht="15" customHeight="1">
      <c r="A219" t="inlineStr">
        <is>
          <t>A 42288-2024</t>
        </is>
      </c>
      <c r="B219" s="1" t="n">
        <v>45562</v>
      </c>
      <c r="C219" s="1" t="n">
        <v>45740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Skrovellav</t>
        </is>
      </c>
      <c r="S219">
        <f>HYPERLINK("https://klasma.github.io/Logging_2481/artfynd/A 42288-2024 artfynd.xlsx", "A 42288-2024")</f>
        <v/>
      </c>
      <c r="T219">
        <f>HYPERLINK("https://klasma.github.io/Logging_2481/kartor/A 42288-2024 karta.png", "A 42288-2024")</f>
        <v/>
      </c>
      <c r="V219">
        <f>HYPERLINK("https://klasma.github.io/Logging_2481/klagomål/A 42288-2024 FSC-klagomål.docx", "A 42288-2024")</f>
        <v/>
      </c>
      <c r="W219">
        <f>HYPERLINK("https://klasma.github.io/Logging_2481/klagomålsmail/A 42288-2024 FSC-klagomål mail.docx", "A 42288-2024")</f>
        <v/>
      </c>
      <c r="X219">
        <f>HYPERLINK("https://klasma.github.io/Logging_2481/tillsyn/A 42288-2024 tillsynsbegäran.docx", "A 42288-2024")</f>
        <v/>
      </c>
      <c r="Y219">
        <f>HYPERLINK("https://klasma.github.io/Logging_2481/tillsynsmail/A 42288-2024 tillsynsbegäran mail.docx", "A 42288-2024")</f>
        <v/>
      </c>
    </row>
    <row r="220" ht="15" customHeight="1">
      <c r="A220" t="inlineStr">
        <is>
          <t>A 42302-2024</t>
        </is>
      </c>
      <c r="B220" s="1" t="n">
        <v>45562</v>
      </c>
      <c r="C220" s="1" t="n">
        <v>45740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42302-2024 artfynd.xlsx", "A 42302-2024")</f>
        <v/>
      </c>
      <c r="T220">
        <f>HYPERLINK("https://klasma.github.io/Logging_2481/kartor/A 42302-2024 karta.png", "A 42302-2024")</f>
        <v/>
      </c>
      <c r="V220">
        <f>HYPERLINK("https://klasma.github.io/Logging_2481/klagomål/A 42302-2024 FSC-klagomål.docx", "A 42302-2024")</f>
        <v/>
      </c>
      <c r="W220">
        <f>HYPERLINK("https://klasma.github.io/Logging_2481/klagomålsmail/A 42302-2024 FSC-klagomål mail.docx", "A 42302-2024")</f>
        <v/>
      </c>
      <c r="X220">
        <f>HYPERLINK("https://klasma.github.io/Logging_2481/tillsyn/A 42302-2024 tillsynsbegäran.docx", "A 42302-2024")</f>
        <v/>
      </c>
      <c r="Y220">
        <f>HYPERLINK("https://klasma.github.io/Logging_2481/tillsynsmail/A 42302-2024 tillsynsbegäran mail.docx", "A 42302-2024")</f>
        <v/>
      </c>
    </row>
    <row r="221" ht="15" customHeight="1">
      <c r="A221" t="inlineStr">
        <is>
          <t>A 43292-2024</t>
        </is>
      </c>
      <c r="B221" s="1" t="n">
        <v>45568</v>
      </c>
      <c r="C221" s="1" t="n">
        <v>45740</v>
      </c>
      <c r="D221" t="inlineStr">
        <is>
          <t>VÄSTERBOTTENS LÄN</t>
        </is>
      </c>
      <c r="E221" t="inlineStr">
        <is>
          <t>LYCKSELE</t>
        </is>
      </c>
      <c r="G221" t="n">
        <v>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HYPERLINK("https://klasma.github.io/Logging_2481/artfynd/A 43292-2024 artfynd.xlsx", "A 43292-2024")</f>
        <v/>
      </c>
      <c r="T221">
        <f>HYPERLINK("https://klasma.github.io/Logging_2481/kartor/A 43292-2024 karta.png", "A 43292-2024")</f>
        <v/>
      </c>
      <c r="V221">
        <f>HYPERLINK("https://klasma.github.io/Logging_2481/klagomål/A 43292-2024 FSC-klagomål.docx", "A 43292-2024")</f>
        <v/>
      </c>
      <c r="W221">
        <f>HYPERLINK("https://klasma.github.io/Logging_2481/klagomålsmail/A 43292-2024 FSC-klagomål mail.docx", "A 43292-2024")</f>
        <v/>
      </c>
      <c r="X221">
        <f>HYPERLINK("https://klasma.github.io/Logging_2481/tillsyn/A 43292-2024 tillsynsbegäran.docx", "A 43292-2024")</f>
        <v/>
      </c>
      <c r="Y221">
        <f>HYPERLINK("https://klasma.github.io/Logging_2481/tillsynsmail/A 43292-2024 tillsynsbegäran mail.docx", "A 43292-2024")</f>
        <v/>
      </c>
    </row>
    <row r="222" ht="15" customHeight="1">
      <c r="A222" t="inlineStr">
        <is>
          <t>A 45246-2024</t>
        </is>
      </c>
      <c r="B222" s="1" t="n">
        <v>45576</v>
      </c>
      <c r="C222" s="1" t="n">
        <v>45740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HYPERLINK("https://klasma.github.io/Logging_2481/artfynd/A 45246-2024 artfynd.xlsx", "A 45246-2024")</f>
        <v/>
      </c>
      <c r="T222">
        <f>HYPERLINK("https://klasma.github.io/Logging_2481/kartor/A 45246-2024 karta.png", "A 45246-2024")</f>
        <v/>
      </c>
      <c r="V222">
        <f>HYPERLINK("https://klasma.github.io/Logging_2481/klagomål/A 45246-2024 FSC-klagomål.docx", "A 45246-2024")</f>
        <v/>
      </c>
      <c r="W222">
        <f>HYPERLINK("https://klasma.github.io/Logging_2481/klagomålsmail/A 45246-2024 FSC-klagomål mail.docx", "A 45246-2024")</f>
        <v/>
      </c>
      <c r="X222">
        <f>HYPERLINK("https://klasma.github.io/Logging_2481/tillsyn/A 45246-2024 tillsynsbegäran.docx", "A 45246-2024")</f>
        <v/>
      </c>
      <c r="Y222">
        <f>HYPERLINK("https://klasma.github.io/Logging_2481/tillsynsmail/A 45246-2024 tillsynsbegäran mail.docx", "A 45246-2024")</f>
        <v/>
      </c>
    </row>
    <row r="223" ht="15" customHeight="1">
      <c r="A223" t="inlineStr">
        <is>
          <t>A 45774-2024</t>
        </is>
      </c>
      <c r="B223" s="1" t="n">
        <v>45579</v>
      </c>
      <c r="C223" s="1" t="n">
        <v>45740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4.3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Barkticka</t>
        </is>
      </c>
      <c r="S223">
        <f>HYPERLINK("https://klasma.github.io/Logging_2481/artfynd/A 45774-2024 artfynd.xlsx", "A 45774-2024")</f>
        <v/>
      </c>
      <c r="T223">
        <f>HYPERLINK("https://klasma.github.io/Logging_2481/kartor/A 45774-2024 karta.png", "A 45774-2024")</f>
        <v/>
      </c>
      <c r="V223">
        <f>HYPERLINK("https://klasma.github.io/Logging_2481/klagomål/A 45774-2024 FSC-klagomål.docx", "A 45774-2024")</f>
        <v/>
      </c>
      <c r="W223">
        <f>HYPERLINK("https://klasma.github.io/Logging_2481/klagomålsmail/A 45774-2024 FSC-klagomål mail.docx", "A 45774-2024")</f>
        <v/>
      </c>
      <c r="X223">
        <f>HYPERLINK("https://klasma.github.io/Logging_2481/tillsyn/A 45774-2024 tillsynsbegäran.docx", "A 45774-2024")</f>
        <v/>
      </c>
      <c r="Y223">
        <f>HYPERLINK("https://klasma.github.io/Logging_2481/tillsynsmail/A 45774-2024 tillsynsbegäran mail.docx", "A 45774-2024")</f>
        <v/>
      </c>
    </row>
    <row r="224" ht="15" customHeight="1">
      <c r="A224" t="inlineStr">
        <is>
          <t>A 45865-2024</t>
        </is>
      </c>
      <c r="B224" s="1" t="n">
        <v>45580</v>
      </c>
      <c r="C224" s="1" t="n">
        <v>45740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18.5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45865-2024 artfynd.xlsx", "A 45865-2024")</f>
        <v/>
      </c>
      <c r="T224">
        <f>HYPERLINK("https://klasma.github.io/Logging_2481/kartor/A 45865-2024 karta.png", "A 45865-2024")</f>
        <v/>
      </c>
      <c r="V224">
        <f>HYPERLINK("https://klasma.github.io/Logging_2481/klagomål/A 45865-2024 FSC-klagomål.docx", "A 45865-2024")</f>
        <v/>
      </c>
      <c r="W224">
        <f>HYPERLINK("https://klasma.github.io/Logging_2481/klagomålsmail/A 45865-2024 FSC-klagomål mail.docx", "A 45865-2024")</f>
        <v/>
      </c>
      <c r="X224">
        <f>HYPERLINK("https://klasma.github.io/Logging_2481/tillsyn/A 45865-2024 tillsynsbegäran.docx", "A 45865-2024")</f>
        <v/>
      </c>
      <c r="Y224">
        <f>HYPERLINK("https://klasma.github.io/Logging_2481/tillsynsmail/A 45865-2024 tillsynsbegäran mail.docx", "A 45865-2024")</f>
        <v/>
      </c>
    </row>
    <row r="225" ht="15" customHeight="1">
      <c r="A225" t="inlineStr">
        <is>
          <t>A 46004-2024</t>
        </is>
      </c>
      <c r="B225" s="1" t="n">
        <v>45580</v>
      </c>
      <c r="C225" s="1" t="n">
        <v>45740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46004-2024 artfynd.xlsx", "A 46004-2024")</f>
        <v/>
      </c>
      <c r="T225">
        <f>HYPERLINK("https://klasma.github.io/Logging_2481/kartor/A 46004-2024 karta.png", "A 46004-2024")</f>
        <v/>
      </c>
      <c r="V225">
        <f>HYPERLINK("https://klasma.github.io/Logging_2481/klagomål/A 46004-2024 FSC-klagomål.docx", "A 46004-2024")</f>
        <v/>
      </c>
      <c r="W225">
        <f>HYPERLINK("https://klasma.github.io/Logging_2481/klagomålsmail/A 46004-2024 FSC-klagomål mail.docx", "A 46004-2024")</f>
        <v/>
      </c>
      <c r="X225">
        <f>HYPERLINK("https://klasma.github.io/Logging_2481/tillsyn/A 46004-2024 tillsynsbegäran.docx", "A 46004-2024")</f>
        <v/>
      </c>
      <c r="Y225">
        <f>HYPERLINK("https://klasma.github.io/Logging_2481/tillsynsmail/A 46004-2024 tillsynsbegäran mail.docx", "A 46004-2024")</f>
        <v/>
      </c>
    </row>
    <row r="226" ht="15" customHeight="1">
      <c r="A226" t="inlineStr">
        <is>
          <t>A 45934-2024</t>
        </is>
      </c>
      <c r="B226" s="1" t="n">
        <v>45580</v>
      </c>
      <c r="C226" s="1" t="n">
        <v>45740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45934-2024 artfynd.xlsx", "A 45934-2024")</f>
        <v/>
      </c>
      <c r="T226">
        <f>HYPERLINK("https://klasma.github.io/Logging_2481/kartor/A 45934-2024 karta.png", "A 45934-2024")</f>
        <v/>
      </c>
      <c r="V226">
        <f>HYPERLINK("https://klasma.github.io/Logging_2481/klagomål/A 45934-2024 FSC-klagomål.docx", "A 45934-2024")</f>
        <v/>
      </c>
      <c r="W226">
        <f>HYPERLINK("https://klasma.github.io/Logging_2481/klagomålsmail/A 45934-2024 FSC-klagomål mail.docx", "A 45934-2024")</f>
        <v/>
      </c>
      <c r="X226">
        <f>HYPERLINK("https://klasma.github.io/Logging_2481/tillsyn/A 45934-2024 tillsynsbegäran.docx", "A 45934-2024")</f>
        <v/>
      </c>
      <c r="Y226">
        <f>HYPERLINK("https://klasma.github.io/Logging_2481/tillsynsmail/A 45934-2024 tillsynsbegäran mail.docx", "A 45934-2024")</f>
        <v/>
      </c>
    </row>
    <row r="227" ht="15" customHeight="1">
      <c r="A227" t="inlineStr">
        <is>
          <t>A 47135-2024</t>
        </is>
      </c>
      <c r="B227" s="1" t="n">
        <v>45586</v>
      </c>
      <c r="C227" s="1" t="n">
        <v>45740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47135-2024 artfynd.xlsx", "A 47135-2024")</f>
        <v/>
      </c>
      <c r="T227">
        <f>HYPERLINK("https://klasma.github.io/Logging_2481/kartor/A 47135-2024 karta.png", "A 47135-2024")</f>
        <v/>
      </c>
      <c r="V227">
        <f>HYPERLINK("https://klasma.github.io/Logging_2481/klagomål/A 47135-2024 FSC-klagomål.docx", "A 47135-2024")</f>
        <v/>
      </c>
      <c r="W227">
        <f>HYPERLINK("https://klasma.github.io/Logging_2481/klagomålsmail/A 47135-2024 FSC-klagomål mail.docx", "A 47135-2024")</f>
        <v/>
      </c>
      <c r="X227">
        <f>HYPERLINK("https://klasma.github.io/Logging_2481/tillsyn/A 47135-2024 tillsynsbegäran.docx", "A 47135-2024")</f>
        <v/>
      </c>
      <c r="Y227">
        <f>HYPERLINK("https://klasma.github.io/Logging_2481/tillsynsmail/A 47135-2024 tillsynsbegäran mail.docx", "A 47135-2024")</f>
        <v/>
      </c>
    </row>
    <row r="228" ht="15" customHeight="1">
      <c r="A228" t="inlineStr">
        <is>
          <t>A 47289-2024</t>
        </is>
      </c>
      <c r="B228" s="1" t="n">
        <v>45587</v>
      </c>
      <c r="C228" s="1" t="n">
        <v>45740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47289-2024 artfynd.xlsx", "A 47289-2024")</f>
        <v/>
      </c>
      <c r="T228">
        <f>HYPERLINK("https://klasma.github.io/Logging_2481/kartor/A 47289-2024 karta.png", "A 47289-2024")</f>
        <v/>
      </c>
      <c r="V228">
        <f>HYPERLINK("https://klasma.github.io/Logging_2481/klagomål/A 47289-2024 FSC-klagomål.docx", "A 47289-2024")</f>
        <v/>
      </c>
      <c r="W228">
        <f>HYPERLINK("https://klasma.github.io/Logging_2481/klagomålsmail/A 47289-2024 FSC-klagomål mail.docx", "A 47289-2024")</f>
        <v/>
      </c>
      <c r="X228">
        <f>HYPERLINK("https://klasma.github.io/Logging_2481/tillsyn/A 47289-2024 tillsynsbegäran.docx", "A 47289-2024")</f>
        <v/>
      </c>
      <c r="Y228">
        <f>HYPERLINK("https://klasma.github.io/Logging_2481/tillsynsmail/A 47289-2024 tillsynsbegäran mail.docx", "A 47289-2024")</f>
        <v/>
      </c>
    </row>
    <row r="229" ht="15" customHeight="1">
      <c r="A229" t="inlineStr">
        <is>
          <t>A 48443-2024</t>
        </is>
      </c>
      <c r="B229" s="1" t="n">
        <v>45590</v>
      </c>
      <c r="C229" s="1" t="n">
        <v>45740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HYPERLINK("https://klasma.github.io/Logging_2481/artfynd/A 48443-2024 artfynd.xlsx", "A 48443-2024")</f>
        <v/>
      </c>
      <c r="T229">
        <f>HYPERLINK("https://klasma.github.io/Logging_2481/kartor/A 48443-2024 karta.png", "A 48443-2024")</f>
        <v/>
      </c>
      <c r="V229">
        <f>HYPERLINK("https://klasma.github.io/Logging_2481/klagomål/A 48443-2024 FSC-klagomål.docx", "A 48443-2024")</f>
        <v/>
      </c>
      <c r="W229">
        <f>HYPERLINK("https://klasma.github.io/Logging_2481/klagomålsmail/A 48443-2024 FSC-klagomål mail.docx", "A 48443-2024")</f>
        <v/>
      </c>
      <c r="X229">
        <f>HYPERLINK("https://klasma.github.io/Logging_2481/tillsyn/A 48443-2024 tillsynsbegäran.docx", "A 48443-2024")</f>
        <v/>
      </c>
      <c r="Y229">
        <f>HYPERLINK("https://klasma.github.io/Logging_2481/tillsynsmail/A 48443-2024 tillsynsbegäran mail.docx", "A 48443-2024")</f>
        <v/>
      </c>
    </row>
    <row r="230" ht="15" customHeight="1">
      <c r="A230" t="inlineStr">
        <is>
          <t>A 48414-2024</t>
        </is>
      </c>
      <c r="B230" s="1" t="n">
        <v>45590</v>
      </c>
      <c r="C230" s="1" t="n">
        <v>45740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48414-2024 artfynd.xlsx", "A 48414-2024")</f>
        <v/>
      </c>
      <c r="T230">
        <f>HYPERLINK("https://klasma.github.io/Logging_2481/kartor/A 48414-2024 karta.png", "A 48414-2024")</f>
        <v/>
      </c>
      <c r="V230">
        <f>HYPERLINK("https://klasma.github.io/Logging_2481/klagomål/A 48414-2024 FSC-klagomål.docx", "A 48414-2024")</f>
        <v/>
      </c>
      <c r="W230">
        <f>HYPERLINK("https://klasma.github.io/Logging_2481/klagomålsmail/A 48414-2024 FSC-klagomål mail.docx", "A 48414-2024")</f>
        <v/>
      </c>
      <c r="X230">
        <f>HYPERLINK("https://klasma.github.io/Logging_2481/tillsyn/A 48414-2024 tillsynsbegäran.docx", "A 48414-2024")</f>
        <v/>
      </c>
      <c r="Y230">
        <f>HYPERLINK("https://klasma.github.io/Logging_2481/tillsynsmail/A 48414-2024 tillsynsbegäran mail.docx", "A 48414-2024")</f>
        <v/>
      </c>
    </row>
    <row r="231" ht="15" customHeight="1">
      <c r="A231" t="inlineStr">
        <is>
          <t>A 48863-2024</t>
        </is>
      </c>
      <c r="B231" s="1" t="n">
        <v>45594</v>
      </c>
      <c r="C231" s="1" t="n">
        <v>45740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15.9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48863-2024 artfynd.xlsx", "A 48863-2024")</f>
        <v/>
      </c>
      <c r="T231">
        <f>HYPERLINK("https://klasma.github.io/Logging_2481/kartor/A 48863-2024 karta.png", "A 48863-2024")</f>
        <v/>
      </c>
      <c r="V231">
        <f>HYPERLINK("https://klasma.github.io/Logging_2481/klagomål/A 48863-2024 FSC-klagomål.docx", "A 48863-2024")</f>
        <v/>
      </c>
      <c r="W231">
        <f>HYPERLINK("https://klasma.github.io/Logging_2481/klagomålsmail/A 48863-2024 FSC-klagomål mail.docx", "A 48863-2024")</f>
        <v/>
      </c>
      <c r="X231">
        <f>HYPERLINK("https://klasma.github.io/Logging_2481/tillsyn/A 48863-2024 tillsynsbegäran.docx", "A 48863-2024")</f>
        <v/>
      </c>
      <c r="Y231">
        <f>HYPERLINK("https://klasma.github.io/Logging_2481/tillsynsmail/A 48863-2024 tillsynsbegäran mail.docx", "A 48863-2024")</f>
        <v/>
      </c>
    </row>
    <row r="232" ht="15" customHeight="1">
      <c r="A232" t="inlineStr">
        <is>
          <t>A 49125-2024</t>
        </is>
      </c>
      <c r="B232" s="1" t="n">
        <v>45594</v>
      </c>
      <c r="C232" s="1" t="n">
        <v>45740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49125-2024 artfynd.xlsx", "A 49125-2024")</f>
        <v/>
      </c>
      <c r="T232">
        <f>HYPERLINK("https://klasma.github.io/Logging_2481/kartor/A 49125-2024 karta.png", "A 49125-2024")</f>
        <v/>
      </c>
      <c r="U232">
        <f>HYPERLINK("https://klasma.github.io/Logging_2481/knärot/A 49125-2024 karta knärot.png", "A 49125-2024")</f>
        <v/>
      </c>
      <c r="V232">
        <f>HYPERLINK("https://klasma.github.io/Logging_2481/klagomål/A 49125-2024 FSC-klagomål.docx", "A 49125-2024")</f>
        <v/>
      </c>
      <c r="W232">
        <f>HYPERLINK("https://klasma.github.io/Logging_2481/klagomålsmail/A 49125-2024 FSC-klagomål mail.docx", "A 49125-2024")</f>
        <v/>
      </c>
      <c r="X232">
        <f>HYPERLINK("https://klasma.github.io/Logging_2481/tillsyn/A 49125-2024 tillsynsbegäran.docx", "A 49125-2024")</f>
        <v/>
      </c>
      <c r="Y232">
        <f>HYPERLINK("https://klasma.github.io/Logging_2481/tillsynsmail/A 49125-2024 tillsynsbegäran mail.docx", "A 49125-2024")</f>
        <v/>
      </c>
    </row>
    <row r="233" ht="15" customHeight="1">
      <c r="A233" t="inlineStr">
        <is>
          <t>A 49223-2024</t>
        </is>
      </c>
      <c r="B233" s="1" t="n">
        <v>45595</v>
      </c>
      <c r="C233" s="1" t="n">
        <v>45740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49223-2024 artfynd.xlsx", "A 49223-2024")</f>
        <v/>
      </c>
      <c r="T233">
        <f>HYPERLINK("https://klasma.github.io/Logging_2481/kartor/A 49223-2024 karta.png", "A 49223-2024")</f>
        <v/>
      </c>
      <c r="V233">
        <f>HYPERLINK("https://klasma.github.io/Logging_2481/klagomål/A 49223-2024 FSC-klagomål.docx", "A 49223-2024")</f>
        <v/>
      </c>
      <c r="W233">
        <f>HYPERLINK("https://klasma.github.io/Logging_2481/klagomålsmail/A 49223-2024 FSC-klagomål mail.docx", "A 49223-2024")</f>
        <v/>
      </c>
      <c r="X233">
        <f>HYPERLINK("https://klasma.github.io/Logging_2481/tillsyn/A 49223-2024 tillsynsbegäran.docx", "A 49223-2024")</f>
        <v/>
      </c>
      <c r="Y233">
        <f>HYPERLINK("https://klasma.github.io/Logging_2481/tillsynsmail/A 49223-2024 tillsynsbegäran mail.docx", "A 49223-2024")</f>
        <v/>
      </c>
    </row>
    <row r="234" ht="15" customHeight="1">
      <c r="A234" t="inlineStr">
        <is>
          <t>A 49345-2024</t>
        </is>
      </c>
      <c r="B234" s="1" t="n">
        <v>45595</v>
      </c>
      <c r="C234" s="1" t="n">
        <v>45740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HYPERLINK("https://klasma.github.io/Logging_2481/artfynd/A 49345-2024 artfynd.xlsx", "A 49345-2024")</f>
        <v/>
      </c>
      <c r="T234">
        <f>HYPERLINK("https://klasma.github.io/Logging_2481/kartor/A 49345-2024 karta.png", "A 49345-2024")</f>
        <v/>
      </c>
      <c r="V234">
        <f>HYPERLINK("https://klasma.github.io/Logging_2481/klagomål/A 49345-2024 FSC-klagomål.docx", "A 49345-2024")</f>
        <v/>
      </c>
      <c r="W234">
        <f>HYPERLINK("https://klasma.github.io/Logging_2481/klagomålsmail/A 49345-2024 FSC-klagomål mail.docx", "A 49345-2024")</f>
        <v/>
      </c>
      <c r="X234">
        <f>HYPERLINK("https://klasma.github.io/Logging_2481/tillsyn/A 49345-2024 tillsynsbegäran.docx", "A 49345-2024")</f>
        <v/>
      </c>
      <c r="Y234">
        <f>HYPERLINK("https://klasma.github.io/Logging_2481/tillsynsmail/A 49345-2024 tillsynsbegäran mail.docx", "A 49345-2024")</f>
        <v/>
      </c>
    </row>
    <row r="235" ht="15" customHeight="1">
      <c r="A235" t="inlineStr">
        <is>
          <t>A 49349-2024</t>
        </is>
      </c>
      <c r="B235" s="1" t="n">
        <v>45595</v>
      </c>
      <c r="C235" s="1" t="n">
        <v>45740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49349-2024 artfynd.xlsx", "A 49349-2024")</f>
        <v/>
      </c>
      <c r="T235">
        <f>HYPERLINK("https://klasma.github.io/Logging_2481/kartor/A 49349-2024 karta.png", "A 49349-2024")</f>
        <v/>
      </c>
      <c r="V235">
        <f>HYPERLINK("https://klasma.github.io/Logging_2481/klagomål/A 49349-2024 FSC-klagomål.docx", "A 49349-2024")</f>
        <v/>
      </c>
      <c r="W235">
        <f>HYPERLINK("https://klasma.github.io/Logging_2481/klagomålsmail/A 49349-2024 FSC-klagomål mail.docx", "A 49349-2024")</f>
        <v/>
      </c>
      <c r="X235">
        <f>HYPERLINK("https://klasma.github.io/Logging_2481/tillsyn/A 49349-2024 tillsynsbegäran.docx", "A 49349-2024")</f>
        <v/>
      </c>
      <c r="Y235">
        <f>HYPERLINK("https://klasma.github.io/Logging_2481/tillsynsmail/A 49349-2024 tillsynsbegäran mail.docx", "A 49349-2024")</f>
        <v/>
      </c>
    </row>
    <row r="236" ht="15" customHeight="1">
      <c r="A236" t="inlineStr">
        <is>
          <t>A 49394-2024</t>
        </is>
      </c>
      <c r="B236" s="1" t="n">
        <v>45595</v>
      </c>
      <c r="C236" s="1" t="n">
        <v>45740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49394-2024 artfynd.xlsx", "A 49394-2024")</f>
        <v/>
      </c>
      <c r="T236">
        <f>HYPERLINK("https://klasma.github.io/Logging_2481/kartor/A 49394-2024 karta.png", "A 49394-2024")</f>
        <v/>
      </c>
      <c r="V236">
        <f>HYPERLINK("https://klasma.github.io/Logging_2481/klagomål/A 49394-2024 FSC-klagomål.docx", "A 49394-2024")</f>
        <v/>
      </c>
      <c r="W236">
        <f>HYPERLINK("https://klasma.github.io/Logging_2481/klagomålsmail/A 49394-2024 FSC-klagomål mail.docx", "A 49394-2024")</f>
        <v/>
      </c>
      <c r="X236">
        <f>HYPERLINK("https://klasma.github.io/Logging_2481/tillsyn/A 49394-2024 tillsynsbegäran.docx", "A 49394-2024")</f>
        <v/>
      </c>
      <c r="Y236">
        <f>HYPERLINK("https://klasma.github.io/Logging_2481/tillsynsmail/A 49394-2024 tillsynsbegäran mail.docx", "A 49394-2024")</f>
        <v/>
      </c>
    </row>
    <row r="237" ht="15" customHeight="1">
      <c r="A237" t="inlineStr">
        <is>
          <t>A 49302-2024</t>
        </is>
      </c>
      <c r="B237" s="1" t="n">
        <v>45595</v>
      </c>
      <c r="C237" s="1" t="n">
        <v>45740</v>
      </c>
      <c r="D237" t="inlineStr">
        <is>
          <t>VÄSTERBOTTENS LÄN</t>
        </is>
      </c>
      <c r="E237" t="inlineStr">
        <is>
          <t>LYCKSELE</t>
        </is>
      </c>
      <c r="G237" t="n">
        <v>5.3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HYPERLINK("https://klasma.github.io/Logging_2481/artfynd/A 49302-2024 artfynd.xlsx", "A 49302-2024")</f>
        <v/>
      </c>
      <c r="T237">
        <f>HYPERLINK("https://klasma.github.io/Logging_2481/kartor/A 49302-2024 karta.png", "A 49302-2024")</f>
        <v/>
      </c>
      <c r="V237">
        <f>HYPERLINK("https://klasma.github.io/Logging_2481/klagomål/A 49302-2024 FSC-klagomål.docx", "A 49302-2024")</f>
        <v/>
      </c>
      <c r="W237">
        <f>HYPERLINK("https://klasma.github.io/Logging_2481/klagomålsmail/A 49302-2024 FSC-klagomål mail.docx", "A 49302-2024")</f>
        <v/>
      </c>
      <c r="X237">
        <f>HYPERLINK("https://klasma.github.io/Logging_2481/tillsyn/A 49302-2024 tillsynsbegäran.docx", "A 49302-2024")</f>
        <v/>
      </c>
      <c r="Y237">
        <f>HYPERLINK("https://klasma.github.io/Logging_2481/tillsynsmail/A 49302-2024 tillsynsbegäran mail.docx", "A 49302-2024")</f>
        <v/>
      </c>
    </row>
    <row r="238" ht="15" customHeight="1">
      <c r="A238" t="inlineStr">
        <is>
          <t>A 50739-2024</t>
        </is>
      </c>
      <c r="B238" s="1" t="n">
        <v>45602</v>
      </c>
      <c r="C238" s="1" t="n">
        <v>45740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50739-2024 artfynd.xlsx", "A 50739-2024")</f>
        <v/>
      </c>
      <c r="T238">
        <f>HYPERLINK("https://klasma.github.io/Logging_2481/kartor/A 50739-2024 karta.png", "A 50739-2024")</f>
        <v/>
      </c>
      <c r="V238">
        <f>HYPERLINK("https://klasma.github.io/Logging_2481/klagomål/A 50739-2024 FSC-klagomål.docx", "A 50739-2024")</f>
        <v/>
      </c>
      <c r="W238">
        <f>HYPERLINK("https://klasma.github.io/Logging_2481/klagomålsmail/A 50739-2024 FSC-klagomål mail.docx", "A 50739-2024")</f>
        <v/>
      </c>
      <c r="X238">
        <f>HYPERLINK("https://klasma.github.io/Logging_2481/tillsyn/A 50739-2024 tillsynsbegäran.docx", "A 50739-2024")</f>
        <v/>
      </c>
      <c r="Y238">
        <f>HYPERLINK("https://klasma.github.io/Logging_2481/tillsynsmail/A 50739-2024 tillsynsbegäran mail.docx", "A 50739-2024")</f>
        <v/>
      </c>
    </row>
    <row r="239" ht="15" customHeight="1">
      <c r="A239" t="inlineStr">
        <is>
          <t>A 50826-2024</t>
        </is>
      </c>
      <c r="B239" s="1" t="n">
        <v>45602</v>
      </c>
      <c r="C239" s="1" t="n">
        <v>45740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50826-2024 artfynd.xlsx", "A 50826-2024")</f>
        <v/>
      </c>
      <c r="T239">
        <f>HYPERLINK("https://klasma.github.io/Logging_2481/kartor/A 50826-2024 karta.png", "A 50826-2024")</f>
        <v/>
      </c>
      <c r="V239">
        <f>HYPERLINK("https://klasma.github.io/Logging_2481/klagomål/A 50826-2024 FSC-klagomål.docx", "A 50826-2024")</f>
        <v/>
      </c>
      <c r="W239">
        <f>HYPERLINK("https://klasma.github.io/Logging_2481/klagomålsmail/A 50826-2024 FSC-klagomål mail.docx", "A 50826-2024")</f>
        <v/>
      </c>
      <c r="X239">
        <f>HYPERLINK("https://klasma.github.io/Logging_2481/tillsyn/A 50826-2024 tillsynsbegäran.docx", "A 50826-2024")</f>
        <v/>
      </c>
      <c r="Y239">
        <f>HYPERLINK("https://klasma.github.io/Logging_2481/tillsynsmail/A 50826-2024 tillsynsbegäran mail.docx", "A 50826-2024")</f>
        <v/>
      </c>
    </row>
    <row r="240" ht="15" customHeight="1">
      <c r="A240" t="inlineStr">
        <is>
          <t>A 52235-2024</t>
        </is>
      </c>
      <c r="B240" s="1" t="n">
        <v>45608</v>
      </c>
      <c r="C240" s="1" t="n">
        <v>45740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52235-2024 artfynd.xlsx", "A 52235-2024")</f>
        <v/>
      </c>
      <c r="T240">
        <f>HYPERLINK("https://klasma.github.io/Logging_2481/kartor/A 52235-2024 karta.png", "A 52235-2024")</f>
        <v/>
      </c>
      <c r="V240">
        <f>HYPERLINK("https://klasma.github.io/Logging_2481/klagomål/A 52235-2024 FSC-klagomål.docx", "A 52235-2024")</f>
        <v/>
      </c>
      <c r="W240">
        <f>HYPERLINK("https://klasma.github.io/Logging_2481/klagomålsmail/A 52235-2024 FSC-klagomål mail.docx", "A 52235-2024")</f>
        <v/>
      </c>
      <c r="X240">
        <f>HYPERLINK("https://klasma.github.io/Logging_2481/tillsyn/A 52235-2024 tillsynsbegäran.docx", "A 52235-2024")</f>
        <v/>
      </c>
      <c r="Y240">
        <f>HYPERLINK("https://klasma.github.io/Logging_2481/tillsynsmail/A 52235-2024 tillsynsbegäran mail.docx", "A 52235-2024")</f>
        <v/>
      </c>
    </row>
    <row r="241" ht="15" customHeight="1">
      <c r="A241" t="inlineStr">
        <is>
          <t>A 54858-2024</t>
        </is>
      </c>
      <c r="B241" s="1" t="n">
        <v>45618</v>
      </c>
      <c r="C241" s="1" t="n">
        <v>45740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54858-2024 artfynd.xlsx", "A 54858-2024")</f>
        <v/>
      </c>
      <c r="T241">
        <f>HYPERLINK("https://klasma.github.io/Logging_2481/kartor/A 54858-2024 karta.png", "A 54858-2024")</f>
        <v/>
      </c>
      <c r="V241">
        <f>HYPERLINK("https://klasma.github.io/Logging_2481/klagomål/A 54858-2024 FSC-klagomål.docx", "A 54858-2024")</f>
        <v/>
      </c>
      <c r="W241">
        <f>HYPERLINK("https://klasma.github.io/Logging_2481/klagomålsmail/A 54858-2024 FSC-klagomål mail.docx", "A 54858-2024")</f>
        <v/>
      </c>
      <c r="X241">
        <f>HYPERLINK("https://klasma.github.io/Logging_2481/tillsyn/A 54858-2024 tillsynsbegäran.docx", "A 54858-2024")</f>
        <v/>
      </c>
      <c r="Y241">
        <f>HYPERLINK("https://klasma.github.io/Logging_2481/tillsynsmail/A 54858-2024 tillsynsbegäran mail.docx", "A 54858-2024")</f>
        <v/>
      </c>
    </row>
    <row r="242" ht="15" customHeight="1">
      <c r="A242" t="inlineStr">
        <is>
          <t>A 55566-2024</t>
        </is>
      </c>
      <c r="B242" s="1" t="n">
        <v>45622</v>
      </c>
      <c r="C242" s="1" t="n">
        <v>45740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Harticka</t>
        </is>
      </c>
      <c r="S242">
        <f>HYPERLINK("https://klasma.github.io/Logging_2481/artfynd/A 55566-2024 artfynd.xlsx", "A 55566-2024")</f>
        <v/>
      </c>
      <c r="T242">
        <f>HYPERLINK("https://klasma.github.io/Logging_2481/kartor/A 55566-2024 karta.png", "A 55566-2024")</f>
        <v/>
      </c>
      <c r="V242">
        <f>HYPERLINK("https://klasma.github.io/Logging_2481/klagomål/A 55566-2024 FSC-klagomål.docx", "A 55566-2024")</f>
        <v/>
      </c>
      <c r="W242">
        <f>HYPERLINK("https://klasma.github.io/Logging_2481/klagomålsmail/A 55566-2024 FSC-klagomål mail.docx", "A 55566-2024")</f>
        <v/>
      </c>
      <c r="X242">
        <f>HYPERLINK("https://klasma.github.io/Logging_2481/tillsyn/A 55566-2024 tillsynsbegäran.docx", "A 55566-2024")</f>
        <v/>
      </c>
      <c r="Y242">
        <f>HYPERLINK("https://klasma.github.io/Logging_2481/tillsynsmail/A 55566-2024 tillsynsbegäran mail.docx", "A 55566-2024")</f>
        <v/>
      </c>
    </row>
    <row r="243" ht="15" customHeight="1">
      <c r="A243" t="inlineStr">
        <is>
          <t>A 56511-2024</t>
        </is>
      </c>
      <c r="B243" s="1" t="n">
        <v>45625</v>
      </c>
      <c r="C243" s="1" t="n">
        <v>45740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56511-2024 artfynd.xlsx", "A 56511-2024")</f>
        <v/>
      </c>
      <c r="T243">
        <f>HYPERLINK("https://klasma.github.io/Logging_2481/kartor/A 56511-2024 karta.png", "A 56511-2024")</f>
        <v/>
      </c>
      <c r="V243">
        <f>HYPERLINK("https://klasma.github.io/Logging_2481/klagomål/A 56511-2024 FSC-klagomål.docx", "A 56511-2024")</f>
        <v/>
      </c>
      <c r="W243">
        <f>HYPERLINK("https://klasma.github.io/Logging_2481/klagomålsmail/A 56511-2024 FSC-klagomål mail.docx", "A 56511-2024")</f>
        <v/>
      </c>
      <c r="X243">
        <f>HYPERLINK("https://klasma.github.io/Logging_2481/tillsyn/A 56511-2024 tillsynsbegäran.docx", "A 56511-2024")</f>
        <v/>
      </c>
      <c r="Y243">
        <f>HYPERLINK("https://klasma.github.io/Logging_2481/tillsynsmail/A 56511-2024 tillsynsbegäran mail.docx", "A 56511-2024")</f>
        <v/>
      </c>
    </row>
    <row r="244" ht="15" customHeight="1">
      <c r="A244" t="inlineStr">
        <is>
          <t>A 57663-2024</t>
        </is>
      </c>
      <c r="B244" s="1" t="n">
        <v>45630</v>
      </c>
      <c r="C244" s="1" t="n">
        <v>45740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57663-2024 artfynd.xlsx", "A 57663-2024")</f>
        <v/>
      </c>
      <c r="T244">
        <f>HYPERLINK("https://klasma.github.io/Logging_2481/kartor/A 57663-2024 karta.png", "A 57663-2024")</f>
        <v/>
      </c>
      <c r="V244">
        <f>HYPERLINK("https://klasma.github.io/Logging_2481/klagomål/A 57663-2024 FSC-klagomål.docx", "A 57663-2024")</f>
        <v/>
      </c>
      <c r="W244">
        <f>HYPERLINK("https://klasma.github.io/Logging_2481/klagomålsmail/A 57663-2024 FSC-klagomål mail.docx", "A 57663-2024")</f>
        <v/>
      </c>
      <c r="X244">
        <f>HYPERLINK("https://klasma.github.io/Logging_2481/tillsyn/A 57663-2024 tillsynsbegäran.docx", "A 57663-2024")</f>
        <v/>
      </c>
      <c r="Y244">
        <f>HYPERLINK("https://klasma.github.io/Logging_2481/tillsynsmail/A 57663-2024 tillsynsbegäran mail.docx", "A 57663-2024")</f>
        <v/>
      </c>
    </row>
    <row r="245" ht="15" customHeight="1">
      <c r="A245" t="inlineStr">
        <is>
          <t>A 59283-2024</t>
        </is>
      </c>
      <c r="B245" s="1" t="n">
        <v>45637</v>
      </c>
      <c r="C245" s="1" t="n">
        <v>45740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59283-2024 artfynd.xlsx", "A 59283-2024")</f>
        <v/>
      </c>
      <c r="T245">
        <f>HYPERLINK("https://klasma.github.io/Logging_2481/kartor/A 59283-2024 karta.png", "A 59283-2024")</f>
        <v/>
      </c>
      <c r="V245">
        <f>HYPERLINK("https://klasma.github.io/Logging_2481/klagomål/A 59283-2024 FSC-klagomål.docx", "A 59283-2024")</f>
        <v/>
      </c>
      <c r="W245">
        <f>HYPERLINK("https://klasma.github.io/Logging_2481/klagomålsmail/A 59283-2024 FSC-klagomål mail.docx", "A 59283-2024")</f>
        <v/>
      </c>
      <c r="X245">
        <f>HYPERLINK("https://klasma.github.io/Logging_2481/tillsyn/A 59283-2024 tillsynsbegäran.docx", "A 59283-2024")</f>
        <v/>
      </c>
      <c r="Y245">
        <f>HYPERLINK("https://klasma.github.io/Logging_2481/tillsynsmail/A 59283-2024 tillsynsbegäran mail.docx", "A 59283-2024")</f>
        <v/>
      </c>
    </row>
    <row r="246" ht="15" customHeight="1">
      <c r="A246" t="inlineStr">
        <is>
          <t>A 59599-2024</t>
        </is>
      </c>
      <c r="B246" s="1" t="n">
        <v>45638</v>
      </c>
      <c r="C246" s="1" t="n">
        <v>45740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59599-2024 artfynd.xlsx", "A 59599-2024")</f>
        <v/>
      </c>
      <c r="T246">
        <f>HYPERLINK("https://klasma.github.io/Logging_2481/kartor/A 59599-2024 karta.png", "A 59599-2024")</f>
        <v/>
      </c>
      <c r="V246">
        <f>HYPERLINK("https://klasma.github.io/Logging_2481/klagomål/A 59599-2024 FSC-klagomål.docx", "A 59599-2024")</f>
        <v/>
      </c>
      <c r="W246">
        <f>HYPERLINK("https://klasma.github.io/Logging_2481/klagomålsmail/A 59599-2024 FSC-klagomål mail.docx", "A 59599-2024")</f>
        <v/>
      </c>
      <c r="X246">
        <f>HYPERLINK("https://klasma.github.io/Logging_2481/tillsyn/A 59599-2024 tillsynsbegäran.docx", "A 59599-2024")</f>
        <v/>
      </c>
      <c r="Y246">
        <f>HYPERLINK("https://klasma.github.io/Logging_2481/tillsynsmail/A 59599-2024 tillsynsbegäran mail.docx", "A 59599-2024")</f>
        <v/>
      </c>
    </row>
    <row r="247" ht="15" customHeight="1">
      <c r="A247" t="inlineStr">
        <is>
          <t>A 61896-2024</t>
        </is>
      </c>
      <c r="B247" s="1" t="n">
        <v>45652</v>
      </c>
      <c r="C247" s="1" t="n">
        <v>45740</v>
      </c>
      <c r="D247" t="inlineStr">
        <is>
          <t>VÄSTERBOTTENS LÄN</t>
        </is>
      </c>
      <c r="E247" t="inlineStr">
        <is>
          <t>LYCKSELE</t>
        </is>
      </c>
      <c r="G247" t="n">
        <v>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61896-2024 artfynd.xlsx", "A 61896-2024")</f>
        <v/>
      </c>
      <c r="T247">
        <f>HYPERLINK("https://klasma.github.io/Logging_2481/kartor/A 61896-2024 karta.png", "A 61896-2024")</f>
        <v/>
      </c>
      <c r="V247">
        <f>HYPERLINK("https://klasma.github.io/Logging_2481/klagomål/A 61896-2024 FSC-klagomål.docx", "A 61896-2024")</f>
        <v/>
      </c>
      <c r="W247">
        <f>HYPERLINK("https://klasma.github.io/Logging_2481/klagomålsmail/A 61896-2024 FSC-klagomål mail.docx", "A 61896-2024")</f>
        <v/>
      </c>
      <c r="X247">
        <f>HYPERLINK("https://klasma.github.io/Logging_2481/tillsyn/A 61896-2024 tillsynsbegäran.docx", "A 61896-2024")</f>
        <v/>
      </c>
      <c r="Y247">
        <f>HYPERLINK("https://klasma.github.io/Logging_2481/tillsynsmail/A 61896-2024 tillsynsbegäran mail.docx", "A 61896-2024")</f>
        <v/>
      </c>
    </row>
    <row r="248" ht="15" customHeight="1">
      <c r="A248" t="inlineStr">
        <is>
          <t>A 61910-2024</t>
        </is>
      </c>
      <c r="B248" s="1" t="n">
        <v>45653</v>
      </c>
      <c r="C248" s="1" t="n">
        <v>45740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HYPERLINK("https://klasma.github.io/Logging_2481/artfynd/A 61910-2024 artfynd.xlsx", "A 61910-2024")</f>
        <v/>
      </c>
      <c r="T248">
        <f>HYPERLINK("https://klasma.github.io/Logging_2481/kartor/A 61910-2024 karta.png", "A 61910-2024")</f>
        <v/>
      </c>
      <c r="V248">
        <f>HYPERLINK("https://klasma.github.io/Logging_2481/klagomål/A 61910-2024 FSC-klagomål.docx", "A 61910-2024")</f>
        <v/>
      </c>
      <c r="W248">
        <f>HYPERLINK("https://klasma.github.io/Logging_2481/klagomålsmail/A 61910-2024 FSC-klagomål mail.docx", "A 61910-2024")</f>
        <v/>
      </c>
      <c r="X248">
        <f>HYPERLINK("https://klasma.github.io/Logging_2481/tillsyn/A 61910-2024 tillsynsbegäran.docx", "A 61910-2024")</f>
        <v/>
      </c>
      <c r="Y248">
        <f>HYPERLINK("https://klasma.github.io/Logging_2481/tillsynsmail/A 61910-2024 tillsynsbegäran mail.docx", "A 61910-2024")</f>
        <v/>
      </c>
    </row>
    <row r="249" ht="15" customHeight="1">
      <c r="A249" t="inlineStr">
        <is>
          <t>A 219-2025</t>
        </is>
      </c>
      <c r="B249" s="1" t="n">
        <v>45660</v>
      </c>
      <c r="C249" s="1" t="n">
        <v>45740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219-2025 artfynd.xlsx", "A 219-2025")</f>
        <v/>
      </c>
      <c r="T249">
        <f>HYPERLINK("https://klasma.github.io/Logging_2481/kartor/A 219-2025 karta.png", "A 219-2025")</f>
        <v/>
      </c>
      <c r="V249">
        <f>HYPERLINK("https://klasma.github.io/Logging_2481/klagomål/A 219-2025 FSC-klagomål.docx", "A 219-2025")</f>
        <v/>
      </c>
      <c r="W249">
        <f>HYPERLINK("https://klasma.github.io/Logging_2481/klagomålsmail/A 219-2025 FSC-klagomål mail.docx", "A 219-2025")</f>
        <v/>
      </c>
      <c r="X249">
        <f>HYPERLINK("https://klasma.github.io/Logging_2481/tillsyn/A 219-2025 tillsynsbegäran.docx", "A 219-2025")</f>
        <v/>
      </c>
      <c r="Y249">
        <f>HYPERLINK("https://klasma.github.io/Logging_2481/tillsynsmail/A 219-2025 tillsynsbegäran mail.docx", "A 219-2025")</f>
        <v/>
      </c>
    </row>
    <row r="250" ht="15" customHeight="1">
      <c r="A250" t="inlineStr">
        <is>
          <t>A 742-2025</t>
        </is>
      </c>
      <c r="B250" s="1" t="n">
        <v>45665</v>
      </c>
      <c r="C250" s="1" t="n">
        <v>45740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Fläcknycklar</t>
        </is>
      </c>
      <c r="S250">
        <f>HYPERLINK("https://klasma.github.io/Logging_2481/artfynd/A 742-2025 artfynd.xlsx", "A 742-2025")</f>
        <v/>
      </c>
      <c r="T250">
        <f>HYPERLINK("https://klasma.github.io/Logging_2481/kartor/A 742-2025 karta.png", "A 742-2025")</f>
        <v/>
      </c>
      <c r="V250">
        <f>HYPERLINK("https://klasma.github.io/Logging_2481/klagomål/A 742-2025 FSC-klagomål.docx", "A 742-2025")</f>
        <v/>
      </c>
      <c r="W250">
        <f>HYPERLINK("https://klasma.github.io/Logging_2481/klagomålsmail/A 742-2025 FSC-klagomål mail.docx", "A 742-2025")</f>
        <v/>
      </c>
      <c r="X250">
        <f>HYPERLINK("https://klasma.github.io/Logging_2481/tillsyn/A 742-2025 tillsynsbegäran.docx", "A 742-2025")</f>
        <v/>
      </c>
      <c r="Y250">
        <f>HYPERLINK("https://klasma.github.io/Logging_2481/tillsynsmail/A 742-2025 tillsynsbegäran mail.docx", "A 742-2025")</f>
        <v/>
      </c>
    </row>
    <row r="251" ht="15" customHeight="1">
      <c r="A251" t="inlineStr">
        <is>
          <t>A 5683-2025</t>
        </is>
      </c>
      <c r="B251" s="1" t="n">
        <v>45694</v>
      </c>
      <c r="C251" s="1" t="n">
        <v>45740</v>
      </c>
      <c r="D251" t="inlineStr">
        <is>
          <t>VÄSTERBOTTENS LÄN</t>
        </is>
      </c>
      <c r="E251" t="inlineStr">
        <is>
          <t>LYCKSELE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Vitgrynig nållav</t>
        </is>
      </c>
      <c r="S251">
        <f>HYPERLINK("https://klasma.github.io/Logging_2481/artfynd/A 5683-2025 artfynd.xlsx", "A 5683-2025")</f>
        <v/>
      </c>
      <c r="T251">
        <f>HYPERLINK("https://klasma.github.io/Logging_2481/kartor/A 5683-2025 karta.png", "A 5683-2025")</f>
        <v/>
      </c>
      <c r="V251">
        <f>HYPERLINK("https://klasma.github.io/Logging_2481/klagomål/A 5683-2025 FSC-klagomål.docx", "A 5683-2025")</f>
        <v/>
      </c>
      <c r="W251">
        <f>HYPERLINK("https://klasma.github.io/Logging_2481/klagomålsmail/A 5683-2025 FSC-klagomål mail.docx", "A 5683-2025")</f>
        <v/>
      </c>
      <c r="X251">
        <f>HYPERLINK("https://klasma.github.io/Logging_2481/tillsyn/A 5683-2025 tillsynsbegäran.docx", "A 5683-2025")</f>
        <v/>
      </c>
      <c r="Y251">
        <f>HYPERLINK("https://klasma.github.io/Logging_2481/tillsynsmail/A 5683-2025 tillsynsbegäran mail.docx", "A 5683-2025")</f>
        <v/>
      </c>
    </row>
    <row r="252" ht="15" customHeight="1">
      <c r="A252" t="inlineStr">
        <is>
          <t>A 18986-2019</t>
        </is>
      </c>
      <c r="B252" s="1" t="n">
        <v>43563</v>
      </c>
      <c r="C252" s="1" t="n">
        <v>45740</v>
      </c>
      <c r="D252" t="inlineStr">
        <is>
          <t>VÄSTERBOTTENS LÄN</t>
        </is>
      </c>
      <c r="E252" t="inlineStr">
        <is>
          <t>LYCKSELE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19604-2019</t>
        </is>
      </c>
      <c r="B253" s="1" t="n">
        <v>43566</v>
      </c>
      <c r="C253" s="1" t="n">
        <v>45740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20928-2019</t>
        </is>
      </c>
      <c r="B254" s="1" t="n">
        <v>43572</v>
      </c>
      <c r="C254" s="1" t="n">
        <v>45740</v>
      </c>
      <c r="D254" t="inlineStr">
        <is>
          <t>VÄSTERBOTTENS LÄN</t>
        </is>
      </c>
      <c r="E254" t="inlineStr">
        <is>
          <t>LYCKSELE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21331-2019</t>
        </is>
      </c>
      <c r="B255" s="1" t="n">
        <v>43579</v>
      </c>
      <c r="C255" s="1" t="n">
        <v>45740</v>
      </c>
      <c r="D255" t="inlineStr">
        <is>
          <t>VÄSTERBOTTENS LÄN</t>
        </is>
      </c>
      <c r="E255" t="inlineStr">
        <is>
          <t>LYCKSELE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21775-2019</t>
        </is>
      </c>
      <c r="B256" s="1" t="n">
        <v>43581</v>
      </c>
      <c r="C256" s="1" t="n">
        <v>45740</v>
      </c>
      <c r="D256" t="inlineStr">
        <is>
          <t>VÄSTERBOTTENS LÄN</t>
        </is>
      </c>
      <c r="E256" t="inlineStr">
        <is>
          <t>LYCKSELE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21766-2019</t>
        </is>
      </c>
      <c r="B257" s="1" t="n">
        <v>43581</v>
      </c>
      <c r="C257" s="1" t="n">
        <v>45740</v>
      </c>
      <c r="D257" t="inlineStr">
        <is>
          <t>VÄSTERBOTTENS LÄN</t>
        </is>
      </c>
      <c r="E257" t="inlineStr">
        <is>
          <t>LYCKSELE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21756-2019</t>
        </is>
      </c>
      <c r="B258" s="1" t="n">
        <v>43581</v>
      </c>
      <c r="C258" s="1" t="n">
        <v>45740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21754-2019</t>
        </is>
      </c>
      <c r="B259" s="1" t="n">
        <v>43581</v>
      </c>
      <c r="C259" s="1" t="n">
        <v>45740</v>
      </c>
      <c r="D259" t="inlineStr">
        <is>
          <t>VÄSTERBOTTENS LÄN</t>
        </is>
      </c>
      <c r="E259" t="inlineStr">
        <is>
          <t>LYCKSELE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22320-2019</t>
        </is>
      </c>
      <c r="B260" s="1" t="n">
        <v>43586</v>
      </c>
      <c r="C260" s="1" t="n">
        <v>45740</v>
      </c>
      <c r="D260" t="inlineStr">
        <is>
          <t>VÄSTERBOTTENS LÄN</t>
        </is>
      </c>
      <c r="E260" t="inlineStr">
        <is>
          <t>LYCKSELE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22318-2019</t>
        </is>
      </c>
      <c r="B261" s="1" t="n">
        <v>43586</v>
      </c>
      <c r="C261" s="1" t="n">
        <v>45740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23158-2019</t>
        </is>
      </c>
      <c r="B262" s="1" t="n">
        <v>43592</v>
      </c>
      <c r="C262" s="1" t="n">
        <v>45740</v>
      </c>
      <c r="D262" t="inlineStr">
        <is>
          <t>VÄSTERBOTTENS LÄN</t>
        </is>
      </c>
      <c r="E262" t="inlineStr">
        <is>
          <t>LYCKSELE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23103-2019</t>
        </is>
      </c>
      <c r="B263" s="1" t="n">
        <v>43592</v>
      </c>
      <c r="C263" s="1" t="n">
        <v>45740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23106-2019</t>
        </is>
      </c>
      <c r="B264" s="1" t="n">
        <v>43592</v>
      </c>
      <c r="C264" s="1" t="n">
        <v>45740</v>
      </c>
      <c r="D264" t="inlineStr">
        <is>
          <t>VÄSTERBOTTENS LÄN</t>
        </is>
      </c>
      <c r="E264" t="inlineStr">
        <is>
          <t>LYCKSELE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23282-2019</t>
        </is>
      </c>
      <c r="B265" s="1" t="n">
        <v>43593</v>
      </c>
      <c r="C265" s="1" t="n">
        <v>45740</v>
      </c>
      <c r="D265" t="inlineStr">
        <is>
          <t>VÄSTERBOTTENS LÄN</t>
        </is>
      </c>
      <c r="E265" t="inlineStr">
        <is>
          <t>LYCKSELE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23520-2019</t>
        </is>
      </c>
      <c r="B266" s="1" t="n">
        <v>43593</v>
      </c>
      <c r="C266" s="1" t="n">
        <v>45740</v>
      </c>
      <c r="D266" t="inlineStr">
        <is>
          <t>VÄSTERBOTTENS LÄN</t>
        </is>
      </c>
      <c r="E266" t="inlineStr">
        <is>
          <t>LYCKSELE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23536-2019</t>
        </is>
      </c>
      <c r="B267" s="1" t="n">
        <v>43594</v>
      </c>
      <c r="C267" s="1" t="n">
        <v>45740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23938-2019</t>
        </is>
      </c>
      <c r="B268" s="1" t="n">
        <v>43595</v>
      </c>
      <c r="C268" s="1" t="n">
        <v>45740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24332-2019</t>
        </is>
      </c>
      <c r="B269" s="1" t="n">
        <v>43598</v>
      </c>
      <c r="C269" s="1" t="n">
        <v>45740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24335-2019</t>
        </is>
      </c>
      <c r="B270" s="1" t="n">
        <v>43598</v>
      </c>
      <c r="C270" s="1" t="n">
        <v>45740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24581-2019</t>
        </is>
      </c>
      <c r="B271" s="1" t="n">
        <v>43600</v>
      </c>
      <c r="C271" s="1" t="n">
        <v>45740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29088-2019</t>
        </is>
      </c>
      <c r="B272" s="1" t="n">
        <v>43621</v>
      </c>
      <c r="C272" s="1" t="n">
        <v>45740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28569-2019</t>
        </is>
      </c>
      <c r="B273" s="1" t="n">
        <v>43626</v>
      </c>
      <c r="C273" s="1" t="n">
        <v>45740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29397-2019</t>
        </is>
      </c>
      <c r="B274" s="1" t="n">
        <v>43627</v>
      </c>
      <c r="C274" s="1" t="n">
        <v>45740</v>
      </c>
      <c r="D274" t="inlineStr">
        <is>
          <t>VÄSTERBOTTENS LÄN</t>
        </is>
      </c>
      <c r="E274" t="inlineStr">
        <is>
          <t>LYCKSELE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29394-2019</t>
        </is>
      </c>
      <c r="B275" s="1" t="n">
        <v>43627</v>
      </c>
      <c r="C275" s="1" t="n">
        <v>45740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30082-2019</t>
        </is>
      </c>
      <c r="B276" s="1" t="n">
        <v>43633</v>
      </c>
      <c r="C276" s="1" t="n">
        <v>45740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30420-2019</t>
        </is>
      </c>
      <c r="B277" s="1" t="n">
        <v>43633</v>
      </c>
      <c r="C277" s="1" t="n">
        <v>45740</v>
      </c>
      <c r="D277" t="inlineStr">
        <is>
          <t>VÄSTERBOTTENS LÄN</t>
        </is>
      </c>
      <c r="E277" t="inlineStr">
        <is>
          <t>LYCKSELE</t>
        </is>
      </c>
      <c r="G277" t="n">
        <v>21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30333-2019</t>
        </is>
      </c>
      <c r="B278" s="1" t="n">
        <v>43634</v>
      </c>
      <c r="C278" s="1" t="n">
        <v>45740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30335-2019</t>
        </is>
      </c>
      <c r="B279" s="1" t="n">
        <v>43634</v>
      </c>
      <c r="C279" s="1" t="n">
        <v>45740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31917-2019</t>
        </is>
      </c>
      <c r="B280" s="1" t="n">
        <v>43641</v>
      </c>
      <c r="C280" s="1" t="n">
        <v>45740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31883-2019</t>
        </is>
      </c>
      <c r="B281" s="1" t="n">
        <v>43642</v>
      </c>
      <c r="C281" s="1" t="n">
        <v>45740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32083-2019</t>
        </is>
      </c>
      <c r="B282" s="1" t="n">
        <v>43642</v>
      </c>
      <c r="C282" s="1" t="n">
        <v>45740</v>
      </c>
      <c r="D282" t="inlineStr">
        <is>
          <t>VÄSTERBOTTENS LÄN</t>
        </is>
      </c>
      <c r="E282" t="inlineStr">
        <is>
          <t>LYCKSELE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31876-2019</t>
        </is>
      </c>
      <c r="B283" s="1" t="n">
        <v>43642</v>
      </c>
      <c r="C283" s="1" t="n">
        <v>45740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32074-2019</t>
        </is>
      </c>
      <c r="B284" s="1" t="n">
        <v>43642</v>
      </c>
      <c r="C284" s="1" t="n">
        <v>45740</v>
      </c>
      <c r="D284" t="inlineStr">
        <is>
          <t>VÄSTERBOTTENS LÄN</t>
        </is>
      </c>
      <c r="E284" t="inlineStr">
        <is>
          <t>LYCKSELE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33203-2019</t>
        </is>
      </c>
      <c r="B285" s="1" t="n">
        <v>43649</v>
      </c>
      <c r="C285" s="1" t="n">
        <v>45740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20.2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34852-2019</t>
        </is>
      </c>
      <c r="B286" s="1" t="n">
        <v>43649</v>
      </c>
      <c r="C286" s="1" t="n">
        <v>45740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33414-2019</t>
        </is>
      </c>
      <c r="B287" s="1" t="n">
        <v>43650</v>
      </c>
      <c r="C287" s="1" t="n">
        <v>45740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33810-2019</t>
        </is>
      </c>
      <c r="B288" s="1" t="n">
        <v>43651</v>
      </c>
      <c r="C288" s="1" t="n">
        <v>45740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34249-2019</t>
        </is>
      </c>
      <c r="B289" s="1" t="n">
        <v>43655</v>
      </c>
      <c r="C289" s="1" t="n">
        <v>45740</v>
      </c>
      <c r="D289" t="inlineStr">
        <is>
          <t>VÄSTERBOTTENS LÄN</t>
        </is>
      </c>
      <c r="E289" t="inlineStr">
        <is>
          <t>LYCKSELE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36154-2019</t>
        </is>
      </c>
      <c r="B290" s="1" t="n">
        <v>43658</v>
      </c>
      <c r="C290" s="1" t="n">
        <v>45740</v>
      </c>
      <c r="D290" t="inlineStr">
        <is>
          <t>VÄSTERBOTTENS LÄN</t>
        </is>
      </c>
      <c r="E290" t="inlineStr">
        <is>
          <t>LYCKSELE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35091-2019</t>
        </is>
      </c>
      <c r="B291" s="1" t="n">
        <v>43661</v>
      </c>
      <c r="C291" s="1" t="n">
        <v>45740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35092-2019</t>
        </is>
      </c>
      <c r="B292" s="1" t="n">
        <v>43661</v>
      </c>
      <c r="C292" s="1" t="n">
        <v>45740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37162-2019</t>
        </is>
      </c>
      <c r="B293" s="1" t="n">
        <v>43677</v>
      </c>
      <c r="C293" s="1" t="n">
        <v>45740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38551-2019</t>
        </is>
      </c>
      <c r="B294" s="1" t="n">
        <v>43685</v>
      </c>
      <c r="C294" s="1" t="n">
        <v>45740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38800-2019</t>
        </is>
      </c>
      <c r="B295" s="1" t="n">
        <v>43688</v>
      </c>
      <c r="C295" s="1" t="n">
        <v>45740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39373-2019</t>
        </is>
      </c>
      <c r="B296" s="1" t="n">
        <v>43690</v>
      </c>
      <c r="C296" s="1" t="n">
        <v>45740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39201-2019</t>
        </is>
      </c>
      <c r="B297" s="1" t="n">
        <v>43690</v>
      </c>
      <c r="C297" s="1" t="n">
        <v>45740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41150-2019</t>
        </is>
      </c>
      <c r="B298" s="1" t="n">
        <v>43691</v>
      </c>
      <c r="C298" s="1" t="n">
        <v>45740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40310-2019</t>
        </is>
      </c>
      <c r="B299" s="1" t="n">
        <v>43696</v>
      </c>
      <c r="C299" s="1" t="n">
        <v>45740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41375-2019</t>
        </is>
      </c>
      <c r="B300" s="1" t="n">
        <v>43696</v>
      </c>
      <c r="C300" s="1" t="n">
        <v>45740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42373-2019</t>
        </is>
      </c>
      <c r="B301" s="1" t="n">
        <v>43703</v>
      </c>
      <c r="C301" s="1" t="n">
        <v>45740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43465-2019</t>
        </is>
      </c>
      <c r="B302" s="1" t="n">
        <v>43703</v>
      </c>
      <c r="C302" s="1" t="n">
        <v>45740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43480-2019</t>
        </is>
      </c>
      <c r="B303" s="1" t="n">
        <v>43703</v>
      </c>
      <c r="C303" s="1" t="n">
        <v>45740</v>
      </c>
      <c r="D303" t="inlineStr">
        <is>
          <t>VÄSTERBOTTENS LÄN</t>
        </is>
      </c>
      <c r="E303" t="inlineStr">
        <is>
          <t>LYCKSELE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42368-2019</t>
        </is>
      </c>
      <c r="B304" s="1" t="n">
        <v>43703</v>
      </c>
      <c r="C304" s="1" t="n">
        <v>45740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42588-2019</t>
        </is>
      </c>
      <c r="B305" s="1" t="n">
        <v>43704</v>
      </c>
      <c r="C305" s="1" t="n">
        <v>45740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44031-2019</t>
        </is>
      </c>
      <c r="B306" s="1" t="n">
        <v>43704</v>
      </c>
      <c r="C306" s="1" t="n">
        <v>45740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44858-2019</t>
        </is>
      </c>
      <c r="B307" s="1" t="n">
        <v>43707</v>
      </c>
      <c r="C307" s="1" t="n">
        <v>45740</v>
      </c>
      <c r="D307" t="inlineStr">
        <is>
          <t>VÄSTERBOTTENS LÄN</t>
        </is>
      </c>
      <c r="E307" t="inlineStr">
        <is>
          <t>LYCKSELE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44024-2019</t>
        </is>
      </c>
      <c r="B308" s="1" t="n">
        <v>43710</v>
      </c>
      <c r="C308" s="1" t="n">
        <v>45740</v>
      </c>
      <c r="D308" t="inlineStr">
        <is>
          <t>VÄSTERBOTTENS LÄN</t>
        </is>
      </c>
      <c r="E308" t="inlineStr">
        <is>
          <t>LYCKSELE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44590-2019</t>
        </is>
      </c>
      <c r="B309" s="1" t="n">
        <v>43711</v>
      </c>
      <c r="C309" s="1" t="n">
        <v>45740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46252-2019</t>
        </is>
      </c>
      <c r="B310" s="1" t="n">
        <v>43712</v>
      </c>
      <c r="C310" s="1" t="n">
        <v>45740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45227-2019</t>
        </is>
      </c>
      <c r="B311" s="1" t="n">
        <v>43713</v>
      </c>
      <c r="C311" s="1" t="n">
        <v>45740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45264-2019</t>
        </is>
      </c>
      <c r="B312" s="1" t="n">
        <v>43713</v>
      </c>
      <c r="C312" s="1" t="n">
        <v>45740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45228-2019</t>
        </is>
      </c>
      <c r="B313" s="1" t="n">
        <v>43713</v>
      </c>
      <c r="C313" s="1" t="n">
        <v>45740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46271-2019</t>
        </is>
      </c>
      <c r="B314" s="1" t="n">
        <v>43713</v>
      </c>
      <c r="C314" s="1" t="n">
        <v>45740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46284-2019</t>
        </is>
      </c>
      <c r="B315" s="1" t="n">
        <v>43713</v>
      </c>
      <c r="C315" s="1" t="n">
        <v>45740</v>
      </c>
      <c r="D315" t="inlineStr">
        <is>
          <t>VÄSTERBOTTENS LÄN</t>
        </is>
      </c>
      <c r="E315" t="inlineStr">
        <is>
          <t>LYCKSELE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45758-2019</t>
        </is>
      </c>
      <c r="B316" s="1" t="n">
        <v>43717</v>
      </c>
      <c r="C316" s="1" t="n">
        <v>45740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47062-2019</t>
        </is>
      </c>
      <c r="B317" s="1" t="n">
        <v>43720</v>
      </c>
      <c r="C317" s="1" t="n">
        <v>45740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48784-2019</t>
        </is>
      </c>
      <c r="B318" s="1" t="n">
        <v>43727</v>
      </c>
      <c r="C318" s="1" t="n">
        <v>45740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49112-2019</t>
        </is>
      </c>
      <c r="B319" s="1" t="n">
        <v>43731</v>
      </c>
      <c r="C319" s="1" t="n">
        <v>45740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50603-2019</t>
        </is>
      </c>
      <c r="B320" s="1" t="n">
        <v>43735</v>
      </c>
      <c r="C320" s="1" t="n">
        <v>45740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51144-2019</t>
        </is>
      </c>
      <c r="B321" s="1" t="n">
        <v>43739</v>
      </c>
      <c r="C321" s="1" t="n">
        <v>45740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51152-2019</t>
        </is>
      </c>
      <c r="B322" s="1" t="n">
        <v>43739</v>
      </c>
      <c r="C322" s="1" t="n">
        <v>45740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51135-2019</t>
        </is>
      </c>
      <c r="B323" s="1" t="n">
        <v>43739</v>
      </c>
      <c r="C323" s="1" t="n">
        <v>45740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51155-2019</t>
        </is>
      </c>
      <c r="B324" s="1" t="n">
        <v>43739</v>
      </c>
      <c r="C324" s="1" t="n">
        <v>45740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52437-2019</t>
        </is>
      </c>
      <c r="B325" s="1" t="n">
        <v>43745</v>
      </c>
      <c r="C325" s="1" t="n">
        <v>45740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52630-2019</t>
        </is>
      </c>
      <c r="B326" s="1" t="n">
        <v>43746</v>
      </c>
      <c r="C326" s="1" t="n">
        <v>45740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52621-2019</t>
        </is>
      </c>
      <c r="B327" s="1" t="n">
        <v>43746</v>
      </c>
      <c r="C327" s="1" t="n">
        <v>45740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55396-2019</t>
        </is>
      </c>
      <c r="B328" s="1" t="n">
        <v>43758</v>
      </c>
      <c r="C328" s="1" t="n">
        <v>45740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56685-2019</t>
        </is>
      </c>
      <c r="B329" s="1" t="n">
        <v>43759</v>
      </c>
      <c r="C329" s="1" t="n">
        <v>45740</v>
      </c>
      <c r="D329" t="inlineStr">
        <is>
          <t>VÄSTERBOTTENS LÄN</t>
        </is>
      </c>
      <c r="E329" t="inlineStr">
        <is>
          <t>LYCKSELE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56679-2019</t>
        </is>
      </c>
      <c r="B330" s="1" t="n">
        <v>43759</v>
      </c>
      <c r="C330" s="1" t="n">
        <v>45740</v>
      </c>
      <c r="D330" t="inlineStr">
        <is>
          <t>VÄSTERBOTTENS LÄN</t>
        </is>
      </c>
      <c r="E330" t="inlineStr">
        <is>
          <t>LYCKSELE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56191-2019</t>
        </is>
      </c>
      <c r="B331" s="1" t="n">
        <v>43761</v>
      </c>
      <c r="C331" s="1" t="n">
        <v>45740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57972-2019</t>
        </is>
      </c>
      <c r="B332" s="1" t="n">
        <v>43762</v>
      </c>
      <c r="C332" s="1" t="n">
        <v>45740</v>
      </c>
      <c r="D332" t="inlineStr">
        <is>
          <t>VÄSTERBOTTENS LÄN</t>
        </is>
      </c>
      <c r="E332" t="inlineStr">
        <is>
          <t>LYCKSELE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58655-2019</t>
        </is>
      </c>
      <c r="B333" s="1" t="n">
        <v>43767</v>
      </c>
      <c r="C333" s="1" t="n">
        <v>45740</v>
      </c>
      <c r="D333" t="inlineStr">
        <is>
          <t>VÄSTERBOTTENS LÄN</t>
        </is>
      </c>
      <c r="E333" t="inlineStr">
        <is>
          <t>LYCKSELE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58648-2019</t>
        </is>
      </c>
      <c r="B334" s="1" t="n">
        <v>43768</v>
      </c>
      <c r="C334" s="1" t="n">
        <v>45740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57838-2019</t>
        </is>
      </c>
      <c r="B335" s="1" t="n">
        <v>43768</v>
      </c>
      <c r="C335" s="1" t="n">
        <v>45740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59632-2019</t>
        </is>
      </c>
      <c r="B336" s="1" t="n">
        <v>43776</v>
      </c>
      <c r="C336" s="1" t="n">
        <v>45740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60438-2019</t>
        </is>
      </c>
      <c r="B337" s="1" t="n">
        <v>43780</v>
      </c>
      <c r="C337" s="1" t="n">
        <v>45740</v>
      </c>
      <c r="D337" t="inlineStr">
        <is>
          <t>VÄSTERBOTTENS LÄN</t>
        </is>
      </c>
      <c r="E337" t="inlineStr">
        <is>
          <t>LYCKSELE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60567-2019</t>
        </is>
      </c>
      <c r="B338" s="1" t="n">
        <v>43781</v>
      </c>
      <c r="C338" s="1" t="n">
        <v>45740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62147-2019</t>
        </is>
      </c>
      <c r="B339" s="1" t="n">
        <v>43787</v>
      </c>
      <c r="C339" s="1" t="n">
        <v>45740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63313-2019</t>
        </is>
      </c>
      <c r="B340" s="1" t="n">
        <v>43787</v>
      </c>
      <c r="C340" s="1" t="n">
        <v>45740</v>
      </c>
      <c r="D340" t="inlineStr">
        <is>
          <t>VÄSTERBOTTENS LÄN</t>
        </is>
      </c>
      <c r="E340" t="inlineStr">
        <is>
          <t>LYCKSELE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63305-2019</t>
        </is>
      </c>
      <c r="B341" s="1" t="n">
        <v>43787</v>
      </c>
      <c r="C341" s="1" t="n">
        <v>45740</v>
      </c>
      <c r="D341" t="inlineStr">
        <is>
          <t>VÄSTERBOTTENS LÄN</t>
        </is>
      </c>
      <c r="E341" t="inlineStr">
        <is>
          <t>LYCKSELE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62507-2019</t>
        </is>
      </c>
      <c r="B342" s="1" t="n">
        <v>43788</v>
      </c>
      <c r="C342" s="1" t="n">
        <v>45740</v>
      </c>
      <c r="D342" t="inlineStr">
        <is>
          <t>VÄSTERBOTTENS LÄN</t>
        </is>
      </c>
      <c r="E342" t="inlineStr">
        <is>
          <t>LYCKSELE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63506-2019</t>
        </is>
      </c>
      <c r="B343" s="1" t="n">
        <v>43788</v>
      </c>
      <c r="C343" s="1" t="n">
        <v>45740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63236-2019</t>
        </is>
      </c>
      <c r="B344" s="1" t="n">
        <v>43791</v>
      </c>
      <c r="C344" s="1" t="n">
        <v>45740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64371-2019</t>
        </is>
      </c>
      <c r="B345" s="1" t="n">
        <v>43797</v>
      </c>
      <c r="C345" s="1" t="n">
        <v>45740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64478-2019</t>
        </is>
      </c>
      <c r="B346" s="1" t="n">
        <v>43797</v>
      </c>
      <c r="C346" s="1" t="n">
        <v>45740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67650-2019</t>
        </is>
      </c>
      <c r="B347" s="1" t="n">
        <v>43809</v>
      </c>
      <c r="C347" s="1" t="n">
        <v>45740</v>
      </c>
      <c r="D347" t="inlineStr">
        <is>
          <t>VÄSTERBOTTENS LÄN</t>
        </is>
      </c>
      <c r="E347" t="inlineStr">
        <is>
          <t>LYCKSELE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67652-2019</t>
        </is>
      </c>
      <c r="B348" s="1" t="n">
        <v>43809</v>
      </c>
      <c r="C348" s="1" t="n">
        <v>45740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67636-2019</t>
        </is>
      </c>
      <c r="B349" s="1" t="n">
        <v>43809</v>
      </c>
      <c r="C349" s="1" t="n">
        <v>45740</v>
      </c>
      <c r="D349" t="inlineStr">
        <is>
          <t>VÄSTERBOTTENS LÄN</t>
        </is>
      </c>
      <c r="E349" t="inlineStr">
        <is>
          <t>LYCKSELE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69024-2019</t>
        </is>
      </c>
      <c r="B350" s="1" t="n">
        <v>43815</v>
      </c>
      <c r="C350" s="1" t="n">
        <v>45740</v>
      </c>
      <c r="D350" t="inlineStr">
        <is>
          <t>VÄSTERBOTTENS LÄN</t>
        </is>
      </c>
      <c r="E350" t="inlineStr">
        <is>
          <t>LYCKSELE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67949-2019</t>
        </is>
      </c>
      <c r="B351" s="1" t="n">
        <v>43816</v>
      </c>
      <c r="C351" s="1" t="n">
        <v>45740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67935-2019</t>
        </is>
      </c>
      <c r="B352" s="1" t="n">
        <v>43816</v>
      </c>
      <c r="C352" s="1" t="n">
        <v>45740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68185-2019</t>
        </is>
      </c>
      <c r="B353" s="1" t="n">
        <v>43817</v>
      </c>
      <c r="C353" s="1" t="n">
        <v>45740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68179-2019</t>
        </is>
      </c>
      <c r="B354" s="1" t="n">
        <v>43817</v>
      </c>
      <c r="C354" s="1" t="n">
        <v>45740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68172-2019</t>
        </is>
      </c>
      <c r="B355" s="1" t="n">
        <v>43817</v>
      </c>
      <c r="C355" s="1" t="n">
        <v>45740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68194-2019</t>
        </is>
      </c>
      <c r="B356" s="1" t="n">
        <v>43817</v>
      </c>
      <c r="C356" s="1" t="n">
        <v>45740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68614-2019</t>
        </is>
      </c>
      <c r="B357" s="1" t="n">
        <v>43818</v>
      </c>
      <c r="C357" s="1" t="n">
        <v>45740</v>
      </c>
      <c r="D357" t="inlineStr">
        <is>
          <t>VÄSTERBOTTENS LÄN</t>
        </is>
      </c>
      <c r="E357" t="inlineStr">
        <is>
          <t>LYCKSELE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1716-2020</t>
        </is>
      </c>
      <c r="B358" s="1" t="n">
        <v>43833</v>
      </c>
      <c r="C358" s="1" t="n">
        <v>45740</v>
      </c>
      <c r="D358" t="inlineStr">
        <is>
          <t>VÄSTERBOTTENS LÄN</t>
        </is>
      </c>
      <c r="E358" t="inlineStr">
        <is>
          <t>LYCKSELE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1691-2020</t>
        </is>
      </c>
      <c r="B359" s="1" t="n">
        <v>43833</v>
      </c>
      <c r="C359" s="1" t="n">
        <v>45740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954-2020</t>
        </is>
      </c>
      <c r="B360" s="1" t="n">
        <v>43839</v>
      </c>
      <c r="C360" s="1" t="n">
        <v>45740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1108-2020</t>
        </is>
      </c>
      <c r="B361" s="1" t="n">
        <v>43840</v>
      </c>
      <c r="C361" s="1" t="n">
        <v>45740</v>
      </c>
      <c r="D361" t="inlineStr">
        <is>
          <t>VÄSTERBOTTENS LÄN</t>
        </is>
      </c>
      <c r="E361" t="inlineStr">
        <is>
          <t>LYCKSELE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1142-2020</t>
        </is>
      </c>
      <c r="B362" s="1" t="n">
        <v>43840</v>
      </c>
      <c r="C362" s="1" t="n">
        <v>45740</v>
      </c>
      <c r="D362" t="inlineStr">
        <is>
          <t>VÄSTERBOTTENS LÄN</t>
        </is>
      </c>
      <c r="E362" t="inlineStr">
        <is>
          <t>LYCKSELE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1133-2020</t>
        </is>
      </c>
      <c r="B363" s="1" t="n">
        <v>43840</v>
      </c>
      <c r="C363" s="1" t="n">
        <v>45740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1270-2020</t>
        </is>
      </c>
      <c r="B364" s="1" t="n">
        <v>43841</v>
      </c>
      <c r="C364" s="1" t="n">
        <v>45740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3620-2020</t>
        </is>
      </c>
      <c r="B365" s="1" t="n">
        <v>43845</v>
      </c>
      <c r="C365" s="1" t="n">
        <v>45740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4041-2020</t>
        </is>
      </c>
      <c r="B366" s="1" t="n">
        <v>43857</v>
      </c>
      <c r="C366" s="1" t="n">
        <v>45740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5501-2020</t>
        </is>
      </c>
      <c r="B367" s="1" t="n">
        <v>43858</v>
      </c>
      <c r="C367" s="1" t="n">
        <v>45740</v>
      </c>
      <c r="D367" t="inlineStr">
        <is>
          <t>VÄSTERBOTTENS LÄN</t>
        </is>
      </c>
      <c r="E367" t="inlineStr">
        <is>
          <t>LYCKSELE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6097-2020</t>
        </is>
      </c>
      <c r="B368" s="1" t="n">
        <v>43864</v>
      </c>
      <c r="C368" s="1" t="n">
        <v>45740</v>
      </c>
      <c r="D368" t="inlineStr">
        <is>
          <t>VÄSTERBOTTENS LÄN</t>
        </is>
      </c>
      <c r="E368" t="inlineStr">
        <is>
          <t>LYCKSELE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7618-2020</t>
        </is>
      </c>
      <c r="B369" s="1" t="n">
        <v>43871</v>
      </c>
      <c r="C369" s="1" t="n">
        <v>45740</v>
      </c>
      <c r="D369" t="inlineStr">
        <is>
          <t>VÄSTERBOTTENS LÄN</t>
        </is>
      </c>
      <c r="E369" t="inlineStr">
        <is>
          <t>LYCKSELE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7632-2020</t>
        </is>
      </c>
      <c r="B370" s="1" t="n">
        <v>43871</v>
      </c>
      <c r="C370" s="1" t="n">
        <v>45740</v>
      </c>
      <c r="D370" t="inlineStr">
        <is>
          <t>VÄSTERBOTTENS LÄN</t>
        </is>
      </c>
      <c r="E370" t="inlineStr">
        <is>
          <t>LYCKSELE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9994-2020</t>
        </is>
      </c>
      <c r="B371" s="1" t="n">
        <v>43882</v>
      </c>
      <c r="C371" s="1" t="n">
        <v>45740</v>
      </c>
      <c r="D371" t="inlineStr">
        <is>
          <t>VÄSTERBOTTENS LÄN</t>
        </is>
      </c>
      <c r="E371" t="inlineStr">
        <is>
          <t>LYCKSELE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14940-2020</t>
        </is>
      </c>
      <c r="B372" s="1" t="n">
        <v>43910</v>
      </c>
      <c r="C372" s="1" t="n">
        <v>45740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17137-2020</t>
        </is>
      </c>
      <c r="B373" s="1" t="n">
        <v>43922</v>
      </c>
      <c r="C373" s="1" t="n">
        <v>45740</v>
      </c>
      <c r="D373" t="inlineStr">
        <is>
          <t>VÄSTERBOTTENS LÄN</t>
        </is>
      </c>
      <c r="E373" t="inlineStr">
        <is>
          <t>LYCKSELE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17126-2020</t>
        </is>
      </c>
      <c r="B374" s="1" t="n">
        <v>43922</v>
      </c>
      <c r="C374" s="1" t="n">
        <v>45740</v>
      </c>
      <c r="D374" t="inlineStr">
        <is>
          <t>VÄSTERBOTTENS LÄN</t>
        </is>
      </c>
      <c r="E374" t="inlineStr">
        <is>
          <t>LYCKSELE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18609-2020</t>
        </is>
      </c>
      <c r="B375" s="1" t="n">
        <v>43929</v>
      </c>
      <c r="C375" s="1" t="n">
        <v>45740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18898-2020</t>
        </is>
      </c>
      <c r="B376" s="1" t="n">
        <v>43930</v>
      </c>
      <c r="C376" s="1" t="n">
        <v>45740</v>
      </c>
      <c r="D376" t="inlineStr">
        <is>
          <t>VÄSTERBOTTENS LÄN</t>
        </is>
      </c>
      <c r="E376" t="inlineStr">
        <is>
          <t>LYCKSELE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20383-2020</t>
        </is>
      </c>
      <c r="B377" s="1" t="n">
        <v>43945</v>
      </c>
      <c r="C377" s="1" t="n">
        <v>45740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20445-2020</t>
        </is>
      </c>
      <c r="B378" s="1" t="n">
        <v>43945</v>
      </c>
      <c r="C378" s="1" t="n">
        <v>45740</v>
      </c>
      <c r="D378" t="inlineStr">
        <is>
          <t>VÄSTERBOTTENS LÄN</t>
        </is>
      </c>
      <c r="E378" t="inlineStr">
        <is>
          <t>LYCKSELE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20388-2020</t>
        </is>
      </c>
      <c r="B379" s="1" t="n">
        <v>43945</v>
      </c>
      <c r="C379" s="1" t="n">
        <v>45740</v>
      </c>
      <c r="D379" t="inlineStr">
        <is>
          <t>VÄSTERBOTTENS LÄN</t>
        </is>
      </c>
      <c r="E379" t="inlineStr">
        <is>
          <t>LYCKSELE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25258-2020</t>
        </is>
      </c>
      <c r="B380" s="1" t="n">
        <v>43980</v>
      </c>
      <c r="C380" s="1" t="n">
        <v>45740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25608-2020</t>
        </is>
      </c>
      <c r="B381" s="1" t="n">
        <v>43983</v>
      </c>
      <c r="C381" s="1" t="n">
        <v>45740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25916-2020</t>
        </is>
      </c>
      <c r="B382" s="1" t="n">
        <v>43984</v>
      </c>
      <c r="C382" s="1" t="n">
        <v>45740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26096-2020</t>
        </is>
      </c>
      <c r="B383" s="1" t="n">
        <v>43985</v>
      </c>
      <c r="C383" s="1" t="n">
        <v>45740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26082-2020</t>
        </is>
      </c>
      <c r="B384" s="1" t="n">
        <v>43985</v>
      </c>
      <c r="C384" s="1" t="n">
        <v>45740</v>
      </c>
      <c r="D384" t="inlineStr">
        <is>
          <t>VÄSTERBOTTENS LÄN</t>
        </is>
      </c>
      <c r="E384" t="inlineStr">
        <is>
          <t>LYCKSELE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27094-2020</t>
        </is>
      </c>
      <c r="B385" s="1" t="n">
        <v>43985</v>
      </c>
      <c r="C385" s="1" t="n">
        <v>45740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26457-2020</t>
        </is>
      </c>
      <c r="B386" s="1" t="n">
        <v>43987</v>
      </c>
      <c r="C386" s="1" t="n">
        <v>45740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26780-2020</t>
        </is>
      </c>
      <c r="B387" s="1" t="n">
        <v>43990</v>
      </c>
      <c r="C387" s="1" t="n">
        <v>45740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30386-2020</t>
        </is>
      </c>
      <c r="B388" s="1" t="n">
        <v>44007</v>
      </c>
      <c r="C388" s="1" t="n">
        <v>45740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30964-2020</t>
        </is>
      </c>
      <c r="B389" s="1" t="n">
        <v>44011</v>
      </c>
      <c r="C389" s="1" t="n">
        <v>45740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31743-2020</t>
        </is>
      </c>
      <c r="B390" s="1" t="n">
        <v>44014</v>
      </c>
      <c r="C390" s="1" t="n">
        <v>45740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32176-2020</t>
        </is>
      </c>
      <c r="B391" s="1" t="n">
        <v>44015</v>
      </c>
      <c r="C391" s="1" t="n">
        <v>45740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32188-2020</t>
        </is>
      </c>
      <c r="B392" s="1" t="n">
        <v>44015</v>
      </c>
      <c r="C392" s="1" t="n">
        <v>45740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33082-2020</t>
        </is>
      </c>
      <c r="B393" s="1" t="n">
        <v>44021</v>
      </c>
      <c r="C393" s="1" t="n">
        <v>45740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33109-2020</t>
        </is>
      </c>
      <c r="B394" s="1" t="n">
        <v>44021</v>
      </c>
      <c r="C394" s="1" t="n">
        <v>45740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33347-2020</t>
        </is>
      </c>
      <c r="B395" s="1" t="n">
        <v>44021</v>
      </c>
      <c r="C395" s="1" t="n">
        <v>45740</v>
      </c>
      <c r="D395" t="inlineStr">
        <is>
          <t>VÄSTERBOTTENS LÄN</t>
        </is>
      </c>
      <c r="E395" t="inlineStr">
        <is>
          <t>LYCKSELE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33487-2020</t>
        </is>
      </c>
      <c r="B396" s="1" t="n">
        <v>44024</v>
      </c>
      <c r="C396" s="1" t="n">
        <v>45740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33484-2020</t>
        </is>
      </c>
      <c r="B397" s="1" t="n">
        <v>44024</v>
      </c>
      <c r="C397" s="1" t="n">
        <v>45740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34151-2020</t>
        </is>
      </c>
      <c r="B398" s="1" t="n">
        <v>44027</v>
      </c>
      <c r="C398" s="1" t="n">
        <v>45740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33841-2020</t>
        </is>
      </c>
      <c r="B399" s="1" t="n">
        <v>44027</v>
      </c>
      <c r="C399" s="1" t="n">
        <v>45740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34060-2020</t>
        </is>
      </c>
      <c r="B400" s="1" t="n">
        <v>44028</v>
      </c>
      <c r="C400" s="1" t="n">
        <v>45740</v>
      </c>
      <c r="D400" t="inlineStr">
        <is>
          <t>VÄSTERBOTTENS LÄN</t>
        </is>
      </c>
      <c r="E400" t="inlineStr">
        <is>
          <t>LYCKSELE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34479-2020</t>
        </is>
      </c>
      <c r="B401" s="1" t="n">
        <v>44032</v>
      </c>
      <c r="C401" s="1" t="n">
        <v>45740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34770-2020</t>
        </is>
      </c>
      <c r="B402" s="1" t="n">
        <v>44035</v>
      </c>
      <c r="C402" s="1" t="n">
        <v>45740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34763-2020</t>
        </is>
      </c>
      <c r="B403" s="1" t="n">
        <v>44035</v>
      </c>
      <c r="C403" s="1" t="n">
        <v>45740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37227-2020</t>
        </is>
      </c>
      <c r="B404" s="1" t="n">
        <v>44054</v>
      </c>
      <c r="C404" s="1" t="n">
        <v>45740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37978-2020</t>
        </is>
      </c>
      <c r="B405" s="1" t="n">
        <v>44057</v>
      </c>
      <c r="C405" s="1" t="n">
        <v>45740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38067-2020</t>
        </is>
      </c>
      <c r="B406" s="1" t="n">
        <v>44057</v>
      </c>
      <c r="C406" s="1" t="n">
        <v>45740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38944-2020</t>
        </is>
      </c>
      <c r="B407" s="1" t="n">
        <v>44062</v>
      </c>
      <c r="C407" s="1" t="n">
        <v>45740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38980-2020</t>
        </is>
      </c>
      <c r="B408" s="1" t="n">
        <v>44062</v>
      </c>
      <c r="C408" s="1" t="n">
        <v>45740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40355-2020</t>
        </is>
      </c>
      <c r="B409" s="1" t="n">
        <v>44067</v>
      </c>
      <c r="C409" s="1" t="n">
        <v>45740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43063-2020</t>
        </is>
      </c>
      <c r="B410" s="1" t="n">
        <v>44078</v>
      </c>
      <c r="C410" s="1" t="n">
        <v>45740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44041-2020</t>
        </is>
      </c>
      <c r="B411" s="1" t="n">
        <v>44081</v>
      </c>
      <c r="C411" s="1" t="n">
        <v>45740</v>
      </c>
      <c r="D411" t="inlineStr">
        <is>
          <t>VÄSTERBOTTENS LÄN</t>
        </is>
      </c>
      <c r="E411" t="inlineStr">
        <is>
          <t>LYCKSELE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44198-2020</t>
        </is>
      </c>
      <c r="B412" s="1" t="n">
        <v>44083</v>
      </c>
      <c r="C412" s="1" t="n">
        <v>45740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44529-2020</t>
        </is>
      </c>
      <c r="B413" s="1" t="n">
        <v>44085</v>
      </c>
      <c r="C413" s="1" t="n">
        <v>45740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45974-2020</t>
        </is>
      </c>
      <c r="B414" s="1" t="n">
        <v>44091</v>
      </c>
      <c r="C414" s="1" t="n">
        <v>45740</v>
      </c>
      <c r="D414" t="inlineStr">
        <is>
          <t>VÄSTERBOTTENS LÄN</t>
        </is>
      </c>
      <c r="E414" t="inlineStr">
        <is>
          <t>LYCKSELE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46595-2020</t>
        </is>
      </c>
      <c r="B415" s="1" t="n">
        <v>44095</v>
      </c>
      <c r="C415" s="1" t="n">
        <v>45740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56.3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46632-2020</t>
        </is>
      </c>
      <c r="B416" s="1" t="n">
        <v>44095</v>
      </c>
      <c r="C416" s="1" t="n">
        <v>45740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46764-2020</t>
        </is>
      </c>
      <c r="B417" s="1" t="n">
        <v>44095</v>
      </c>
      <c r="C417" s="1" t="n">
        <v>45740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47487-2020</t>
        </is>
      </c>
      <c r="B418" s="1" t="n">
        <v>44098</v>
      </c>
      <c r="C418" s="1" t="n">
        <v>45740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48370-2020</t>
        </is>
      </c>
      <c r="B419" s="1" t="n">
        <v>44102</v>
      </c>
      <c r="C419" s="1" t="n">
        <v>45740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49378-2020</t>
        </is>
      </c>
      <c r="B420" s="1" t="n">
        <v>44105</v>
      </c>
      <c r="C420" s="1" t="n">
        <v>45740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49482-2020</t>
        </is>
      </c>
      <c r="B421" s="1" t="n">
        <v>44105</v>
      </c>
      <c r="C421" s="1" t="n">
        <v>45740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50218-2020</t>
        </is>
      </c>
      <c r="B422" s="1" t="n">
        <v>44109</v>
      </c>
      <c r="C422" s="1" t="n">
        <v>45740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50012-2020</t>
        </is>
      </c>
      <c r="B423" s="1" t="n">
        <v>44109</v>
      </c>
      <c r="C423" s="1" t="n">
        <v>45740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50217-2020</t>
        </is>
      </c>
      <c r="B424" s="1" t="n">
        <v>44109</v>
      </c>
      <c r="C424" s="1" t="n">
        <v>45740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53053-2020</t>
        </is>
      </c>
      <c r="B425" s="1" t="n">
        <v>44120</v>
      </c>
      <c r="C425" s="1" t="n">
        <v>45740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53083-2020</t>
        </is>
      </c>
      <c r="B426" s="1" t="n">
        <v>44120</v>
      </c>
      <c r="C426" s="1" t="n">
        <v>45740</v>
      </c>
      <c r="D426" t="inlineStr">
        <is>
          <t>VÄSTERBOTTENS LÄN</t>
        </is>
      </c>
      <c r="E426" t="inlineStr">
        <is>
          <t>LYCKSELE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53074-2020</t>
        </is>
      </c>
      <c r="B427" s="1" t="n">
        <v>44120</v>
      </c>
      <c r="C427" s="1" t="n">
        <v>45740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53146-2020</t>
        </is>
      </c>
      <c r="B428" s="1" t="n">
        <v>44120</v>
      </c>
      <c r="C428" s="1" t="n">
        <v>45740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53180-2020</t>
        </is>
      </c>
      <c r="B429" s="1" t="n">
        <v>44120</v>
      </c>
      <c r="C429" s="1" t="n">
        <v>45740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53469-2020</t>
        </is>
      </c>
      <c r="B430" s="1" t="n">
        <v>44123</v>
      </c>
      <c r="C430" s="1" t="n">
        <v>45740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53446-2020</t>
        </is>
      </c>
      <c r="B431" s="1" t="n">
        <v>44123</v>
      </c>
      <c r="C431" s="1" t="n">
        <v>45740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54805-2020</t>
        </is>
      </c>
      <c r="B432" s="1" t="n">
        <v>44127</v>
      </c>
      <c r="C432" s="1" t="n">
        <v>45740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55782-2020</t>
        </is>
      </c>
      <c r="B433" s="1" t="n">
        <v>44132</v>
      </c>
      <c r="C433" s="1" t="n">
        <v>45740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57085-2020</t>
        </is>
      </c>
      <c r="B434" s="1" t="n">
        <v>44138</v>
      </c>
      <c r="C434" s="1" t="n">
        <v>45740</v>
      </c>
      <c r="D434" t="inlineStr">
        <is>
          <t>VÄSTERBOTTENS LÄN</t>
        </is>
      </c>
      <c r="E434" t="inlineStr">
        <is>
          <t>LYCKSELE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59029-2020</t>
        </is>
      </c>
      <c r="B435" s="1" t="n">
        <v>44147</v>
      </c>
      <c r="C435" s="1" t="n">
        <v>45740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59264-2020</t>
        </is>
      </c>
      <c r="B436" s="1" t="n">
        <v>44147</v>
      </c>
      <c r="C436" s="1" t="n">
        <v>45740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59261-2020</t>
        </is>
      </c>
      <c r="B437" s="1" t="n">
        <v>44147</v>
      </c>
      <c r="C437" s="1" t="n">
        <v>45740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59546-2020</t>
        </is>
      </c>
      <c r="B438" s="1" t="n">
        <v>44148</v>
      </c>
      <c r="C438" s="1" t="n">
        <v>45740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61634-2020</t>
        </is>
      </c>
      <c r="B439" s="1" t="n">
        <v>44158</v>
      </c>
      <c r="C439" s="1" t="n">
        <v>45740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61630-2020</t>
        </is>
      </c>
      <c r="B440" s="1" t="n">
        <v>44158</v>
      </c>
      <c r="C440" s="1" t="n">
        <v>45740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63037-2020</t>
        </is>
      </c>
      <c r="B441" s="1" t="n">
        <v>44162</v>
      </c>
      <c r="C441" s="1" t="n">
        <v>45740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63871-2020</t>
        </is>
      </c>
      <c r="B442" s="1" t="n">
        <v>44166</v>
      </c>
      <c r="C442" s="1" t="n">
        <v>45740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63878-2020</t>
        </is>
      </c>
      <c r="B443" s="1" t="n">
        <v>44166</v>
      </c>
      <c r="C443" s="1" t="n">
        <v>45740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68253-2020</t>
        </is>
      </c>
      <c r="B444" s="1" t="n">
        <v>44182</v>
      </c>
      <c r="C444" s="1" t="n">
        <v>45740</v>
      </c>
      <c r="D444" t="inlineStr">
        <is>
          <t>VÄSTERBOTTENS LÄN</t>
        </is>
      </c>
      <c r="E444" t="inlineStr">
        <is>
          <t>LYCKSELE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68405-2020</t>
        </is>
      </c>
      <c r="B445" s="1" t="n">
        <v>44182</v>
      </c>
      <c r="C445" s="1" t="n">
        <v>45740</v>
      </c>
      <c r="D445" t="inlineStr">
        <is>
          <t>VÄSTERBOTTENS LÄN</t>
        </is>
      </c>
      <c r="E445" t="inlineStr">
        <is>
          <t>LYCKSELE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68409-2020</t>
        </is>
      </c>
      <c r="B446" s="1" t="n">
        <v>44182</v>
      </c>
      <c r="C446" s="1" t="n">
        <v>45740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68510-2020</t>
        </is>
      </c>
      <c r="B447" s="1" t="n">
        <v>44183</v>
      </c>
      <c r="C447" s="1" t="n">
        <v>45740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441-2021</t>
        </is>
      </c>
      <c r="B448" s="1" t="n">
        <v>44201</v>
      </c>
      <c r="C448" s="1" t="n">
        <v>45740</v>
      </c>
      <c r="D448" t="inlineStr">
        <is>
          <t>VÄSTERBOTTENS LÄN</t>
        </is>
      </c>
      <c r="E448" t="inlineStr">
        <is>
          <t>LYCKSELE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5316-2021</t>
        </is>
      </c>
      <c r="B449" s="1" t="n">
        <v>44229</v>
      </c>
      <c r="C449" s="1" t="n">
        <v>45740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13911-2021</t>
        </is>
      </c>
      <c r="B450" s="1" t="n">
        <v>44277</v>
      </c>
      <c r="C450" s="1" t="n">
        <v>45740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13955-2021</t>
        </is>
      </c>
      <c r="B451" s="1" t="n">
        <v>44277</v>
      </c>
      <c r="C451" s="1" t="n">
        <v>45740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13924-2021</t>
        </is>
      </c>
      <c r="B452" s="1" t="n">
        <v>44277</v>
      </c>
      <c r="C452" s="1" t="n">
        <v>45740</v>
      </c>
      <c r="D452" t="inlineStr">
        <is>
          <t>VÄSTERBOTTENS LÄN</t>
        </is>
      </c>
      <c r="E452" t="inlineStr">
        <is>
          <t>LYCKSELE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13903-2021</t>
        </is>
      </c>
      <c r="B453" s="1" t="n">
        <v>44277</v>
      </c>
      <c r="C453" s="1" t="n">
        <v>45740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15112-2021</t>
        </is>
      </c>
      <c r="B454" s="1" t="n">
        <v>44282</v>
      </c>
      <c r="C454" s="1" t="n">
        <v>45740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15113-2021</t>
        </is>
      </c>
      <c r="B455" s="1" t="n">
        <v>44282</v>
      </c>
      <c r="C455" s="1" t="n">
        <v>45740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21961-2021</t>
        </is>
      </c>
      <c r="B456" s="1" t="n">
        <v>44323</v>
      </c>
      <c r="C456" s="1" t="n">
        <v>45740</v>
      </c>
      <c r="D456" t="inlineStr">
        <is>
          <t>VÄSTERBOTTENS LÄN</t>
        </is>
      </c>
      <c r="E456" t="inlineStr">
        <is>
          <t>LYCKSELE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44345</v>
      </c>
      <c r="C457" s="1" t="n">
        <v>45740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26635-2021</t>
        </is>
      </c>
      <c r="B458" s="1" t="n">
        <v>44348</v>
      </c>
      <c r="C458" s="1" t="n">
        <v>45740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26673-2021</t>
        </is>
      </c>
      <c r="B459" s="1" t="n">
        <v>44349</v>
      </c>
      <c r="C459" s="1" t="n">
        <v>45740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27945-2021</t>
        </is>
      </c>
      <c r="B460" s="1" t="n">
        <v>44354</v>
      </c>
      <c r="C460" s="1" t="n">
        <v>45740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28263-2021</t>
        </is>
      </c>
      <c r="B461" s="1" t="n">
        <v>44355</v>
      </c>
      <c r="C461" s="1" t="n">
        <v>45740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28620-2021</t>
        </is>
      </c>
      <c r="B462" s="1" t="n">
        <v>44357</v>
      </c>
      <c r="C462" s="1" t="n">
        <v>45740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29150-2021</t>
        </is>
      </c>
      <c r="B463" s="1" t="n">
        <v>44358</v>
      </c>
      <c r="C463" s="1" t="n">
        <v>45740</v>
      </c>
      <c r="D463" t="inlineStr">
        <is>
          <t>VÄSTERBOTTENS LÄN</t>
        </is>
      </c>
      <c r="E463" t="inlineStr">
        <is>
          <t>LYCKSELE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29278-2021</t>
        </is>
      </c>
      <c r="B464" s="1" t="n">
        <v>44361</v>
      </c>
      <c r="C464" s="1" t="n">
        <v>45740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30919-2021</t>
        </is>
      </c>
      <c r="B465" s="1" t="n">
        <v>44365</v>
      </c>
      <c r="C465" s="1" t="n">
        <v>45740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31466-2021</t>
        </is>
      </c>
      <c r="B466" s="1" t="n">
        <v>44369</v>
      </c>
      <c r="C466" s="1" t="n">
        <v>45740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33161-2021</t>
        </is>
      </c>
      <c r="B467" s="1" t="n">
        <v>44376</v>
      </c>
      <c r="C467" s="1" t="n">
        <v>45740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33222-2021</t>
        </is>
      </c>
      <c r="B468" s="1" t="n">
        <v>44376</v>
      </c>
      <c r="C468" s="1" t="n">
        <v>45740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33165-2021</t>
        </is>
      </c>
      <c r="B469" s="1" t="n">
        <v>44376</v>
      </c>
      <c r="C469" s="1" t="n">
        <v>45740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45740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35282-2021</t>
        </is>
      </c>
      <c r="B471" s="1" t="n">
        <v>44384</v>
      </c>
      <c r="C471" s="1" t="n">
        <v>45740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35700-2021</t>
        </is>
      </c>
      <c r="B472" s="1" t="n">
        <v>44386</v>
      </c>
      <c r="C472" s="1" t="n">
        <v>45740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36046-2021</t>
        </is>
      </c>
      <c r="B473" s="1" t="n">
        <v>44386</v>
      </c>
      <c r="C473" s="1" t="n">
        <v>45740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35939-2021</t>
        </is>
      </c>
      <c r="B474" s="1" t="n">
        <v>44388</v>
      </c>
      <c r="C474" s="1" t="n">
        <v>45740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35938-2021</t>
        </is>
      </c>
      <c r="B475" s="1" t="n">
        <v>44388</v>
      </c>
      <c r="C475" s="1" t="n">
        <v>45740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35937-2021</t>
        </is>
      </c>
      <c r="B476" s="1" t="n">
        <v>44388</v>
      </c>
      <c r="C476" s="1" t="n">
        <v>45740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35943-2021</t>
        </is>
      </c>
      <c r="B477" s="1" t="n">
        <v>44388</v>
      </c>
      <c r="C477" s="1" t="n">
        <v>45740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36855-2021</t>
        </is>
      </c>
      <c r="B478" s="1" t="n">
        <v>44393</v>
      </c>
      <c r="C478" s="1" t="n">
        <v>45740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37727-2021</t>
        </is>
      </c>
      <c r="B479" s="1" t="n">
        <v>44400</v>
      </c>
      <c r="C479" s="1" t="n">
        <v>45740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37733-2021</t>
        </is>
      </c>
      <c r="B480" s="1" t="n">
        <v>44400</v>
      </c>
      <c r="C480" s="1" t="n">
        <v>45740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37731-2021</t>
        </is>
      </c>
      <c r="B481" s="1" t="n">
        <v>44400</v>
      </c>
      <c r="C481" s="1" t="n">
        <v>45740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37979-2021</t>
        </is>
      </c>
      <c r="B482" s="1" t="n">
        <v>44403</v>
      </c>
      <c r="C482" s="1" t="n">
        <v>45740</v>
      </c>
      <c r="D482" t="inlineStr">
        <is>
          <t>VÄSTERBOTTENS LÄN</t>
        </is>
      </c>
      <c r="E482" t="inlineStr">
        <is>
          <t>LYCKSELE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37984-2021</t>
        </is>
      </c>
      <c r="B483" s="1" t="n">
        <v>44403</v>
      </c>
      <c r="C483" s="1" t="n">
        <v>45740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37986-2021</t>
        </is>
      </c>
      <c r="B484" s="1" t="n">
        <v>44403</v>
      </c>
      <c r="C484" s="1" t="n">
        <v>45740</v>
      </c>
      <c r="D484" t="inlineStr">
        <is>
          <t>VÄSTERBOTTENS LÄN</t>
        </is>
      </c>
      <c r="E484" t="inlineStr">
        <is>
          <t>LYCKSELE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37987-2021</t>
        </is>
      </c>
      <c r="B485" s="1" t="n">
        <v>44403</v>
      </c>
      <c r="C485" s="1" t="n">
        <v>45740</v>
      </c>
      <c r="D485" t="inlineStr">
        <is>
          <t>VÄSTERBOTTENS LÄN</t>
        </is>
      </c>
      <c r="E485" t="inlineStr">
        <is>
          <t>LYCKSELE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38712-2021</t>
        </is>
      </c>
      <c r="B486" s="1" t="n">
        <v>44405</v>
      </c>
      <c r="C486" s="1" t="n">
        <v>45740</v>
      </c>
      <c r="D486" t="inlineStr">
        <is>
          <t>VÄSTERBOTTENS LÄN</t>
        </is>
      </c>
      <c r="E486" t="inlineStr">
        <is>
          <t>LYCKSELE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38544-2021</t>
        </is>
      </c>
      <c r="B487" s="1" t="n">
        <v>44407</v>
      </c>
      <c r="C487" s="1" t="n">
        <v>45740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39165-2021</t>
        </is>
      </c>
      <c r="B488" s="1" t="n">
        <v>44412</v>
      </c>
      <c r="C488" s="1" t="n">
        <v>45740</v>
      </c>
      <c r="D488" t="inlineStr">
        <is>
          <t>VÄSTERBOTTENS LÄN</t>
        </is>
      </c>
      <c r="E488" t="inlineStr">
        <is>
          <t>LYCKSELE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41497-2021</t>
        </is>
      </c>
      <c r="B489" s="1" t="n">
        <v>44424</v>
      </c>
      <c r="C489" s="1" t="n">
        <v>45740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42144-2021</t>
        </is>
      </c>
      <c r="B490" s="1" t="n">
        <v>44426</v>
      </c>
      <c r="C490" s="1" t="n">
        <v>45740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42818-2021</t>
        </is>
      </c>
      <c r="B491" s="1" t="n">
        <v>44429</v>
      </c>
      <c r="C491" s="1" t="n">
        <v>45740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42967-2021</t>
        </is>
      </c>
      <c r="B492" s="1" t="n">
        <v>44431</v>
      </c>
      <c r="C492" s="1" t="n">
        <v>45740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43579-2021</t>
        </is>
      </c>
      <c r="B493" s="1" t="n">
        <v>44433</v>
      </c>
      <c r="C493" s="1" t="n">
        <v>45740</v>
      </c>
      <c r="D493" t="inlineStr">
        <is>
          <t>VÄSTERBOTTENS LÄN</t>
        </is>
      </c>
      <c r="E493" t="inlineStr">
        <is>
          <t>LYCKSELE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44632-2021</t>
        </is>
      </c>
      <c r="B494" s="1" t="n">
        <v>44437</v>
      </c>
      <c r="C494" s="1" t="n">
        <v>45740</v>
      </c>
      <c r="D494" t="inlineStr">
        <is>
          <t>VÄSTERBOTTENS LÄN</t>
        </is>
      </c>
      <c r="E494" t="inlineStr">
        <is>
          <t>LYCKSELE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45270-2021</t>
        </is>
      </c>
      <c r="B495" s="1" t="n">
        <v>44439</v>
      </c>
      <c r="C495" s="1" t="n">
        <v>45740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45266-2021</t>
        </is>
      </c>
      <c r="B496" s="1" t="n">
        <v>44439</v>
      </c>
      <c r="C496" s="1" t="n">
        <v>45740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45503-2021</t>
        </is>
      </c>
      <c r="B497" s="1" t="n">
        <v>44440</v>
      </c>
      <c r="C497" s="1" t="n">
        <v>45740</v>
      </c>
      <c r="D497" t="inlineStr">
        <is>
          <t>VÄSTERBOTTENS LÄN</t>
        </is>
      </c>
      <c r="E497" t="inlineStr">
        <is>
          <t>LYCKSELE</t>
        </is>
      </c>
      <c r="G497" t="n">
        <v>29.1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45953-2021</t>
        </is>
      </c>
      <c r="B498" s="1" t="n">
        <v>44441</v>
      </c>
      <c r="C498" s="1" t="n">
        <v>45740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45946-2021</t>
        </is>
      </c>
      <c r="B499" s="1" t="n">
        <v>44441</v>
      </c>
      <c r="C499" s="1" t="n">
        <v>45740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47018-2021</t>
        </is>
      </c>
      <c r="B500" s="1" t="n">
        <v>44446</v>
      </c>
      <c r="C500" s="1" t="n">
        <v>45740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47067-2021</t>
        </is>
      </c>
      <c r="B501" s="1" t="n">
        <v>44446</v>
      </c>
      <c r="C501" s="1" t="n">
        <v>45740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47497-2021</t>
        </is>
      </c>
      <c r="B502" s="1" t="n">
        <v>44447</v>
      </c>
      <c r="C502" s="1" t="n">
        <v>45740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47717-2021</t>
        </is>
      </c>
      <c r="B503" s="1" t="n">
        <v>44448</v>
      </c>
      <c r="C503" s="1" t="n">
        <v>45740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47704-2021</t>
        </is>
      </c>
      <c r="B504" s="1" t="n">
        <v>44448</v>
      </c>
      <c r="C504" s="1" t="n">
        <v>45740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47711-2021</t>
        </is>
      </c>
      <c r="B505" s="1" t="n">
        <v>44448</v>
      </c>
      <c r="C505" s="1" t="n">
        <v>45740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47708-2021</t>
        </is>
      </c>
      <c r="B506" s="1" t="n">
        <v>44448</v>
      </c>
      <c r="C506" s="1" t="n">
        <v>45740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47697-2021</t>
        </is>
      </c>
      <c r="B507" s="1" t="n">
        <v>44448</v>
      </c>
      <c r="C507" s="1" t="n">
        <v>45740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48086-2021</t>
        </is>
      </c>
      <c r="B508" s="1" t="n">
        <v>44449</v>
      </c>
      <c r="C508" s="1" t="n">
        <v>45740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48987-2021</t>
        </is>
      </c>
      <c r="B509" s="1" t="n">
        <v>44453</v>
      </c>
      <c r="C509" s="1" t="n">
        <v>45740</v>
      </c>
      <c r="D509" t="inlineStr">
        <is>
          <t>VÄSTERBOTTENS LÄN</t>
        </is>
      </c>
      <c r="E509" t="inlineStr">
        <is>
          <t>LYCKSELE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48997-2021</t>
        </is>
      </c>
      <c r="B510" s="1" t="n">
        <v>44453</v>
      </c>
      <c r="C510" s="1" t="n">
        <v>45740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49816-2021</t>
        </is>
      </c>
      <c r="B511" s="1" t="n">
        <v>44454</v>
      </c>
      <c r="C511" s="1" t="n">
        <v>45740</v>
      </c>
      <c r="D511" t="inlineStr">
        <is>
          <t>VÄSTERBOTTENS LÄN</t>
        </is>
      </c>
      <c r="E511" t="inlineStr">
        <is>
          <t>LYCKSELE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50048-2021</t>
        </is>
      </c>
      <c r="B512" s="1" t="n">
        <v>44456</v>
      </c>
      <c r="C512" s="1" t="n">
        <v>45740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50044-2021</t>
        </is>
      </c>
      <c r="B513" s="1" t="n">
        <v>44456</v>
      </c>
      <c r="C513" s="1" t="n">
        <v>45740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50279-2021</t>
        </is>
      </c>
      <c r="B514" s="1" t="n">
        <v>44459</v>
      </c>
      <c r="C514" s="1" t="n">
        <v>45740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50340-2021</t>
        </is>
      </c>
      <c r="B515" s="1" t="n">
        <v>44459</v>
      </c>
      <c r="C515" s="1" t="n">
        <v>45740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51580-2021</t>
        </is>
      </c>
      <c r="B516" s="1" t="n">
        <v>44462</v>
      </c>
      <c r="C516" s="1" t="n">
        <v>45740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51931-2021</t>
        </is>
      </c>
      <c r="B517" s="1" t="n">
        <v>44463</v>
      </c>
      <c r="C517" s="1" t="n">
        <v>45740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51932-2021</t>
        </is>
      </c>
      <c r="B518" s="1" t="n">
        <v>44462</v>
      </c>
      <c r="C518" s="1" t="n">
        <v>45740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52210-2021</t>
        </is>
      </c>
      <c r="B519" s="1" t="n">
        <v>44463</v>
      </c>
      <c r="C519" s="1" t="n">
        <v>45740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52699-2021</t>
        </is>
      </c>
      <c r="B520" s="1" t="n">
        <v>44466</v>
      </c>
      <c r="C520" s="1" t="n">
        <v>45740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</v>
      </c>
      <c r="C521" s="1" t="n">
        <v>45740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53320-2021</t>
        </is>
      </c>
      <c r="B522" s="1" t="n">
        <v>44468</v>
      </c>
      <c r="C522" s="1" t="n">
        <v>45740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53614-2021</t>
        </is>
      </c>
      <c r="B523" s="1" t="n">
        <v>44469</v>
      </c>
      <c r="C523" s="1" t="n">
        <v>45740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53974-2021</t>
        </is>
      </c>
      <c r="B524" s="1" t="n">
        <v>44469</v>
      </c>
      <c r="C524" s="1" t="n">
        <v>45740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53979-2021</t>
        </is>
      </c>
      <c r="B525" s="1" t="n">
        <v>44469</v>
      </c>
      <c r="C525" s="1" t="n">
        <v>45740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54249-2021</t>
        </is>
      </c>
      <c r="B526" s="1" t="n">
        <v>44470</v>
      </c>
      <c r="C526" s="1" t="n">
        <v>45740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54245-2021</t>
        </is>
      </c>
      <c r="B527" s="1" t="n">
        <v>44470</v>
      </c>
      <c r="C527" s="1" t="n">
        <v>45740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54790-2021</t>
        </is>
      </c>
      <c r="B528" s="1" t="n">
        <v>44473</v>
      </c>
      <c r="C528" s="1" t="n">
        <v>45740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54735-2021</t>
        </is>
      </c>
      <c r="B529" s="1" t="n">
        <v>44473</v>
      </c>
      <c r="C529" s="1" t="n">
        <v>45740</v>
      </c>
      <c r="D529" t="inlineStr">
        <is>
          <t>VÄSTERBOTTENS LÄN</t>
        </is>
      </c>
      <c r="E529" t="inlineStr">
        <is>
          <t>LYCKSELE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54771-2021</t>
        </is>
      </c>
      <c r="B530" s="1" t="n">
        <v>44474</v>
      </c>
      <c r="C530" s="1" t="n">
        <v>45740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54794-2021</t>
        </is>
      </c>
      <c r="B531" s="1" t="n">
        <v>44474</v>
      </c>
      <c r="C531" s="1" t="n">
        <v>45740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55565-2021</t>
        </is>
      </c>
      <c r="B532" s="1" t="n">
        <v>44475</v>
      </c>
      <c r="C532" s="1" t="n">
        <v>45740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55658-2021</t>
        </is>
      </c>
      <c r="B533" s="1" t="n">
        <v>44476</v>
      </c>
      <c r="C533" s="1" t="n">
        <v>45740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56206-2021</t>
        </is>
      </c>
      <c r="B534" s="1" t="n">
        <v>44477</v>
      </c>
      <c r="C534" s="1" t="n">
        <v>45740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56401-2021</t>
        </is>
      </c>
      <c r="B535" s="1" t="n">
        <v>44477</v>
      </c>
      <c r="C535" s="1" t="n">
        <v>45740</v>
      </c>
      <c r="D535" t="inlineStr">
        <is>
          <t>VÄSTERBOTTENS LÄN</t>
        </is>
      </c>
      <c r="E535" t="inlineStr">
        <is>
          <t>LYCKSELE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56898-2021</t>
        </is>
      </c>
      <c r="B536" s="1" t="n">
        <v>44481</v>
      </c>
      <c r="C536" s="1" t="n">
        <v>45740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57666-2021</t>
        </is>
      </c>
      <c r="B537" s="1" t="n">
        <v>44484</v>
      </c>
      <c r="C537" s="1" t="n">
        <v>45740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57848-2021</t>
        </is>
      </c>
      <c r="B538" s="1" t="n">
        <v>44484</v>
      </c>
      <c r="C538" s="1" t="n">
        <v>45740</v>
      </c>
      <c r="D538" t="inlineStr">
        <is>
          <t>VÄSTERBOTTENS LÄN</t>
        </is>
      </c>
      <c r="E538" t="inlineStr">
        <is>
          <t>LYCKSELE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57818-2021</t>
        </is>
      </c>
      <c r="B539" s="1" t="n">
        <v>44484</v>
      </c>
      <c r="C539" s="1" t="n">
        <v>45740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57898-2021</t>
        </is>
      </c>
      <c r="B540" s="1" t="n">
        <v>44486</v>
      </c>
      <c r="C540" s="1" t="n">
        <v>45740</v>
      </c>
      <c r="D540" t="inlineStr">
        <is>
          <t>VÄSTERBOTTENS LÄN</t>
        </is>
      </c>
      <c r="E540" t="inlineStr">
        <is>
          <t>LYCKSELE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58911-2021</t>
        </is>
      </c>
      <c r="B541" s="1" t="n">
        <v>44489</v>
      </c>
      <c r="C541" s="1" t="n">
        <v>45740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59074-2021</t>
        </is>
      </c>
      <c r="B542" s="1" t="n">
        <v>44489</v>
      </c>
      <c r="C542" s="1" t="n">
        <v>45740</v>
      </c>
      <c r="D542" t="inlineStr">
        <is>
          <t>VÄSTERBOTTENS LÄN</t>
        </is>
      </c>
      <c r="E542" t="inlineStr">
        <is>
          <t>LYCKSELE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58946-2021</t>
        </is>
      </c>
      <c r="B543" s="1" t="n">
        <v>44490</v>
      </c>
      <c r="C543" s="1" t="n">
        <v>45740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59445-2021</t>
        </is>
      </c>
      <c r="B544" s="1" t="n">
        <v>44490</v>
      </c>
      <c r="C544" s="1" t="n">
        <v>45740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45740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59555-2021</t>
        </is>
      </c>
      <c r="B546" s="1" t="n">
        <v>44491</v>
      </c>
      <c r="C546" s="1" t="n">
        <v>45740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60116-2021</t>
        </is>
      </c>
      <c r="B547" s="1" t="n">
        <v>44495</v>
      </c>
      <c r="C547" s="1" t="n">
        <v>45740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60044-2021</t>
        </is>
      </c>
      <c r="B548" s="1" t="n">
        <v>44495</v>
      </c>
      <c r="C548" s="1" t="n">
        <v>45740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60203-2021</t>
        </is>
      </c>
      <c r="B549" s="1" t="n">
        <v>44495</v>
      </c>
      <c r="C549" s="1" t="n">
        <v>45740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60425-2021</t>
        </is>
      </c>
      <c r="B550" s="1" t="n">
        <v>44496</v>
      </c>
      <c r="C550" s="1" t="n">
        <v>45740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60437-2021</t>
        </is>
      </c>
      <c r="B551" s="1" t="n">
        <v>44496</v>
      </c>
      <c r="C551" s="1" t="n">
        <v>45740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60586-2021</t>
        </is>
      </c>
      <c r="B552" s="1" t="n">
        <v>44496</v>
      </c>
      <c r="C552" s="1" t="n">
        <v>45740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60440-2021</t>
        </is>
      </c>
      <c r="B553" s="1" t="n">
        <v>44496</v>
      </c>
      <c r="C553" s="1" t="n">
        <v>45740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61169-2021</t>
        </is>
      </c>
      <c r="B554" s="1" t="n">
        <v>44498</v>
      </c>
      <c r="C554" s="1" t="n">
        <v>45740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61432-2021</t>
        </is>
      </c>
      <c r="B555" s="1" t="n">
        <v>44500</v>
      </c>
      <c r="C555" s="1" t="n">
        <v>45740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61554-2021</t>
        </is>
      </c>
      <c r="B556" s="1" t="n">
        <v>44501</v>
      </c>
      <c r="C556" s="1" t="n">
        <v>45740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61511-2021</t>
        </is>
      </c>
      <c r="B557" s="1" t="n">
        <v>44501</v>
      </c>
      <c r="C557" s="1" t="n">
        <v>45740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61651-2021</t>
        </is>
      </c>
      <c r="B558" s="1" t="n">
        <v>44501</v>
      </c>
      <c r="C558" s="1" t="n">
        <v>45740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61573-2021</t>
        </is>
      </c>
      <c r="B559" s="1" t="n">
        <v>44501</v>
      </c>
      <c r="C559" s="1" t="n">
        <v>45740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61588-2021</t>
        </is>
      </c>
      <c r="B560" s="1" t="n">
        <v>44501</v>
      </c>
      <c r="C560" s="1" t="n">
        <v>45740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61506-2021</t>
        </is>
      </c>
      <c r="B561" s="1" t="n">
        <v>44501</v>
      </c>
      <c r="C561" s="1" t="n">
        <v>45740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61940-2021</t>
        </is>
      </c>
      <c r="B562" s="1" t="n">
        <v>44502</v>
      </c>
      <c r="C562" s="1" t="n">
        <v>45740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61900-2021</t>
        </is>
      </c>
      <c r="B563" s="1" t="n">
        <v>44502</v>
      </c>
      <c r="C563" s="1" t="n">
        <v>45740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61907-2021</t>
        </is>
      </c>
      <c r="B564" s="1" t="n">
        <v>44502</v>
      </c>
      <c r="C564" s="1" t="n">
        <v>45740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63172-2021</t>
        </is>
      </c>
      <c r="B565" s="1" t="n">
        <v>44506</v>
      </c>
      <c r="C565" s="1" t="n">
        <v>45740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63827-2021</t>
        </is>
      </c>
      <c r="B566" s="1" t="n">
        <v>44509</v>
      </c>
      <c r="C566" s="1" t="n">
        <v>45740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63977-2021</t>
        </is>
      </c>
      <c r="B567" s="1" t="n">
        <v>44509</v>
      </c>
      <c r="C567" s="1" t="n">
        <v>45740</v>
      </c>
      <c r="D567" t="inlineStr">
        <is>
          <t>VÄSTERBOTTENS LÄN</t>
        </is>
      </c>
      <c r="E567" t="inlineStr">
        <is>
          <t>LYCKSELE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63976-2021</t>
        </is>
      </c>
      <c r="B568" s="1" t="n">
        <v>44509</v>
      </c>
      <c r="C568" s="1" t="n">
        <v>45740</v>
      </c>
      <c r="D568" t="inlineStr">
        <is>
          <t>VÄSTERBOTTENS LÄN</t>
        </is>
      </c>
      <c r="E568" t="inlineStr">
        <is>
          <t>LYCKSELE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65019-2021</t>
        </is>
      </c>
      <c r="B569" s="1" t="n">
        <v>44512</v>
      </c>
      <c r="C569" s="1" t="n">
        <v>45740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64893-2021</t>
        </is>
      </c>
      <c r="B570" s="1" t="n">
        <v>44512</v>
      </c>
      <c r="C570" s="1" t="n">
        <v>45740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65231-2021</t>
        </is>
      </c>
      <c r="B571" s="1" t="n">
        <v>44513</v>
      </c>
      <c r="C571" s="1" t="n">
        <v>45740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65487-2021</t>
        </is>
      </c>
      <c r="B572" s="1" t="n">
        <v>44515</v>
      </c>
      <c r="C572" s="1" t="n">
        <v>45740</v>
      </c>
      <c r="D572" t="inlineStr">
        <is>
          <t>VÄSTERBOTTENS LÄN</t>
        </is>
      </c>
      <c r="E572" t="inlineStr">
        <is>
          <t>LYCKSELE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66249-2021</t>
        </is>
      </c>
      <c r="B573" s="1" t="n">
        <v>44518</v>
      </c>
      <c r="C573" s="1" t="n">
        <v>45740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66460-2021</t>
        </is>
      </c>
      <c r="B574" s="1" t="n">
        <v>44518</v>
      </c>
      <c r="C574" s="1" t="n">
        <v>45740</v>
      </c>
      <c r="D574" t="inlineStr">
        <is>
          <t>VÄSTERBOTTENS LÄN</t>
        </is>
      </c>
      <c r="E574" t="inlineStr">
        <is>
          <t>LYCKSELE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66459-2021</t>
        </is>
      </c>
      <c r="B575" s="1" t="n">
        <v>44518</v>
      </c>
      <c r="C575" s="1" t="n">
        <v>45740</v>
      </c>
      <c r="D575" t="inlineStr">
        <is>
          <t>VÄSTERBOTTENS LÄN</t>
        </is>
      </c>
      <c r="E575" t="inlineStr">
        <is>
          <t>LYCKSELE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66712-2021</t>
        </is>
      </c>
      <c r="B576" s="1" t="n">
        <v>44519</v>
      </c>
      <c r="C576" s="1" t="n">
        <v>45740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45740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68110-2021</t>
        </is>
      </c>
      <c r="B578" s="1" t="n">
        <v>44526</v>
      </c>
      <c r="C578" s="1" t="n">
        <v>45740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68169-2021</t>
        </is>
      </c>
      <c r="B579" s="1" t="n">
        <v>44526</v>
      </c>
      <c r="C579" s="1" t="n">
        <v>45740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45740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68790-2021</t>
        </is>
      </c>
      <c r="B581" s="1" t="n">
        <v>44529</v>
      </c>
      <c r="C581" s="1" t="n">
        <v>45740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69488-2021</t>
        </is>
      </c>
      <c r="B582" s="1" t="n">
        <v>44531</v>
      </c>
      <c r="C582" s="1" t="n">
        <v>45740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69674-2021</t>
        </is>
      </c>
      <c r="B583" s="1" t="n">
        <v>44531</v>
      </c>
      <c r="C583" s="1" t="n">
        <v>45740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69226-2021</t>
        </is>
      </c>
      <c r="B584" s="1" t="n">
        <v>44531</v>
      </c>
      <c r="C584" s="1" t="n">
        <v>45740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69481-2021</t>
        </is>
      </c>
      <c r="B585" s="1" t="n">
        <v>44531</v>
      </c>
      <c r="C585" s="1" t="n">
        <v>45740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69462-2021</t>
        </is>
      </c>
      <c r="B586" s="1" t="n">
        <v>44531</v>
      </c>
      <c r="C586" s="1" t="n">
        <v>45740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69705-2021</t>
        </is>
      </c>
      <c r="B587" s="1" t="n">
        <v>44531</v>
      </c>
      <c r="C587" s="1" t="n">
        <v>45740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69627-2021</t>
        </is>
      </c>
      <c r="B588" s="1" t="n">
        <v>44532</v>
      </c>
      <c r="C588" s="1" t="n">
        <v>45740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69837-2021</t>
        </is>
      </c>
      <c r="B589" s="1" t="n">
        <v>44532</v>
      </c>
      <c r="C589" s="1" t="n">
        <v>45740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70193-2021</t>
        </is>
      </c>
      <c r="B590" s="1" t="n">
        <v>44534</v>
      </c>
      <c r="C590" s="1" t="n">
        <v>45740</v>
      </c>
      <c r="D590" t="inlineStr">
        <is>
          <t>VÄSTERBOTTENS LÄN</t>
        </is>
      </c>
      <c r="E590" t="inlineStr">
        <is>
          <t>LYCKSELE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70197-2021</t>
        </is>
      </c>
      <c r="B591" s="1" t="n">
        <v>44534</v>
      </c>
      <c r="C591" s="1" t="n">
        <v>45740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70196-2021</t>
        </is>
      </c>
      <c r="B592" s="1" t="n">
        <v>44534</v>
      </c>
      <c r="C592" s="1" t="n">
        <v>45740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70195-2021</t>
        </is>
      </c>
      <c r="B593" s="1" t="n">
        <v>44534</v>
      </c>
      <c r="C593" s="1" t="n">
        <v>45740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70194-2021</t>
        </is>
      </c>
      <c r="B594" s="1" t="n">
        <v>44534</v>
      </c>
      <c r="C594" s="1" t="n">
        <v>45740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70210-2021</t>
        </is>
      </c>
      <c r="B595" s="1" t="n">
        <v>44535</v>
      </c>
      <c r="C595" s="1" t="n">
        <v>45740</v>
      </c>
      <c r="D595" t="inlineStr">
        <is>
          <t>VÄSTERBOTTENS LÄN</t>
        </is>
      </c>
      <c r="E595" t="inlineStr">
        <is>
          <t>LYCKSELE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70211-2021</t>
        </is>
      </c>
      <c r="B596" s="1" t="n">
        <v>44535</v>
      </c>
      <c r="C596" s="1" t="n">
        <v>45740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70208-2021</t>
        </is>
      </c>
      <c r="B597" s="1" t="n">
        <v>44535</v>
      </c>
      <c r="C597" s="1" t="n">
        <v>45740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70212-2021</t>
        </is>
      </c>
      <c r="B598" s="1" t="n">
        <v>44535</v>
      </c>
      <c r="C598" s="1" t="n">
        <v>45740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70209-2021</t>
        </is>
      </c>
      <c r="B599" s="1" t="n">
        <v>44535</v>
      </c>
      <c r="C599" s="1" t="n">
        <v>45740</v>
      </c>
      <c r="D599" t="inlineStr">
        <is>
          <t>VÄSTERBOTTENS LÄN</t>
        </is>
      </c>
      <c r="E599" t="inlineStr">
        <is>
          <t>LYCKSELE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70213-2021</t>
        </is>
      </c>
      <c r="B600" s="1" t="n">
        <v>44535</v>
      </c>
      <c r="C600" s="1" t="n">
        <v>45740</v>
      </c>
      <c r="D600" t="inlineStr">
        <is>
          <t>VÄSTERBOTTENS LÄN</t>
        </is>
      </c>
      <c r="E600" t="inlineStr">
        <is>
          <t>LYCKSELE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70817-2021</t>
        </is>
      </c>
      <c r="B601" s="1" t="n">
        <v>44537</v>
      </c>
      <c r="C601" s="1" t="n">
        <v>45740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71228-2021</t>
        </is>
      </c>
      <c r="B602" s="1" t="n">
        <v>44538</v>
      </c>
      <c r="C602" s="1" t="n">
        <v>45740</v>
      </c>
      <c r="D602" t="inlineStr">
        <is>
          <t>VÄSTERBOTTENS LÄN</t>
        </is>
      </c>
      <c r="E602" t="inlineStr">
        <is>
          <t>LYCKSELE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71412-2021</t>
        </is>
      </c>
      <c r="B603" s="1" t="n">
        <v>44540</v>
      </c>
      <c r="C603" s="1" t="n">
        <v>45740</v>
      </c>
      <c r="D603" t="inlineStr">
        <is>
          <t>VÄSTERBOTTENS LÄN</t>
        </is>
      </c>
      <c r="E603" t="inlineStr">
        <is>
          <t>LYCKSELE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71407-2021</t>
        </is>
      </c>
      <c r="B604" s="1" t="n">
        <v>44540</v>
      </c>
      <c r="C604" s="1" t="n">
        <v>45740</v>
      </c>
      <c r="D604" t="inlineStr">
        <is>
          <t>VÄSTERBOTTENS LÄN</t>
        </is>
      </c>
      <c r="E604" t="inlineStr">
        <is>
          <t>LYCKSELE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72377-2021</t>
        </is>
      </c>
      <c r="B605" s="1" t="n">
        <v>44544</v>
      </c>
      <c r="C605" s="1" t="n">
        <v>45740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72332-2021</t>
        </is>
      </c>
      <c r="B606" s="1" t="n">
        <v>44545</v>
      </c>
      <c r="C606" s="1" t="n">
        <v>45740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72505-2021</t>
        </is>
      </c>
      <c r="B607" s="1" t="n">
        <v>44546</v>
      </c>
      <c r="C607" s="1" t="n">
        <v>45740</v>
      </c>
      <c r="D607" t="inlineStr">
        <is>
          <t>VÄSTERBOTTENS LÄN</t>
        </is>
      </c>
      <c r="E607" t="inlineStr">
        <is>
          <t>LYCKSELE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73113-2021</t>
        </is>
      </c>
      <c r="B608" s="1" t="n">
        <v>44550</v>
      </c>
      <c r="C608" s="1" t="n">
        <v>45740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73596-2021</t>
        </is>
      </c>
      <c r="B609" s="1" t="n">
        <v>44551</v>
      </c>
      <c r="C609" s="1" t="n">
        <v>45740</v>
      </c>
      <c r="D609" t="inlineStr">
        <is>
          <t>VÄSTERBOTTENS LÄN</t>
        </is>
      </c>
      <c r="E609" t="inlineStr">
        <is>
          <t>LYCKSELE</t>
        </is>
      </c>
      <c r="G609" t="n">
        <v>20.6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73851-2021</t>
        </is>
      </c>
      <c r="B610" s="1" t="n">
        <v>44552</v>
      </c>
      <c r="C610" s="1" t="n">
        <v>45740</v>
      </c>
      <c r="D610" t="inlineStr">
        <is>
          <t>VÄSTERBOTTENS LÄN</t>
        </is>
      </c>
      <c r="E610" t="inlineStr">
        <is>
          <t>LYCKSELE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73881-2021</t>
        </is>
      </c>
      <c r="B611" s="1" t="n">
        <v>44553</v>
      </c>
      <c r="C611" s="1" t="n">
        <v>45740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74083-2021</t>
        </is>
      </c>
      <c r="B612" s="1" t="n">
        <v>44557</v>
      </c>
      <c r="C612" s="1" t="n">
        <v>45740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74179-2021</t>
        </is>
      </c>
      <c r="B613" s="1" t="n">
        <v>44558</v>
      </c>
      <c r="C613" s="1" t="n">
        <v>45740</v>
      </c>
      <c r="D613" t="inlineStr">
        <is>
          <t>VÄSTERBOTTENS LÄN</t>
        </is>
      </c>
      <c r="E613" t="inlineStr">
        <is>
          <t>LYCKSELE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151-2022</t>
        </is>
      </c>
      <c r="B614" s="1" t="n">
        <v>44560</v>
      </c>
      <c r="C614" s="1" t="n">
        <v>45740</v>
      </c>
      <c r="D614" t="inlineStr">
        <is>
          <t>VÄSTERBOTTENS LÄN</t>
        </is>
      </c>
      <c r="E614" t="inlineStr">
        <is>
          <t>LYCKSELE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116-2022</t>
        </is>
      </c>
      <c r="B615" s="1" t="n">
        <v>44564</v>
      </c>
      <c r="C615" s="1" t="n">
        <v>45740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325-2022</t>
        </is>
      </c>
      <c r="B616" s="1" t="n">
        <v>44564</v>
      </c>
      <c r="C616" s="1" t="n">
        <v>45740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229-2022</t>
        </is>
      </c>
      <c r="B617" s="1" t="n">
        <v>44564</v>
      </c>
      <c r="C617" s="1" t="n">
        <v>45740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578-2022</t>
        </is>
      </c>
      <c r="B618" s="1" t="n">
        <v>44566</v>
      </c>
      <c r="C618" s="1" t="n">
        <v>45740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45740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615-2022</t>
        </is>
      </c>
      <c r="B620" s="1" t="n">
        <v>44567</v>
      </c>
      <c r="C620" s="1" t="n">
        <v>45740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932-2022</t>
        </is>
      </c>
      <c r="B621" s="1" t="n">
        <v>44571</v>
      </c>
      <c r="C621" s="1" t="n">
        <v>45740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1023-2022</t>
        </is>
      </c>
      <c r="B622" s="1" t="n">
        <v>44571</v>
      </c>
      <c r="C622" s="1" t="n">
        <v>45740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849-2022</t>
        </is>
      </c>
      <c r="B623" s="1" t="n">
        <v>44571</v>
      </c>
      <c r="C623" s="1" t="n">
        <v>45740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935-2022</t>
        </is>
      </c>
      <c r="B624" s="1" t="n">
        <v>44571</v>
      </c>
      <c r="C624" s="1" t="n">
        <v>45740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929-2022</t>
        </is>
      </c>
      <c r="B625" s="1" t="n">
        <v>44571</v>
      </c>
      <c r="C625" s="1" t="n">
        <v>45740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1025-2022</t>
        </is>
      </c>
      <c r="B626" s="1" t="n">
        <v>44571</v>
      </c>
      <c r="C626" s="1" t="n">
        <v>45740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1048-2022</t>
        </is>
      </c>
      <c r="B627" s="1" t="n">
        <v>44571</v>
      </c>
      <c r="C627" s="1" t="n">
        <v>45740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1161-2022</t>
        </is>
      </c>
      <c r="B628" s="1" t="n">
        <v>44571</v>
      </c>
      <c r="C628" s="1" t="n">
        <v>45740</v>
      </c>
      <c r="D628" t="inlineStr">
        <is>
          <t>VÄSTERBOTTENS LÄN</t>
        </is>
      </c>
      <c r="E628" t="inlineStr">
        <is>
          <t>LYCKSELE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1163-2022</t>
        </is>
      </c>
      <c r="B629" s="1" t="n">
        <v>44572</v>
      </c>
      <c r="C629" s="1" t="n">
        <v>45740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1289-2022</t>
        </is>
      </c>
      <c r="B630" s="1" t="n">
        <v>44572</v>
      </c>
      <c r="C630" s="1" t="n">
        <v>45740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2245-2022</t>
        </is>
      </c>
      <c r="B631" s="1" t="n">
        <v>44578</v>
      </c>
      <c r="C631" s="1" t="n">
        <v>45740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2432-2022</t>
        </is>
      </c>
      <c r="B632" s="1" t="n">
        <v>44579</v>
      </c>
      <c r="C632" s="1" t="n">
        <v>45740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2433-2022</t>
        </is>
      </c>
      <c r="B633" s="1" t="n">
        <v>44579</v>
      </c>
      <c r="C633" s="1" t="n">
        <v>45740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2386-2022</t>
        </is>
      </c>
      <c r="B634" s="1" t="n">
        <v>44579</v>
      </c>
      <c r="C634" s="1" t="n">
        <v>45740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2576-2022</t>
        </is>
      </c>
      <c r="B635" s="1" t="n">
        <v>44580</v>
      </c>
      <c r="C635" s="1" t="n">
        <v>45740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2758-2022</t>
        </is>
      </c>
      <c r="B636" s="1" t="n">
        <v>44580</v>
      </c>
      <c r="C636" s="1" t="n">
        <v>45740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2859-2022</t>
        </is>
      </c>
      <c r="B637" s="1" t="n">
        <v>44581</v>
      </c>
      <c r="C637" s="1" t="n">
        <v>45740</v>
      </c>
      <c r="D637" t="inlineStr">
        <is>
          <t>VÄSTERBOTTENS LÄN</t>
        </is>
      </c>
      <c r="E637" t="inlineStr">
        <is>
          <t>LYCKSELE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3368-2022</t>
        </is>
      </c>
      <c r="B638" s="1" t="n">
        <v>44585</v>
      </c>
      <c r="C638" s="1" t="n">
        <v>45740</v>
      </c>
      <c r="D638" t="inlineStr">
        <is>
          <t>VÄSTERBOTTENS LÄN</t>
        </is>
      </c>
      <c r="E638" t="inlineStr">
        <is>
          <t>LYCKSELE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3400-2022</t>
        </is>
      </c>
      <c r="B639" s="1" t="n">
        <v>44585</v>
      </c>
      <c r="C639" s="1" t="n">
        <v>45740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3669-2022</t>
        </is>
      </c>
      <c r="B640" s="1" t="n">
        <v>44586</v>
      </c>
      <c r="C640" s="1" t="n">
        <v>45740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4434-2022</t>
        </is>
      </c>
      <c r="B641" s="1" t="n">
        <v>44589</v>
      </c>
      <c r="C641" s="1" t="n">
        <v>45740</v>
      </c>
      <c r="D641" t="inlineStr">
        <is>
          <t>VÄSTERBOTTENS LÄN</t>
        </is>
      </c>
      <c r="E641" t="inlineStr">
        <is>
          <t>LYCKSELE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5162-2022</t>
        </is>
      </c>
      <c r="B642" s="1" t="n">
        <v>44594</v>
      </c>
      <c r="C642" s="1" t="n">
        <v>45740</v>
      </c>
      <c r="D642" t="inlineStr">
        <is>
          <t>VÄSTERBOTTENS LÄN</t>
        </is>
      </c>
      <c r="E642" t="inlineStr">
        <is>
          <t>LYCKSELE</t>
        </is>
      </c>
      <c r="G642" t="n">
        <v>17.4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6426-2022</t>
        </is>
      </c>
      <c r="B643" s="1" t="n">
        <v>44600</v>
      </c>
      <c r="C643" s="1" t="n">
        <v>45740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7063-2022</t>
        </is>
      </c>
      <c r="B644" s="1" t="n">
        <v>44603</v>
      </c>
      <c r="C644" s="1" t="n">
        <v>45740</v>
      </c>
      <c r="D644" t="inlineStr">
        <is>
          <t>VÄSTERBOTTENS LÄN</t>
        </is>
      </c>
      <c r="E644" t="inlineStr">
        <is>
          <t>LYCKSELE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7001-2022</t>
        </is>
      </c>
      <c r="B645" s="1" t="n">
        <v>44603</v>
      </c>
      <c r="C645" s="1" t="n">
        <v>45740</v>
      </c>
      <c r="D645" t="inlineStr">
        <is>
          <t>VÄSTERBOTTENS LÄN</t>
        </is>
      </c>
      <c r="E645" t="inlineStr">
        <is>
          <t>LYCKSELE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7397-2022</t>
        </is>
      </c>
      <c r="B646" s="1" t="n">
        <v>44606</v>
      </c>
      <c r="C646" s="1" t="n">
        <v>45740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7433-2022</t>
        </is>
      </c>
      <c r="B647" s="1" t="n">
        <v>44606</v>
      </c>
      <c r="C647" s="1" t="n">
        <v>45740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9879-2022</t>
        </is>
      </c>
      <c r="B648" s="1" t="n">
        <v>44620</v>
      </c>
      <c r="C648" s="1" t="n">
        <v>45740</v>
      </c>
      <c r="D648" t="inlineStr">
        <is>
          <t>VÄSTERBOTTENS LÄN</t>
        </is>
      </c>
      <c r="E648" t="inlineStr">
        <is>
          <t>LYCKSELE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9892-2022</t>
        </is>
      </c>
      <c r="B649" s="1" t="n">
        <v>44620</v>
      </c>
      <c r="C649" s="1" t="n">
        <v>45740</v>
      </c>
      <c r="D649" t="inlineStr">
        <is>
          <t>VÄSTERBOTTENS LÄN</t>
        </is>
      </c>
      <c r="E649" t="inlineStr">
        <is>
          <t>LYCKSELE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10221-2022</t>
        </is>
      </c>
      <c r="B650" s="1" t="n">
        <v>44622</v>
      </c>
      <c r="C650" s="1" t="n">
        <v>45740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10302-2022</t>
        </is>
      </c>
      <c r="B651" s="1" t="n">
        <v>44622</v>
      </c>
      <c r="C651" s="1" t="n">
        <v>45740</v>
      </c>
      <c r="D651" t="inlineStr">
        <is>
          <t>VÄSTERBOTTENS LÄN</t>
        </is>
      </c>
      <c r="E651" t="inlineStr">
        <is>
          <t>LYCKSELE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45740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45740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12839-2022</t>
        </is>
      </c>
      <c r="B654" s="1" t="n">
        <v>44642</v>
      </c>
      <c r="C654" s="1" t="n">
        <v>45740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13385-2022</t>
        </is>
      </c>
      <c r="B655" s="1" t="n">
        <v>44645</v>
      </c>
      <c r="C655" s="1" t="n">
        <v>45740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16274-2022</t>
        </is>
      </c>
      <c r="B656" s="1" t="n">
        <v>44670</v>
      </c>
      <c r="C656" s="1" t="n">
        <v>45740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16272-2022</t>
        </is>
      </c>
      <c r="B657" s="1" t="n">
        <v>44670</v>
      </c>
      <c r="C657" s="1" t="n">
        <v>45740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44673</v>
      </c>
      <c r="C658" s="1" t="n">
        <v>45740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16845-2022</t>
        </is>
      </c>
      <c r="B659" s="1" t="n">
        <v>44673</v>
      </c>
      <c r="C659" s="1" t="n">
        <v>45740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17831-2022</t>
        </is>
      </c>
      <c r="B660" s="1" t="n">
        <v>44683</v>
      </c>
      <c r="C660" s="1" t="n">
        <v>45740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18686-2022</t>
        </is>
      </c>
      <c r="B661" s="1" t="n">
        <v>44687</v>
      </c>
      <c r="C661" s="1" t="n">
        <v>45740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19769-2022</t>
        </is>
      </c>
      <c r="B662" s="1" t="n">
        <v>44694</v>
      </c>
      <c r="C662" s="1" t="n">
        <v>45740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20287-2022</t>
        </is>
      </c>
      <c r="B663" s="1" t="n">
        <v>44698</v>
      </c>
      <c r="C663" s="1" t="n">
        <v>45740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20466-2022</t>
        </is>
      </c>
      <c r="B664" s="1" t="n">
        <v>44699</v>
      </c>
      <c r="C664" s="1" t="n">
        <v>45740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21058-2022</t>
        </is>
      </c>
      <c r="B665" s="1" t="n">
        <v>44704</v>
      </c>
      <c r="C665" s="1" t="n">
        <v>45740</v>
      </c>
      <c r="D665" t="inlineStr">
        <is>
          <t>VÄSTERBOTTENS LÄN</t>
        </is>
      </c>
      <c r="E665" t="inlineStr">
        <is>
          <t>LYCKSELE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21681-2022</t>
        </is>
      </c>
      <c r="B666" s="1" t="n">
        <v>44707</v>
      </c>
      <c r="C666" s="1" t="n">
        <v>45740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21683-2022</t>
        </is>
      </c>
      <c r="B667" s="1" t="n">
        <v>44707</v>
      </c>
      <c r="C667" s="1" t="n">
        <v>45740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21900-2022</t>
        </is>
      </c>
      <c r="B668" s="1" t="n">
        <v>44711</v>
      </c>
      <c r="C668" s="1" t="n">
        <v>45740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22036-2022</t>
        </is>
      </c>
      <c r="B669" s="1" t="n">
        <v>44711</v>
      </c>
      <c r="C669" s="1" t="n">
        <v>45740</v>
      </c>
      <c r="D669" t="inlineStr">
        <is>
          <t>VÄSTERBOTTENS LÄN</t>
        </is>
      </c>
      <c r="E669" t="inlineStr">
        <is>
          <t>LYCKSELE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22076-2022</t>
        </is>
      </c>
      <c r="B670" s="1" t="n">
        <v>44711</v>
      </c>
      <c r="C670" s="1" t="n">
        <v>45740</v>
      </c>
      <c r="D670" t="inlineStr">
        <is>
          <t>VÄSTERBOTTENS LÄN</t>
        </is>
      </c>
      <c r="E670" t="inlineStr">
        <is>
          <t>LYCKSELE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22075-2022</t>
        </is>
      </c>
      <c r="B671" s="1" t="n">
        <v>44711</v>
      </c>
      <c r="C671" s="1" t="n">
        <v>45740</v>
      </c>
      <c r="D671" t="inlineStr">
        <is>
          <t>VÄSTERBOTTENS LÄN</t>
        </is>
      </c>
      <c r="E671" t="inlineStr">
        <is>
          <t>LYCKSELE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23164-2022</t>
        </is>
      </c>
      <c r="B672" s="1" t="n">
        <v>44719</v>
      </c>
      <c r="C672" s="1" t="n">
        <v>45740</v>
      </c>
      <c r="D672" t="inlineStr">
        <is>
          <t>VÄSTERBOTTENS LÄN</t>
        </is>
      </c>
      <c r="E672" t="inlineStr">
        <is>
          <t>LYCKSELE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24478-2022</t>
        </is>
      </c>
      <c r="B673" s="1" t="n">
        <v>44726</v>
      </c>
      <c r="C673" s="1" t="n">
        <v>45740</v>
      </c>
      <c r="D673" t="inlineStr">
        <is>
          <t>VÄSTERBOTTENS LÄN</t>
        </is>
      </c>
      <c r="E673" t="inlineStr">
        <is>
          <t>LYCKSELE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24556-2022</t>
        </is>
      </c>
      <c r="B674" s="1" t="n">
        <v>44727</v>
      </c>
      <c r="C674" s="1" t="n">
        <v>45740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25257-2022</t>
        </is>
      </c>
      <c r="B675" s="1" t="n">
        <v>44729</v>
      </c>
      <c r="C675" s="1" t="n">
        <v>45740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25308-2022</t>
        </is>
      </c>
      <c r="B676" s="1" t="n">
        <v>44731</v>
      </c>
      <c r="C676" s="1" t="n">
        <v>45740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25752-2022</t>
        </is>
      </c>
      <c r="B677" s="1" t="n">
        <v>44733</v>
      </c>
      <c r="C677" s="1" t="n">
        <v>45740</v>
      </c>
      <c r="D677" t="inlineStr">
        <is>
          <t>VÄSTERBOTTENS LÄN</t>
        </is>
      </c>
      <c r="E677" t="inlineStr">
        <is>
          <t>LYCKSELE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25902-2022</t>
        </is>
      </c>
      <c r="B678" s="1" t="n">
        <v>44733</v>
      </c>
      <c r="C678" s="1" t="n">
        <v>45740</v>
      </c>
      <c r="D678" t="inlineStr">
        <is>
          <t>VÄSTERBOTTENS LÄN</t>
        </is>
      </c>
      <c r="E678" t="inlineStr">
        <is>
          <t>LYCKSELE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26351-2022</t>
        </is>
      </c>
      <c r="B679" s="1" t="n">
        <v>44735</v>
      </c>
      <c r="C679" s="1" t="n">
        <v>45740</v>
      </c>
      <c r="D679" t="inlineStr">
        <is>
          <t>VÄSTERBOTTENS LÄN</t>
        </is>
      </c>
      <c r="E679" t="inlineStr">
        <is>
          <t>LYCKSELE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26396-2022</t>
        </is>
      </c>
      <c r="B680" s="1" t="n">
        <v>44735</v>
      </c>
      <c r="C680" s="1" t="n">
        <v>45740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26397-2022</t>
        </is>
      </c>
      <c r="B681" s="1" t="n">
        <v>44735</v>
      </c>
      <c r="C681" s="1" t="n">
        <v>45740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27548-2022</t>
        </is>
      </c>
      <c r="B682" s="1" t="n">
        <v>44742</v>
      </c>
      <c r="C682" s="1" t="n">
        <v>45740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27761-2022</t>
        </is>
      </c>
      <c r="B683" s="1" t="n">
        <v>44743</v>
      </c>
      <c r="C683" s="1" t="n">
        <v>45740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28994-2022</t>
        </is>
      </c>
      <c r="B684" s="1" t="n">
        <v>44749</v>
      </c>
      <c r="C684" s="1" t="n">
        <v>45740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28989-2022</t>
        </is>
      </c>
      <c r="B685" s="1" t="n">
        <v>44749</v>
      </c>
      <c r="C685" s="1" t="n">
        <v>45740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29185-2022</t>
        </is>
      </c>
      <c r="B686" s="1" t="n">
        <v>44750</v>
      </c>
      <c r="C686" s="1" t="n">
        <v>45740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29953-2022</t>
        </is>
      </c>
      <c r="B687" s="1" t="n">
        <v>44756</v>
      </c>
      <c r="C687" s="1" t="n">
        <v>45740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30026-2022</t>
        </is>
      </c>
      <c r="B688" s="1" t="n">
        <v>44756</v>
      </c>
      <c r="C688" s="1" t="n">
        <v>45740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30291-2022</t>
        </is>
      </c>
      <c r="B689" s="1" t="n">
        <v>44760</v>
      </c>
      <c r="C689" s="1" t="n">
        <v>45740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30298-2022</t>
        </is>
      </c>
      <c r="B690" s="1" t="n">
        <v>44760</v>
      </c>
      <c r="C690" s="1" t="n">
        <v>45740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30470-2022</t>
        </is>
      </c>
      <c r="B691" s="1" t="n">
        <v>44761</v>
      </c>
      <c r="C691" s="1" t="n">
        <v>45740</v>
      </c>
      <c r="D691" t="inlineStr">
        <is>
          <t>VÄSTERBOTTENS LÄN</t>
        </is>
      </c>
      <c r="E691" t="inlineStr">
        <is>
          <t>LYCKSELE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30474-2022</t>
        </is>
      </c>
      <c r="B692" s="1" t="n">
        <v>44761</v>
      </c>
      <c r="C692" s="1" t="n">
        <v>45740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30720-2022</t>
        </is>
      </c>
      <c r="B693" s="1" t="n">
        <v>44764</v>
      </c>
      <c r="C693" s="1" t="n">
        <v>45740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30742-2022</t>
        </is>
      </c>
      <c r="B694" s="1" t="n">
        <v>44764</v>
      </c>
      <c r="C694" s="1" t="n">
        <v>45740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31686-2022</t>
        </is>
      </c>
      <c r="B695" s="1" t="n">
        <v>44776</v>
      </c>
      <c r="C695" s="1" t="n">
        <v>45740</v>
      </c>
      <c r="D695" t="inlineStr">
        <is>
          <t>VÄSTERBOTTENS LÄN</t>
        </is>
      </c>
      <c r="E695" t="inlineStr">
        <is>
          <t>LYCKSELE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31913-2022</t>
        </is>
      </c>
      <c r="B696" s="1" t="n">
        <v>44777</v>
      </c>
      <c r="C696" s="1" t="n">
        <v>45740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31979-2022</t>
        </is>
      </c>
      <c r="B697" s="1" t="n">
        <v>44777</v>
      </c>
      <c r="C697" s="1" t="n">
        <v>45740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32546-2022</t>
        </is>
      </c>
      <c r="B698" s="1" t="n">
        <v>44783</v>
      </c>
      <c r="C698" s="1" t="n">
        <v>45740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32663-2022</t>
        </is>
      </c>
      <c r="B699" s="1" t="n">
        <v>44783</v>
      </c>
      <c r="C699" s="1" t="n">
        <v>45740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32555-2022</t>
        </is>
      </c>
      <c r="B700" s="1" t="n">
        <v>44783</v>
      </c>
      <c r="C700" s="1" t="n">
        <v>45740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32668-2022</t>
        </is>
      </c>
      <c r="B701" s="1" t="n">
        <v>44783</v>
      </c>
      <c r="C701" s="1" t="n">
        <v>45740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32552-2022</t>
        </is>
      </c>
      <c r="B702" s="1" t="n">
        <v>44783</v>
      </c>
      <c r="C702" s="1" t="n">
        <v>45740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32554-2022</t>
        </is>
      </c>
      <c r="B703" s="1" t="n">
        <v>44783</v>
      </c>
      <c r="C703" s="1" t="n">
        <v>45740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32998-2022</t>
        </is>
      </c>
      <c r="B704" s="1" t="n">
        <v>44784</v>
      </c>
      <c r="C704" s="1" t="n">
        <v>45740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33235-2022</t>
        </is>
      </c>
      <c r="B705" s="1" t="n">
        <v>44786</v>
      </c>
      <c r="C705" s="1" t="n">
        <v>45740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33478-2022</t>
        </is>
      </c>
      <c r="B706" s="1" t="n">
        <v>44788</v>
      </c>
      <c r="C706" s="1" t="n">
        <v>45740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33513-2022</t>
        </is>
      </c>
      <c r="B707" s="1" t="n">
        <v>44788</v>
      </c>
      <c r="C707" s="1" t="n">
        <v>45740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33726-2022</t>
        </is>
      </c>
      <c r="B708" s="1" t="n">
        <v>44789</v>
      </c>
      <c r="C708" s="1" t="n">
        <v>45740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34808-2022</t>
        </is>
      </c>
      <c r="B709" s="1" t="n">
        <v>44796</v>
      </c>
      <c r="C709" s="1" t="n">
        <v>45740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35485-2022</t>
        </is>
      </c>
      <c r="B710" s="1" t="n">
        <v>44799</v>
      </c>
      <c r="C710" s="1" t="n">
        <v>45740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35490-2022</t>
        </is>
      </c>
      <c r="B711" s="1" t="n">
        <v>44799</v>
      </c>
      <c r="C711" s="1" t="n">
        <v>45740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36054-2022</t>
        </is>
      </c>
      <c r="B712" s="1" t="n">
        <v>44802</v>
      </c>
      <c r="C712" s="1" t="n">
        <v>45740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36819-2022</t>
        </is>
      </c>
      <c r="B713" s="1" t="n">
        <v>44805</v>
      </c>
      <c r="C713" s="1" t="n">
        <v>45740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36846-2022</t>
        </is>
      </c>
      <c r="B714" s="1" t="n">
        <v>44805</v>
      </c>
      <c r="C714" s="1" t="n">
        <v>45740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36859-2022</t>
        </is>
      </c>
      <c r="B715" s="1" t="n">
        <v>44805</v>
      </c>
      <c r="C715" s="1" t="n">
        <v>45740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36869-2022</t>
        </is>
      </c>
      <c r="B716" s="1" t="n">
        <v>44805</v>
      </c>
      <c r="C716" s="1" t="n">
        <v>45740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37423-2022</t>
        </is>
      </c>
      <c r="B717" s="1" t="n">
        <v>44809</v>
      </c>
      <c r="C717" s="1" t="n">
        <v>45740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37976-2022</t>
        </is>
      </c>
      <c r="B718" s="1" t="n">
        <v>44811</v>
      </c>
      <c r="C718" s="1" t="n">
        <v>45740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38178-2022</t>
        </is>
      </c>
      <c r="B719" s="1" t="n">
        <v>44812</v>
      </c>
      <c r="C719" s="1" t="n">
        <v>45740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38456-2022</t>
        </is>
      </c>
      <c r="B720" s="1" t="n">
        <v>44813</v>
      </c>
      <c r="C720" s="1" t="n">
        <v>45740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38869-2022</t>
        </is>
      </c>
      <c r="B721" s="1" t="n">
        <v>44816</v>
      </c>
      <c r="C721" s="1" t="n">
        <v>45740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39404-2022</t>
        </is>
      </c>
      <c r="B722" s="1" t="n">
        <v>44818</v>
      </c>
      <c r="C722" s="1" t="n">
        <v>45740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40262-2022</t>
        </is>
      </c>
      <c r="B723" s="1" t="n">
        <v>44820</v>
      </c>
      <c r="C723" s="1" t="n">
        <v>45740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41101-2022</t>
        </is>
      </c>
      <c r="B724" s="1" t="n">
        <v>44820</v>
      </c>
      <c r="C724" s="1" t="n">
        <v>45740</v>
      </c>
      <c r="D724" t="inlineStr">
        <is>
          <t>VÄSTERBOTTENS LÄN</t>
        </is>
      </c>
      <c r="E724" t="inlineStr">
        <is>
          <t>LYCKSELE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40497-2022</t>
        </is>
      </c>
      <c r="B725" s="1" t="n">
        <v>44823</v>
      </c>
      <c r="C725" s="1" t="n">
        <v>45740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45740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41280-2022</t>
        </is>
      </c>
      <c r="B727" s="1" t="n">
        <v>44826</v>
      </c>
      <c r="C727" s="1" t="n">
        <v>45740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41358-2022</t>
        </is>
      </c>
      <c r="B728" s="1" t="n">
        <v>44826</v>
      </c>
      <c r="C728" s="1" t="n">
        <v>45740</v>
      </c>
      <c r="D728" t="inlineStr">
        <is>
          <t>VÄSTERBOTTENS LÄN</t>
        </is>
      </c>
      <c r="E728" t="inlineStr">
        <is>
          <t>LYCKSELE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41419-2022</t>
        </is>
      </c>
      <c r="B729" s="1" t="n">
        <v>44826</v>
      </c>
      <c r="C729" s="1" t="n">
        <v>45740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41992-2022</t>
        </is>
      </c>
      <c r="B730" s="1" t="n">
        <v>44830</v>
      </c>
      <c r="C730" s="1" t="n">
        <v>45740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42190-2022</t>
        </is>
      </c>
      <c r="B731" s="1" t="n">
        <v>44830</v>
      </c>
      <c r="C731" s="1" t="n">
        <v>45740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42208-2022</t>
        </is>
      </c>
      <c r="B732" s="1" t="n">
        <v>44830</v>
      </c>
      <c r="C732" s="1" t="n">
        <v>45740</v>
      </c>
      <c r="D732" t="inlineStr">
        <is>
          <t>VÄSTERBOTTENS LÄN</t>
        </is>
      </c>
      <c r="E732" t="inlineStr">
        <is>
          <t>LYCKSELE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42195-2022</t>
        </is>
      </c>
      <c r="B733" s="1" t="n">
        <v>44830</v>
      </c>
      <c r="C733" s="1" t="n">
        <v>45740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42216-2022</t>
        </is>
      </c>
      <c r="B734" s="1" t="n">
        <v>44830</v>
      </c>
      <c r="C734" s="1" t="n">
        <v>45740</v>
      </c>
      <c r="D734" t="inlineStr">
        <is>
          <t>VÄSTERBOTTENS LÄN</t>
        </is>
      </c>
      <c r="E734" t="inlineStr">
        <is>
          <t>LYCKSELE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43328-2022</t>
        </is>
      </c>
      <c r="B735" s="1" t="n">
        <v>44834</v>
      </c>
      <c r="C735" s="1" t="n">
        <v>45740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43556-2022</t>
        </is>
      </c>
      <c r="B736" s="1" t="n">
        <v>44837</v>
      </c>
      <c r="C736" s="1" t="n">
        <v>45740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44097-2022</t>
        </is>
      </c>
      <c r="B737" s="1" t="n">
        <v>44839</v>
      </c>
      <c r="C737" s="1" t="n">
        <v>45740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44139-2022</t>
        </is>
      </c>
      <c r="B738" s="1" t="n">
        <v>44839</v>
      </c>
      <c r="C738" s="1" t="n">
        <v>45740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44394-2022</t>
        </is>
      </c>
      <c r="B739" s="1" t="n">
        <v>44839</v>
      </c>
      <c r="C739" s="1" t="n">
        <v>45740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44581-2022</t>
        </is>
      </c>
      <c r="B740" s="1" t="n">
        <v>44840</v>
      </c>
      <c r="C740" s="1" t="n">
        <v>45740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44465-2022</t>
        </is>
      </c>
      <c r="B741" s="1" t="n">
        <v>44840</v>
      </c>
      <c r="C741" s="1" t="n">
        <v>45740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44479-2022</t>
        </is>
      </c>
      <c r="B742" s="1" t="n">
        <v>44840</v>
      </c>
      <c r="C742" s="1" t="n">
        <v>45740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44619-2022</t>
        </is>
      </c>
      <c r="B743" s="1" t="n">
        <v>44840</v>
      </c>
      <c r="C743" s="1" t="n">
        <v>45740</v>
      </c>
      <c r="D743" t="inlineStr">
        <is>
          <t>VÄSTERBOTTENS LÄN</t>
        </is>
      </c>
      <c r="E743" t="inlineStr">
        <is>
          <t>LYCKSELE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45180-2022</t>
        </is>
      </c>
      <c r="B744" s="1" t="n">
        <v>44844</v>
      </c>
      <c r="C744" s="1" t="n">
        <v>45740</v>
      </c>
      <c r="D744" t="inlineStr">
        <is>
          <t>VÄSTERBOTTENS LÄN</t>
        </is>
      </c>
      <c r="E744" t="inlineStr">
        <is>
          <t>LYCKSELE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45559-2022</t>
        </is>
      </c>
      <c r="B745" s="1" t="n">
        <v>44845</v>
      </c>
      <c r="C745" s="1" t="n">
        <v>45740</v>
      </c>
      <c r="D745" t="inlineStr">
        <is>
          <t>VÄSTERBOTTENS LÄN</t>
        </is>
      </c>
      <c r="E745" t="inlineStr">
        <is>
          <t>LYCKSELE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45661-2022</t>
        </is>
      </c>
      <c r="B746" s="1" t="n">
        <v>44845</v>
      </c>
      <c r="C746" s="1" t="n">
        <v>45740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45863-2022</t>
        </is>
      </c>
      <c r="B747" s="1" t="n">
        <v>44846</v>
      </c>
      <c r="C747" s="1" t="n">
        <v>45740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45964-2022</t>
        </is>
      </c>
      <c r="B748" s="1" t="n">
        <v>44846</v>
      </c>
      <c r="C748" s="1" t="n">
        <v>45740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45903-2022</t>
        </is>
      </c>
      <c r="B749" s="1" t="n">
        <v>44846</v>
      </c>
      <c r="C749" s="1" t="n">
        <v>45740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45906-2022</t>
        </is>
      </c>
      <c r="B750" s="1" t="n">
        <v>44846</v>
      </c>
      <c r="C750" s="1" t="n">
        <v>45740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46474-2022</t>
        </is>
      </c>
      <c r="B751" s="1" t="n">
        <v>44846</v>
      </c>
      <c r="C751" s="1" t="n">
        <v>45740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46541-2022</t>
        </is>
      </c>
      <c r="B752" s="1" t="n">
        <v>44847</v>
      </c>
      <c r="C752" s="1" t="n">
        <v>45740</v>
      </c>
      <c r="D752" t="inlineStr">
        <is>
          <t>VÄSTERBOTTENS LÄN</t>
        </is>
      </c>
      <c r="E752" t="inlineStr">
        <is>
          <t>LYCKSELE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47016-2022</t>
        </is>
      </c>
      <c r="B753" s="1" t="n">
        <v>44851</v>
      </c>
      <c r="C753" s="1" t="n">
        <v>45740</v>
      </c>
      <c r="D753" t="inlineStr">
        <is>
          <t>VÄSTERBOTTENS LÄN</t>
        </is>
      </c>
      <c r="E753" t="inlineStr">
        <is>
          <t>LYCKSELE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47712-2022</t>
        </is>
      </c>
      <c r="B754" s="1" t="n">
        <v>44854</v>
      </c>
      <c r="C754" s="1" t="n">
        <v>45740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47727-2022</t>
        </is>
      </c>
      <c r="B755" s="1" t="n">
        <v>44854</v>
      </c>
      <c r="C755" s="1" t="n">
        <v>45740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48071-2022</t>
        </is>
      </c>
      <c r="B756" s="1" t="n">
        <v>44856</v>
      </c>
      <c r="C756" s="1" t="n">
        <v>45740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48077-2022</t>
        </is>
      </c>
      <c r="B757" s="1" t="n">
        <v>44856</v>
      </c>
      <c r="C757" s="1" t="n">
        <v>45740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48678-2022</t>
        </is>
      </c>
      <c r="B758" s="1" t="n">
        <v>44859</v>
      </c>
      <c r="C758" s="1" t="n">
        <v>45740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48890-2022</t>
        </is>
      </c>
      <c r="B759" s="1" t="n">
        <v>44859</v>
      </c>
      <c r="C759" s="1" t="n">
        <v>45740</v>
      </c>
      <c r="D759" t="inlineStr">
        <is>
          <t>VÄSTERBOTTENS LÄN</t>
        </is>
      </c>
      <c r="E759" t="inlineStr">
        <is>
          <t>LYCKSELE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49514-2022</t>
        </is>
      </c>
      <c r="B760" s="1" t="n">
        <v>44861</v>
      </c>
      <c r="C760" s="1" t="n">
        <v>45740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49341-2022</t>
        </is>
      </c>
      <c r="B761" s="1" t="n">
        <v>44861</v>
      </c>
      <c r="C761" s="1" t="n">
        <v>45740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51392-2022</t>
        </is>
      </c>
      <c r="B762" s="1" t="n">
        <v>44866</v>
      </c>
      <c r="C762" s="1" t="n">
        <v>45740</v>
      </c>
      <c r="D762" t="inlineStr">
        <is>
          <t>VÄSTERBOTTENS LÄN</t>
        </is>
      </c>
      <c r="E762" t="inlineStr">
        <is>
          <t>LYCKSELE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51387-2022</t>
        </is>
      </c>
      <c r="B763" s="1" t="n">
        <v>44866</v>
      </c>
      <c r="C763" s="1" t="n">
        <v>45740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50779-2022</t>
        </is>
      </c>
      <c r="B764" s="1" t="n">
        <v>44867</v>
      </c>
      <c r="C764" s="1" t="n">
        <v>45740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50973-2022</t>
        </is>
      </c>
      <c r="B765" s="1" t="n">
        <v>44867</v>
      </c>
      <c r="C765" s="1" t="n">
        <v>45740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52186-2022</t>
        </is>
      </c>
      <c r="B766" s="1" t="n">
        <v>44873</v>
      </c>
      <c r="C766" s="1" t="n">
        <v>45740</v>
      </c>
      <c r="D766" t="inlineStr">
        <is>
          <t>VÄSTERBOTTENS LÄN</t>
        </is>
      </c>
      <c r="E766" t="inlineStr">
        <is>
          <t>LYCKSELE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52370-2022</t>
        </is>
      </c>
      <c r="B767" s="1" t="n">
        <v>44874</v>
      </c>
      <c r="C767" s="1" t="n">
        <v>45740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53389-2022</t>
        </is>
      </c>
      <c r="B768" s="1" t="n">
        <v>44874</v>
      </c>
      <c r="C768" s="1" t="n">
        <v>45740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53369-2022</t>
        </is>
      </c>
      <c r="B769" s="1" t="n">
        <v>44874</v>
      </c>
      <c r="C769" s="1" t="n">
        <v>45740</v>
      </c>
      <c r="D769" t="inlineStr">
        <is>
          <t>VÄSTERBOTTENS LÄN</t>
        </is>
      </c>
      <c r="E769" t="inlineStr">
        <is>
          <t>LYCKSELE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52886-2022</t>
        </is>
      </c>
      <c r="B770" s="1" t="n">
        <v>44875</v>
      </c>
      <c r="C770" s="1" t="n">
        <v>45740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53027-2022</t>
        </is>
      </c>
      <c r="B771" s="1" t="n">
        <v>44875</v>
      </c>
      <c r="C771" s="1" t="n">
        <v>45740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52956-2022</t>
        </is>
      </c>
      <c r="B772" s="1" t="n">
        <v>44875</v>
      </c>
      <c r="C772" s="1" t="n">
        <v>45740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53226-2022</t>
        </is>
      </c>
      <c r="B773" s="1" t="n">
        <v>44876</v>
      </c>
      <c r="C773" s="1" t="n">
        <v>45740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53241-2022</t>
        </is>
      </c>
      <c r="B774" s="1" t="n">
        <v>44876</v>
      </c>
      <c r="C774" s="1" t="n">
        <v>45740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53740-2022</t>
        </is>
      </c>
      <c r="B775" s="1" t="n">
        <v>44880</v>
      </c>
      <c r="C775" s="1" t="n">
        <v>45740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53919-2022</t>
        </is>
      </c>
      <c r="B776" s="1" t="n">
        <v>44880</v>
      </c>
      <c r="C776" s="1" t="n">
        <v>45740</v>
      </c>
      <c r="D776" t="inlineStr">
        <is>
          <t>VÄSTERBOTTENS LÄN</t>
        </is>
      </c>
      <c r="E776" t="inlineStr">
        <is>
          <t>LYCKSELE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45740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54288-2022</t>
        </is>
      </c>
      <c r="B778" s="1" t="n">
        <v>44882</v>
      </c>
      <c r="C778" s="1" t="n">
        <v>45740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55328-2022</t>
        </is>
      </c>
      <c r="B779" s="1" t="n">
        <v>44882</v>
      </c>
      <c r="C779" s="1" t="n">
        <v>45740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55334-2022</t>
        </is>
      </c>
      <c r="B780" s="1" t="n">
        <v>44882</v>
      </c>
      <c r="C780" s="1" t="n">
        <v>45740</v>
      </c>
      <c r="D780" t="inlineStr">
        <is>
          <t>VÄSTERBOTTENS LÄN</t>
        </is>
      </c>
      <c r="E780" t="inlineStr">
        <is>
          <t>LYCKSELE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54687-2022</t>
        </is>
      </c>
      <c r="B781" s="1" t="n">
        <v>44883</v>
      </c>
      <c r="C781" s="1" t="n">
        <v>45740</v>
      </c>
      <c r="D781" t="inlineStr">
        <is>
          <t>VÄSTERBOTTENS LÄN</t>
        </is>
      </c>
      <c r="E781" t="inlineStr">
        <is>
          <t>LYCKSELE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45740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55263-2022</t>
        </is>
      </c>
      <c r="B783" s="1" t="n">
        <v>44887</v>
      </c>
      <c r="C783" s="1" t="n">
        <v>45740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55456-2022</t>
        </is>
      </c>
      <c r="B784" s="1" t="n">
        <v>44887</v>
      </c>
      <c r="C784" s="1" t="n">
        <v>45740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55582-2022</t>
        </is>
      </c>
      <c r="B785" s="1" t="n">
        <v>44888</v>
      </c>
      <c r="C785" s="1" t="n">
        <v>45740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55798-2022</t>
        </is>
      </c>
      <c r="B786" s="1" t="n">
        <v>44888</v>
      </c>
      <c r="C786" s="1" t="n">
        <v>45740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55641-2022</t>
        </is>
      </c>
      <c r="B787" s="1" t="n">
        <v>44888</v>
      </c>
      <c r="C787" s="1" t="n">
        <v>45740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56804-2022</t>
        </is>
      </c>
      <c r="B788" s="1" t="n">
        <v>44888</v>
      </c>
      <c r="C788" s="1" t="n">
        <v>45740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56046-2022</t>
        </is>
      </c>
      <c r="B789" s="1" t="n">
        <v>44889</v>
      </c>
      <c r="C789" s="1" t="n">
        <v>45740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56055-2022</t>
        </is>
      </c>
      <c r="B790" s="1" t="n">
        <v>44889</v>
      </c>
      <c r="C790" s="1" t="n">
        <v>45740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56343-2022</t>
        </is>
      </c>
      <c r="B791" s="1" t="n">
        <v>44890</v>
      </c>
      <c r="C791" s="1" t="n">
        <v>45740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56973-2022</t>
        </is>
      </c>
      <c r="B792" s="1" t="n">
        <v>44894</v>
      </c>
      <c r="C792" s="1" t="n">
        <v>45740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57198-2022</t>
        </is>
      </c>
      <c r="B793" s="1" t="n">
        <v>44895</v>
      </c>
      <c r="C793" s="1" t="n">
        <v>45740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57252-2022</t>
        </is>
      </c>
      <c r="B794" s="1" t="n">
        <v>44895</v>
      </c>
      <c r="C794" s="1" t="n">
        <v>45740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58915-2022</t>
        </is>
      </c>
      <c r="B795" s="1" t="n">
        <v>44896</v>
      </c>
      <c r="C795" s="1" t="n">
        <v>45740</v>
      </c>
      <c r="D795" t="inlineStr">
        <is>
          <t>VÄSTERBOTTENS LÄN</t>
        </is>
      </c>
      <c r="E795" t="inlineStr">
        <is>
          <t>LYCKSELE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58920-2022</t>
        </is>
      </c>
      <c r="B796" s="1" t="n">
        <v>44896</v>
      </c>
      <c r="C796" s="1" t="n">
        <v>45740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59554-2022</t>
        </is>
      </c>
      <c r="B797" s="1" t="n">
        <v>44900</v>
      </c>
      <c r="C797" s="1" t="n">
        <v>45740</v>
      </c>
      <c r="D797" t="inlineStr">
        <is>
          <t>VÄSTERBOTTENS LÄN</t>
        </is>
      </c>
      <c r="E797" t="inlineStr">
        <is>
          <t>LYCKSELE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59566-2022</t>
        </is>
      </c>
      <c r="B798" s="1" t="n">
        <v>44900</v>
      </c>
      <c r="C798" s="1" t="n">
        <v>45740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59559-2022</t>
        </is>
      </c>
      <c r="B799" s="1" t="n">
        <v>44900</v>
      </c>
      <c r="C799" s="1" t="n">
        <v>45740</v>
      </c>
      <c r="D799" t="inlineStr">
        <is>
          <t>VÄSTERBOTTENS LÄN</t>
        </is>
      </c>
      <c r="E799" t="inlineStr">
        <is>
          <t>LYCKSELE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58439-2022</t>
        </is>
      </c>
      <c r="B800" s="1" t="n">
        <v>44901</v>
      </c>
      <c r="C800" s="1" t="n">
        <v>45740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58440-2022</t>
        </is>
      </c>
      <c r="B801" s="1" t="n">
        <v>44901</v>
      </c>
      <c r="C801" s="1" t="n">
        <v>45740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58594-2022</t>
        </is>
      </c>
      <c r="B802" s="1" t="n">
        <v>44902</v>
      </c>
      <c r="C802" s="1" t="n">
        <v>45740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58872-2022</t>
        </is>
      </c>
      <c r="B803" s="1" t="n">
        <v>44903</v>
      </c>
      <c r="C803" s="1" t="n">
        <v>45740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58961-2022</t>
        </is>
      </c>
      <c r="B804" s="1" t="n">
        <v>44903</v>
      </c>
      <c r="C804" s="1" t="n">
        <v>45740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58975-2022</t>
        </is>
      </c>
      <c r="B805" s="1" t="n">
        <v>44903</v>
      </c>
      <c r="C805" s="1" t="n">
        <v>45740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58854-2022</t>
        </is>
      </c>
      <c r="B806" s="1" t="n">
        <v>44903</v>
      </c>
      <c r="C806" s="1" t="n">
        <v>45740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59031-2022</t>
        </is>
      </c>
      <c r="B807" s="1" t="n">
        <v>44903</v>
      </c>
      <c r="C807" s="1" t="n">
        <v>45740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59102-2022</t>
        </is>
      </c>
      <c r="B808" s="1" t="n">
        <v>44904</v>
      </c>
      <c r="C808" s="1" t="n">
        <v>45740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59272-2022</t>
        </is>
      </c>
      <c r="B809" s="1" t="n">
        <v>44904</v>
      </c>
      <c r="C809" s="1" t="n">
        <v>45740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59330-2022</t>
        </is>
      </c>
      <c r="B810" s="1" t="n">
        <v>44904</v>
      </c>
      <c r="C810" s="1" t="n">
        <v>45740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59287-2022</t>
        </is>
      </c>
      <c r="B811" s="1" t="n">
        <v>44904</v>
      </c>
      <c r="C811" s="1" t="n">
        <v>45740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59329-2022</t>
        </is>
      </c>
      <c r="B812" s="1" t="n">
        <v>44904</v>
      </c>
      <c r="C812" s="1" t="n">
        <v>45740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59653-2022</t>
        </is>
      </c>
      <c r="B813" s="1" t="n">
        <v>44907</v>
      </c>
      <c r="C813" s="1" t="n">
        <v>45740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60859-2022</t>
        </is>
      </c>
      <c r="B814" s="1" t="n">
        <v>44908</v>
      </c>
      <c r="C814" s="1" t="n">
        <v>45740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60857-2022</t>
        </is>
      </c>
      <c r="B815" s="1" t="n">
        <v>44908</v>
      </c>
      <c r="C815" s="1" t="n">
        <v>45740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60117-2022</t>
        </is>
      </c>
      <c r="B816" s="1" t="n">
        <v>44909</v>
      </c>
      <c r="C816" s="1" t="n">
        <v>45740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60122-2022</t>
        </is>
      </c>
      <c r="B817" s="1" t="n">
        <v>44909</v>
      </c>
      <c r="C817" s="1" t="n">
        <v>45740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60131-2022</t>
        </is>
      </c>
      <c r="B818" s="1" t="n">
        <v>44909</v>
      </c>
      <c r="C818" s="1" t="n">
        <v>45740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60143-2022</t>
        </is>
      </c>
      <c r="B819" s="1" t="n">
        <v>44909</v>
      </c>
      <c r="C819" s="1" t="n">
        <v>45740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61281-2022</t>
        </is>
      </c>
      <c r="B820" s="1" t="n">
        <v>44909</v>
      </c>
      <c r="C820" s="1" t="n">
        <v>45740</v>
      </c>
      <c r="D820" t="inlineStr">
        <is>
          <t>VÄSTERBOTTENS LÄN</t>
        </is>
      </c>
      <c r="E820" t="inlineStr">
        <is>
          <t>LYCKSELE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61277-2022</t>
        </is>
      </c>
      <c r="B821" s="1" t="n">
        <v>44909</v>
      </c>
      <c r="C821" s="1" t="n">
        <v>45740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60267-2022</t>
        </is>
      </c>
      <c r="B822" s="1" t="n">
        <v>44910</v>
      </c>
      <c r="C822" s="1" t="n">
        <v>45740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60226-2022</t>
        </is>
      </c>
      <c r="B823" s="1" t="n">
        <v>44910</v>
      </c>
      <c r="C823" s="1" t="n">
        <v>45740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60330-2022</t>
        </is>
      </c>
      <c r="B824" s="1" t="n">
        <v>44910</v>
      </c>
      <c r="C824" s="1" t="n">
        <v>45740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60387-2022</t>
        </is>
      </c>
      <c r="B825" s="1" t="n">
        <v>44910</v>
      </c>
      <c r="C825" s="1" t="n">
        <v>45740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60272-2022</t>
        </is>
      </c>
      <c r="B826" s="1" t="n">
        <v>44910</v>
      </c>
      <c r="C826" s="1" t="n">
        <v>45740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60685-2022</t>
        </is>
      </c>
      <c r="B827" s="1" t="n">
        <v>44911</v>
      </c>
      <c r="C827" s="1" t="n">
        <v>45740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60570-2022</t>
        </is>
      </c>
      <c r="B828" s="1" t="n">
        <v>44911</v>
      </c>
      <c r="C828" s="1" t="n">
        <v>45740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61799-2022</t>
        </is>
      </c>
      <c r="B829" s="1" t="n">
        <v>44911</v>
      </c>
      <c r="C829" s="1" t="n">
        <v>45740</v>
      </c>
      <c r="D829" t="inlineStr">
        <is>
          <t>VÄSTERBOTTENS LÄN</t>
        </is>
      </c>
      <c r="E829" t="inlineStr">
        <is>
          <t>LYCKSELE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60714-2022</t>
        </is>
      </c>
      <c r="B830" s="1" t="n">
        <v>44912</v>
      </c>
      <c r="C830" s="1" t="n">
        <v>45740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60723-2022</t>
        </is>
      </c>
      <c r="B831" s="1" t="n">
        <v>44913</v>
      </c>
      <c r="C831" s="1" t="n">
        <v>45740</v>
      </c>
      <c r="D831" t="inlineStr">
        <is>
          <t>VÄSTERBOTTENS LÄN</t>
        </is>
      </c>
      <c r="E831" t="inlineStr">
        <is>
          <t>LYCKSELE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61131-2022</t>
        </is>
      </c>
      <c r="B832" s="1" t="n">
        <v>44915</v>
      </c>
      <c r="C832" s="1" t="n">
        <v>45740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61390-2022</t>
        </is>
      </c>
      <c r="B833" s="1" t="n">
        <v>44915</v>
      </c>
      <c r="C833" s="1" t="n">
        <v>45740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61651-2022</t>
        </is>
      </c>
      <c r="B834" s="1" t="n">
        <v>44916</v>
      </c>
      <c r="C834" s="1" t="n">
        <v>45740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61829-2022</t>
        </is>
      </c>
      <c r="B835" s="1" t="n">
        <v>44917</v>
      </c>
      <c r="C835" s="1" t="n">
        <v>45740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61837-2022</t>
        </is>
      </c>
      <c r="B836" s="1" t="n">
        <v>44917</v>
      </c>
      <c r="C836" s="1" t="n">
        <v>45740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62678-2022</t>
        </is>
      </c>
      <c r="B837" s="1" t="n">
        <v>44917</v>
      </c>
      <c r="C837" s="1" t="n">
        <v>45740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155-2023</t>
        </is>
      </c>
      <c r="B838" s="1" t="n">
        <v>44921</v>
      </c>
      <c r="C838" s="1" t="n">
        <v>45740</v>
      </c>
      <c r="D838" t="inlineStr">
        <is>
          <t>VÄSTERBOTTENS LÄN</t>
        </is>
      </c>
      <c r="E838" t="inlineStr">
        <is>
          <t>LYCKSELE</t>
        </is>
      </c>
      <c r="G838" t="n">
        <v>27.3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161-2023</t>
        </is>
      </c>
      <c r="B839" s="1" t="n">
        <v>44921</v>
      </c>
      <c r="C839" s="1" t="n">
        <v>45740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62547-2022</t>
        </is>
      </c>
      <c r="B840" s="1" t="n">
        <v>44924</v>
      </c>
      <c r="C840" s="1" t="n">
        <v>45740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408-2023</t>
        </is>
      </c>
      <c r="B841" s="1" t="n">
        <v>44924</v>
      </c>
      <c r="C841" s="1" t="n">
        <v>45740</v>
      </c>
      <c r="D841" t="inlineStr">
        <is>
          <t>VÄSTERBOTTENS LÄN</t>
        </is>
      </c>
      <c r="E841" t="inlineStr">
        <is>
          <t>LYCKSELE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62584-2022</t>
        </is>
      </c>
      <c r="B842" s="1" t="n">
        <v>44924</v>
      </c>
      <c r="C842" s="1" t="n">
        <v>45740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62586-2022</t>
        </is>
      </c>
      <c r="B843" s="1" t="n">
        <v>44924</v>
      </c>
      <c r="C843" s="1" t="n">
        <v>45740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62715-2022</t>
        </is>
      </c>
      <c r="B844" s="1" t="n">
        <v>44925</v>
      </c>
      <c r="C844" s="1" t="n">
        <v>45740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326-2023</t>
        </is>
      </c>
      <c r="B845" s="1" t="n">
        <v>44929</v>
      </c>
      <c r="C845" s="1" t="n">
        <v>45740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705-2023</t>
        </is>
      </c>
      <c r="B846" s="1" t="n">
        <v>44930</v>
      </c>
      <c r="C846" s="1" t="n">
        <v>45740</v>
      </c>
      <c r="D846" t="inlineStr">
        <is>
          <t>VÄSTERBOTTENS LÄN</t>
        </is>
      </c>
      <c r="E846" t="inlineStr">
        <is>
          <t>LYCKSELE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542-2023</t>
        </is>
      </c>
      <c r="B847" s="1" t="n">
        <v>44930</v>
      </c>
      <c r="C847" s="1" t="n">
        <v>45740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605-2023</t>
        </is>
      </c>
      <c r="B848" s="1" t="n">
        <v>44930</v>
      </c>
      <c r="C848" s="1" t="n">
        <v>45740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778-2023</t>
        </is>
      </c>
      <c r="B849" s="1" t="n">
        <v>44931</v>
      </c>
      <c r="C849" s="1" t="n">
        <v>45740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936-2023</t>
        </is>
      </c>
      <c r="B850" s="1" t="n">
        <v>44933</v>
      </c>
      <c r="C850" s="1" t="n">
        <v>45740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960-2023</t>
        </is>
      </c>
      <c r="B851" s="1" t="n">
        <v>44934</v>
      </c>
      <c r="C851" s="1" t="n">
        <v>45740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957-2023</t>
        </is>
      </c>
      <c r="B852" s="1" t="n">
        <v>44934</v>
      </c>
      <c r="C852" s="1" t="n">
        <v>45740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1276-2023</t>
        </is>
      </c>
      <c r="B853" s="1" t="n">
        <v>44936</v>
      </c>
      <c r="C853" s="1" t="n">
        <v>45740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1317-2023</t>
        </is>
      </c>
      <c r="B854" s="1" t="n">
        <v>44936</v>
      </c>
      <c r="C854" s="1" t="n">
        <v>45740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2191-2023</t>
        </is>
      </c>
      <c r="B855" s="1" t="n">
        <v>44942</v>
      </c>
      <c r="C855" s="1" t="n">
        <v>45740</v>
      </c>
      <c r="D855" t="inlineStr">
        <is>
          <t>VÄSTERBOTTENS LÄN</t>
        </is>
      </c>
      <c r="E855" t="inlineStr">
        <is>
          <t>LYCKSELE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2193-2023</t>
        </is>
      </c>
      <c r="B856" s="1" t="n">
        <v>44942</v>
      </c>
      <c r="C856" s="1" t="n">
        <v>45740</v>
      </c>
      <c r="D856" t="inlineStr">
        <is>
          <t>VÄSTERBOTTENS LÄN</t>
        </is>
      </c>
      <c r="E856" t="inlineStr">
        <is>
          <t>LYCKSELE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2758-2023</t>
        </is>
      </c>
      <c r="B857" s="1" t="n">
        <v>44943</v>
      </c>
      <c r="C857" s="1" t="n">
        <v>45740</v>
      </c>
      <c r="D857" t="inlineStr">
        <is>
          <t>VÄSTERBOTTENS LÄN</t>
        </is>
      </c>
      <c r="E857" t="inlineStr">
        <is>
          <t>LYCKSELE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2610-2023</t>
        </is>
      </c>
      <c r="B858" s="1" t="n">
        <v>44944</v>
      </c>
      <c r="C858" s="1" t="n">
        <v>45740</v>
      </c>
      <c r="D858" t="inlineStr">
        <is>
          <t>VÄSTERBOTTENS LÄN</t>
        </is>
      </c>
      <c r="E858" t="inlineStr">
        <is>
          <t>LYCKSELE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2859-2023</t>
        </is>
      </c>
      <c r="B859" s="1" t="n">
        <v>44945</v>
      </c>
      <c r="C859" s="1" t="n">
        <v>45740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Kyrkan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3614-2023</t>
        </is>
      </c>
      <c r="B860" s="1" t="n">
        <v>44950</v>
      </c>
      <c r="C860" s="1" t="n">
        <v>45740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3540-2023</t>
        </is>
      </c>
      <c r="B861" s="1" t="n">
        <v>44950</v>
      </c>
      <c r="C861" s="1" t="n">
        <v>45740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4179-2023</t>
        </is>
      </c>
      <c r="B862" s="1" t="n">
        <v>44951</v>
      </c>
      <c r="C862" s="1" t="n">
        <v>45740</v>
      </c>
      <c r="D862" t="inlineStr">
        <is>
          <t>VÄSTERBOTTENS LÄN</t>
        </is>
      </c>
      <c r="E862" t="inlineStr">
        <is>
          <t>LYCKSELE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3947-2023</t>
        </is>
      </c>
      <c r="B863" s="1" t="n">
        <v>44952</v>
      </c>
      <c r="C863" s="1" t="n">
        <v>45740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4664-2023</t>
        </is>
      </c>
      <c r="B864" s="1" t="n">
        <v>44952</v>
      </c>
      <c r="C864" s="1" t="n">
        <v>45740</v>
      </c>
      <c r="D864" t="inlineStr">
        <is>
          <t>VÄSTERBOTTENS LÄN</t>
        </is>
      </c>
      <c r="E864" t="inlineStr">
        <is>
          <t>LYCKSELE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4056-2023</t>
        </is>
      </c>
      <c r="B865" s="1" t="n">
        <v>44952</v>
      </c>
      <c r="C865" s="1" t="n">
        <v>45740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4673-2023</t>
        </is>
      </c>
      <c r="B866" s="1" t="n">
        <v>44952</v>
      </c>
      <c r="C866" s="1" t="n">
        <v>45740</v>
      </c>
      <c r="D866" t="inlineStr">
        <is>
          <t>VÄSTERBOTTENS LÄN</t>
        </is>
      </c>
      <c r="E866" t="inlineStr">
        <is>
          <t>LYCKSELE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4666-2023</t>
        </is>
      </c>
      <c r="B867" s="1" t="n">
        <v>44953</v>
      </c>
      <c r="C867" s="1" t="n">
        <v>45740</v>
      </c>
      <c r="D867" t="inlineStr">
        <is>
          <t>VÄSTERBOTTENS LÄN</t>
        </is>
      </c>
      <c r="E867" t="inlineStr">
        <is>
          <t>LYCKSELE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5204-2023</t>
        </is>
      </c>
      <c r="B868" s="1" t="n">
        <v>44956</v>
      </c>
      <c r="C868" s="1" t="n">
        <v>45740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5361-2023</t>
        </is>
      </c>
      <c r="B869" s="1" t="n">
        <v>44956</v>
      </c>
      <c r="C869" s="1" t="n">
        <v>45740</v>
      </c>
      <c r="D869" t="inlineStr">
        <is>
          <t>VÄSTERBOTTENS LÄN</t>
        </is>
      </c>
      <c r="E869" t="inlineStr">
        <is>
          <t>LYCKSELE</t>
        </is>
      </c>
      <c r="G869" t="n">
        <v>21.1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4745-2023</t>
        </is>
      </c>
      <c r="B870" s="1" t="n">
        <v>44957</v>
      </c>
      <c r="C870" s="1" t="n">
        <v>45740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5094-2023</t>
        </is>
      </c>
      <c r="B871" s="1" t="n">
        <v>44958</v>
      </c>
      <c r="C871" s="1" t="n">
        <v>45740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5638-2023</t>
        </is>
      </c>
      <c r="B872" s="1" t="n">
        <v>44960</v>
      </c>
      <c r="C872" s="1" t="n">
        <v>45740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45740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6044-2023</t>
        </is>
      </c>
      <c r="B874" s="1" t="n">
        <v>44964</v>
      </c>
      <c r="C874" s="1" t="n">
        <v>45740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6906-2023</t>
        </is>
      </c>
      <c r="B875" s="1" t="n">
        <v>44967</v>
      </c>
      <c r="C875" s="1" t="n">
        <v>45740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7318-2023</t>
        </is>
      </c>
      <c r="B876" s="1" t="n">
        <v>44970</v>
      </c>
      <c r="C876" s="1" t="n">
        <v>45740</v>
      </c>
      <c r="D876" t="inlineStr">
        <is>
          <t>VÄSTERBOTTENS LÄN</t>
        </is>
      </c>
      <c r="E876" t="inlineStr">
        <is>
          <t>LYCKSELE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</v>
      </c>
      <c r="C877" s="1" t="n">
        <v>45740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7822-2023</t>
        </is>
      </c>
      <c r="B878" s="1" t="n">
        <v>44973</v>
      </c>
      <c r="C878" s="1" t="n">
        <v>45740</v>
      </c>
      <c r="D878" t="inlineStr">
        <is>
          <t>VÄSTERBOTTENS LÄN</t>
        </is>
      </c>
      <c r="E878" t="inlineStr">
        <is>
          <t>LYCKSELE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7829-2023</t>
        </is>
      </c>
      <c r="B879" s="1" t="n">
        <v>44973</v>
      </c>
      <c r="C879" s="1" t="n">
        <v>45740</v>
      </c>
      <c r="D879" t="inlineStr">
        <is>
          <t>VÄSTERBOTTENS LÄN</t>
        </is>
      </c>
      <c r="E879" t="inlineStr">
        <is>
          <t>LYCKSELE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7818-2023</t>
        </is>
      </c>
      <c r="B880" s="1" t="n">
        <v>44973</v>
      </c>
      <c r="C880" s="1" t="n">
        <v>45740</v>
      </c>
      <c r="D880" t="inlineStr">
        <is>
          <t>VÄSTERBOTTENS LÄN</t>
        </is>
      </c>
      <c r="E880" t="inlineStr">
        <is>
          <t>LYCKSELE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7825-2023</t>
        </is>
      </c>
      <c r="B881" s="1" t="n">
        <v>44973</v>
      </c>
      <c r="C881" s="1" t="n">
        <v>45740</v>
      </c>
      <c r="D881" t="inlineStr">
        <is>
          <t>VÄSTERBOTTENS LÄN</t>
        </is>
      </c>
      <c r="E881" t="inlineStr">
        <is>
          <t>LYCKSELE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7834-2023</t>
        </is>
      </c>
      <c r="B882" s="1" t="n">
        <v>44973</v>
      </c>
      <c r="C882" s="1" t="n">
        <v>45740</v>
      </c>
      <c r="D882" t="inlineStr">
        <is>
          <t>VÄSTERBOTTENS LÄN</t>
        </is>
      </c>
      <c r="E882" t="inlineStr">
        <is>
          <t>LYCKSELE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7837-2023</t>
        </is>
      </c>
      <c r="B883" s="1" t="n">
        <v>44973</v>
      </c>
      <c r="C883" s="1" t="n">
        <v>45740</v>
      </c>
      <c r="D883" t="inlineStr">
        <is>
          <t>VÄSTERBOTTENS LÄN</t>
        </is>
      </c>
      <c r="E883" t="inlineStr">
        <is>
          <t>LYCKSELE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8359-2023</t>
        </is>
      </c>
      <c r="B884" s="1" t="n">
        <v>44977</v>
      </c>
      <c r="C884" s="1" t="n">
        <v>45740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8364-2023</t>
        </is>
      </c>
      <c r="B885" s="1" t="n">
        <v>44977</v>
      </c>
      <c r="C885" s="1" t="n">
        <v>45740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8917-2023</t>
        </is>
      </c>
      <c r="B886" s="1" t="n">
        <v>44979</v>
      </c>
      <c r="C886" s="1" t="n">
        <v>45740</v>
      </c>
      <c r="D886" t="inlineStr">
        <is>
          <t>VÄSTERBOTTENS LÄN</t>
        </is>
      </c>
      <c r="E886" t="inlineStr">
        <is>
          <t>LYCKSELE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9090-2023</t>
        </is>
      </c>
      <c r="B887" s="1" t="n">
        <v>44979</v>
      </c>
      <c r="C887" s="1" t="n">
        <v>45740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10331-2023</t>
        </is>
      </c>
      <c r="B888" s="1" t="n">
        <v>44980</v>
      </c>
      <c r="C888" s="1" t="n">
        <v>45740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10341-2023</t>
        </is>
      </c>
      <c r="B889" s="1" t="n">
        <v>44980</v>
      </c>
      <c r="C889" s="1" t="n">
        <v>45740</v>
      </c>
      <c r="D889" t="inlineStr">
        <is>
          <t>VÄSTERBOTTENS LÄN</t>
        </is>
      </c>
      <c r="E889" t="inlineStr">
        <is>
          <t>LYCKSELE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10485-2023</t>
        </is>
      </c>
      <c r="B890" s="1" t="n">
        <v>44981</v>
      </c>
      <c r="C890" s="1" t="n">
        <v>45740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10953-2023</t>
        </is>
      </c>
      <c r="B891" s="1" t="n">
        <v>44985</v>
      </c>
      <c r="C891" s="1" t="n">
        <v>45740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10976-2023</t>
        </is>
      </c>
      <c r="B892" s="1" t="n">
        <v>44985</v>
      </c>
      <c r="C892" s="1" t="n">
        <v>45740</v>
      </c>
      <c r="D892" t="inlineStr">
        <is>
          <t>VÄSTERBOTTENS LÄN</t>
        </is>
      </c>
      <c r="E892" t="inlineStr">
        <is>
          <t>LYCKSELE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10767-2023</t>
        </is>
      </c>
      <c r="B893" s="1" t="n">
        <v>44988</v>
      </c>
      <c r="C893" s="1" t="n">
        <v>45740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11049-2023</t>
        </is>
      </c>
      <c r="B894" s="1" t="n">
        <v>44991</v>
      </c>
      <c r="C894" s="1" t="n">
        <v>45740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11298-2023</t>
        </is>
      </c>
      <c r="B895" s="1" t="n">
        <v>44992</v>
      </c>
      <c r="C895" s="1" t="n">
        <v>45740</v>
      </c>
      <c r="D895" t="inlineStr">
        <is>
          <t>VÄSTERBOTTENS LÄN</t>
        </is>
      </c>
      <c r="E895" t="inlineStr">
        <is>
          <t>LYCKSELE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11297-2023</t>
        </is>
      </c>
      <c r="B896" s="1" t="n">
        <v>44992</v>
      </c>
      <c r="C896" s="1" t="n">
        <v>45740</v>
      </c>
      <c r="D896" t="inlineStr">
        <is>
          <t>VÄSTERBOTTENS LÄN</t>
        </is>
      </c>
      <c r="E896" t="inlineStr">
        <is>
          <t>LYCKSELE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11314-2023</t>
        </is>
      </c>
      <c r="B897" s="1" t="n">
        <v>44993</v>
      </c>
      <c r="C897" s="1" t="n">
        <v>45740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11604-2023</t>
        </is>
      </c>
      <c r="B898" s="1" t="n">
        <v>44994</v>
      </c>
      <c r="C898" s="1" t="n">
        <v>45740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11743-2023</t>
        </is>
      </c>
      <c r="B899" s="1" t="n">
        <v>44994</v>
      </c>
      <c r="C899" s="1" t="n">
        <v>45740</v>
      </c>
      <c r="D899" t="inlineStr">
        <is>
          <t>VÄSTERBOTTENS LÄN</t>
        </is>
      </c>
      <c r="E899" t="inlineStr">
        <is>
          <t>LYCKSELE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11822-2023</t>
        </is>
      </c>
      <c r="B900" s="1" t="n">
        <v>44994</v>
      </c>
      <c r="C900" s="1" t="n">
        <v>45740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12052-2023</t>
        </is>
      </c>
      <c r="B901" s="1" t="n">
        <v>44995</v>
      </c>
      <c r="C901" s="1" t="n">
        <v>45740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12368-2023</t>
        </is>
      </c>
      <c r="B902" s="1" t="n">
        <v>44998</v>
      </c>
      <c r="C902" s="1" t="n">
        <v>45740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12337-2023</t>
        </is>
      </c>
      <c r="B903" s="1" t="n">
        <v>44999</v>
      </c>
      <c r="C903" s="1" t="n">
        <v>45740</v>
      </c>
      <c r="D903" t="inlineStr">
        <is>
          <t>VÄSTERBOTTENS LÄN</t>
        </is>
      </c>
      <c r="E903" t="inlineStr">
        <is>
          <t>LYCKSELE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12582-2023</t>
        </is>
      </c>
      <c r="B904" s="1" t="n">
        <v>44999</v>
      </c>
      <c r="C904" s="1" t="n">
        <v>45740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13661-2023</t>
        </is>
      </c>
      <c r="B905" s="1" t="n">
        <v>45006</v>
      </c>
      <c r="C905" s="1" t="n">
        <v>45740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13566-2023</t>
        </is>
      </c>
      <c r="B906" s="1" t="n">
        <v>45006</v>
      </c>
      <c r="C906" s="1" t="n">
        <v>45740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13563-2023</t>
        </is>
      </c>
      <c r="B907" s="1" t="n">
        <v>45006</v>
      </c>
      <c r="C907" s="1" t="n">
        <v>45740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14652-2023</t>
        </is>
      </c>
      <c r="B908" s="1" t="n">
        <v>45013</v>
      </c>
      <c r="C908" s="1" t="n">
        <v>45740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14857-2023</t>
        </is>
      </c>
      <c r="B909" s="1" t="n">
        <v>45014</v>
      </c>
      <c r="C909" s="1" t="n">
        <v>45740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14854-2023</t>
        </is>
      </c>
      <c r="B910" s="1" t="n">
        <v>45014</v>
      </c>
      <c r="C910" s="1" t="n">
        <v>45740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14877-2023</t>
        </is>
      </c>
      <c r="B911" s="1" t="n">
        <v>45015</v>
      </c>
      <c r="C911" s="1" t="n">
        <v>45740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15075-2023</t>
        </is>
      </c>
      <c r="B912" s="1" t="n">
        <v>45015</v>
      </c>
      <c r="C912" s="1" t="n">
        <v>45740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45740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15564-2023</t>
        </is>
      </c>
      <c r="B914" s="1" t="n">
        <v>45020</v>
      </c>
      <c r="C914" s="1" t="n">
        <v>45740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15621-2023</t>
        </is>
      </c>
      <c r="B915" s="1" t="n">
        <v>45020</v>
      </c>
      <c r="C915" s="1" t="n">
        <v>45740</v>
      </c>
      <c r="D915" t="inlineStr">
        <is>
          <t>VÄSTERBOTTENS LÄN</t>
        </is>
      </c>
      <c r="E915" t="inlineStr">
        <is>
          <t>LYCKSELE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15622-2023</t>
        </is>
      </c>
      <c r="B916" s="1" t="n">
        <v>45020</v>
      </c>
      <c r="C916" s="1" t="n">
        <v>45740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15888-2023</t>
        </is>
      </c>
      <c r="B917" s="1" t="n">
        <v>45021</v>
      </c>
      <c r="C917" s="1" t="n">
        <v>45740</v>
      </c>
      <c r="D917" t="inlineStr">
        <is>
          <t>VÄSTERBOTTENS LÄN</t>
        </is>
      </c>
      <c r="E917" t="inlineStr">
        <is>
          <t>LYCKSELE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15890-2023</t>
        </is>
      </c>
      <c r="B918" s="1" t="n">
        <v>45021</v>
      </c>
      <c r="C918" s="1" t="n">
        <v>45740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15809-2023</t>
        </is>
      </c>
      <c r="B919" s="1" t="n">
        <v>45021</v>
      </c>
      <c r="C919" s="1" t="n">
        <v>45740</v>
      </c>
      <c r="D919" t="inlineStr">
        <is>
          <t>VÄSTERBOTTENS LÄN</t>
        </is>
      </c>
      <c r="E919" t="inlineStr">
        <is>
          <t>LYCKSELE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15893-2023</t>
        </is>
      </c>
      <c r="B920" s="1" t="n">
        <v>45021</v>
      </c>
      <c r="C920" s="1" t="n">
        <v>45740</v>
      </c>
      <c r="D920" t="inlineStr">
        <is>
          <t>VÄSTERBOTTENS LÄN</t>
        </is>
      </c>
      <c r="E920" t="inlineStr">
        <is>
          <t>LYCKSELE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17396-2023</t>
        </is>
      </c>
      <c r="B921" s="1" t="n">
        <v>45035</v>
      </c>
      <c r="C921" s="1" t="n">
        <v>45740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17391-2023</t>
        </is>
      </c>
      <c r="B922" s="1" t="n">
        <v>45035</v>
      </c>
      <c r="C922" s="1" t="n">
        <v>45740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17397-2023</t>
        </is>
      </c>
      <c r="B923" s="1" t="n">
        <v>45035</v>
      </c>
      <c r="C923" s="1" t="n">
        <v>45740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17393-2023</t>
        </is>
      </c>
      <c r="B924" s="1" t="n">
        <v>45035</v>
      </c>
      <c r="C924" s="1" t="n">
        <v>45740</v>
      </c>
      <c r="D924" t="inlineStr">
        <is>
          <t>VÄSTERBOTTENS LÄN</t>
        </is>
      </c>
      <c r="E924" t="inlineStr">
        <is>
          <t>LYCKSELE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17690-2023</t>
        </is>
      </c>
      <c r="B925" s="1" t="n">
        <v>45035</v>
      </c>
      <c r="C925" s="1" t="n">
        <v>45740</v>
      </c>
      <c r="D925" t="inlineStr">
        <is>
          <t>VÄSTERBOTTENS LÄN</t>
        </is>
      </c>
      <c r="E925" t="inlineStr">
        <is>
          <t>LYCKSELE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18156-2023</t>
        </is>
      </c>
      <c r="B926" s="1" t="n">
        <v>45040</v>
      </c>
      <c r="C926" s="1" t="n">
        <v>45740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18365-2023</t>
        </is>
      </c>
      <c r="B927" s="1" t="n">
        <v>45041</v>
      </c>
      <c r="C927" s="1" t="n">
        <v>45740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18342-2023</t>
        </is>
      </c>
      <c r="B928" s="1" t="n">
        <v>45041</v>
      </c>
      <c r="C928" s="1" t="n">
        <v>45740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18587-2023</t>
        </is>
      </c>
      <c r="B929" s="1" t="n">
        <v>45041</v>
      </c>
      <c r="C929" s="1" t="n">
        <v>45740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18595-2023</t>
        </is>
      </c>
      <c r="B930" s="1" t="n">
        <v>45041</v>
      </c>
      <c r="C930" s="1" t="n">
        <v>45740</v>
      </c>
      <c r="D930" t="inlineStr">
        <is>
          <t>VÄSTERBOTTENS LÄN</t>
        </is>
      </c>
      <c r="E930" t="inlineStr">
        <is>
          <t>LYCKSELE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18610-2023</t>
        </is>
      </c>
      <c r="B931" s="1" t="n">
        <v>45041</v>
      </c>
      <c r="C931" s="1" t="n">
        <v>45740</v>
      </c>
      <c r="D931" t="inlineStr">
        <is>
          <t>VÄSTERBOTTENS LÄN</t>
        </is>
      </c>
      <c r="E931" t="inlineStr">
        <is>
          <t>LYCKSELE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18486-2023</t>
        </is>
      </c>
      <c r="B932" s="1" t="n">
        <v>45042</v>
      </c>
      <c r="C932" s="1" t="n">
        <v>45740</v>
      </c>
      <c r="D932" t="inlineStr">
        <is>
          <t>VÄSTERBOTTENS LÄN</t>
        </is>
      </c>
      <c r="E932" t="inlineStr">
        <is>
          <t>LYCKSELE</t>
        </is>
      </c>
      <c r="G932" t="n">
        <v>16.7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18899-2023</t>
        </is>
      </c>
      <c r="B933" s="1" t="n">
        <v>45043</v>
      </c>
      <c r="C933" s="1" t="n">
        <v>45740</v>
      </c>
      <c r="D933" t="inlineStr">
        <is>
          <t>VÄSTERBOTTENS LÄN</t>
        </is>
      </c>
      <c r="E933" t="inlineStr">
        <is>
          <t>LYCKSELE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19229-2023</t>
        </is>
      </c>
      <c r="B934" s="1" t="n">
        <v>45049</v>
      </c>
      <c r="C934" s="1" t="n">
        <v>45740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19233-2023</t>
        </is>
      </c>
      <c r="B935" s="1" t="n">
        <v>45049</v>
      </c>
      <c r="C935" s="1" t="n">
        <v>45740</v>
      </c>
      <c r="D935" t="inlineStr">
        <is>
          <t>VÄSTERBOTTENS LÄN</t>
        </is>
      </c>
      <c r="E935" t="inlineStr">
        <is>
          <t>LYCKSELE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19460-2023</t>
        </is>
      </c>
      <c r="B936" s="1" t="n">
        <v>45050</v>
      </c>
      <c r="C936" s="1" t="n">
        <v>45740</v>
      </c>
      <c r="D936" t="inlineStr">
        <is>
          <t>VÄSTERBOTTENS LÄN</t>
        </is>
      </c>
      <c r="E936" t="inlineStr">
        <is>
          <t>LYCKSELE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19882-2023</t>
        </is>
      </c>
      <c r="B937" s="1" t="n">
        <v>45054</v>
      </c>
      <c r="C937" s="1" t="n">
        <v>45740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21073-2023</t>
        </is>
      </c>
      <c r="B938" s="1" t="n">
        <v>45057</v>
      </c>
      <c r="C938" s="1" t="n">
        <v>45740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21210-2023</t>
        </is>
      </c>
      <c r="B939" s="1" t="n">
        <v>45058</v>
      </c>
      <c r="C939" s="1" t="n">
        <v>45740</v>
      </c>
      <c r="D939" t="inlineStr">
        <is>
          <t>VÄSTERBOTTENS LÄN</t>
        </is>
      </c>
      <c r="E939" t="inlineStr">
        <is>
          <t>LYCKSELE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21213-2023</t>
        </is>
      </c>
      <c r="B940" s="1" t="n">
        <v>45058</v>
      </c>
      <c r="C940" s="1" t="n">
        <v>45740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21186-2023</t>
        </is>
      </c>
      <c r="B941" s="1" t="n">
        <v>45058</v>
      </c>
      <c r="C941" s="1" t="n">
        <v>45740</v>
      </c>
      <c r="D941" t="inlineStr">
        <is>
          <t>VÄSTERBOTTENS LÄN</t>
        </is>
      </c>
      <c r="E941" t="inlineStr">
        <is>
          <t>LYCKSELE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20992-2023</t>
        </is>
      </c>
      <c r="B942" s="1" t="n">
        <v>45061</v>
      </c>
      <c r="C942" s="1" t="n">
        <v>45740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21105-2023</t>
        </is>
      </c>
      <c r="B943" s="1" t="n">
        <v>45062</v>
      </c>
      <c r="C943" s="1" t="n">
        <v>45740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21109-2023</t>
        </is>
      </c>
      <c r="B944" s="1" t="n">
        <v>45062</v>
      </c>
      <c r="C944" s="1" t="n">
        <v>45740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21368-2023</t>
        </is>
      </c>
      <c r="B945" s="1" t="n">
        <v>45063</v>
      </c>
      <c r="C945" s="1" t="n">
        <v>45740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Naturvårdsverket</t>
        </is>
      </c>
      <c r="G945" t="n">
        <v>27.9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21502-2023</t>
        </is>
      </c>
      <c r="B946" s="1" t="n">
        <v>45063</v>
      </c>
      <c r="C946" s="1" t="n">
        <v>45740</v>
      </c>
      <c r="D946" t="inlineStr">
        <is>
          <t>VÄSTERBOTTENS LÄN</t>
        </is>
      </c>
      <c r="E946" t="inlineStr">
        <is>
          <t>LYCKSELE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21660-2023</t>
        </is>
      </c>
      <c r="B947" s="1" t="n">
        <v>45063</v>
      </c>
      <c r="C947" s="1" t="n">
        <v>45740</v>
      </c>
      <c r="D947" t="inlineStr">
        <is>
          <t>VÄSTERBOTTENS LÄN</t>
        </is>
      </c>
      <c r="E947" t="inlineStr">
        <is>
          <t>LYCKSELE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21664-2023</t>
        </is>
      </c>
      <c r="B948" s="1" t="n">
        <v>45064</v>
      </c>
      <c r="C948" s="1" t="n">
        <v>45740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22114-2023</t>
        </is>
      </c>
      <c r="B949" s="1" t="n">
        <v>45069</v>
      </c>
      <c r="C949" s="1" t="n">
        <v>45740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22112-2023</t>
        </is>
      </c>
      <c r="B950" s="1" t="n">
        <v>45069</v>
      </c>
      <c r="C950" s="1" t="n">
        <v>45740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22419-2023</t>
        </is>
      </c>
      <c r="B951" s="1" t="n">
        <v>45070</v>
      </c>
      <c r="C951" s="1" t="n">
        <v>45740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22936-2023</t>
        </is>
      </c>
      <c r="B952" s="1" t="n">
        <v>45072</v>
      </c>
      <c r="C952" s="1" t="n">
        <v>45740</v>
      </c>
      <c r="D952" t="inlineStr">
        <is>
          <t>VÄSTERBOTTENS LÄN</t>
        </is>
      </c>
      <c r="E952" t="inlineStr">
        <is>
          <t>LYCKSELE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23296-2023</t>
        </is>
      </c>
      <c r="B953" s="1" t="n">
        <v>45075</v>
      </c>
      <c r="C953" s="1" t="n">
        <v>45740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23295-2023</t>
        </is>
      </c>
      <c r="B954" s="1" t="n">
        <v>45075</v>
      </c>
      <c r="C954" s="1" t="n">
        <v>45740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23297-2023</t>
        </is>
      </c>
      <c r="B955" s="1" t="n">
        <v>45075</v>
      </c>
      <c r="C955" s="1" t="n">
        <v>45740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23411-2023</t>
        </is>
      </c>
      <c r="B956" s="1" t="n">
        <v>45076</v>
      </c>
      <c r="C956" s="1" t="n">
        <v>45740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45078</v>
      </c>
      <c r="C957" s="1" t="n">
        <v>45740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23768-2023</t>
        </is>
      </c>
      <c r="B958" s="1" t="n">
        <v>45078</v>
      </c>
      <c r="C958" s="1" t="n">
        <v>45740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24460-2023</t>
        </is>
      </c>
      <c r="B959" s="1" t="n">
        <v>45077</v>
      </c>
      <c r="C959" s="1" t="n">
        <v>45740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24041-2023</t>
        </is>
      </c>
      <c r="B960" s="1" t="n">
        <v>45078</v>
      </c>
      <c r="C960" s="1" t="n">
        <v>45740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45740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24289-2023</t>
        </is>
      </c>
      <c r="B962" s="1" t="n">
        <v>45080</v>
      </c>
      <c r="C962" s="1" t="n">
        <v>45740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24547-2023</t>
        </is>
      </c>
      <c r="B963" s="1" t="n">
        <v>45082</v>
      </c>
      <c r="C963" s="1" t="n">
        <v>45740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24818-2023</t>
        </is>
      </c>
      <c r="B964" s="1" t="n">
        <v>45085</v>
      </c>
      <c r="C964" s="1" t="n">
        <v>45740</v>
      </c>
      <c r="D964" t="inlineStr">
        <is>
          <t>VÄSTERBOTTENS LÄN</t>
        </is>
      </c>
      <c r="E964" t="inlineStr">
        <is>
          <t>LYCKSELE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25768-2023</t>
        </is>
      </c>
      <c r="B965" s="1" t="n">
        <v>45085</v>
      </c>
      <c r="C965" s="1" t="n">
        <v>45740</v>
      </c>
      <c r="D965" t="inlineStr">
        <is>
          <t>VÄSTERBOTTENS LÄN</t>
        </is>
      </c>
      <c r="E965" t="inlineStr">
        <is>
          <t>LYCKSELE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25765-2023</t>
        </is>
      </c>
      <c r="B966" s="1" t="n">
        <v>45085</v>
      </c>
      <c r="C966" s="1" t="n">
        <v>45740</v>
      </c>
      <c r="D966" t="inlineStr">
        <is>
          <t>VÄSTERBOTTENS LÄN</t>
        </is>
      </c>
      <c r="E966" t="inlineStr">
        <is>
          <t>LYCKSELE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25145-2023</t>
        </is>
      </c>
      <c r="B967" s="1" t="n">
        <v>45086</v>
      </c>
      <c r="C967" s="1" t="n">
        <v>45740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26329-2023</t>
        </is>
      </c>
      <c r="B968" s="1" t="n">
        <v>45086</v>
      </c>
      <c r="C968" s="1" t="n">
        <v>45740</v>
      </c>
      <c r="D968" t="inlineStr">
        <is>
          <t>VÄSTERBOTTENS LÄN</t>
        </is>
      </c>
      <c r="E968" t="inlineStr">
        <is>
          <t>LYCKSELE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26328-2023</t>
        </is>
      </c>
      <c r="B969" s="1" t="n">
        <v>45086</v>
      </c>
      <c r="C969" s="1" t="n">
        <v>45740</v>
      </c>
      <c r="D969" t="inlineStr">
        <is>
          <t>VÄSTERBOTTENS LÄN</t>
        </is>
      </c>
      <c r="E969" t="inlineStr">
        <is>
          <t>LYCKSELE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25451-2023</t>
        </is>
      </c>
      <c r="B970" s="1" t="n">
        <v>45089</v>
      </c>
      <c r="C970" s="1" t="n">
        <v>45740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25476-2023</t>
        </is>
      </c>
      <c r="B971" s="1" t="n">
        <v>45089</v>
      </c>
      <c r="C971" s="1" t="n">
        <v>45740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25413-2023</t>
        </is>
      </c>
      <c r="B972" s="1" t="n">
        <v>45089</v>
      </c>
      <c r="C972" s="1" t="n">
        <v>45740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25473-2023</t>
        </is>
      </c>
      <c r="B973" s="1" t="n">
        <v>45089</v>
      </c>
      <c r="C973" s="1" t="n">
        <v>45740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25478-2023</t>
        </is>
      </c>
      <c r="B974" s="1" t="n">
        <v>45089</v>
      </c>
      <c r="C974" s="1" t="n">
        <v>45740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25679-2023</t>
        </is>
      </c>
      <c r="B975" s="1" t="n">
        <v>45090</v>
      </c>
      <c r="C975" s="1" t="n">
        <v>45740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25899-2023</t>
        </is>
      </c>
      <c r="B976" s="1" t="n">
        <v>45090</v>
      </c>
      <c r="C976" s="1" t="n">
        <v>45740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26218-2023</t>
        </is>
      </c>
      <c r="B977" s="1" t="n">
        <v>45091</v>
      </c>
      <c r="C977" s="1" t="n">
        <v>45740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26355-2023</t>
        </is>
      </c>
      <c r="B978" s="1" t="n">
        <v>45092</v>
      </c>
      <c r="C978" s="1" t="n">
        <v>45740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26358-2023</t>
        </is>
      </c>
      <c r="B979" s="1" t="n">
        <v>45091</v>
      </c>
      <c r="C979" s="1" t="n">
        <v>45740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26354-2023</t>
        </is>
      </c>
      <c r="B980" s="1" t="n">
        <v>45092</v>
      </c>
      <c r="C980" s="1" t="n">
        <v>45740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26357-2023</t>
        </is>
      </c>
      <c r="B981" s="1" t="n">
        <v>45091</v>
      </c>
      <c r="C981" s="1" t="n">
        <v>45740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26356-2023</t>
        </is>
      </c>
      <c r="B982" s="1" t="n">
        <v>45091</v>
      </c>
      <c r="C982" s="1" t="n">
        <v>45740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26420-2023</t>
        </is>
      </c>
      <c r="B983" s="1" t="n">
        <v>45092</v>
      </c>
      <c r="C983" s="1" t="n">
        <v>45740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26848-2023</t>
        </is>
      </c>
      <c r="B984" s="1" t="n">
        <v>45093</v>
      </c>
      <c r="C984" s="1" t="n">
        <v>45740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26856-2023</t>
        </is>
      </c>
      <c r="B985" s="1" t="n">
        <v>45093</v>
      </c>
      <c r="C985" s="1" t="n">
        <v>45740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26864-2023</t>
        </is>
      </c>
      <c r="B986" s="1" t="n">
        <v>45093</v>
      </c>
      <c r="C986" s="1" t="n">
        <v>45740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26868-2023</t>
        </is>
      </c>
      <c r="B987" s="1" t="n">
        <v>45093</v>
      </c>
      <c r="C987" s="1" t="n">
        <v>45740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26999-2023</t>
        </is>
      </c>
      <c r="B988" s="1" t="n">
        <v>45093</v>
      </c>
      <c r="C988" s="1" t="n">
        <v>45740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27043-2023</t>
        </is>
      </c>
      <c r="B989" s="1" t="n">
        <v>45095</v>
      </c>
      <c r="C989" s="1" t="n">
        <v>45740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27185-2023</t>
        </is>
      </c>
      <c r="B990" s="1" t="n">
        <v>45096</v>
      </c>
      <c r="C990" s="1" t="n">
        <v>45740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27609-2023</t>
        </is>
      </c>
      <c r="B991" s="1" t="n">
        <v>45097</v>
      </c>
      <c r="C991" s="1" t="n">
        <v>45740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27595-2023</t>
        </is>
      </c>
      <c r="B992" s="1" t="n">
        <v>45097</v>
      </c>
      <c r="C992" s="1" t="n">
        <v>45740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27800-2023</t>
        </is>
      </c>
      <c r="B993" s="1" t="n">
        <v>45098</v>
      </c>
      <c r="C993" s="1" t="n">
        <v>45740</v>
      </c>
      <c r="D993" t="inlineStr">
        <is>
          <t>VÄSTERBOTTENS LÄN</t>
        </is>
      </c>
      <c r="E993" t="inlineStr">
        <is>
          <t>LYCKSELE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27878-2023</t>
        </is>
      </c>
      <c r="B994" s="1" t="n">
        <v>45098</v>
      </c>
      <c r="C994" s="1" t="n">
        <v>45740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19.3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27869-2023</t>
        </is>
      </c>
      <c r="B995" s="1" t="n">
        <v>45098</v>
      </c>
      <c r="C995" s="1" t="n">
        <v>45740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27881-2023</t>
        </is>
      </c>
      <c r="B996" s="1" t="n">
        <v>45098</v>
      </c>
      <c r="C996" s="1" t="n">
        <v>45740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27884-2023</t>
        </is>
      </c>
      <c r="B997" s="1" t="n">
        <v>45098</v>
      </c>
      <c r="C997" s="1" t="n">
        <v>45740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27964-2023</t>
        </is>
      </c>
      <c r="B998" s="1" t="n">
        <v>45098</v>
      </c>
      <c r="C998" s="1" t="n">
        <v>45740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28408-2023</t>
        </is>
      </c>
      <c r="B999" s="1" t="n">
        <v>45101</v>
      </c>
      <c r="C999" s="1" t="n">
        <v>45740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45740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28540-2023</t>
        </is>
      </c>
      <c r="B1001" s="1" t="n">
        <v>45103</v>
      </c>
      <c r="C1001" s="1" t="n">
        <v>45740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28552-2023</t>
        </is>
      </c>
      <c r="B1002" s="1" t="n">
        <v>45103</v>
      </c>
      <c r="C1002" s="1" t="n">
        <v>45740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28528-2023</t>
        </is>
      </c>
      <c r="B1003" s="1" t="n">
        <v>45103</v>
      </c>
      <c r="C1003" s="1" t="n">
        <v>45740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28536-2023</t>
        </is>
      </c>
      <c r="B1004" s="1" t="n">
        <v>45103</v>
      </c>
      <c r="C1004" s="1" t="n">
        <v>45740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</v>
      </c>
      <c r="C1005" s="1" t="n">
        <v>45740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28737-2023</t>
        </is>
      </c>
      <c r="B1006" s="1" t="n">
        <v>45104</v>
      </c>
      <c r="C1006" s="1" t="n">
        <v>45740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30401-2023</t>
        </is>
      </c>
      <c r="B1007" s="1" t="n">
        <v>45103</v>
      </c>
      <c r="C1007" s="1" t="n">
        <v>45740</v>
      </c>
      <c r="D1007" t="inlineStr">
        <is>
          <t>VÄSTERBOTTENS LÄN</t>
        </is>
      </c>
      <c r="E1007" t="inlineStr">
        <is>
          <t>LYCKSELE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28525-2023</t>
        </is>
      </c>
      <c r="B1008" s="1" t="n">
        <v>45103</v>
      </c>
      <c r="C1008" s="1" t="n">
        <v>45740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28537-2023</t>
        </is>
      </c>
      <c r="B1009" s="1" t="n">
        <v>45103</v>
      </c>
      <c r="C1009" s="1" t="n">
        <v>45740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28550-2023</t>
        </is>
      </c>
      <c r="B1010" s="1" t="n">
        <v>45103</v>
      </c>
      <c r="C1010" s="1" t="n">
        <v>45740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30409-2023</t>
        </is>
      </c>
      <c r="B1011" s="1" t="n">
        <v>45103</v>
      </c>
      <c r="C1011" s="1" t="n">
        <v>45740</v>
      </c>
      <c r="D1011" t="inlineStr">
        <is>
          <t>VÄSTERBOTTENS LÄN</t>
        </is>
      </c>
      <c r="E1011" t="inlineStr">
        <is>
          <t>LYCKSELE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31425-2023</t>
        </is>
      </c>
      <c r="B1012" s="1" t="n">
        <v>45104</v>
      </c>
      <c r="C1012" s="1" t="n">
        <v>45740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29277-2023</t>
        </is>
      </c>
      <c r="B1013" s="1" t="n">
        <v>45105</v>
      </c>
      <c r="C1013" s="1" t="n">
        <v>45740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Naturvårdsverket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29522-2023</t>
        </is>
      </c>
      <c r="B1014" s="1" t="n">
        <v>45106</v>
      </c>
      <c r="C1014" s="1" t="n">
        <v>45740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29526-2023</t>
        </is>
      </c>
      <c r="B1015" s="1" t="n">
        <v>45106</v>
      </c>
      <c r="C1015" s="1" t="n">
        <v>45740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29530-2023</t>
        </is>
      </c>
      <c r="B1016" s="1" t="n">
        <v>45106</v>
      </c>
      <c r="C1016" s="1" t="n">
        <v>45740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29543-2023</t>
        </is>
      </c>
      <c r="B1017" s="1" t="n">
        <v>45106</v>
      </c>
      <c r="C1017" s="1" t="n">
        <v>45740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29521-2023</t>
        </is>
      </c>
      <c r="B1018" s="1" t="n">
        <v>45106</v>
      </c>
      <c r="C1018" s="1" t="n">
        <v>45740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29516-2023</t>
        </is>
      </c>
      <c r="B1019" s="1" t="n">
        <v>45106</v>
      </c>
      <c r="C1019" s="1" t="n">
        <v>45740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29524-2023</t>
        </is>
      </c>
      <c r="B1020" s="1" t="n">
        <v>45106</v>
      </c>
      <c r="C1020" s="1" t="n">
        <v>45740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29546-2023</t>
        </is>
      </c>
      <c r="B1021" s="1" t="n">
        <v>45106</v>
      </c>
      <c r="C1021" s="1" t="n">
        <v>45740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29523-2023</t>
        </is>
      </c>
      <c r="B1022" s="1" t="n">
        <v>45106</v>
      </c>
      <c r="C1022" s="1" t="n">
        <v>45740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29538-2023</t>
        </is>
      </c>
      <c r="B1023" s="1" t="n">
        <v>45106</v>
      </c>
      <c r="C1023" s="1" t="n">
        <v>45740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29675-2023</t>
        </is>
      </c>
      <c r="B1024" s="1" t="n">
        <v>45107</v>
      </c>
      <c r="C1024" s="1" t="n">
        <v>45740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29861-2023</t>
        </is>
      </c>
      <c r="B1025" s="1" t="n">
        <v>45107</v>
      </c>
      <c r="C1025" s="1" t="n">
        <v>45740</v>
      </c>
      <c r="D1025" t="inlineStr">
        <is>
          <t>VÄSTERBOTTENS LÄN</t>
        </is>
      </c>
      <c r="E1025" t="inlineStr">
        <is>
          <t>LYCKSELE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29835-2023</t>
        </is>
      </c>
      <c r="B1026" s="1" t="n">
        <v>45107</v>
      </c>
      <c r="C1026" s="1" t="n">
        <v>45740</v>
      </c>
      <c r="D1026" t="inlineStr">
        <is>
          <t>VÄSTERBOTTENS LÄN</t>
        </is>
      </c>
      <c r="E1026" t="inlineStr">
        <is>
          <t>LYCKSELE</t>
        </is>
      </c>
      <c r="G1026" t="n">
        <v>17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29844-2023</t>
        </is>
      </c>
      <c r="B1027" s="1" t="n">
        <v>45107</v>
      </c>
      <c r="C1027" s="1" t="n">
        <v>45740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30271-2023</t>
        </is>
      </c>
      <c r="B1028" s="1" t="n">
        <v>45110</v>
      </c>
      <c r="C1028" s="1" t="n">
        <v>45740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30270-2023</t>
        </is>
      </c>
      <c r="B1029" s="1" t="n">
        <v>45110</v>
      </c>
      <c r="C1029" s="1" t="n">
        <v>45740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30804-2023</t>
        </is>
      </c>
      <c r="B1030" s="1" t="n">
        <v>45112</v>
      </c>
      <c r="C1030" s="1" t="n">
        <v>45740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30803-2023</t>
        </is>
      </c>
      <c r="B1031" s="1" t="n">
        <v>45112</v>
      </c>
      <c r="C1031" s="1" t="n">
        <v>45740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30805-2023</t>
        </is>
      </c>
      <c r="B1032" s="1" t="n">
        <v>45112</v>
      </c>
      <c r="C1032" s="1" t="n">
        <v>45740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33019-2023</t>
        </is>
      </c>
      <c r="B1033" s="1" t="n">
        <v>45113</v>
      </c>
      <c r="C1033" s="1" t="n">
        <v>45740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31410-2023</t>
        </is>
      </c>
      <c r="B1034" s="1" t="n">
        <v>45114</v>
      </c>
      <c r="C1034" s="1" t="n">
        <v>45740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31413-2023</t>
        </is>
      </c>
      <c r="B1035" s="1" t="n">
        <v>45114</v>
      </c>
      <c r="C1035" s="1" t="n">
        <v>45740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31412-2023</t>
        </is>
      </c>
      <c r="B1036" s="1" t="n">
        <v>45114</v>
      </c>
      <c r="C1036" s="1" t="n">
        <v>45740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31448-2023</t>
        </is>
      </c>
      <c r="B1037" s="1" t="n">
        <v>45114</v>
      </c>
      <c r="C1037" s="1" t="n">
        <v>45740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31683-2023</t>
        </is>
      </c>
      <c r="B1038" s="1" t="n">
        <v>45117</v>
      </c>
      <c r="C1038" s="1" t="n">
        <v>45740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31689-2023</t>
        </is>
      </c>
      <c r="B1039" s="1" t="n">
        <v>45117</v>
      </c>
      <c r="C1039" s="1" t="n">
        <v>45740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31698-2023</t>
        </is>
      </c>
      <c r="B1040" s="1" t="n">
        <v>45117</v>
      </c>
      <c r="C1040" s="1" t="n">
        <v>45740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31840-2023</t>
        </is>
      </c>
      <c r="B1041" s="1" t="n">
        <v>45118</v>
      </c>
      <c r="C1041" s="1" t="n">
        <v>45740</v>
      </c>
      <c r="D1041" t="inlineStr">
        <is>
          <t>VÄSTERBOTTENS LÄN</t>
        </is>
      </c>
      <c r="E1041" t="inlineStr">
        <is>
          <t>LYCKSELE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32861-2023</t>
        </is>
      </c>
      <c r="B1042" s="1" t="n">
        <v>45124</v>
      </c>
      <c r="C1042" s="1" t="n">
        <v>45740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32863-2023</t>
        </is>
      </c>
      <c r="B1043" s="1" t="n">
        <v>45124</v>
      </c>
      <c r="C1043" s="1" t="n">
        <v>45740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32802-2023</t>
        </is>
      </c>
      <c r="B1044" s="1" t="n">
        <v>45124</v>
      </c>
      <c r="C1044" s="1" t="n">
        <v>45740</v>
      </c>
      <c r="D1044" t="inlineStr">
        <is>
          <t>VÄSTERBOTTENS LÄN</t>
        </is>
      </c>
      <c r="E1044" t="inlineStr">
        <is>
          <t>LYCKSELE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33156-2023</t>
        </is>
      </c>
      <c r="B1045" s="1" t="n">
        <v>45126</v>
      </c>
      <c r="C1045" s="1" t="n">
        <v>45740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33160-2023</t>
        </is>
      </c>
      <c r="B1046" s="1" t="n">
        <v>45126</v>
      </c>
      <c r="C1046" s="1" t="n">
        <v>45740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33153-2023</t>
        </is>
      </c>
      <c r="B1047" s="1" t="n">
        <v>45126</v>
      </c>
      <c r="C1047" s="1" t="n">
        <v>45740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33157-2023</t>
        </is>
      </c>
      <c r="B1048" s="1" t="n">
        <v>45126</v>
      </c>
      <c r="C1048" s="1" t="n">
        <v>45740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33155-2023</t>
        </is>
      </c>
      <c r="B1049" s="1" t="n">
        <v>45126</v>
      </c>
      <c r="C1049" s="1" t="n">
        <v>45740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33159-2023</t>
        </is>
      </c>
      <c r="B1050" s="1" t="n">
        <v>45126</v>
      </c>
      <c r="C1050" s="1" t="n">
        <v>45740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34214-2023</t>
        </is>
      </c>
      <c r="B1051" s="1" t="n">
        <v>45126</v>
      </c>
      <c r="C1051" s="1" t="n">
        <v>45740</v>
      </c>
      <c r="D1051" t="inlineStr">
        <is>
          <t>VÄSTERBOTTENS LÄN</t>
        </is>
      </c>
      <c r="E1051" t="inlineStr">
        <is>
          <t>LYCKSELE</t>
        </is>
      </c>
      <c r="G1051" t="n">
        <v>23.6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33332-2023</t>
        </is>
      </c>
      <c r="B1052" s="1" t="n">
        <v>45127</v>
      </c>
      <c r="C1052" s="1" t="n">
        <v>45740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33331-2023</t>
        </is>
      </c>
      <c r="B1053" s="1" t="n">
        <v>45127</v>
      </c>
      <c r="C1053" s="1" t="n">
        <v>45740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33400-2023</t>
        </is>
      </c>
      <c r="B1054" s="1" t="n">
        <v>45128</v>
      </c>
      <c r="C1054" s="1" t="n">
        <v>45740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34060-2023</t>
        </is>
      </c>
      <c r="B1055" s="1" t="n">
        <v>45135</v>
      </c>
      <c r="C1055" s="1" t="n">
        <v>45740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34066-2023</t>
        </is>
      </c>
      <c r="B1056" s="1" t="n">
        <v>45135</v>
      </c>
      <c r="C1056" s="1" t="n">
        <v>45740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34043-2023</t>
        </is>
      </c>
      <c r="B1057" s="1" t="n">
        <v>45135</v>
      </c>
      <c r="C1057" s="1" t="n">
        <v>45740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34191-2023</t>
        </is>
      </c>
      <c r="B1058" s="1" t="n">
        <v>45138</v>
      </c>
      <c r="C1058" s="1" t="n">
        <v>45740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34590-2023</t>
        </is>
      </c>
      <c r="B1059" s="1" t="n">
        <v>45140</v>
      </c>
      <c r="C1059" s="1" t="n">
        <v>45740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45740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34577-2023</t>
        </is>
      </c>
      <c r="B1061" s="1" t="n">
        <v>45140</v>
      </c>
      <c r="C1061" s="1" t="n">
        <v>45740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34584-2023</t>
        </is>
      </c>
      <c r="B1062" s="1" t="n">
        <v>45140</v>
      </c>
      <c r="C1062" s="1" t="n">
        <v>45740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34639-2023</t>
        </is>
      </c>
      <c r="B1063" s="1" t="n">
        <v>45140</v>
      </c>
      <c r="C1063" s="1" t="n">
        <v>45740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34527-2023</t>
        </is>
      </c>
      <c r="B1064" s="1" t="n">
        <v>45140</v>
      </c>
      <c r="C1064" s="1" t="n">
        <v>45740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34701-2023</t>
        </is>
      </c>
      <c r="B1065" s="1" t="n">
        <v>45141</v>
      </c>
      <c r="C1065" s="1" t="n">
        <v>45740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45142</v>
      </c>
      <c r="C1066" s="1" t="n">
        <v>45740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34903-2023</t>
        </is>
      </c>
      <c r="B1067" s="1" t="n">
        <v>45142</v>
      </c>
      <c r="C1067" s="1" t="n">
        <v>45740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34929-2023</t>
        </is>
      </c>
      <c r="B1068" s="1" t="n">
        <v>45142</v>
      </c>
      <c r="C1068" s="1" t="n">
        <v>45740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34933-2023</t>
        </is>
      </c>
      <c r="B1069" s="1" t="n">
        <v>45142</v>
      </c>
      <c r="C1069" s="1" t="n">
        <v>45740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35227-2023</t>
        </is>
      </c>
      <c r="B1070" s="1" t="n">
        <v>45145</v>
      </c>
      <c r="C1070" s="1" t="n">
        <v>45740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35284-2023</t>
        </is>
      </c>
      <c r="B1071" s="1" t="n">
        <v>45145</v>
      </c>
      <c r="C1071" s="1" t="n">
        <v>45740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35283-2023</t>
        </is>
      </c>
      <c r="B1072" s="1" t="n">
        <v>45145</v>
      </c>
      <c r="C1072" s="1" t="n">
        <v>45740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35285-2023</t>
        </is>
      </c>
      <c r="B1073" s="1" t="n">
        <v>45145</v>
      </c>
      <c r="C1073" s="1" t="n">
        <v>45740</v>
      </c>
      <c r="D1073" t="inlineStr">
        <is>
          <t>VÄSTERBOTTENS LÄN</t>
        </is>
      </c>
      <c r="E1073" t="inlineStr">
        <is>
          <t>LYCKSELE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35633-2023</t>
        </is>
      </c>
      <c r="B1074" s="1" t="n">
        <v>45146</v>
      </c>
      <c r="C1074" s="1" t="n">
        <v>45740</v>
      </c>
      <c r="D1074" t="inlineStr">
        <is>
          <t>VÄSTERBOTTENS LÄN</t>
        </is>
      </c>
      <c r="E1074" t="inlineStr">
        <is>
          <t>LYCKSELE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35559-2023</t>
        </is>
      </c>
      <c r="B1075" s="1" t="n">
        <v>45147</v>
      </c>
      <c r="C1075" s="1" t="n">
        <v>45740</v>
      </c>
      <c r="D1075" t="inlineStr">
        <is>
          <t>VÄSTERBOTTENS LÄN</t>
        </is>
      </c>
      <c r="E1075" t="inlineStr">
        <is>
          <t>LYCKSELE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35561-2023</t>
        </is>
      </c>
      <c r="B1076" s="1" t="n">
        <v>45147</v>
      </c>
      <c r="C1076" s="1" t="n">
        <v>45740</v>
      </c>
      <c r="D1076" t="inlineStr">
        <is>
          <t>VÄSTERBOTTENS LÄN</t>
        </is>
      </c>
      <c r="E1076" t="inlineStr">
        <is>
          <t>LYCKSELE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35765-2023</t>
        </is>
      </c>
      <c r="B1077" s="1" t="n">
        <v>45148</v>
      </c>
      <c r="C1077" s="1" t="n">
        <v>45740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36132-2023</t>
        </is>
      </c>
      <c r="B1078" s="1" t="n">
        <v>45149</v>
      </c>
      <c r="C1078" s="1" t="n">
        <v>45740</v>
      </c>
      <c r="D1078" t="inlineStr">
        <is>
          <t>VÄSTERBOTTENS LÄN</t>
        </is>
      </c>
      <c r="E1078" t="inlineStr">
        <is>
          <t>LYCKSELE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36146-2023</t>
        </is>
      </c>
      <c r="B1079" s="1" t="n">
        <v>45149</v>
      </c>
      <c r="C1079" s="1" t="n">
        <v>45740</v>
      </c>
      <c r="D1079" t="inlineStr">
        <is>
          <t>VÄSTERBOTTENS LÄN</t>
        </is>
      </c>
      <c r="E1079" t="inlineStr">
        <is>
          <t>LYCKSELE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36267-2023</t>
        </is>
      </c>
      <c r="B1080" s="1" t="n">
        <v>45152</v>
      </c>
      <c r="C1080" s="1" t="n">
        <v>45740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36375-2023</t>
        </is>
      </c>
      <c r="B1081" s="1" t="n">
        <v>45152</v>
      </c>
      <c r="C1081" s="1" t="n">
        <v>45740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36335-2023</t>
        </is>
      </c>
      <c r="B1082" s="1" t="n">
        <v>45152</v>
      </c>
      <c r="C1082" s="1" t="n">
        <v>45740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36611-2023</t>
        </is>
      </c>
      <c r="B1083" s="1" t="n">
        <v>45152</v>
      </c>
      <c r="C1083" s="1" t="n">
        <v>45740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36636-2023</t>
        </is>
      </c>
      <c r="B1084" s="1" t="n">
        <v>45152</v>
      </c>
      <c r="C1084" s="1" t="n">
        <v>45740</v>
      </c>
      <c r="D1084" t="inlineStr">
        <is>
          <t>VÄSTERBOTTENS LÄN</t>
        </is>
      </c>
      <c r="E1084" t="inlineStr">
        <is>
          <t>LYCKSELE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36650-2023</t>
        </is>
      </c>
      <c r="B1085" s="1" t="n">
        <v>45152</v>
      </c>
      <c r="C1085" s="1" t="n">
        <v>45740</v>
      </c>
      <c r="D1085" t="inlineStr">
        <is>
          <t>VÄSTERBOTTENS LÄN</t>
        </is>
      </c>
      <c r="E1085" t="inlineStr">
        <is>
          <t>LYCKSELE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45740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45740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45740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45740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45740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45740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45740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45740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45740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45740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45740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45740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45740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45740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45740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45740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45740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45740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45740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45740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45740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45740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45740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45740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45740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45740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45740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45740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45740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45740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45740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45740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45740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45740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45740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45740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45740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45740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45740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45740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45740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45740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45740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45740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45740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45740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45740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45740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45740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45740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45740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45740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45740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45740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45740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45740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45740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45740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45740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45740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45740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45740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45740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45740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45740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45740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45740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45740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45740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45740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45740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45740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45740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45740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45740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45740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45740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45740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45740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45740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45740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45740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45740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45740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45740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45740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45740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45740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45740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45740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45740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45740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45740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45740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45740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45740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45740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45740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45740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45740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45740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45740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45740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45740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45740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45740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45740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45740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45740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45740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45740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45740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45740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45740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45740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45740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45740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45740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45740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45740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45740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45740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45740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45740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45740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45740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45740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45740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45740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45740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45740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45740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45740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45740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45740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45740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45740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45740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45740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45740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45740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45740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45740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45740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45740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45740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45740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45740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45740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45740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45740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45740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45740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45740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45740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45740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45740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45740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45740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45740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45740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45740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45740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45740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45740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45740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45740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45740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45740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45740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45740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45740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45740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45740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45740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45740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45740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45740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45740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45740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45740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45740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45740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45740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45740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45740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45740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45740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45740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45740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45740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45740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45740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45740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45740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45740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45740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45740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45740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45740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45740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45740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45740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45740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45740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45740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45740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45740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45740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45740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45740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45740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45740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45740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45740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45740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45740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45740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45740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45740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45740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45740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45740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45740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45740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45740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45740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45740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45740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45740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45740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45740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45740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45740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45740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45740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45740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45740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45740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45740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45740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45740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45740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45740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45740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45740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45740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45740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45740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45740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45740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45740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45740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45740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45740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45740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45740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45740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45740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45740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45740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45740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45740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45740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45740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45740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45740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45740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45740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45740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45740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45740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45740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45740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45740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45740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45740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45740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45740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45740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45740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45740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45740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45740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45740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45740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45740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45740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45740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45740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45740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45740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45740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45740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45740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45740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45740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45740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45740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45740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45740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45740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45740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45740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45740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45740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45740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45740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45740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45740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45740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45740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45740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45740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45740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45740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45740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45740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45740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45740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45740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45740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45740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45740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45740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45740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45740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45740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45740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45740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45740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45740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45740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45740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45740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45740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45740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45740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45740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45740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45740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45740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45740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45740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45740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45740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45740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45740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45740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45740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45740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45740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45740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45740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45740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45740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45740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45740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45740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45740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45740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45740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45740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45740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45740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45740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45740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45740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45740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45740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45740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45740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45740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45740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45740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45740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45740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45740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45740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45740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45740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45740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45740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45740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45740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45740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45740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45740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45740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45740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45740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45740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45740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45740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45740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45740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45740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45740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45740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45740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45740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45740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45740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45740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45740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45740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45740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45740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45740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45740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45740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45740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45740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45740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45740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45740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45740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45740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45740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45740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45740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45740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45740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45740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45740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45740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45740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45740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45740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45740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45740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45740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45740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45740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45740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45740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45740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45740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45740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45740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45740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45740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45740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45740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45740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45740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45740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45740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45740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45740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45740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45740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45740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45740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45740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45740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45740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45740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45740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45740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45740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45740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45740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45740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45740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45740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45740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45740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45740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45740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45740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45740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45740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45740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45740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45740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45740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45740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45740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45740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45740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45740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45740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45740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45740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45740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45740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45740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45740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45740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45740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45740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45740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45740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45740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45740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45740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45740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45740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45740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45740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45740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45740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45740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45740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45740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45740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45740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45740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45740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45740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45740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45740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45740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45740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45740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45740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45740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45740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45740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45740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45740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45740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45740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45740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45740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45740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45740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45740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45740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45740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45740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45740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45740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45740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45740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45740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45740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45740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45740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45740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45740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45740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45740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45740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45740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45740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45740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45740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45740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45740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45740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45740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45740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45740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45740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45740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45740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45740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45740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45740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45740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45740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45740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45740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45740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45740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45740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45740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45740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45740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45740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45740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45740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45740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45740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45740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45740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45740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45740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45740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45740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45740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45740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45740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45740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45740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45740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45740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45740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45740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45740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45740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45740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45740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45740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45740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45740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45740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45740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45740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45740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45740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45740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45740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45740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45740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45740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45740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45740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45740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45740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45740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45740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45740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45740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45740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45740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45740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45740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45740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45740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45740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45740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45740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45740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45740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45740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45740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45740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45740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45740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45740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45740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45740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45740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45740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45740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45740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45740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45740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45740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45740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45740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45740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45740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45740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45740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45740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45740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45740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45740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45740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45740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45740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45740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45740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45740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45740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45740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45740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45740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45740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45740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45740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45740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45740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45740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45740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45740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45740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45740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45740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45740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45740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45740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45740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45740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45740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45740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45740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45740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45740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45740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45740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45740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45740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45740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45740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45740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45740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45740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45740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45740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45740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45740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45740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45740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45740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45740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45740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45740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45740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45740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45740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45740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45740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45740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45740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45740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45740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45740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45740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45740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45740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45740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45740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45740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45740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45740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45740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45740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45740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45740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45740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45740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45740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45740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45740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45740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45740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45740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45740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45740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45740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45740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45740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45740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45740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45740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45740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45740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45740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45740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45740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45740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45740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45740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45740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45740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45740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45740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45740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45740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45740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45740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45740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45740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45740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45740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45740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45740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45740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45740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45740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45740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45740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45740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45740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8941-2025</t>
        </is>
      </c>
      <c r="B1855" s="1" t="n">
        <v>45713</v>
      </c>
      <c r="C1855" s="1" t="n">
        <v>45740</v>
      </c>
      <c r="D1855" t="inlineStr">
        <is>
          <t>VÄSTERBOTTENS LÄN</t>
        </is>
      </c>
      <c r="E1855" t="inlineStr">
        <is>
          <t>LYCKSELE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8915-2025</t>
        </is>
      </c>
      <c r="B1856" s="1" t="n">
        <v>45713</v>
      </c>
      <c r="C1856" s="1" t="n">
        <v>45740</v>
      </c>
      <c r="D1856" t="inlineStr">
        <is>
          <t>VÄSTERBOTTENS LÄN</t>
        </is>
      </c>
      <c r="E1856" t="inlineStr">
        <is>
          <t>LYCKSELE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9020-2025</t>
        </is>
      </c>
      <c r="B1857" s="1" t="n">
        <v>45713</v>
      </c>
      <c r="C1857" s="1" t="n">
        <v>45740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7.5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8957-2025</t>
        </is>
      </c>
      <c r="B1858" s="1" t="n">
        <v>45713</v>
      </c>
      <c r="C1858" s="1" t="n">
        <v>45740</v>
      </c>
      <c r="D1858" t="inlineStr">
        <is>
          <t>VÄSTERBOTTENS LÄN</t>
        </is>
      </c>
      <c r="E1858" t="inlineStr">
        <is>
          <t>LYCKSELE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8992-2025</t>
        </is>
      </c>
      <c r="B1859" s="1" t="n">
        <v>45713</v>
      </c>
      <c r="C1859" s="1" t="n">
        <v>45740</v>
      </c>
      <c r="D1859" t="inlineStr">
        <is>
          <t>VÄSTERBOTTENS LÄN</t>
        </is>
      </c>
      <c r="E1859" t="inlineStr">
        <is>
          <t>LYCKSELE</t>
        </is>
      </c>
      <c r="G1859" t="n">
        <v>32.3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9019-2025</t>
        </is>
      </c>
      <c r="B1860" s="1" t="n">
        <v>45713</v>
      </c>
      <c r="C1860" s="1" t="n">
        <v>45740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17.4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45740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45740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9550-2025</t>
        </is>
      </c>
      <c r="B1863" s="1" t="n">
        <v>45715</v>
      </c>
      <c r="C1863" s="1" t="n">
        <v>45740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20.6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9590-2025</t>
        </is>
      </c>
      <c r="B1864" s="1" t="n">
        <v>45715</v>
      </c>
      <c r="C1864" s="1" t="n">
        <v>45740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9551-2025</t>
        </is>
      </c>
      <c r="B1865" s="1" t="n">
        <v>45715</v>
      </c>
      <c r="C1865" s="1" t="n">
        <v>45740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45740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45740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45740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45740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45740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45740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45740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45740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45740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45740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45740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45740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13202-2025</t>
        </is>
      </c>
      <c r="B1878" s="1" t="n">
        <v>45735</v>
      </c>
      <c r="C1878" s="1" t="n">
        <v>45740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13216-2025</t>
        </is>
      </c>
      <c r="B1879" s="1" t="n">
        <v>45735</v>
      </c>
      <c r="C1879" s="1" t="n">
        <v>45740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13883-2025</t>
        </is>
      </c>
      <c r="B1880" s="1" t="n">
        <v>45737</v>
      </c>
      <c r="C1880" s="1" t="n">
        <v>45740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2025-03-24T18:06:36Z</dcterms:created>
  <dcterms:modified xmlns:dcterms="http://purl.org/dc/terms/" xmlns:xsi="http://www.w3.org/2001/XMLSchema-instance" xsi:type="dcterms:W3CDTF">2025-03-24T18:06:38Z</dcterms:modified>
</cp:coreProperties>
</file>