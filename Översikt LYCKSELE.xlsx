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13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14717-2020</t>
        </is>
      </c>
      <c r="B2" s="1" t="n">
        <v>43903</v>
      </c>
      <c r="C2" s="1" t="n">
        <v>45849</v>
      </c>
      <c r="D2" t="inlineStr">
        <is>
          <t>VÄSTERBOTTENS LÄN</t>
        </is>
      </c>
      <c r="E2" t="inlineStr">
        <is>
          <t>LYCKSELE</t>
        </is>
      </c>
      <c r="G2" t="n">
        <v>26.2</v>
      </c>
      <c r="H2" t="n">
        <v>21</v>
      </c>
      <c r="I2" t="n">
        <v>0</v>
      </c>
      <c r="J2" t="n">
        <v>14</v>
      </c>
      <c r="K2" t="n">
        <v>1</v>
      </c>
      <c r="L2" t="n">
        <v>2</v>
      </c>
      <c r="M2" t="n">
        <v>0</v>
      </c>
      <c r="N2" t="n">
        <v>0</v>
      </c>
      <c r="O2" t="n">
        <v>17</v>
      </c>
      <c r="P2" t="n">
        <v>3</v>
      </c>
      <c r="Q2" t="n">
        <v>22</v>
      </c>
      <c r="R2" s="2" t="inlineStr">
        <is>
          <t>Grönfink
Tornseglare
Lappsparv
Björktrast
Busksångare
Drillsnäppa
Duvhök
Fiskmås
Högnordisk höfjäril
Mindre hackspett
Rödvingetrast
Spillkråka
Stenfalk
Svartvit flugsnappare
Sävsparv
Talltita
Ärtsångare
Grönsiska
Kungsfågel
Sångsvan
Huggorm
Skogsödla</t>
        </is>
      </c>
      <c r="S2">
        <f>HYPERLINK("https://klasma.github.io/Logging_2481/artfynd/A 14717-2020 artfynd.xlsx", "A 14717-2020")</f>
        <v/>
      </c>
      <c r="T2">
        <f>HYPERLINK("https://klasma.github.io/Logging_2481/kartor/A 14717-2020 karta.png", "A 14717-2020")</f>
        <v/>
      </c>
      <c r="V2">
        <f>HYPERLINK("https://klasma.github.io/Logging_2481/klagomål/A 14717-2020 FSC-klagomål.docx", "A 14717-2020")</f>
        <v/>
      </c>
      <c r="W2">
        <f>HYPERLINK("https://klasma.github.io/Logging_2481/klagomålsmail/A 14717-2020 FSC-klagomål mail.docx", "A 14717-2020")</f>
        <v/>
      </c>
      <c r="X2">
        <f>HYPERLINK("https://klasma.github.io/Logging_2481/tillsyn/A 14717-2020 tillsynsbegäran.docx", "A 14717-2020")</f>
        <v/>
      </c>
      <c r="Y2">
        <f>HYPERLINK("https://klasma.github.io/Logging_2481/tillsynsmail/A 14717-2020 tillsynsbegäran mail.docx", "A 14717-2020")</f>
        <v/>
      </c>
      <c r="Z2">
        <f>HYPERLINK("https://klasma.github.io/Logging_2481/fåglar/A 14717-2020 prioriterade fågelarter.docx", "A 14717-2020")</f>
        <v/>
      </c>
    </row>
    <row r="3" ht="15" customHeight="1">
      <c r="A3" t="inlineStr">
        <is>
          <t>A 59295-2023</t>
        </is>
      </c>
      <c r="B3" s="1" t="n">
        <v>45253</v>
      </c>
      <c r="C3" s="1" t="n">
        <v>45849</v>
      </c>
      <c r="D3" t="inlineStr">
        <is>
          <t>VÄSTERBOTTENS LÄN</t>
        </is>
      </c>
      <c r="E3" t="inlineStr">
        <is>
          <t>LYCKSELE</t>
        </is>
      </c>
      <c r="G3" t="n">
        <v>17</v>
      </c>
      <c r="H3" t="n">
        <v>4</v>
      </c>
      <c r="I3" t="n">
        <v>3</v>
      </c>
      <c r="J3" t="n">
        <v>15</v>
      </c>
      <c r="K3" t="n">
        <v>3</v>
      </c>
      <c r="L3" t="n">
        <v>0</v>
      </c>
      <c r="M3" t="n">
        <v>0</v>
      </c>
      <c r="N3" t="n">
        <v>0</v>
      </c>
      <c r="O3" t="n">
        <v>18</v>
      </c>
      <c r="P3" t="n">
        <v>3</v>
      </c>
      <c r="Q3" t="n">
        <v>22</v>
      </c>
      <c r="R3" s="2" t="inlineStr">
        <is>
          <t>Goliatmusseron
Smalfotad taggsvamp
Tajgataggsvamp
Blå taggsvamp
Dvärgbägarlav
Lunglav
Orange taggsvamp
Skrovellav
Skrovlig taggsvamp
Stjärntagging
Svart taggsvamp
Tallriska
Talltaggsvamp
Talltita
Tretåig hackspett
Vedflamlav
Videsparv
Vitgrynig nållav
Dropptaggsvamp
Luddlav
Vedticka
Skogsödla</t>
        </is>
      </c>
      <c r="S3">
        <f>HYPERLINK("https://klasma.github.io/Logging_2481/artfynd/A 59295-2023 artfynd.xlsx", "A 59295-2023")</f>
        <v/>
      </c>
      <c r="T3">
        <f>HYPERLINK("https://klasma.github.io/Logging_2481/kartor/A 59295-2023 karta.png", "A 59295-2023")</f>
        <v/>
      </c>
      <c r="V3">
        <f>HYPERLINK("https://klasma.github.io/Logging_2481/klagomål/A 59295-2023 FSC-klagomål.docx", "A 59295-2023")</f>
        <v/>
      </c>
      <c r="W3">
        <f>HYPERLINK("https://klasma.github.io/Logging_2481/klagomålsmail/A 59295-2023 FSC-klagomål mail.docx", "A 59295-2023")</f>
        <v/>
      </c>
      <c r="X3">
        <f>HYPERLINK("https://klasma.github.io/Logging_2481/tillsyn/A 59295-2023 tillsynsbegäran.docx", "A 59295-2023")</f>
        <v/>
      </c>
      <c r="Y3">
        <f>HYPERLINK("https://klasma.github.io/Logging_2481/tillsynsmail/A 59295-2023 tillsynsbegäran mail.docx", "A 59295-2023")</f>
        <v/>
      </c>
      <c r="Z3">
        <f>HYPERLINK("https://klasma.github.io/Logging_2481/fåglar/A 59295-2023 prioriterade fågelarter.docx", "A 59295-2023")</f>
        <v/>
      </c>
    </row>
    <row r="4" ht="15" customHeight="1">
      <c r="A4" t="inlineStr">
        <is>
          <t>A 30159-2024</t>
        </is>
      </c>
      <c r="B4" s="1" t="n">
        <v>45488</v>
      </c>
      <c r="C4" s="1" t="n">
        <v>45849</v>
      </c>
      <c r="D4" t="inlineStr">
        <is>
          <t>VÄSTERBOTTENS LÄN</t>
        </is>
      </c>
      <c r="E4" t="inlineStr">
        <is>
          <t>LYCKSELE</t>
        </is>
      </c>
      <c r="F4" t="inlineStr">
        <is>
          <t>Sveaskog</t>
        </is>
      </c>
      <c r="G4" t="n">
        <v>14.7</v>
      </c>
      <c r="H4" t="n">
        <v>0</v>
      </c>
      <c r="I4" t="n">
        <v>3</v>
      </c>
      <c r="J4" t="n">
        <v>12</v>
      </c>
      <c r="K4" t="n">
        <v>5</v>
      </c>
      <c r="L4" t="n">
        <v>0</v>
      </c>
      <c r="M4" t="n">
        <v>0</v>
      </c>
      <c r="N4" t="n">
        <v>0</v>
      </c>
      <c r="O4" t="n">
        <v>17</v>
      </c>
      <c r="P4" t="n">
        <v>5</v>
      </c>
      <c r="Q4" t="n">
        <v>20</v>
      </c>
      <c r="R4" s="2" t="inlineStr">
        <is>
          <t>Goliatmusseron
Jättemusseron
Smalfotad taggsvamp
Tallgråticka
Torrmusseron
Blå taggsvamp
Blågrå svartspik
Dvärgbägarlav
Kolflarnlav
Mörk kolflarnlav
Orange taggsvamp
Skrovlig taggsvamp
Svart taggsvamp
Svartvit taggsvamp
Talltaggsvamp
Vaddporing
Vedskivlav
Dropptaggsvamp
Luddlav
Skarp dropptaggsvamp</t>
        </is>
      </c>
      <c r="S4">
        <f>HYPERLINK("https://klasma.github.io/Logging_2481/artfynd/A 30159-2024 artfynd.xlsx", "A 30159-2024")</f>
        <v/>
      </c>
      <c r="T4">
        <f>HYPERLINK("https://klasma.github.io/Logging_2481/kartor/A 30159-2024 karta.png", "A 30159-2024")</f>
        <v/>
      </c>
      <c r="V4">
        <f>HYPERLINK("https://klasma.github.io/Logging_2481/klagomål/A 30159-2024 FSC-klagomål.docx", "A 30159-2024")</f>
        <v/>
      </c>
      <c r="W4">
        <f>HYPERLINK("https://klasma.github.io/Logging_2481/klagomålsmail/A 30159-2024 FSC-klagomål mail.docx", "A 30159-2024")</f>
        <v/>
      </c>
      <c r="X4">
        <f>HYPERLINK("https://klasma.github.io/Logging_2481/tillsyn/A 30159-2024 tillsynsbegäran.docx", "A 30159-2024")</f>
        <v/>
      </c>
      <c r="Y4">
        <f>HYPERLINK("https://klasma.github.io/Logging_2481/tillsynsmail/A 30159-2024 tillsynsbegäran mail.docx", "A 30159-2024")</f>
        <v/>
      </c>
    </row>
    <row r="5" ht="15" customHeight="1">
      <c r="A5" t="inlineStr">
        <is>
          <t>A 37593-2021</t>
        </is>
      </c>
      <c r="B5" s="1" t="n">
        <v>44399</v>
      </c>
      <c r="C5" s="1" t="n">
        <v>45849</v>
      </c>
      <c r="D5" t="inlineStr">
        <is>
          <t>VÄSTERBOTTENS LÄN</t>
        </is>
      </c>
      <c r="E5" t="inlineStr">
        <is>
          <t>LYCKSELE</t>
        </is>
      </c>
      <c r="F5" t="inlineStr">
        <is>
          <t>Holmen skog AB</t>
        </is>
      </c>
      <c r="G5" t="n">
        <v>10.5</v>
      </c>
      <c r="H5" t="n">
        <v>3</v>
      </c>
      <c r="I5" t="n">
        <v>2</v>
      </c>
      <c r="J5" t="n">
        <v>16</v>
      </c>
      <c r="K5" t="n">
        <v>0</v>
      </c>
      <c r="L5" t="n">
        <v>0</v>
      </c>
      <c r="M5" t="n">
        <v>0</v>
      </c>
      <c r="N5" t="n">
        <v>0</v>
      </c>
      <c r="O5" t="n">
        <v>16</v>
      </c>
      <c r="P5" t="n">
        <v>0</v>
      </c>
      <c r="Q5" t="n">
        <v>18</v>
      </c>
      <c r="R5" s="2" t="inlineStr">
        <is>
          <t>Blå taggsvamp
Blågrå svartspik
Dvärgbägarlav
Grantaggsvamp
Järpe
Nordtagging
Orange taggsvamp
Skrovlig taggsvamp
Svart taggsvamp
Svartvit taggsvamp
Tallriska
Talltita
Tretåig hackspett
Vaddporing
Vedflamlav
Vedskivlav
Dropptaggsvamp
Vedticka</t>
        </is>
      </c>
      <c r="S5">
        <f>HYPERLINK("https://klasma.github.io/Logging_2481/artfynd/A 37593-2021 artfynd.xlsx", "A 37593-2021")</f>
        <v/>
      </c>
      <c r="T5">
        <f>HYPERLINK("https://klasma.github.io/Logging_2481/kartor/A 37593-2021 karta.png", "A 37593-2021")</f>
        <v/>
      </c>
      <c r="V5">
        <f>HYPERLINK("https://klasma.github.io/Logging_2481/klagomål/A 37593-2021 FSC-klagomål.docx", "A 37593-2021")</f>
        <v/>
      </c>
      <c r="W5">
        <f>HYPERLINK("https://klasma.github.io/Logging_2481/klagomålsmail/A 37593-2021 FSC-klagomål mail.docx", "A 37593-2021")</f>
        <v/>
      </c>
      <c r="X5">
        <f>HYPERLINK("https://klasma.github.io/Logging_2481/tillsyn/A 37593-2021 tillsynsbegäran.docx", "A 37593-2021")</f>
        <v/>
      </c>
      <c r="Y5">
        <f>HYPERLINK("https://klasma.github.io/Logging_2481/tillsynsmail/A 37593-2021 tillsynsbegäran mail.docx", "A 37593-2021")</f>
        <v/>
      </c>
      <c r="Z5">
        <f>HYPERLINK("https://klasma.github.io/Logging_2481/fåglar/A 37593-2021 prioriterade fågelarter.docx", "A 37593-2021")</f>
        <v/>
      </c>
    </row>
    <row r="6" ht="15" customHeight="1">
      <c r="A6" t="inlineStr">
        <is>
          <t>A 28719-2021</t>
        </is>
      </c>
      <c r="B6" s="1" t="n">
        <v>44357</v>
      </c>
      <c r="C6" s="1" t="n">
        <v>45849</v>
      </c>
      <c r="D6" t="inlineStr">
        <is>
          <t>VÄSTERBOTTENS LÄN</t>
        </is>
      </c>
      <c r="E6" t="inlineStr">
        <is>
          <t>LYCKSELE</t>
        </is>
      </c>
      <c r="G6" t="n">
        <v>25.2</v>
      </c>
      <c r="H6" t="n">
        <v>1</v>
      </c>
      <c r="I6" t="n">
        <v>2</v>
      </c>
      <c r="J6" t="n">
        <v>13</v>
      </c>
      <c r="K6" t="n">
        <v>1</v>
      </c>
      <c r="L6" t="n">
        <v>0</v>
      </c>
      <c r="M6" t="n">
        <v>0</v>
      </c>
      <c r="N6" t="n">
        <v>0</v>
      </c>
      <c r="O6" t="n">
        <v>14</v>
      </c>
      <c r="P6" t="n">
        <v>1</v>
      </c>
      <c r="Q6" t="n">
        <v>16</v>
      </c>
      <c r="R6" s="2" t="inlineStr">
        <is>
          <t>Lunglavsknapp
Blanksvart spiklav
Gammelgransskål
Garnlav
Granticka
Leptoporus mollis
Lunglav
Skogshare
Tallticka
Tretåig hackspett
Ullticka
Vedflamlav
Vitgrynig nållav
Vitplätt
Bårdlav
Stuplav</t>
        </is>
      </c>
      <c r="S6">
        <f>HYPERLINK("https://klasma.github.io/Logging_2481/artfynd/A 28719-2021 artfynd.xlsx", "A 28719-2021")</f>
        <v/>
      </c>
      <c r="T6">
        <f>HYPERLINK("https://klasma.github.io/Logging_2481/kartor/A 28719-2021 karta.png", "A 28719-2021")</f>
        <v/>
      </c>
      <c r="V6">
        <f>HYPERLINK("https://klasma.github.io/Logging_2481/klagomål/A 28719-2021 FSC-klagomål.docx", "A 28719-2021")</f>
        <v/>
      </c>
      <c r="W6">
        <f>HYPERLINK("https://klasma.github.io/Logging_2481/klagomålsmail/A 28719-2021 FSC-klagomål mail.docx", "A 28719-2021")</f>
        <v/>
      </c>
      <c r="X6">
        <f>HYPERLINK("https://klasma.github.io/Logging_2481/tillsyn/A 28719-2021 tillsynsbegäran.docx", "A 28719-2021")</f>
        <v/>
      </c>
      <c r="Y6">
        <f>HYPERLINK("https://klasma.github.io/Logging_2481/tillsynsmail/A 28719-2021 tillsynsbegäran mail.docx", "A 28719-2021")</f>
        <v/>
      </c>
      <c r="Z6">
        <f>HYPERLINK("https://klasma.github.io/Logging_2481/fåglar/A 28719-2021 prioriterade fågelarter.docx", "A 28719-2021")</f>
        <v/>
      </c>
    </row>
    <row r="7" ht="15" customHeight="1">
      <c r="A7" t="inlineStr">
        <is>
          <t>A 38164-2023</t>
        </is>
      </c>
      <c r="B7" s="1" t="n">
        <v>45161</v>
      </c>
      <c r="C7" s="1" t="n">
        <v>45849</v>
      </c>
      <c r="D7" t="inlineStr">
        <is>
          <t>VÄSTERBOTTENS LÄN</t>
        </is>
      </c>
      <c r="E7" t="inlineStr">
        <is>
          <t>LYCKSELE</t>
        </is>
      </c>
      <c r="G7" t="n">
        <v>7.3</v>
      </c>
      <c r="H7" t="n">
        <v>2</v>
      </c>
      <c r="I7" t="n">
        <v>2</v>
      </c>
      <c r="J7" t="n">
        <v>12</v>
      </c>
      <c r="K7" t="n">
        <v>2</v>
      </c>
      <c r="L7" t="n">
        <v>0</v>
      </c>
      <c r="M7" t="n">
        <v>0</v>
      </c>
      <c r="N7" t="n">
        <v>0</v>
      </c>
      <c r="O7" t="n">
        <v>14</v>
      </c>
      <c r="P7" t="n">
        <v>2</v>
      </c>
      <c r="Q7" t="n">
        <v>16</v>
      </c>
      <c r="R7" s="2" t="inlineStr">
        <is>
          <t>Smalfotad taggsvamp
Torrmusseron
Blanksvart spiklav
Dvärgbägarlav
Garnlav
Orange taggsvamp
Skrovlig taggsvamp
Spillkråka
Stjärntagging
Talltita
Ullticka
Vaddporing
Vedskivlav
Violettgrå tagellav
Dropptaggsvamp
Vedticka</t>
        </is>
      </c>
      <c r="S7">
        <f>HYPERLINK("https://klasma.github.io/Logging_2481/artfynd/A 38164-2023 artfynd.xlsx", "A 38164-2023")</f>
        <v/>
      </c>
      <c r="T7">
        <f>HYPERLINK("https://klasma.github.io/Logging_2481/kartor/A 38164-2023 karta.png", "A 38164-2023")</f>
        <v/>
      </c>
      <c r="V7">
        <f>HYPERLINK("https://klasma.github.io/Logging_2481/klagomål/A 38164-2023 FSC-klagomål.docx", "A 38164-2023")</f>
        <v/>
      </c>
      <c r="W7">
        <f>HYPERLINK("https://klasma.github.io/Logging_2481/klagomålsmail/A 38164-2023 FSC-klagomål mail.docx", "A 38164-2023")</f>
        <v/>
      </c>
      <c r="X7">
        <f>HYPERLINK("https://klasma.github.io/Logging_2481/tillsyn/A 38164-2023 tillsynsbegäran.docx", "A 38164-2023")</f>
        <v/>
      </c>
      <c r="Y7">
        <f>HYPERLINK("https://klasma.github.io/Logging_2481/tillsynsmail/A 38164-2023 tillsynsbegäran mail.docx", "A 38164-2023")</f>
        <v/>
      </c>
      <c r="Z7">
        <f>HYPERLINK("https://klasma.github.io/Logging_2481/fåglar/A 38164-2023 prioriterade fågelarter.docx", "A 38164-2023")</f>
        <v/>
      </c>
    </row>
    <row r="8" ht="15" customHeight="1">
      <c r="A8" t="inlineStr">
        <is>
          <t>A 39376-2019</t>
        </is>
      </c>
      <c r="B8" s="1" t="n">
        <v>43690</v>
      </c>
      <c r="C8" s="1" t="n">
        <v>45849</v>
      </c>
      <c r="D8" t="inlineStr">
        <is>
          <t>VÄSTERBOTTENS LÄN</t>
        </is>
      </c>
      <c r="E8" t="inlineStr">
        <is>
          <t>LYCKSELE</t>
        </is>
      </c>
      <c r="F8" t="inlineStr">
        <is>
          <t>Holmen skog AB</t>
        </is>
      </c>
      <c r="G8" t="n">
        <v>8.4</v>
      </c>
      <c r="H8" t="n">
        <v>3</v>
      </c>
      <c r="I8" t="n">
        <v>3</v>
      </c>
      <c r="J8" t="n">
        <v>11</v>
      </c>
      <c r="K8" t="n">
        <v>0</v>
      </c>
      <c r="L8" t="n">
        <v>0</v>
      </c>
      <c r="M8" t="n">
        <v>0</v>
      </c>
      <c r="N8" t="n">
        <v>0</v>
      </c>
      <c r="O8" t="n">
        <v>11</v>
      </c>
      <c r="P8" t="n">
        <v>0</v>
      </c>
      <c r="Q8" t="n">
        <v>15</v>
      </c>
      <c r="R8" s="2" t="inlineStr">
        <is>
          <t>Brunpudrad nållav
Gammelgransskål
Garnlav
Granticka
Harticka
Rosenticka
Talltita
Tretåig hackspett
Ullticka
Vitgrynig nållav
Vitskaftad svartspik
Gulnål
Kornig nållav
Trådticka
Revlummer</t>
        </is>
      </c>
      <c r="S8">
        <f>HYPERLINK("https://klasma.github.io/Logging_2481/artfynd/A 39376-2019 artfynd.xlsx", "A 39376-2019")</f>
        <v/>
      </c>
      <c r="T8">
        <f>HYPERLINK("https://klasma.github.io/Logging_2481/kartor/A 39376-2019 karta.png", "A 39376-2019")</f>
        <v/>
      </c>
      <c r="V8">
        <f>HYPERLINK("https://klasma.github.io/Logging_2481/klagomål/A 39376-2019 FSC-klagomål.docx", "A 39376-2019")</f>
        <v/>
      </c>
      <c r="W8">
        <f>HYPERLINK("https://klasma.github.io/Logging_2481/klagomålsmail/A 39376-2019 FSC-klagomål mail.docx", "A 39376-2019")</f>
        <v/>
      </c>
      <c r="X8">
        <f>HYPERLINK("https://klasma.github.io/Logging_2481/tillsyn/A 39376-2019 tillsynsbegäran.docx", "A 39376-2019")</f>
        <v/>
      </c>
      <c r="Y8">
        <f>HYPERLINK("https://klasma.github.io/Logging_2481/tillsynsmail/A 39376-2019 tillsynsbegäran mail.docx", "A 39376-2019")</f>
        <v/>
      </c>
      <c r="Z8">
        <f>HYPERLINK("https://klasma.github.io/Logging_2481/fåglar/A 39376-2019 prioriterade fågelarter.docx", "A 39376-2019")</f>
        <v/>
      </c>
    </row>
    <row r="9" ht="15" customHeight="1">
      <c r="A9" t="inlineStr">
        <is>
          <t>A 46170-2024</t>
        </is>
      </c>
      <c r="B9" s="1" t="n">
        <v>45581</v>
      </c>
      <c r="C9" s="1" t="n">
        <v>45849</v>
      </c>
      <c r="D9" t="inlineStr">
        <is>
          <t>VÄSTERBOTTENS LÄN</t>
        </is>
      </c>
      <c r="E9" t="inlineStr">
        <is>
          <t>LYCKSELE</t>
        </is>
      </c>
      <c r="G9" t="n">
        <v>12</v>
      </c>
      <c r="H9" t="n">
        <v>0</v>
      </c>
      <c r="I9" t="n">
        <v>2</v>
      </c>
      <c r="J9" t="n">
        <v>6</v>
      </c>
      <c r="K9" t="n">
        <v>6</v>
      </c>
      <c r="L9" t="n">
        <v>0</v>
      </c>
      <c r="M9" t="n">
        <v>0</v>
      </c>
      <c r="N9" t="n">
        <v>0</v>
      </c>
      <c r="O9" t="n">
        <v>13</v>
      </c>
      <c r="P9" t="n">
        <v>6</v>
      </c>
      <c r="Q9" t="n">
        <v>15</v>
      </c>
      <c r="R9" s="2" t="inlineStr">
        <is>
          <t>Goliatmusseron
Smalfotad taggsvamp
Spadskinn
Tajgataggsvamp
Tallgråticka
Torrmusseron
Blå taggsvamp
Orange taggsvamp
Skrovlig taggsvamp
Svart taggsvamp
Svartvit taggsvamp
Tallriska
Oljeporing
Dropptaggsvamp
Skarp dropptaggsvamp</t>
        </is>
      </c>
      <c r="S9">
        <f>HYPERLINK("https://klasma.github.io/Logging_2481/artfynd/A 46170-2024 artfynd.xlsx", "A 46170-2024")</f>
        <v/>
      </c>
      <c r="T9">
        <f>HYPERLINK("https://klasma.github.io/Logging_2481/kartor/A 46170-2024 karta.png", "A 46170-2024")</f>
        <v/>
      </c>
      <c r="V9">
        <f>HYPERLINK("https://klasma.github.io/Logging_2481/klagomål/A 46170-2024 FSC-klagomål.docx", "A 46170-2024")</f>
        <v/>
      </c>
      <c r="W9">
        <f>HYPERLINK("https://klasma.github.io/Logging_2481/klagomålsmail/A 46170-2024 FSC-klagomål mail.docx", "A 46170-2024")</f>
        <v/>
      </c>
      <c r="X9">
        <f>HYPERLINK("https://klasma.github.io/Logging_2481/tillsyn/A 46170-2024 tillsynsbegäran.docx", "A 46170-2024")</f>
        <v/>
      </c>
      <c r="Y9">
        <f>HYPERLINK("https://klasma.github.io/Logging_2481/tillsynsmail/A 46170-2024 tillsynsbegäran mail.docx", "A 46170-2024")</f>
        <v/>
      </c>
    </row>
    <row r="10" ht="15" customHeight="1">
      <c r="A10" t="inlineStr">
        <is>
          <t>A 28699-2022</t>
        </is>
      </c>
      <c r="B10" s="1" t="n">
        <v>44748</v>
      </c>
      <c r="C10" s="1" t="n">
        <v>45849</v>
      </c>
      <c r="D10" t="inlineStr">
        <is>
          <t>VÄSTERBOTTENS LÄN</t>
        </is>
      </c>
      <c r="E10" t="inlineStr">
        <is>
          <t>LYCKSELE</t>
        </is>
      </c>
      <c r="F10" t="inlineStr">
        <is>
          <t>Sveaskog</t>
        </is>
      </c>
      <c r="G10" t="n">
        <v>7.3</v>
      </c>
      <c r="H10" t="n">
        <v>6</v>
      </c>
      <c r="I10" t="n">
        <v>6</v>
      </c>
      <c r="J10" t="n">
        <v>6</v>
      </c>
      <c r="K10" t="n">
        <v>0</v>
      </c>
      <c r="L10" t="n">
        <v>0</v>
      </c>
      <c r="M10" t="n">
        <v>0</v>
      </c>
      <c r="N10" t="n">
        <v>0</v>
      </c>
      <c r="O10" t="n">
        <v>6</v>
      </c>
      <c r="P10" t="n">
        <v>0</v>
      </c>
      <c r="Q10" t="n">
        <v>13</v>
      </c>
      <c r="R10" s="2" t="inlineStr">
        <is>
          <t>Gammelgransskål
Garnlav
Järpe
Spillkråka
Talltita
Vitgrynig nållav
Luddlav
Norrlandslav
Plattlummer
Spindelblomster
Stuplav
Tibast
Revlummer</t>
        </is>
      </c>
      <c r="S10">
        <f>HYPERLINK("https://klasma.github.io/Logging_2481/artfynd/A 28699-2022 artfynd.xlsx", "A 28699-2022")</f>
        <v/>
      </c>
      <c r="T10">
        <f>HYPERLINK("https://klasma.github.io/Logging_2481/kartor/A 28699-2022 karta.png", "A 28699-2022")</f>
        <v/>
      </c>
      <c r="V10">
        <f>HYPERLINK("https://klasma.github.io/Logging_2481/klagomål/A 28699-2022 FSC-klagomål.docx", "A 28699-2022")</f>
        <v/>
      </c>
      <c r="W10">
        <f>HYPERLINK("https://klasma.github.io/Logging_2481/klagomålsmail/A 28699-2022 FSC-klagomål mail.docx", "A 28699-2022")</f>
        <v/>
      </c>
      <c r="X10">
        <f>HYPERLINK("https://klasma.github.io/Logging_2481/tillsyn/A 28699-2022 tillsynsbegäran.docx", "A 28699-2022")</f>
        <v/>
      </c>
      <c r="Y10">
        <f>HYPERLINK("https://klasma.github.io/Logging_2481/tillsynsmail/A 28699-2022 tillsynsbegäran mail.docx", "A 28699-2022")</f>
        <v/>
      </c>
      <c r="Z10">
        <f>HYPERLINK("https://klasma.github.io/Logging_2481/fåglar/A 28699-2022 prioriterade fågelarter.docx", "A 28699-2022")</f>
        <v/>
      </c>
    </row>
    <row r="11" ht="15" customHeight="1">
      <c r="A11" t="inlineStr">
        <is>
          <t>A 58596-2022</t>
        </is>
      </c>
      <c r="B11" s="1" t="n">
        <v>44902</v>
      </c>
      <c r="C11" s="1" t="n">
        <v>45849</v>
      </c>
      <c r="D11" t="inlineStr">
        <is>
          <t>VÄSTERBOTTENS LÄN</t>
        </is>
      </c>
      <c r="E11" t="inlineStr">
        <is>
          <t>LYCKSELE</t>
        </is>
      </c>
      <c r="F11" t="inlineStr">
        <is>
          <t>Sveaskog</t>
        </is>
      </c>
      <c r="G11" t="n">
        <v>2.9</v>
      </c>
      <c r="H11" t="n">
        <v>1</v>
      </c>
      <c r="I11" t="n">
        <v>7</v>
      </c>
      <c r="J11" t="n">
        <v>6</v>
      </c>
      <c r="K11" t="n">
        <v>0</v>
      </c>
      <c r="L11" t="n">
        <v>0</v>
      </c>
      <c r="M11" t="n">
        <v>0</v>
      </c>
      <c r="N11" t="n">
        <v>0</v>
      </c>
      <c r="O11" t="n">
        <v>6</v>
      </c>
      <c r="P11" t="n">
        <v>0</v>
      </c>
      <c r="Q11" t="n">
        <v>13</v>
      </c>
      <c r="R11" s="2" t="inlineStr">
        <is>
          <t>Garnlav
Kolflarnlav
Lunglav
Skrovellav
Spillkråka
Vaddporing
Bårdlav
Dropptaggsvamp
Kornig nållav
Luddlav
Skinnlav
Stuplav
Vedticka</t>
        </is>
      </c>
      <c r="S11">
        <f>HYPERLINK("https://klasma.github.io/Logging_2481/artfynd/A 58596-2022 artfynd.xlsx", "A 58596-2022")</f>
        <v/>
      </c>
      <c r="T11">
        <f>HYPERLINK("https://klasma.github.io/Logging_2481/kartor/A 58596-2022 karta.png", "A 58596-2022")</f>
        <v/>
      </c>
      <c r="V11">
        <f>HYPERLINK("https://klasma.github.io/Logging_2481/klagomål/A 58596-2022 FSC-klagomål.docx", "A 58596-2022")</f>
        <v/>
      </c>
      <c r="W11">
        <f>HYPERLINK("https://klasma.github.io/Logging_2481/klagomålsmail/A 58596-2022 FSC-klagomål mail.docx", "A 58596-2022")</f>
        <v/>
      </c>
      <c r="X11">
        <f>HYPERLINK("https://klasma.github.io/Logging_2481/tillsyn/A 58596-2022 tillsynsbegäran.docx", "A 58596-2022")</f>
        <v/>
      </c>
      <c r="Y11">
        <f>HYPERLINK("https://klasma.github.io/Logging_2481/tillsynsmail/A 58596-2022 tillsynsbegäran mail.docx", "A 58596-2022")</f>
        <v/>
      </c>
      <c r="Z11">
        <f>HYPERLINK("https://klasma.github.io/Logging_2481/fåglar/A 58596-2022 prioriterade fågelarter.docx", "A 58596-2022")</f>
        <v/>
      </c>
    </row>
    <row r="12" ht="15" customHeight="1">
      <c r="A12" t="inlineStr">
        <is>
          <t>A 50813-2023</t>
        </is>
      </c>
      <c r="B12" s="1" t="n">
        <v>45217</v>
      </c>
      <c r="C12" s="1" t="n">
        <v>45849</v>
      </c>
      <c r="D12" t="inlineStr">
        <is>
          <t>VÄSTERBOTTENS LÄN</t>
        </is>
      </c>
      <c r="E12" t="inlineStr">
        <is>
          <t>LYCKSELE</t>
        </is>
      </c>
      <c r="F12" t="inlineStr">
        <is>
          <t>Sveaskog</t>
        </is>
      </c>
      <c r="G12" t="n">
        <v>14.7</v>
      </c>
      <c r="H12" t="n">
        <v>3</v>
      </c>
      <c r="I12" t="n">
        <v>6</v>
      </c>
      <c r="J12" t="n">
        <v>4</v>
      </c>
      <c r="K12" t="n">
        <v>0</v>
      </c>
      <c r="L12" t="n">
        <v>0</v>
      </c>
      <c r="M12" t="n">
        <v>0</v>
      </c>
      <c r="N12" t="n">
        <v>0</v>
      </c>
      <c r="O12" t="n">
        <v>4</v>
      </c>
      <c r="P12" t="n">
        <v>0</v>
      </c>
      <c r="Q12" t="n">
        <v>13</v>
      </c>
      <c r="R12" s="2" t="inlineStr">
        <is>
          <t>Brunpudrad nållav
Garnlav
Lunglav
Skrovellav
Bårdlav
Luddlav
Norrlandslav
Skinnlav
Stuplav
Tibast
Tjäder
Fläcknycklar
Revlummer</t>
        </is>
      </c>
      <c r="S12">
        <f>HYPERLINK("https://klasma.github.io/Logging_2481/artfynd/A 50813-2023 artfynd.xlsx", "A 50813-2023")</f>
        <v/>
      </c>
      <c r="T12">
        <f>HYPERLINK("https://klasma.github.io/Logging_2481/kartor/A 50813-2023 karta.png", "A 50813-2023")</f>
        <v/>
      </c>
      <c r="V12">
        <f>HYPERLINK("https://klasma.github.io/Logging_2481/klagomål/A 50813-2023 FSC-klagomål.docx", "A 50813-2023")</f>
        <v/>
      </c>
      <c r="W12">
        <f>HYPERLINK("https://klasma.github.io/Logging_2481/klagomålsmail/A 50813-2023 FSC-klagomål mail.docx", "A 50813-2023")</f>
        <v/>
      </c>
      <c r="X12">
        <f>HYPERLINK("https://klasma.github.io/Logging_2481/tillsyn/A 50813-2023 tillsynsbegäran.docx", "A 50813-2023")</f>
        <v/>
      </c>
      <c r="Y12">
        <f>HYPERLINK("https://klasma.github.io/Logging_2481/tillsynsmail/A 50813-2023 tillsynsbegäran mail.docx", "A 50813-2023")</f>
        <v/>
      </c>
      <c r="Z12">
        <f>HYPERLINK("https://klasma.github.io/Logging_2481/fåglar/A 50813-2023 prioriterade fågelarter.docx", "A 50813-2023")</f>
        <v/>
      </c>
    </row>
    <row r="13" ht="15" customHeight="1">
      <c r="A13" t="inlineStr">
        <is>
          <t>A 53141-2024</t>
        </is>
      </c>
      <c r="B13" s="1" t="n">
        <v>45611</v>
      </c>
      <c r="C13" s="1" t="n">
        <v>45849</v>
      </c>
      <c r="D13" t="inlineStr">
        <is>
          <t>VÄSTERBOTTENS LÄN</t>
        </is>
      </c>
      <c r="E13" t="inlineStr">
        <is>
          <t>LYCKSELE</t>
        </is>
      </c>
      <c r="F13" t="inlineStr">
        <is>
          <t>Holmen skog AB</t>
        </is>
      </c>
      <c r="G13" t="n">
        <v>25.4</v>
      </c>
      <c r="H13" t="n">
        <v>4</v>
      </c>
      <c r="I13" t="n">
        <v>3</v>
      </c>
      <c r="J13" t="n">
        <v>7</v>
      </c>
      <c r="K13" t="n">
        <v>1</v>
      </c>
      <c r="L13" t="n">
        <v>0</v>
      </c>
      <c r="M13" t="n">
        <v>0</v>
      </c>
      <c r="N13" t="n">
        <v>0</v>
      </c>
      <c r="O13" t="n">
        <v>8</v>
      </c>
      <c r="P13" t="n">
        <v>1</v>
      </c>
      <c r="Q13" t="n">
        <v>13</v>
      </c>
      <c r="R13" s="2" t="inlineStr">
        <is>
          <t>Knärot
Garnlav
Granticka
Harticka
Lunglav
Skrovellav
Talltita
Violmussling
Bårdlav
Luddlav
Stuplav
Fläcknycklar
Revlummer</t>
        </is>
      </c>
      <c r="S13">
        <f>HYPERLINK("https://klasma.github.io/Logging_2481/artfynd/A 53141-2024 artfynd.xlsx", "A 53141-2024")</f>
        <v/>
      </c>
      <c r="T13">
        <f>HYPERLINK("https://klasma.github.io/Logging_2481/kartor/A 53141-2024 karta.png", "A 53141-2024")</f>
        <v/>
      </c>
      <c r="U13">
        <f>HYPERLINK("https://klasma.github.io/Logging_2481/knärot/A 53141-2024 karta knärot.png", "A 53141-2024")</f>
        <v/>
      </c>
      <c r="V13">
        <f>HYPERLINK("https://klasma.github.io/Logging_2481/klagomål/A 53141-2024 FSC-klagomål.docx", "A 53141-2024")</f>
        <v/>
      </c>
      <c r="W13">
        <f>HYPERLINK("https://klasma.github.io/Logging_2481/klagomålsmail/A 53141-2024 FSC-klagomål mail.docx", "A 53141-2024")</f>
        <v/>
      </c>
      <c r="X13">
        <f>HYPERLINK("https://klasma.github.io/Logging_2481/tillsyn/A 53141-2024 tillsynsbegäran.docx", "A 53141-2024")</f>
        <v/>
      </c>
      <c r="Y13">
        <f>HYPERLINK("https://klasma.github.io/Logging_2481/tillsynsmail/A 53141-2024 tillsynsbegäran mail.docx", "A 53141-2024")</f>
        <v/>
      </c>
      <c r="Z13">
        <f>HYPERLINK("https://klasma.github.io/Logging_2481/fåglar/A 53141-2024 prioriterade fågelarter.docx", "A 53141-2024")</f>
        <v/>
      </c>
    </row>
    <row r="14" ht="15" customHeight="1">
      <c r="A14" t="inlineStr">
        <is>
          <t>A 37598-2021</t>
        </is>
      </c>
      <c r="B14" s="1" t="n">
        <v>44399</v>
      </c>
      <c r="C14" s="1" t="n">
        <v>45849</v>
      </c>
      <c r="D14" t="inlineStr">
        <is>
          <t>VÄSTERBOTTENS LÄN</t>
        </is>
      </c>
      <c r="E14" t="inlineStr">
        <is>
          <t>LYCKSELE</t>
        </is>
      </c>
      <c r="F14" t="inlineStr">
        <is>
          <t>Holmen skog AB</t>
        </is>
      </c>
      <c r="G14" t="n">
        <v>11.6</v>
      </c>
      <c r="H14" t="n">
        <v>3</v>
      </c>
      <c r="I14" t="n">
        <v>2</v>
      </c>
      <c r="J14" t="n">
        <v>8</v>
      </c>
      <c r="K14" t="n">
        <v>1</v>
      </c>
      <c r="L14" t="n">
        <v>0</v>
      </c>
      <c r="M14" t="n">
        <v>0</v>
      </c>
      <c r="N14" t="n">
        <v>0</v>
      </c>
      <c r="O14" t="n">
        <v>9</v>
      </c>
      <c r="P14" t="n">
        <v>1</v>
      </c>
      <c r="Q14" t="n">
        <v>12</v>
      </c>
      <c r="R14" s="2" t="inlineStr">
        <is>
          <t>Smalfotad taggsvamp
Blanksvart spiklav
Blågrå svartspik
Dvärgbägarlav
Lunglav
Talltita
Tretåig hackspett
Vedskivlav
Vitplätt
Skarp dropptaggsvamp
Skinnlav
Skogsödla</t>
        </is>
      </c>
      <c r="S14">
        <f>HYPERLINK("https://klasma.github.io/Logging_2481/artfynd/A 37598-2021 artfynd.xlsx", "A 37598-2021")</f>
        <v/>
      </c>
      <c r="T14">
        <f>HYPERLINK("https://klasma.github.io/Logging_2481/kartor/A 37598-2021 karta.png", "A 37598-2021")</f>
        <v/>
      </c>
      <c r="V14">
        <f>HYPERLINK("https://klasma.github.io/Logging_2481/klagomål/A 37598-2021 FSC-klagomål.docx", "A 37598-2021")</f>
        <v/>
      </c>
      <c r="W14">
        <f>HYPERLINK("https://klasma.github.io/Logging_2481/klagomålsmail/A 37598-2021 FSC-klagomål mail.docx", "A 37598-2021")</f>
        <v/>
      </c>
      <c r="X14">
        <f>HYPERLINK("https://klasma.github.io/Logging_2481/tillsyn/A 37598-2021 tillsynsbegäran.docx", "A 37598-2021")</f>
        <v/>
      </c>
      <c r="Y14">
        <f>HYPERLINK("https://klasma.github.io/Logging_2481/tillsynsmail/A 37598-2021 tillsynsbegäran mail.docx", "A 37598-2021")</f>
        <v/>
      </c>
      <c r="Z14">
        <f>HYPERLINK("https://klasma.github.io/Logging_2481/fåglar/A 37598-2021 prioriterade fågelarter.docx", "A 37598-2021")</f>
        <v/>
      </c>
    </row>
    <row r="15" ht="15" customHeight="1">
      <c r="A15" t="inlineStr">
        <is>
          <t>A 33647-2024</t>
        </is>
      </c>
      <c r="B15" s="1" t="n">
        <v>45520</v>
      </c>
      <c r="C15" s="1" t="n">
        <v>45849</v>
      </c>
      <c r="D15" t="inlineStr">
        <is>
          <t>VÄSTERBOTTENS LÄN</t>
        </is>
      </c>
      <c r="E15" t="inlineStr">
        <is>
          <t>LYCKSELE</t>
        </is>
      </c>
      <c r="F15" t="inlineStr">
        <is>
          <t>Sveaskog</t>
        </is>
      </c>
      <c r="G15" t="n">
        <v>15</v>
      </c>
      <c r="H15" t="n">
        <v>1</v>
      </c>
      <c r="I15" t="n">
        <v>6</v>
      </c>
      <c r="J15" t="n">
        <v>5</v>
      </c>
      <c r="K15" t="n">
        <v>1</v>
      </c>
      <c r="L15" t="n">
        <v>0</v>
      </c>
      <c r="M15" t="n">
        <v>0</v>
      </c>
      <c r="N15" t="n">
        <v>0</v>
      </c>
      <c r="O15" t="n">
        <v>6</v>
      </c>
      <c r="P15" t="n">
        <v>1</v>
      </c>
      <c r="Q15" t="n">
        <v>12</v>
      </c>
      <c r="R15" s="2" t="inlineStr">
        <is>
          <t>Knärot
Garnlav
Lunglav
Rödbrun klubbdyna
Skorpgelélav
Ullticka
Bollvitmossa
Bårdlav
Luddlav
Skinnlav
Stuplav
Ögonpyrola</t>
        </is>
      </c>
      <c r="S15">
        <f>HYPERLINK("https://klasma.github.io/Logging_2481/artfynd/A 33647-2024 artfynd.xlsx", "A 33647-2024")</f>
        <v/>
      </c>
      <c r="T15">
        <f>HYPERLINK("https://klasma.github.io/Logging_2481/kartor/A 33647-2024 karta.png", "A 33647-2024")</f>
        <v/>
      </c>
      <c r="U15">
        <f>HYPERLINK("https://klasma.github.io/Logging_2481/knärot/A 33647-2024 karta knärot.png", "A 33647-2024")</f>
        <v/>
      </c>
      <c r="V15">
        <f>HYPERLINK("https://klasma.github.io/Logging_2481/klagomål/A 33647-2024 FSC-klagomål.docx", "A 33647-2024")</f>
        <v/>
      </c>
      <c r="W15">
        <f>HYPERLINK("https://klasma.github.io/Logging_2481/klagomålsmail/A 33647-2024 FSC-klagomål mail.docx", "A 33647-2024")</f>
        <v/>
      </c>
      <c r="X15">
        <f>HYPERLINK("https://klasma.github.io/Logging_2481/tillsyn/A 33647-2024 tillsynsbegäran.docx", "A 33647-2024")</f>
        <v/>
      </c>
      <c r="Y15">
        <f>HYPERLINK("https://klasma.github.io/Logging_2481/tillsynsmail/A 33647-2024 tillsynsbegäran mail.docx", "A 33647-2024")</f>
        <v/>
      </c>
    </row>
    <row r="16" ht="15" customHeight="1">
      <c r="A16" t="inlineStr">
        <is>
          <t>A 55308-2024</t>
        </is>
      </c>
      <c r="B16" s="1" t="n">
        <v>45621</v>
      </c>
      <c r="C16" s="1" t="n">
        <v>45849</v>
      </c>
      <c r="D16" t="inlineStr">
        <is>
          <t>VÄSTERBOTTENS LÄN</t>
        </is>
      </c>
      <c r="E16" t="inlineStr">
        <is>
          <t>LYCKSELE</t>
        </is>
      </c>
      <c r="F16" t="inlineStr">
        <is>
          <t>Sveaskog</t>
        </is>
      </c>
      <c r="G16" t="n">
        <v>6.3</v>
      </c>
      <c r="H16" t="n">
        <v>1</v>
      </c>
      <c r="I16" t="n">
        <v>0</v>
      </c>
      <c r="J16" t="n">
        <v>11</v>
      </c>
      <c r="K16" t="n">
        <v>1</v>
      </c>
      <c r="L16" t="n">
        <v>0</v>
      </c>
      <c r="M16" t="n">
        <v>0</v>
      </c>
      <c r="N16" t="n">
        <v>0</v>
      </c>
      <c r="O16" t="n">
        <v>12</v>
      </c>
      <c r="P16" t="n">
        <v>1</v>
      </c>
      <c r="Q16" t="n">
        <v>12</v>
      </c>
      <c r="R16" s="2" t="inlineStr">
        <is>
          <t>Rynkskinn
Brunpudrad nållav
Gammelgransskål
Garnlav
Granticka
Gultoppig fingersvamp
Motaggsvamp
Spillkråka
Stjärntagging
Ullticka
Vedskivlav
Violmussling</t>
        </is>
      </c>
      <c r="S16">
        <f>HYPERLINK("https://klasma.github.io/Logging_2481/artfynd/A 55308-2024 artfynd.xlsx", "A 55308-2024")</f>
        <v/>
      </c>
      <c r="T16">
        <f>HYPERLINK("https://klasma.github.io/Logging_2481/kartor/A 55308-2024 karta.png", "A 55308-2024")</f>
        <v/>
      </c>
      <c r="V16">
        <f>HYPERLINK("https://klasma.github.io/Logging_2481/klagomål/A 55308-2024 FSC-klagomål.docx", "A 55308-2024")</f>
        <v/>
      </c>
      <c r="W16">
        <f>HYPERLINK("https://klasma.github.io/Logging_2481/klagomålsmail/A 55308-2024 FSC-klagomål mail.docx", "A 55308-2024")</f>
        <v/>
      </c>
      <c r="X16">
        <f>HYPERLINK("https://klasma.github.io/Logging_2481/tillsyn/A 55308-2024 tillsynsbegäran.docx", "A 55308-2024")</f>
        <v/>
      </c>
      <c r="Y16">
        <f>HYPERLINK("https://klasma.github.io/Logging_2481/tillsynsmail/A 55308-2024 tillsynsbegäran mail.docx", "A 55308-2024")</f>
        <v/>
      </c>
      <c r="Z16">
        <f>HYPERLINK("https://klasma.github.io/Logging_2481/fåglar/A 55308-2024 prioriterade fågelarter.docx", "A 55308-2024")</f>
        <v/>
      </c>
    </row>
    <row r="17" ht="15" customHeight="1">
      <c r="A17" t="inlineStr">
        <is>
          <t>A 55395-2019</t>
        </is>
      </c>
      <c r="B17" s="1" t="n">
        <v>43758</v>
      </c>
      <c r="C17" s="1" t="n">
        <v>45849</v>
      </c>
      <c r="D17" t="inlineStr">
        <is>
          <t>VÄSTERBOTTENS LÄN</t>
        </is>
      </c>
      <c r="E17" t="inlineStr">
        <is>
          <t>LYCKSELE</t>
        </is>
      </c>
      <c r="F17" t="inlineStr">
        <is>
          <t>Sveaskog</t>
        </is>
      </c>
      <c r="G17" t="n">
        <v>8.800000000000001</v>
      </c>
      <c r="H17" t="n">
        <v>1</v>
      </c>
      <c r="I17" t="n">
        <v>1</v>
      </c>
      <c r="J17" t="n">
        <v>9</v>
      </c>
      <c r="K17" t="n">
        <v>1</v>
      </c>
      <c r="L17" t="n">
        <v>0</v>
      </c>
      <c r="M17" t="n">
        <v>0</v>
      </c>
      <c r="N17" t="n">
        <v>0</v>
      </c>
      <c r="O17" t="n">
        <v>10</v>
      </c>
      <c r="P17" t="n">
        <v>1</v>
      </c>
      <c r="Q17" t="n">
        <v>11</v>
      </c>
      <c r="R17" s="2" t="inlineStr">
        <is>
          <t>Smalfotad taggsvamp
Dvärgbägarlav
Gammelgransskål
Garnlav
Granticka
Lunglav
Skrovlig taggsvamp
Talltaggsvamp
Tretåig hackspett
Vedflamlav
Stuplav</t>
        </is>
      </c>
      <c r="S17">
        <f>HYPERLINK("https://klasma.github.io/Logging_2481/artfynd/A 55395-2019 artfynd.xlsx", "A 55395-2019")</f>
        <v/>
      </c>
      <c r="T17">
        <f>HYPERLINK("https://klasma.github.io/Logging_2481/kartor/A 55395-2019 karta.png", "A 55395-2019")</f>
        <v/>
      </c>
      <c r="V17">
        <f>HYPERLINK("https://klasma.github.io/Logging_2481/klagomål/A 55395-2019 FSC-klagomål.docx", "A 55395-2019")</f>
        <v/>
      </c>
      <c r="W17">
        <f>HYPERLINK("https://klasma.github.io/Logging_2481/klagomålsmail/A 55395-2019 FSC-klagomål mail.docx", "A 55395-2019")</f>
        <v/>
      </c>
      <c r="X17">
        <f>HYPERLINK("https://klasma.github.io/Logging_2481/tillsyn/A 55395-2019 tillsynsbegäran.docx", "A 55395-2019")</f>
        <v/>
      </c>
      <c r="Y17">
        <f>HYPERLINK("https://klasma.github.io/Logging_2481/tillsynsmail/A 55395-2019 tillsynsbegäran mail.docx", "A 55395-2019")</f>
        <v/>
      </c>
      <c r="Z17">
        <f>HYPERLINK("https://klasma.github.io/Logging_2481/fåglar/A 55395-2019 prioriterade fågelarter.docx", "A 55395-2019")</f>
        <v/>
      </c>
    </row>
    <row r="18" ht="15" customHeight="1">
      <c r="A18" t="inlineStr">
        <is>
          <t>A 53696-2023</t>
        </is>
      </c>
      <c r="B18" s="1" t="n">
        <v>45230</v>
      </c>
      <c r="C18" s="1" t="n">
        <v>45849</v>
      </c>
      <c r="D18" t="inlineStr">
        <is>
          <t>VÄSTERBOTTENS LÄN</t>
        </is>
      </c>
      <c r="E18" t="inlineStr">
        <is>
          <t>LYCKSELE</t>
        </is>
      </c>
      <c r="F18" t="inlineStr">
        <is>
          <t>Sveaskog</t>
        </is>
      </c>
      <c r="G18" t="n">
        <v>32.7</v>
      </c>
      <c r="H18" t="n">
        <v>0</v>
      </c>
      <c r="I18" t="n">
        <v>3</v>
      </c>
      <c r="J18" t="n">
        <v>8</v>
      </c>
      <c r="K18" t="n">
        <v>0</v>
      </c>
      <c r="L18" t="n">
        <v>0</v>
      </c>
      <c r="M18" t="n">
        <v>0</v>
      </c>
      <c r="N18" t="n">
        <v>0</v>
      </c>
      <c r="O18" t="n">
        <v>8</v>
      </c>
      <c r="P18" t="n">
        <v>0</v>
      </c>
      <c r="Q18" t="n">
        <v>11</v>
      </c>
      <c r="R18" s="2" t="inlineStr">
        <is>
          <t>Blå taggsvamp
Kolflarnlav
Motaggsvamp
Nordtagging
Skrovlig taggsvamp
Vaddporing
Vedflamlav
Vedskivlav
Dropptaggsvamp
Luddlav
Stuplav</t>
        </is>
      </c>
      <c r="S18">
        <f>HYPERLINK("https://klasma.github.io/Logging_2481/artfynd/A 53696-2023 artfynd.xlsx", "A 53696-2023")</f>
        <v/>
      </c>
      <c r="T18">
        <f>HYPERLINK("https://klasma.github.io/Logging_2481/kartor/A 53696-2023 karta.png", "A 53696-2023")</f>
        <v/>
      </c>
      <c r="V18">
        <f>HYPERLINK("https://klasma.github.io/Logging_2481/klagomål/A 53696-2023 FSC-klagomål.docx", "A 53696-2023")</f>
        <v/>
      </c>
      <c r="W18">
        <f>HYPERLINK("https://klasma.github.io/Logging_2481/klagomålsmail/A 53696-2023 FSC-klagomål mail.docx", "A 53696-2023")</f>
        <v/>
      </c>
      <c r="X18">
        <f>HYPERLINK("https://klasma.github.io/Logging_2481/tillsyn/A 53696-2023 tillsynsbegäran.docx", "A 53696-2023")</f>
        <v/>
      </c>
      <c r="Y18">
        <f>HYPERLINK("https://klasma.github.io/Logging_2481/tillsynsmail/A 53696-2023 tillsynsbegäran mail.docx", "A 53696-2023")</f>
        <v/>
      </c>
    </row>
    <row r="19" ht="15" customHeight="1">
      <c r="A19" t="inlineStr">
        <is>
          <t>A 24512-2025</t>
        </is>
      </c>
      <c r="B19" s="1" t="n">
        <v>45798</v>
      </c>
      <c r="C19" s="1" t="n">
        <v>45849</v>
      </c>
      <c r="D19" t="inlineStr">
        <is>
          <t>VÄSTERBOTTENS LÄN</t>
        </is>
      </c>
      <c r="E19" t="inlineStr">
        <is>
          <t>LYCKSELE</t>
        </is>
      </c>
      <c r="F19" t="inlineStr">
        <is>
          <t>Sveaskog</t>
        </is>
      </c>
      <c r="G19" t="n">
        <v>11.1</v>
      </c>
      <c r="H19" t="n">
        <v>5</v>
      </c>
      <c r="I19" t="n">
        <v>5</v>
      </c>
      <c r="J19" t="n">
        <v>4</v>
      </c>
      <c r="K19" t="n">
        <v>1</v>
      </c>
      <c r="L19" t="n">
        <v>0</v>
      </c>
      <c r="M19" t="n">
        <v>0</v>
      </c>
      <c r="N19" t="n">
        <v>0</v>
      </c>
      <c r="O19" t="n">
        <v>5</v>
      </c>
      <c r="P19" t="n">
        <v>1</v>
      </c>
      <c r="Q19" t="n">
        <v>11</v>
      </c>
      <c r="R19" s="2" t="inlineStr">
        <is>
          <t>Doftticka
Garnlav
Grantaggsvamp
Granticka
Spillkråka
Dvärgtufs
Norrlandslav
Plattlummer
Spindelblomster
Stuplav
Revlummer</t>
        </is>
      </c>
      <c r="S19">
        <f>HYPERLINK("https://klasma.github.io/Logging_242481/artfynd/A 24512-2025 artfynd.xlsx", "A 24512-2025")</f>
        <v/>
      </c>
      <c r="T19">
        <f>HYPERLINK("https://klasma.github.io/Logging_242481/kartor/A 24512-2025 karta.png", "A 24512-2025")</f>
        <v/>
      </c>
      <c r="V19">
        <f>HYPERLINK("https://klasma.github.io/Logging_242481/klagomål/A 24512-2025 FSC-klagomål.docx", "A 24512-2025")</f>
        <v/>
      </c>
      <c r="W19">
        <f>HYPERLINK("https://klasma.github.io/Logging_242481/klagomålsmail/A 24512-2025 FSC-klagomål mail.docx", "A 24512-2025")</f>
        <v/>
      </c>
      <c r="X19">
        <f>HYPERLINK("https://klasma.github.io/Logging_242481/tillsyn/A 24512-2025 tillsynsbegäran.docx", "A 24512-2025")</f>
        <v/>
      </c>
      <c r="Y19">
        <f>HYPERLINK("https://klasma.github.io/Logging_242481/tillsynsmail/A 24512-2025 tillsynsbegäran mail.docx", "A 24512-2025")</f>
        <v/>
      </c>
      <c r="Z19">
        <f>HYPERLINK("https://klasma.github.io/Logging_242481/fåglar/A 24512-2025 prioriterade fågelarter.docx", "A 24512-2025")</f>
        <v/>
      </c>
    </row>
    <row r="20" ht="15" customHeight="1">
      <c r="A20" t="inlineStr">
        <is>
          <t>A 2768-2023</t>
        </is>
      </c>
      <c r="B20" s="1" t="n">
        <v>44944</v>
      </c>
      <c r="C20" s="1" t="n">
        <v>45849</v>
      </c>
      <c r="D20" t="inlineStr">
        <is>
          <t>VÄSTERBOTTENS LÄN</t>
        </is>
      </c>
      <c r="E20" t="inlineStr">
        <is>
          <t>LYCKSELE</t>
        </is>
      </c>
      <c r="F20" t="inlineStr">
        <is>
          <t>Kyrkan</t>
        </is>
      </c>
      <c r="G20" t="n">
        <v>13.2</v>
      </c>
      <c r="H20" t="n">
        <v>1</v>
      </c>
      <c r="I20" t="n">
        <v>2</v>
      </c>
      <c r="J20" t="n">
        <v>8</v>
      </c>
      <c r="K20" t="n">
        <v>0</v>
      </c>
      <c r="L20" t="n">
        <v>0</v>
      </c>
      <c r="M20" t="n">
        <v>0</v>
      </c>
      <c r="N20" t="n">
        <v>0</v>
      </c>
      <c r="O20" t="n">
        <v>8</v>
      </c>
      <c r="P20" t="n">
        <v>0</v>
      </c>
      <c r="Q20" t="n">
        <v>10</v>
      </c>
      <c r="R20" s="2" t="inlineStr">
        <is>
          <t>Garnlav
Lunglav
Orange taggsvamp
Skrovlig taggsvamp
Spillkråka
Svart taggsvamp
Svartvit taggsvamp
Tallriska
Dropptaggsvamp
Luddlav</t>
        </is>
      </c>
      <c r="S20">
        <f>HYPERLINK("https://klasma.github.io/Logging_2481/artfynd/A 2768-2023 artfynd.xlsx", "A 2768-2023")</f>
        <v/>
      </c>
      <c r="T20">
        <f>HYPERLINK("https://klasma.github.io/Logging_2481/kartor/A 2768-2023 karta.png", "A 2768-2023")</f>
        <v/>
      </c>
      <c r="V20">
        <f>HYPERLINK("https://klasma.github.io/Logging_2481/klagomål/A 2768-2023 FSC-klagomål.docx", "A 2768-2023")</f>
        <v/>
      </c>
      <c r="W20">
        <f>HYPERLINK("https://klasma.github.io/Logging_2481/klagomålsmail/A 2768-2023 FSC-klagomål mail.docx", "A 2768-2023")</f>
        <v/>
      </c>
      <c r="X20">
        <f>HYPERLINK("https://klasma.github.io/Logging_2481/tillsyn/A 2768-2023 tillsynsbegäran.docx", "A 2768-2023")</f>
        <v/>
      </c>
      <c r="Y20">
        <f>HYPERLINK("https://klasma.github.io/Logging_2481/tillsynsmail/A 2768-2023 tillsynsbegäran mail.docx", "A 2768-2023")</f>
        <v/>
      </c>
      <c r="Z20">
        <f>HYPERLINK("https://klasma.github.io/Logging_2481/fåglar/A 2768-2023 prioriterade fågelarter.docx", "A 2768-2023")</f>
        <v/>
      </c>
    </row>
    <row r="21" ht="15" customHeight="1">
      <c r="A21" t="inlineStr">
        <is>
          <t>A 48705-2020</t>
        </is>
      </c>
      <c r="B21" s="1" t="n">
        <v>44103</v>
      </c>
      <c r="C21" s="1" t="n">
        <v>45849</v>
      </c>
      <c r="D21" t="inlineStr">
        <is>
          <t>VÄSTERBOTTENS LÄN</t>
        </is>
      </c>
      <c r="E21" t="inlineStr">
        <is>
          <t>LYCKSELE</t>
        </is>
      </c>
      <c r="F21" t="inlineStr">
        <is>
          <t>Sveaskog</t>
        </is>
      </c>
      <c r="G21" t="n">
        <v>16</v>
      </c>
      <c r="H21" t="n">
        <v>2</v>
      </c>
      <c r="I21" t="n">
        <v>3</v>
      </c>
      <c r="J21" t="n">
        <v>4</v>
      </c>
      <c r="K21" t="n">
        <v>1</v>
      </c>
      <c r="L21" t="n">
        <v>0</v>
      </c>
      <c r="M21" t="n">
        <v>0</v>
      </c>
      <c r="N21" t="n">
        <v>0</v>
      </c>
      <c r="O21" t="n">
        <v>5</v>
      </c>
      <c r="P21" t="n">
        <v>1</v>
      </c>
      <c r="Q21" t="n">
        <v>9</v>
      </c>
      <c r="R21" s="2" t="inlineStr">
        <is>
          <t>Rynkskinn
Garnlav
Granticka
Lunglav
Tretåig hackspett
Luddlav
Stor aspticka
Vedticka
Revlummer</t>
        </is>
      </c>
      <c r="S21">
        <f>HYPERLINK("https://klasma.github.io/Logging_2481/artfynd/A 48705-2020 artfynd.xlsx", "A 48705-2020")</f>
        <v/>
      </c>
      <c r="T21">
        <f>HYPERLINK("https://klasma.github.io/Logging_2481/kartor/A 48705-2020 karta.png", "A 48705-2020")</f>
        <v/>
      </c>
      <c r="V21">
        <f>HYPERLINK("https://klasma.github.io/Logging_2481/klagomål/A 48705-2020 FSC-klagomål.docx", "A 48705-2020")</f>
        <v/>
      </c>
      <c r="W21">
        <f>HYPERLINK("https://klasma.github.io/Logging_2481/klagomålsmail/A 48705-2020 FSC-klagomål mail.docx", "A 48705-2020")</f>
        <v/>
      </c>
      <c r="X21">
        <f>HYPERLINK("https://klasma.github.io/Logging_2481/tillsyn/A 48705-2020 tillsynsbegäran.docx", "A 48705-2020")</f>
        <v/>
      </c>
      <c r="Y21">
        <f>HYPERLINK("https://klasma.github.io/Logging_2481/tillsynsmail/A 48705-2020 tillsynsbegäran mail.docx", "A 48705-2020")</f>
        <v/>
      </c>
      <c r="Z21">
        <f>HYPERLINK("https://klasma.github.io/Logging_2481/fåglar/A 48705-2020 prioriterade fågelarter.docx", "A 48705-2020")</f>
        <v/>
      </c>
    </row>
    <row r="22" ht="15" customHeight="1">
      <c r="A22" t="inlineStr">
        <is>
          <t>A 43734-2021</t>
        </is>
      </c>
      <c r="B22" s="1" t="n">
        <v>44433</v>
      </c>
      <c r="C22" s="1" t="n">
        <v>45849</v>
      </c>
      <c r="D22" t="inlineStr">
        <is>
          <t>VÄSTERBOTTENS LÄN</t>
        </is>
      </c>
      <c r="E22" t="inlineStr">
        <is>
          <t>LYCKSELE</t>
        </is>
      </c>
      <c r="F22" t="inlineStr">
        <is>
          <t>Sveaskog</t>
        </is>
      </c>
      <c r="G22" t="n">
        <v>5.5</v>
      </c>
      <c r="H22" t="n">
        <v>0</v>
      </c>
      <c r="I22" t="n">
        <v>3</v>
      </c>
      <c r="J22" t="n">
        <v>5</v>
      </c>
      <c r="K22" t="n">
        <v>1</v>
      </c>
      <c r="L22" t="n">
        <v>0</v>
      </c>
      <c r="M22" t="n">
        <v>0</v>
      </c>
      <c r="N22" t="n">
        <v>0</v>
      </c>
      <c r="O22" t="n">
        <v>6</v>
      </c>
      <c r="P22" t="n">
        <v>1</v>
      </c>
      <c r="Q22" t="n">
        <v>9</v>
      </c>
      <c r="R22" s="2" t="inlineStr">
        <is>
          <t>Smalfotad taggsvamp
Blå taggsvamp
Orange taggsvamp
Skrovlig taggsvamp
Vaddporing
Vedflamlav
Dropptaggsvamp
Skarp dropptaggsvamp
Vedticka</t>
        </is>
      </c>
      <c r="S22">
        <f>HYPERLINK("https://klasma.github.io/Logging_2481/artfynd/A 43734-2021 artfynd.xlsx", "A 43734-2021")</f>
        <v/>
      </c>
      <c r="T22">
        <f>HYPERLINK("https://klasma.github.io/Logging_2481/kartor/A 43734-2021 karta.png", "A 43734-2021")</f>
        <v/>
      </c>
      <c r="V22">
        <f>HYPERLINK("https://klasma.github.io/Logging_2481/klagomål/A 43734-2021 FSC-klagomål.docx", "A 43734-2021")</f>
        <v/>
      </c>
      <c r="W22">
        <f>HYPERLINK("https://klasma.github.io/Logging_2481/klagomålsmail/A 43734-2021 FSC-klagomål mail.docx", "A 43734-2021")</f>
        <v/>
      </c>
      <c r="X22">
        <f>HYPERLINK("https://klasma.github.io/Logging_2481/tillsyn/A 43734-2021 tillsynsbegäran.docx", "A 43734-2021")</f>
        <v/>
      </c>
      <c r="Y22">
        <f>HYPERLINK("https://klasma.github.io/Logging_2481/tillsynsmail/A 43734-2021 tillsynsbegäran mail.docx", "A 43734-2021")</f>
        <v/>
      </c>
    </row>
    <row r="23" ht="15" customHeight="1">
      <c r="A23" t="inlineStr">
        <is>
          <t>A 38157-2023</t>
        </is>
      </c>
      <c r="B23" s="1" t="n">
        <v>45161</v>
      </c>
      <c r="C23" s="1" t="n">
        <v>45849</v>
      </c>
      <c r="D23" t="inlineStr">
        <is>
          <t>VÄSTERBOTTENS LÄN</t>
        </is>
      </c>
      <c r="E23" t="inlineStr">
        <is>
          <t>LYCKSELE</t>
        </is>
      </c>
      <c r="G23" t="n">
        <v>6.4</v>
      </c>
      <c r="H23" t="n">
        <v>4</v>
      </c>
      <c r="I23" t="n">
        <v>1</v>
      </c>
      <c r="J23" t="n">
        <v>7</v>
      </c>
      <c r="K23" t="n">
        <v>1</v>
      </c>
      <c r="L23" t="n">
        <v>0</v>
      </c>
      <c r="M23" t="n">
        <v>0</v>
      </c>
      <c r="N23" t="n">
        <v>0</v>
      </c>
      <c r="O23" t="n">
        <v>8</v>
      </c>
      <c r="P23" t="n">
        <v>1</v>
      </c>
      <c r="Q23" t="n">
        <v>9</v>
      </c>
      <c r="R23" s="2" t="inlineStr">
        <is>
          <t>Laxporing
Garnlav
Granticka
Spillkråka
Talltita
Tretåig hackspett
Ullticka
Videsparv
Vedticka</t>
        </is>
      </c>
      <c r="S23">
        <f>HYPERLINK("https://klasma.github.io/Logging_2481/artfynd/A 38157-2023 artfynd.xlsx", "A 38157-2023")</f>
        <v/>
      </c>
      <c r="T23">
        <f>HYPERLINK("https://klasma.github.io/Logging_2481/kartor/A 38157-2023 karta.png", "A 38157-2023")</f>
        <v/>
      </c>
      <c r="V23">
        <f>HYPERLINK("https://klasma.github.io/Logging_2481/klagomål/A 38157-2023 FSC-klagomål.docx", "A 38157-2023")</f>
        <v/>
      </c>
      <c r="W23">
        <f>HYPERLINK("https://klasma.github.io/Logging_2481/klagomålsmail/A 38157-2023 FSC-klagomål mail.docx", "A 38157-2023")</f>
        <v/>
      </c>
      <c r="X23">
        <f>HYPERLINK("https://klasma.github.io/Logging_2481/tillsyn/A 38157-2023 tillsynsbegäran.docx", "A 38157-2023")</f>
        <v/>
      </c>
      <c r="Y23">
        <f>HYPERLINK("https://klasma.github.io/Logging_2481/tillsynsmail/A 38157-2023 tillsynsbegäran mail.docx", "A 38157-2023")</f>
        <v/>
      </c>
      <c r="Z23">
        <f>HYPERLINK("https://klasma.github.io/Logging_2481/fåglar/A 38157-2023 prioriterade fågelarter.docx", "A 38157-2023")</f>
        <v/>
      </c>
    </row>
    <row r="24" ht="15" customHeight="1">
      <c r="A24" t="inlineStr">
        <is>
          <t>A 55094-2023</t>
        </is>
      </c>
      <c r="B24" s="1" t="n">
        <v>45237</v>
      </c>
      <c r="C24" s="1" t="n">
        <v>45849</v>
      </c>
      <c r="D24" t="inlineStr">
        <is>
          <t>VÄSTERBOTTENS LÄN</t>
        </is>
      </c>
      <c r="E24" t="inlineStr">
        <is>
          <t>LYCKSELE</t>
        </is>
      </c>
      <c r="F24" t="inlineStr">
        <is>
          <t>Sveaskog</t>
        </is>
      </c>
      <c r="G24" t="n">
        <v>22</v>
      </c>
      <c r="H24" t="n">
        <v>6</v>
      </c>
      <c r="I24" t="n">
        <v>6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9</v>
      </c>
      <c r="R24" s="2" t="inlineStr">
        <is>
          <t>Gräsull
Guckusko
Korallrot
Spindelblomster
Tibast
Ögonpyrola
Brudsporre
Fläcknycklar
Revlummer</t>
        </is>
      </c>
      <c r="S24">
        <f>HYPERLINK("https://klasma.github.io/Logging_2481/artfynd/A 55094-2023 artfynd.xlsx", "A 55094-2023")</f>
        <v/>
      </c>
      <c r="T24">
        <f>HYPERLINK("https://klasma.github.io/Logging_2481/kartor/A 55094-2023 karta.png", "A 55094-2023")</f>
        <v/>
      </c>
      <c r="V24">
        <f>HYPERLINK("https://klasma.github.io/Logging_2481/klagomål/A 55094-2023 FSC-klagomål.docx", "A 55094-2023")</f>
        <v/>
      </c>
      <c r="W24">
        <f>HYPERLINK("https://klasma.github.io/Logging_2481/klagomålsmail/A 55094-2023 FSC-klagomål mail.docx", "A 55094-2023")</f>
        <v/>
      </c>
      <c r="X24">
        <f>HYPERLINK("https://klasma.github.io/Logging_2481/tillsyn/A 55094-2023 tillsynsbegäran.docx", "A 55094-2023")</f>
        <v/>
      </c>
      <c r="Y24">
        <f>HYPERLINK("https://klasma.github.io/Logging_2481/tillsynsmail/A 55094-2023 tillsynsbegäran mail.docx", "A 55094-2023")</f>
        <v/>
      </c>
    </row>
    <row r="25" ht="15" customHeight="1">
      <c r="A25" t="inlineStr">
        <is>
          <t>A 1828-2024</t>
        </is>
      </c>
      <c r="B25" s="1" t="n">
        <v>45307</v>
      </c>
      <c r="C25" s="1" t="n">
        <v>45849</v>
      </c>
      <c r="D25" t="inlineStr">
        <is>
          <t>VÄSTERBOTTENS LÄN</t>
        </is>
      </c>
      <c r="E25" t="inlineStr">
        <is>
          <t>LYCKSELE</t>
        </is>
      </c>
      <c r="F25" t="inlineStr">
        <is>
          <t>Sveaskog</t>
        </is>
      </c>
      <c r="G25" t="n">
        <v>20</v>
      </c>
      <c r="H25" t="n">
        <v>0</v>
      </c>
      <c r="I25" t="n">
        <v>0</v>
      </c>
      <c r="J25" t="n">
        <v>6</v>
      </c>
      <c r="K25" t="n">
        <v>3</v>
      </c>
      <c r="L25" t="n">
        <v>0</v>
      </c>
      <c r="M25" t="n">
        <v>0</v>
      </c>
      <c r="N25" t="n">
        <v>0</v>
      </c>
      <c r="O25" t="n">
        <v>9</v>
      </c>
      <c r="P25" t="n">
        <v>3</v>
      </c>
      <c r="Q25" t="n">
        <v>9</v>
      </c>
      <c r="R25" s="2" t="inlineStr">
        <is>
          <t>Spadskinn
Tallmusseron
Torrmusseron
Blå taggsvamp
Dvärgbägarlav
Skrovlig taggsvamp
Svartvit taggsvamp
Tallriska
Vaddporing</t>
        </is>
      </c>
      <c r="S25">
        <f>HYPERLINK("https://klasma.github.io/Logging_2481/artfynd/A 1828-2024 artfynd.xlsx", "A 1828-2024")</f>
        <v/>
      </c>
      <c r="T25">
        <f>HYPERLINK("https://klasma.github.io/Logging_2481/kartor/A 1828-2024 karta.png", "A 1828-2024")</f>
        <v/>
      </c>
      <c r="V25">
        <f>HYPERLINK("https://klasma.github.io/Logging_2481/klagomål/A 1828-2024 FSC-klagomål.docx", "A 1828-2024")</f>
        <v/>
      </c>
      <c r="W25">
        <f>HYPERLINK("https://klasma.github.io/Logging_2481/klagomålsmail/A 1828-2024 FSC-klagomål mail.docx", "A 1828-2024")</f>
        <v/>
      </c>
      <c r="X25">
        <f>HYPERLINK("https://klasma.github.io/Logging_2481/tillsyn/A 1828-2024 tillsynsbegäran.docx", "A 1828-2024")</f>
        <v/>
      </c>
      <c r="Y25">
        <f>HYPERLINK("https://klasma.github.io/Logging_2481/tillsynsmail/A 1828-2024 tillsynsbegäran mail.docx", "A 1828-2024")</f>
        <v/>
      </c>
    </row>
    <row r="26" ht="15" customHeight="1">
      <c r="A26" t="inlineStr">
        <is>
          <t>A 68176-2019</t>
        </is>
      </c>
      <c r="B26" s="1" t="n">
        <v>43817</v>
      </c>
      <c r="C26" s="1" t="n">
        <v>45849</v>
      </c>
      <c r="D26" t="inlineStr">
        <is>
          <t>VÄSTERBOTTENS LÄN</t>
        </is>
      </c>
      <c r="E26" t="inlineStr">
        <is>
          <t>LYCKSELE</t>
        </is>
      </c>
      <c r="F26" t="inlineStr">
        <is>
          <t>Sveaskog</t>
        </is>
      </c>
      <c r="G26" t="n">
        <v>44.2</v>
      </c>
      <c r="H26" t="n">
        <v>3</v>
      </c>
      <c r="I26" t="n">
        <v>4</v>
      </c>
      <c r="J26" t="n">
        <v>3</v>
      </c>
      <c r="K26" t="n">
        <v>1</v>
      </c>
      <c r="L26" t="n">
        <v>0</v>
      </c>
      <c r="M26" t="n">
        <v>0</v>
      </c>
      <c r="N26" t="n">
        <v>0</v>
      </c>
      <c r="O26" t="n">
        <v>4</v>
      </c>
      <c r="P26" t="n">
        <v>1</v>
      </c>
      <c r="Q26" t="n">
        <v>8</v>
      </c>
      <c r="R26" s="2" t="inlineStr">
        <is>
          <t>Doftticka
Lunglav
Tretåig hackspett
Ullticka
Dvärgtufs
Plattlummer
Skinnlav
Stuplav</t>
        </is>
      </c>
      <c r="S26">
        <f>HYPERLINK("https://klasma.github.io/Logging_2481/artfynd/A 68176-2019 artfynd.xlsx", "A 68176-2019")</f>
        <v/>
      </c>
      <c r="T26">
        <f>HYPERLINK("https://klasma.github.io/Logging_2481/kartor/A 68176-2019 karta.png", "A 68176-2019")</f>
        <v/>
      </c>
      <c r="V26">
        <f>HYPERLINK("https://klasma.github.io/Logging_2481/klagomål/A 68176-2019 FSC-klagomål.docx", "A 68176-2019")</f>
        <v/>
      </c>
      <c r="W26">
        <f>HYPERLINK("https://klasma.github.io/Logging_2481/klagomålsmail/A 68176-2019 FSC-klagomål mail.docx", "A 68176-2019")</f>
        <v/>
      </c>
      <c r="X26">
        <f>HYPERLINK("https://klasma.github.io/Logging_2481/tillsyn/A 68176-2019 tillsynsbegäran.docx", "A 68176-2019")</f>
        <v/>
      </c>
      <c r="Y26">
        <f>HYPERLINK("https://klasma.github.io/Logging_2481/tillsynsmail/A 68176-2019 tillsynsbegäran mail.docx", "A 68176-2019")</f>
        <v/>
      </c>
      <c r="Z26">
        <f>HYPERLINK("https://klasma.github.io/Logging_2481/fåglar/A 68176-2019 prioriterade fågelarter.docx", "A 68176-2019")</f>
        <v/>
      </c>
    </row>
    <row r="27" ht="15" customHeight="1">
      <c r="A27" t="inlineStr">
        <is>
          <t>A 63588-2021</t>
        </is>
      </c>
      <c r="B27" s="1" t="n">
        <v>44508</v>
      </c>
      <c r="C27" s="1" t="n">
        <v>45849</v>
      </c>
      <c r="D27" t="inlineStr">
        <is>
          <t>VÄSTERBOTTENS LÄN</t>
        </is>
      </c>
      <c r="E27" t="inlineStr">
        <is>
          <t>LYCKSELE</t>
        </is>
      </c>
      <c r="G27" t="n">
        <v>5.8</v>
      </c>
      <c r="H27" t="n">
        <v>0</v>
      </c>
      <c r="I27" t="n">
        <v>1</v>
      </c>
      <c r="J27" t="n">
        <v>7</v>
      </c>
      <c r="K27" t="n">
        <v>0</v>
      </c>
      <c r="L27" t="n">
        <v>0</v>
      </c>
      <c r="M27" t="n">
        <v>0</v>
      </c>
      <c r="N27" t="n">
        <v>0</v>
      </c>
      <c r="O27" t="n">
        <v>7</v>
      </c>
      <c r="P27" t="n">
        <v>0</v>
      </c>
      <c r="Q27" t="n">
        <v>8</v>
      </c>
      <c r="R27" s="2" t="inlineStr">
        <is>
          <t>Blå taggsvamp
Garnlav
Leptoporus mollis
Orange taggsvamp
Rosenticka
Ullticka
Vitgrynig nållav
Dropptaggsvamp</t>
        </is>
      </c>
      <c r="S27">
        <f>HYPERLINK("https://klasma.github.io/Logging_2481/artfynd/A 63588-2021 artfynd.xlsx", "A 63588-2021")</f>
        <v/>
      </c>
      <c r="T27">
        <f>HYPERLINK("https://klasma.github.io/Logging_2481/kartor/A 63588-2021 karta.png", "A 63588-2021")</f>
        <v/>
      </c>
      <c r="V27">
        <f>HYPERLINK("https://klasma.github.io/Logging_2481/klagomål/A 63588-2021 FSC-klagomål.docx", "A 63588-2021")</f>
        <v/>
      </c>
      <c r="W27">
        <f>HYPERLINK("https://klasma.github.io/Logging_2481/klagomålsmail/A 63588-2021 FSC-klagomål mail.docx", "A 63588-2021")</f>
        <v/>
      </c>
      <c r="X27">
        <f>HYPERLINK("https://klasma.github.io/Logging_2481/tillsyn/A 63588-2021 tillsynsbegäran.docx", "A 63588-2021")</f>
        <v/>
      </c>
      <c r="Y27">
        <f>HYPERLINK("https://klasma.github.io/Logging_2481/tillsynsmail/A 63588-2021 tillsynsbegäran mail.docx", "A 63588-2021")</f>
        <v/>
      </c>
    </row>
    <row r="28" ht="15" customHeight="1">
      <c r="A28" t="inlineStr">
        <is>
          <t>A 9327-2022</t>
        </is>
      </c>
      <c r="B28" s="1" t="n">
        <v>44616</v>
      </c>
      <c r="C28" s="1" t="n">
        <v>45849</v>
      </c>
      <c r="D28" t="inlineStr">
        <is>
          <t>VÄSTERBOTTENS LÄN</t>
        </is>
      </c>
      <c r="E28" t="inlineStr">
        <is>
          <t>LYCKSELE</t>
        </is>
      </c>
      <c r="G28" t="n">
        <v>10.1</v>
      </c>
      <c r="H28" t="n">
        <v>4</v>
      </c>
      <c r="I28" t="n">
        <v>0</v>
      </c>
      <c r="J28" t="n">
        <v>6</v>
      </c>
      <c r="K28" t="n">
        <v>1</v>
      </c>
      <c r="L28" t="n">
        <v>0</v>
      </c>
      <c r="M28" t="n">
        <v>0</v>
      </c>
      <c r="N28" t="n">
        <v>0</v>
      </c>
      <c r="O28" t="n">
        <v>7</v>
      </c>
      <c r="P28" t="n">
        <v>1</v>
      </c>
      <c r="Q28" t="n">
        <v>8</v>
      </c>
      <c r="R28" s="2" t="inlineStr">
        <is>
          <t>Rynkskinn
Garnlav
Granticka
Spillkråka
Talltita
Tretåig hackspett
Ullticka
Fläcknycklar</t>
        </is>
      </c>
      <c r="S28">
        <f>HYPERLINK("https://klasma.github.io/Logging_2481/artfynd/A 9327-2022 artfynd.xlsx", "A 9327-2022")</f>
        <v/>
      </c>
      <c r="T28">
        <f>HYPERLINK("https://klasma.github.io/Logging_2481/kartor/A 9327-2022 karta.png", "A 9327-2022")</f>
        <v/>
      </c>
      <c r="V28">
        <f>HYPERLINK("https://klasma.github.io/Logging_2481/klagomål/A 9327-2022 FSC-klagomål.docx", "A 9327-2022")</f>
        <v/>
      </c>
      <c r="W28">
        <f>HYPERLINK("https://klasma.github.io/Logging_2481/klagomålsmail/A 9327-2022 FSC-klagomål mail.docx", "A 9327-2022")</f>
        <v/>
      </c>
      <c r="X28">
        <f>HYPERLINK("https://klasma.github.io/Logging_2481/tillsyn/A 9327-2022 tillsynsbegäran.docx", "A 9327-2022")</f>
        <v/>
      </c>
      <c r="Y28">
        <f>HYPERLINK("https://klasma.github.io/Logging_2481/tillsynsmail/A 9327-2022 tillsynsbegäran mail.docx", "A 9327-2022")</f>
        <v/>
      </c>
      <c r="Z28">
        <f>HYPERLINK("https://klasma.github.io/Logging_2481/fåglar/A 9327-2022 prioriterade fågelarter.docx", "A 9327-2022")</f>
        <v/>
      </c>
    </row>
    <row r="29" ht="15" customHeight="1">
      <c r="A29" t="inlineStr">
        <is>
          <t>A 36650-2023</t>
        </is>
      </c>
      <c r="B29" s="1" t="n">
        <v>45152</v>
      </c>
      <c r="C29" s="1" t="n">
        <v>45849</v>
      </c>
      <c r="D29" t="inlineStr">
        <is>
          <t>VÄSTERBOTTENS LÄN</t>
        </is>
      </c>
      <c r="E29" t="inlineStr">
        <is>
          <t>LYCKSELE</t>
        </is>
      </c>
      <c r="G29" t="n">
        <v>6.8</v>
      </c>
      <c r="H29" t="n">
        <v>2</v>
      </c>
      <c r="I29" t="n">
        <v>2</v>
      </c>
      <c r="J29" t="n">
        <v>5</v>
      </c>
      <c r="K29" t="n">
        <v>0</v>
      </c>
      <c r="L29" t="n">
        <v>0</v>
      </c>
      <c r="M29" t="n">
        <v>0</v>
      </c>
      <c r="N29" t="n">
        <v>0</v>
      </c>
      <c r="O29" t="n">
        <v>5</v>
      </c>
      <c r="P29" t="n">
        <v>0</v>
      </c>
      <c r="Q29" t="n">
        <v>8</v>
      </c>
      <c r="R29" s="2" t="inlineStr">
        <is>
          <t>Doftskinn
Garnlav
Granticka
Lunglav
Tretåig hackspett
Norrlandslav
Skinnlav
Revlummer</t>
        </is>
      </c>
      <c r="S29">
        <f>HYPERLINK("https://klasma.github.io/Logging_2481/artfynd/A 36650-2023 artfynd.xlsx", "A 36650-2023")</f>
        <v/>
      </c>
      <c r="T29">
        <f>HYPERLINK("https://klasma.github.io/Logging_2481/kartor/A 36650-2023 karta.png", "A 36650-2023")</f>
        <v/>
      </c>
      <c r="V29">
        <f>HYPERLINK("https://klasma.github.io/Logging_2481/klagomål/A 36650-2023 FSC-klagomål.docx", "A 36650-2023")</f>
        <v/>
      </c>
      <c r="W29">
        <f>HYPERLINK("https://klasma.github.io/Logging_2481/klagomålsmail/A 36650-2023 FSC-klagomål mail.docx", "A 36650-2023")</f>
        <v/>
      </c>
      <c r="X29">
        <f>HYPERLINK("https://klasma.github.io/Logging_2481/tillsyn/A 36650-2023 tillsynsbegäran.docx", "A 36650-2023")</f>
        <v/>
      </c>
      <c r="Y29">
        <f>HYPERLINK("https://klasma.github.io/Logging_2481/tillsynsmail/A 36650-2023 tillsynsbegäran mail.docx", "A 36650-2023")</f>
        <v/>
      </c>
      <c r="Z29">
        <f>HYPERLINK("https://klasma.github.io/Logging_2481/fåglar/A 36650-2023 prioriterade fågelarter.docx", "A 36650-2023")</f>
        <v/>
      </c>
    </row>
    <row r="30" ht="15" customHeight="1">
      <c r="A30" t="inlineStr">
        <is>
          <t>A 6948-2024</t>
        </is>
      </c>
      <c r="B30" s="1" t="n">
        <v>45343</v>
      </c>
      <c r="C30" s="1" t="n">
        <v>45849</v>
      </c>
      <c r="D30" t="inlineStr">
        <is>
          <t>VÄSTERBOTTENS LÄN</t>
        </is>
      </c>
      <c r="E30" t="inlineStr">
        <is>
          <t>LYCKSELE</t>
        </is>
      </c>
      <c r="G30" t="n">
        <v>16.6</v>
      </c>
      <c r="H30" t="n">
        <v>0</v>
      </c>
      <c r="I30" t="n">
        <v>1</v>
      </c>
      <c r="J30" t="n">
        <v>4</v>
      </c>
      <c r="K30" t="n">
        <v>3</v>
      </c>
      <c r="L30" t="n">
        <v>0</v>
      </c>
      <c r="M30" t="n">
        <v>0</v>
      </c>
      <c r="N30" t="n">
        <v>0</v>
      </c>
      <c r="O30" t="n">
        <v>7</v>
      </c>
      <c r="P30" t="n">
        <v>3</v>
      </c>
      <c r="Q30" t="n">
        <v>8</v>
      </c>
      <c r="R30" s="2" t="inlineStr">
        <is>
          <t>Smalfotad taggsvamp
Tallmusseron
Torrmusseron
Dvärgbägarlav
Skrovlig taggsvamp
Talltaggsvamp
Vaddporing
Dropptaggsvamp</t>
        </is>
      </c>
      <c r="S30">
        <f>HYPERLINK("https://klasma.github.io/Logging_2481/artfynd/A 6948-2024 artfynd.xlsx", "A 6948-2024")</f>
        <v/>
      </c>
      <c r="T30">
        <f>HYPERLINK("https://klasma.github.io/Logging_2481/kartor/A 6948-2024 karta.png", "A 6948-2024")</f>
        <v/>
      </c>
      <c r="V30">
        <f>HYPERLINK("https://klasma.github.io/Logging_2481/klagomål/A 6948-2024 FSC-klagomål.docx", "A 6948-2024")</f>
        <v/>
      </c>
      <c r="W30">
        <f>HYPERLINK("https://klasma.github.io/Logging_2481/klagomålsmail/A 6948-2024 FSC-klagomål mail.docx", "A 6948-2024")</f>
        <v/>
      </c>
      <c r="X30">
        <f>HYPERLINK("https://klasma.github.io/Logging_2481/tillsyn/A 6948-2024 tillsynsbegäran.docx", "A 6948-2024")</f>
        <v/>
      </c>
      <c r="Y30">
        <f>HYPERLINK("https://klasma.github.io/Logging_2481/tillsynsmail/A 6948-2024 tillsynsbegäran mail.docx", "A 6948-2024")</f>
        <v/>
      </c>
    </row>
    <row r="31" ht="15" customHeight="1">
      <c r="A31" t="inlineStr">
        <is>
          <t>A 33691-2024</t>
        </is>
      </c>
      <c r="B31" s="1" t="n">
        <v>45520</v>
      </c>
      <c r="C31" s="1" t="n">
        <v>45849</v>
      </c>
      <c r="D31" t="inlineStr">
        <is>
          <t>VÄSTERBOTTENS LÄN</t>
        </is>
      </c>
      <c r="E31" t="inlineStr">
        <is>
          <t>LYCKSELE</t>
        </is>
      </c>
      <c r="F31" t="inlineStr">
        <is>
          <t>Sveaskog</t>
        </is>
      </c>
      <c r="G31" t="n">
        <v>18.4</v>
      </c>
      <c r="H31" t="n">
        <v>1</v>
      </c>
      <c r="I31" t="n">
        <v>2</v>
      </c>
      <c r="J31" t="n">
        <v>6</v>
      </c>
      <c r="K31" t="n">
        <v>0</v>
      </c>
      <c r="L31" t="n">
        <v>0</v>
      </c>
      <c r="M31" t="n">
        <v>0</v>
      </c>
      <c r="N31" t="n">
        <v>0</v>
      </c>
      <c r="O31" t="n">
        <v>6</v>
      </c>
      <c r="P31" t="n">
        <v>0</v>
      </c>
      <c r="Q31" t="n">
        <v>8</v>
      </c>
      <c r="R31" s="2" t="inlineStr">
        <is>
          <t>Garnlav
Granticka
Lunglav
Rosenticka
Skrovellav
Talltita
Bårdlav
Stor aspticka</t>
        </is>
      </c>
      <c r="S31">
        <f>HYPERLINK("https://klasma.github.io/Logging_2481/artfynd/A 33691-2024 artfynd.xlsx", "A 33691-2024")</f>
        <v/>
      </c>
      <c r="T31">
        <f>HYPERLINK("https://klasma.github.io/Logging_2481/kartor/A 33691-2024 karta.png", "A 33691-2024")</f>
        <v/>
      </c>
      <c r="V31">
        <f>HYPERLINK("https://klasma.github.io/Logging_2481/klagomål/A 33691-2024 FSC-klagomål.docx", "A 33691-2024")</f>
        <v/>
      </c>
      <c r="W31">
        <f>HYPERLINK("https://klasma.github.io/Logging_2481/klagomålsmail/A 33691-2024 FSC-klagomål mail.docx", "A 33691-2024")</f>
        <v/>
      </c>
      <c r="X31">
        <f>HYPERLINK("https://klasma.github.io/Logging_2481/tillsyn/A 33691-2024 tillsynsbegäran.docx", "A 33691-2024")</f>
        <v/>
      </c>
      <c r="Y31">
        <f>HYPERLINK("https://klasma.github.io/Logging_2481/tillsynsmail/A 33691-2024 tillsynsbegäran mail.docx", "A 33691-2024")</f>
        <v/>
      </c>
      <c r="Z31">
        <f>HYPERLINK("https://klasma.github.io/Logging_2481/fåglar/A 33691-2024 prioriterade fågelarter.docx", "A 33691-2024")</f>
        <v/>
      </c>
    </row>
    <row r="32" ht="15" customHeight="1">
      <c r="A32" t="inlineStr">
        <is>
          <t>A 2110-2025</t>
        </is>
      </c>
      <c r="B32" s="1" t="n">
        <v>45672</v>
      </c>
      <c r="C32" s="1" t="n">
        <v>45849</v>
      </c>
      <c r="D32" t="inlineStr">
        <is>
          <t>VÄSTERBOTTENS LÄN</t>
        </is>
      </c>
      <c r="E32" t="inlineStr">
        <is>
          <t>LYCKSELE</t>
        </is>
      </c>
      <c r="G32" t="n">
        <v>11.6</v>
      </c>
      <c r="H32" t="n">
        <v>0</v>
      </c>
      <c r="I32" t="n">
        <v>1</v>
      </c>
      <c r="J32" t="n">
        <v>7</v>
      </c>
      <c r="K32" t="n">
        <v>0</v>
      </c>
      <c r="L32" t="n">
        <v>0</v>
      </c>
      <c r="M32" t="n">
        <v>0</v>
      </c>
      <c r="N32" t="n">
        <v>0</v>
      </c>
      <c r="O32" t="n">
        <v>7</v>
      </c>
      <c r="P32" t="n">
        <v>0</v>
      </c>
      <c r="Q32" t="n">
        <v>8</v>
      </c>
      <c r="R32" s="2" t="inlineStr">
        <is>
          <t>Brunpudrad nållav
Gammelgransskål
Garnlav
Granticka
Knottrig blåslav
Lunglav
Rödbrun blekspik
Trådticka</t>
        </is>
      </c>
      <c r="S32">
        <f>HYPERLINK("https://klasma.github.io/Logging_2481/artfynd/A 2110-2025 artfynd.xlsx", "A 2110-2025")</f>
        <v/>
      </c>
      <c r="T32">
        <f>HYPERLINK("https://klasma.github.io/Logging_2481/kartor/A 2110-2025 karta.png", "A 2110-2025")</f>
        <v/>
      </c>
      <c r="V32">
        <f>HYPERLINK("https://klasma.github.io/Logging_2481/klagomål/A 2110-2025 FSC-klagomål.docx", "A 2110-2025")</f>
        <v/>
      </c>
      <c r="W32">
        <f>HYPERLINK("https://klasma.github.io/Logging_2481/klagomålsmail/A 2110-2025 FSC-klagomål mail.docx", "A 2110-2025")</f>
        <v/>
      </c>
      <c r="X32">
        <f>HYPERLINK("https://klasma.github.io/Logging_2481/tillsyn/A 2110-2025 tillsynsbegäran.docx", "A 2110-2025")</f>
        <v/>
      </c>
      <c r="Y32">
        <f>HYPERLINK("https://klasma.github.io/Logging_2481/tillsynsmail/A 2110-2025 tillsynsbegäran mail.docx", "A 2110-2025")</f>
        <v/>
      </c>
    </row>
    <row r="33" ht="15" customHeight="1">
      <c r="A33" t="inlineStr">
        <is>
          <t>A 6514-2025</t>
        </is>
      </c>
      <c r="B33" s="1" t="n">
        <v>45699</v>
      </c>
      <c r="C33" s="1" t="n">
        <v>45849</v>
      </c>
      <c r="D33" t="inlineStr">
        <is>
          <t>VÄSTERBOTTENS LÄN</t>
        </is>
      </c>
      <c r="E33" t="inlineStr">
        <is>
          <t>LYCKSELE</t>
        </is>
      </c>
      <c r="F33" t="inlineStr">
        <is>
          <t>Övriga Aktiebolag</t>
        </is>
      </c>
      <c r="G33" t="n">
        <v>12.3</v>
      </c>
      <c r="H33" t="n">
        <v>1</v>
      </c>
      <c r="I33" t="n">
        <v>2</v>
      </c>
      <c r="J33" t="n">
        <v>5</v>
      </c>
      <c r="K33" t="n">
        <v>0</v>
      </c>
      <c r="L33" t="n">
        <v>0</v>
      </c>
      <c r="M33" t="n">
        <v>0</v>
      </c>
      <c r="N33" t="n">
        <v>0</v>
      </c>
      <c r="O33" t="n">
        <v>5</v>
      </c>
      <c r="P33" t="n">
        <v>0</v>
      </c>
      <c r="Q33" t="n">
        <v>8</v>
      </c>
      <c r="R33" s="2" t="inlineStr">
        <is>
          <t>Gammelgransskål
Garnlav
Lunglav
Vedflamlav
Vedflikmossa
Bårdlav
Stuplav
Revlummer</t>
        </is>
      </c>
      <c r="S33">
        <f>HYPERLINK("https://klasma.github.io/Logging_2481/artfynd/A 6514-2025 artfynd.xlsx", "A 6514-2025")</f>
        <v/>
      </c>
      <c r="T33">
        <f>HYPERLINK("https://klasma.github.io/Logging_2481/kartor/A 6514-2025 karta.png", "A 6514-2025")</f>
        <v/>
      </c>
      <c r="V33">
        <f>HYPERLINK("https://klasma.github.io/Logging_2481/klagomål/A 6514-2025 FSC-klagomål.docx", "A 6514-2025")</f>
        <v/>
      </c>
      <c r="W33">
        <f>HYPERLINK("https://klasma.github.io/Logging_2481/klagomålsmail/A 6514-2025 FSC-klagomål mail.docx", "A 6514-2025")</f>
        <v/>
      </c>
      <c r="X33">
        <f>HYPERLINK("https://klasma.github.io/Logging_2481/tillsyn/A 6514-2025 tillsynsbegäran.docx", "A 6514-2025")</f>
        <v/>
      </c>
      <c r="Y33">
        <f>HYPERLINK("https://klasma.github.io/Logging_2481/tillsynsmail/A 6514-2025 tillsynsbegäran mail.docx", "A 6514-2025")</f>
        <v/>
      </c>
    </row>
    <row r="34" ht="15" customHeight="1">
      <c r="A34" t="inlineStr">
        <is>
          <t>A 30689-2025</t>
        </is>
      </c>
      <c r="B34" s="1" t="n">
        <v>45831</v>
      </c>
      <c r="C34" s="1" t="n">
        <v>45849</v>
      </c>
      <c r="D34" t="inlineStr">
        <is>
          <t>VÄSTERBOTTENS LÄN</t>
        </is>
      </c>
      <c r="E34" t="inlineStr">
        <is>
          <t>LYCKSELE</t>
        </is>
      </c>
      <c r="F34" t="inlineStr">
        <is>
          <t>Sveaskog</t>
        </is>
      </c>
      <c r="G34" t="n">
        <v>9.1</v>
      </c>
      <c r="H34" t="n">
        <v>0</v>
      </c>
      <c r="I34" t="n">
        <v>3</v>
      </c>
      <c r="J34" t="n">
        <v>5</v>
      </c>
      <c r="K34" t="n">
        <v>0</v>
      </c>
      <c r="L34" t="n">
        <v>0</v>
      </c>
      <c r="M34" t="n">
        <v>0</v>
      </c>
      <c r="N34" t="n">
        <v>0</v>
      </c>
      <c r="O34" t="n">
        <v>5</v>
      </c>
      <c r="P34" t="n">
        <v>0</v>
      </c>
      <c r="Q34" t="n">
        <v>8</v>
      </c>
      <c r="R34" s="2" t="inlineStr">
        <is>
          <t>Gammelgransskål
Garnlav
Granticka
Lunglav
Violettgrå tagellav
Luddlav
Stuplav
Vedticka</t>
        </is>
      </c>
      <c r="S34">
        <f>HYPERLINK("https://klasma.github.io/Logging_242481/artfynd/A 30689-2025 artfynd.xlsx", "A 30689-2025")</f>
        <v/>
      </c>
      <c r="T34">
        <f>HYPERLINK("https://klasma.github.io/Logging_242481/kartor/A 30689-2025 karta.png", "A 30689-2025")</f>
        <v/>
      </c>
      <c r="V34">
        <f>HYPERLINK("https://klasma.github.io/Logging_242481/klagomål/A 30689-2025 FSC-klagomål.docx", "A 30689-2025")</f>
        <v/>
      </c>
      <c r="W34">
        <f>HYPERLINK("https://klasma.github.io/Logging_242481/klagomålsmail/A 30689-2025 FSC-klagomål mail.docx", "A 30689-2025")</f>
        <v/>
      </c>
      <c r="X34">
        <f>HYPERLINK("https://klasma.github.io/Logging_242481/tillsyn/A 30689-2025 tillsynsbegäran.docx", "A 30689-2025")</f>
        <v/>
      </c>
      <c r="Y34">
        <f>HYPERLINK("https://klasma.github.io/Logging_242481/tillsynsmail/A 30689-2025 tillsynsbegäran mail.docx", "A 30689-2025")</f>
        <v/>
      </c>
    </row>
    <row r="35" ht="15" customHeight="1">
      <c r="A35" t="inlineStr">
        <is>
          <t>A 18771-2019</t>
        </is>
      </c>
      <c r="B35" s="1" t="n">
        <v>43560</v>
      </c>
      <c r="C35" s="1" t="n">
        <v>45849</v>
      </c>
      <c r="D35" t="inlineStr">
        <is>
          <t>VÄSTERBOTTENS LÄN</t>
        </is>
      </c>
      <c r="E35" t="inlineStr">
        <is>
          <t>LYCKSELE</t>
        </is>
      </c>
      <c r="F35" t="inlineStr">
        <is>
          <t>SCA</t>
        </is>
      </c>
      <c r="G35" t="n">
        <v>2</v>
      </c>
      <c r="H35" t="n">
        <v>0</v>
      </c>
      <c r="I35" t="n">
        <v>3</v>
      </c>
      <c r="J35" t="n">
        <v>4</v>
      </c>
      <c r="K35" t="n">
        <v>0</v>
      </c>
      <c r="L35" t="n">
        <v>0</v>
      </c>
      <c r="M35" t="n">
        <v>0</v>
      </c>
      <c r="N35" t="n">
        <v>0</v>
      </c>
      <c r="O35" t="n">
        <v>4</v>
      </c>
      <c r="P35" t="n">
        <v>0</v>
      </c>
      <c r="Q35" t="n">
        <v>7</v>
      </c>
      <c r="R35" s="2" t="inlineStr">
        <is>
          <t>Garnlav
Granticka
Ullticka
Veckticka
Norrlandslav
Stuplav
Vågbandad barkbock</t>
        </is>
      </c>
      <c r="S35">
        <f>HYPERLINK("https://klasma.github.io/Logging_2481/artfynd/A 18771-2019 artfynd.xlsx", "A 18771-2019")</f>
        <v/>
      </c>
      <c r="T35">
        <f>HYPERLINK("https://klasma.github.io/Logging_2481/kartor/A 18771-2019 karta.png", "A 18771-2019")</f>
        <v/>
      </c>
      <c r="V35">
        <f>HYPERLINK("https://klasma.github.io/Logging_2481/klagomål/A 18771-2019 FSC-klagomål.docx", "A 18771-2019")</f>
        <v/>
      </c>
      <c r="W35">
        <f>HYPERLINK("https://klasma.github.io/Logging_2481/klagomålsmail/A 18771-2019 FSC-klagomål mail.docx", "A 18771-2019")</f>
        <v/>
      </c>
      <c r="X35">
        <f>HYPERLINK("https://klasma.github.io/Logging_2481/tillsyn/A 18771-2019 tillsynsbegäran.docx", "A 18771-2019")</f>
        <v/>
      </c>
      <c r="Y35">
        <f>HYPERLINK("https://klasma.github.io/Logging_2481/tillsynsmail/A 18771-2019 tillsynsbegäran mail.docx", "A 18771-2019")</f>
        <v/>
      </c>
    </row>
    <row r="36" ht="15" customHeight="1">
      <c r="A36" t="inlineStr">
        <is>
          <t>A 54435-2019</t>
        </is>
      </c>
      <c r="B36" s="1" t="n">
        <v>43747</v>
      </c>
      <c r="C36" s="1" t="n">
        <v>45849</v>
      </c>
      <c r="D36" t="inlineStr">
        <is>
          <t>VÄSTERBOTTENS LÄN</t>
        </is>
      </c>
      <c r="E36" t="inlineStr">
        <is>
          <t>LYCKSELE</t>
        </is>
      </c>
      <c r="G36" t="n">
        <v>10.5</v>
      </c>
      <c r="H36" t="n">
        <v>3</v>
      </c>
      <c r="I36" t="n">
        <v>1</v>
      </c>
      <c r="J36" t="n">
        <v>5</v>
      </c>
      <c r="K36" t="n">
        <v>0</v>
      </c>
      <c r="L36" t="n">
        <v>0</v>
      </c>
      <c r="M36" t="n">
        <v>0</v>
      </c>
      <c r="N36" t="n">
        <v>0</v>
      </c>
      <c r="O36" t="n">
        <v>5</v>
      </c>
      <c r="P36" t="n">
        <v>0</v>
      </c>
      <c r="Q36" t="n">
        <v>7</v>
      </c>
      <c r="R36" s="2" t="inlineStr">
        <is>
          <t>Garnlav
Järpe
Lunglav
Spillkråka
Ullticka
Vedticka
Fläcknycklar</t>
        </is>
      </c>
      <c r="S36">
        <f>HYPERLINK("https://klasma.github.io/Logging_2481/artfynd/A 54435-2019 artfynd.xlsx", "A 54435-2019")</f>
        <v/>
      </c>
      <c r="T36">
        <f>HYPERLINK("https://klasma.github.io/Logging_2481/kartor/A 54435-2019 karta.png", "A 54435-2019")</f>
        <v/>
      </c>
      <c r="V36">
        <f>HYPERLINK("https://klasma.github.io/Logging_2481/klagomål/A 54435-2019 FSC-klagomål.docx", "A 54435-2019")</f>
        <v/>
      </c>
      <c r="W36">
        <f>HYPERLINK("https://klasma.github.io/Logging_2481/klagomålsmail/A 54435-2019 FSC-klagomål mail.docx", "A 54435-2019")</f>
        <v/>
      </c>
      <c r="X36">
        <f>HYPERLINK("https://klasma.github.io/Logging_2481/tillsyn/A 54435-2019 tillsynsbegäran.docx", "A 54435-2019")</f>
        <v/>
      </c>
      <c r="Y36">
        <f>HYPERLINK("https://klasma.github.io/Logging_2481/tillsynsmail/A 54435-2019 tillsynsbegäran mail.docx", "A 54435-2019")</f>
        <v/>
      </c>
      <c r="Z36">
        <f>HYPERLINK("https://klasma.github.io/Logging_2481/fåglar/A 54435-2019 prioriterade fågelarter.docx", "A 54435-2019")</f>
        <v/>
      </c>
    </row>
    <row r="37" ht="15" customHeight="1">
      <c r="A37" t="inlineStr">
        <is>
          <t>A 48782-2020</t>
        </is>
      </c>
      <c r="B37" s="1" t="n">
        <v>44103</v>
      </c>
      <c r="C37" s="1" t="n">
        <v>45849</v>
      </c>
      <c r="D37" t="inlineStr">
        <is>
          <t>VÄSTERBOTTENS LÄN</t>
        </is>
      </c>
      <c r="E37" t="inlineStr">
        <is>
          <t>LYCKSELE</t>
        </is>
      </c>
      <c r="F37" t="inlineStr">
        <is>
          <t>Sveaskog</t>
        </is>
      </c>
      <c r="G37" t="n">
        <v>2.1</v>
      </c>
      <c r="H37" t="n">
        <v>0</v>
      </c>
      <c r="I37" t="n">
        <v>1</v>
      </c>
      <c r="J37" t="n">
        <v>6</v>
      </c>
      <c r="K37" t="n">
        <v>0</v>
      </c>
      <c r="L37" t="n">
        <v>0</v>
      </c>
      <c r="M37" t="n">
        <v>0</v>
      </c>
      <c r="N37" t="n">
        <v>0</v>
      </c>
      <c r="O37" t="n">
        <v>6</v>
      </c>
      <c r="P37" t="n">
        <v>0</v>
      </c>
      <c r="Q37" t="n">
        <v>7</v>
      </c>
      <c r="R37" s="2" t="inlineStr">
        <is>
          <t>Gammelgransskål
Garnlav
Granticka
Gränsticka
Ullticka
Vedskivlav
Bronshjon</t>
        </is>
      </c>
      <c r="S37">
        <f>HYPERLINK("https://klasma.github.io/Logging_2481/artfynd/A 48782-2020 artfynd.xlsx", "A 48782-2020")</f>
        <v/>
      </c>
      <c r="T37">
        <f>HYPERLINK("https://klasma.github.io/Logging_2481/kartor/A 48782-2020 karta.png", "A 48782-2020")</f>
        <v/>
      </c>
      <c r="V37">
        <f>HYPERLINK("https://klasma.github.io/Logging_2481/klagomål/A 48782-2020 FSC-klagomål.docx", "A 48782-2020")</f>
        <v/>
      </c>
      <c r="W37">
        <f>HYPERLINK("https://klasma.github.io/Logging_2481/klagomålsmail/A 48782-2020 FSC-klagomål mail.docx", "A 48782-2020")</f>
        <v/>
      </c>
      <c r="X37">
        <f>HYPERLINK("https://klasma.github.io/Logging_2481/tillsyn/A 48782-2020 tillsynsbegäran.docx", "A 48782-2020")</f>
        <v/>
      </c>
      <c r="Y37">
        <f>HYPERLINK("https://klasma.github.io/Logging_2481/tillsynsmail/A 48782-2020 tillsynsbegäran mail.docx", "A 48782-2020")</f>
        <v/>
      </c>
    </row>
    <row r="38" ht="15" customHeight="1">
      <c r="A38" t="inlineStr">
        <is>
          <t>A 50008-2020</t>
        </is>
      </c>
      <c r="B38" s="1" t="n">
        <v>44109</v>
      </c>
      <c r="C38" s="1" t="n">
        <v>45849</v>
      </c>
      <c r="D38" t="inlineStr">
        <is>
          <t>VÄSTERBOTTENS LÄN</t>
        </is>
      </c>
      <c r="E38" t="inlineStr">
        <is>
          <t>LYCKSELE</t>
        </is>
      </c>
      <c r="F38" t="inlineStr">
        <is>
          <t>Sveaskog</t>
        </is>
      </c>
      <c r="G38" t="n">
        <v>1.3</v>
      </c>
      <c r="H38" t="n">
        <v>3</v>
      </c>
      <c r="I38" t="n">
        <v>0</v>
      </c>
      <c r="J38" t="n">
        <v>5</v>
      </c>
      <c r="K38" t="n">
        <v>2</v>
      </c>
      <c r="L38" t="n">
        <v>0</v>
      </c>
      <c r="M38" t="n">
        <v>0</v>
      </c>
      <c r="N38" t="n">
        <v>0</v>
      </c>
      <c r="O38" t="n">
        <v>7</v>
      </c>
      <c r="P38" t="n">
        <v>2</v>
      </c>
      <c r="Q38" t="n">
        <v>7</v>
      </c>
      <c r="R38" s="2" t="inlineStr">
        <is>
          <t>Doftticka
Knärot
Garnlav
Granticka
Lunglav
Tretåig hackspett
Ullticka</t>
        </is>
      </c>
      <c r="S38">
        <f>HYPERLINK("https://klasma.github.io/Logging_2481/artfynd/A 50008-2020 artfynd.xlsx", "A 50008-2020")</f>
        <v/>
      </c>
      <c r="T38">
        <f>HYPERLINK("https://klasma.github.io/Logging_2481/kartor/A 50008-2020 karta.png", "A 50008-2020")</f>
        <v/>
      </c>
      <c r="U38">
        <f>HYPERLINK("https://klasma.github.io/Logging_2481/knärot/A 50008-2020 karta knärot.png", "A 50008-2020")</f>
        <v/>
      </c>
      <c r="V38">
        <f>HYPERLINK("https://klasma.github.io/Logging_2481/klagomål/A 50008-2020 FSC-klagomål.docx", "A 50008-2020")</f>
        <v/>
      </c>
      <c r="W38">
        <f>HYPERLINK("https://klasma.github.io/Logging_2481/klagomålsmail/A 50008-2020 FSC-klagomål mail.docx", "A 50008-2020")</f>
        <v/>
      </c>
      <c r="X38">
        <f>HYPERLINK("https://klasma.github.io/Logging_2481/tillsyn/A 50008-2020 tillsynsbegäran.docx", "A 50008-2020")</f>
        <v/>
      </c>
      <c r="Y38">
        <f>HYPERLINK("https://klasma.github.io/Logging_2481/tillsynsmail/A 50008-2020 tillsynsbegäran mail.docx", "A 50008-2020")</f>
        <v/>
      </c>
      <c r="Z38">
        <f>HYPERLINK("https://klasma.github.io/Logging_2481/fåglar/A 50008-2020 prioriterade fågelarter.docx", "A 50008-2020")</f>
        <v/>
      </c>
    </row>
    <row r="39" ht="15" customHeight="1">
      <c r="A39" t="inlineStr">
        <is>
          <t>A 40101-2022</t>
        </is>
      </c>
      <c r="B39" s="1" t="n">
        <v>44820</v>
      </c>
      <c r="C39" s="1" t="n">
        <v>45849</v>
      </c>
      <c r="D39" t="inlineStr">
        <is>
          <t>VÄSTERBOTTENS LÄN</t>
        </is>
      </c>
      <c r="E39" t="inlineStr">
        <is>
          <t>LYCKSELE</t>
        </is>
      </c>
      <c r="F39" t="inlineStr">
        <is>
          <t>Sveaskog</t>
        </is>
      </c>
      <c r="G39" t="n">
        <v>28.5</v>
      </c>
      <c r="H39" t="n">
        <v>0</v>
      </c>
      <c r="I39" t="n">
        <v>1</v>
      </c>
      <c r="J39" t="n">
        <v>5</v>
      </c>
      <c r="K39" t="n">
        <v>1</v>
      </c>
      <c r="L39" t="n">
        <v>0</v>
      </c>
      <c r="M39" t="n">
        <v>0</v>
      </c>
      <c r="N39" t="n">
        <v>0</v>
      </c>
      <c r="O39" t="n">
        <v>6</v>
      </c>
      <c r="P39" t="n">
        <v>1</v>
      </c>
      <c r="Q39" t="n">
        <v>7</v>
      </c>
      <c r="R39" s="2" t="inlineStr">
        <is>
          <t>Gräddporing
Garnlav
Kolflarnlav
Motaggsvamp
Orange taggsvamp
Skrovellav
Skarp dropptaggsvamp</t>
        </is>
      </c>
      <c r="S39">
        <f>HYPERLINK("https://klasma.github.io/Logging_2481/artfynd/A 40101-2022 artfynd.xlsx", "A 40101-2022")</f>
        <v/>
      </c>
      <c r="T39">
        <f>HYPERLINK("https://klasma.github.io/Logging_2481/kartor/A 40101-2022 karta.png", "A 40101-2022")</f>
        <v/>
      </c>
      <c r="V39">
        <f>HYPERLINK("https://klasma.github.io/Logging_2481/klagomål/A 40101-2022 FSC-klagomål.docx", "A 40101-2022")</f>
        <v/>
      </c>
      <c r="W39">
        <f>HYPERLINK("https://klasma.github.io/Logging_2481/klagomålsmail/A 40101-2022 FSC-klagomål mail.docx", "A 40101-2022")</f>
        <v/>
      </c>
      <c r="X39">
        <f>HYPERLINK("https://klasma.github.io/Logging_2481/tillsyn/A 40101-2022 tillsynsbegäran.docx", "A 40101-2022")</f>
        <v/>
      </c>
      <c r="Y39">
        <f>HYPERLINK("https://klasma.github.io/Logging_2481/tillsynsmail/A 40101-2022 tillsynsbegäran mail.docx", "A 40101-2022")</f>
        <v/>
      </c>
    </row>
    <row r="40" ht="15" customHeight="1">
      <c r="A40" t="inlineStr">
        <is>
          <t>A 24811-2024</t>
        </is>
      </c>
      <c r="B40" s="1" t="n">
        <v>45461</v>
      </c>
      <c r="C40" s="1" t="n">
        <v>45849</v>
      </c>
      <c r="D40" t="inlineStr">
        <is>
          <t>VÄSTERBOTTENS LÄN</t>
        </is>
      </c>
      <c r="E40" t="inlineStr">
        <is>
          <t>LYCKSELE</t>
        </is>
      </c>
      <c r="F40" t="inlineStr">
        <is>
          <t>SCA</t>
        </is>
      </c>
      <c r="G40" t="n">
        <v>3.8</v>
      </c>
      <c r="H40" t="n">
        <v>0</v>
      </c>
      <c r="I40" t="n">
        <v>2</v>
      </c>
      <c r="J40" t="n">
        <v>4</v>
      </c>
      <c r="K40" t="n">
        <v>1</v>
      </c>
      <c r="L40" t="n">
        <v>0</v>
      </c>
      <c r="M40" t="n">
        <v>0</v>
      </c>
      <c r="N40" t="n">
        <v>0</v>
      </c>
      <c r="O40" t="n">
        <v>5</v>
      </c>
      <c r="P40" t="n">
        <v>1</v>
      </c>
      <c r="Q40" t="n">
        <v>7</v>
      </c>
      <c r="R40" s="2" t="inlineStr">
        <is>
          <t>Smalfotad taggsvamp
Blanksvart spiklav
Nordlig nållav
Skrovlig taggsvamp
Svartvit taggsvamp
Dropptaggsvamp
Mörkhövdad spiklav</t>
        </is>
      </c>
      <c r="S40">
        <f>HYPERLINK("https://klasma.github.io/Logging_2481/artfynd/A 24811-2024 artfynd.xlsx", "A 24811-2024")</f>
        <v/>
      </c>
      <c r="T40">
        <f>HYPERLINK("https://klasma.github.io/Logging_2481/kartor/A 24811-2024 karta.png", "A 24811-2024")</f>
        <v/>
      </c>
      <c r="V40">
        <f>HYPERLINK("https://klasma.github.io/Logging_2481/klagomål/A 24811-2024 FSC-klagomål.docx", "A 24811-2024")</f>
        <v/>
      </c>
      <c r="W40">
        <f>HYPERLINK("https://klasma.github.io/Logging_2481/klagomålsmail/A 24811-2024 FSC-klagomål mail.docx", "A 24811-2024")</f>
        <v/>
      </c>
      <c r="X40">
        <f>HYPERLINK("https://klasma.github.io/Logging_2481/tillsyn/A 24811-2024 tillsynsbegäran.docx", "A 24811-2024")</f>
        <v/>
      </c>
      <c r="Y40">
        <f>HYPERLINK("https://klasma.github.io/Logging_2481/tillsynsmail/A 24811-2024 tillsynsbegäran mail.docx", "A 24811-2024")</f>
        <v/>
      </c>
    </row>
    <row r="41" ht="15" customHeight="1">
      <c r="A41" t="inlineStr">
        <is>
          <t>A 36120-2024</t>
        </is>
      </c>
      <c r="B41" s="1" t="n">
        <v>45534</v>
      </c>
      <c r="C41" s="1" t="n">
        <v>45849</v>
      </c>
      <c r="D41" t="inlineStr">
        <is>
          <t>VÄSTERBOTTENS LÄN</t>
        </is>
      </c>
      <c r="E41" t="inlineStr">
        <is>
          <t>LYCKSELE</t>
        </is>
      </c>
      <c r="F41" t="inlineStr">
        <is>
          <t>Sveaskog</t>
        </is>
      </c>
      <c r="G41" t="n">
        <v>4.2</v>
      </c>
      <c r="H41" t="n">
        <v>0</v>
      </c>
      <c r="I41" t="n">
        <v>3</v>
      </c>
      <c r="J41" t="n">
        <v>3</v>
      </c>
      <c r="K41" t="n">
        <v>1</v>
      </c>
      <c r="L41" t="n">
        <v>0</v>
      </c>
      <c r="M41" t="n">
        <v>0</v>
      </c>
      <c r="N41" t="n">
        <v>0</v>
      </c>
      <c r="O41" t="n">
        <v>4</v>
      </c>
      <c r="P41" t="n">
        <v>1</v>
      </c>
      <c r="Q41" t="n">
        <v>7</v>
      </c>
      <c r="R41" s="2" t="inlineStr">
        <is>
          <t>Rynkskinn
Garnlav
Lunglav
Rosenticka
Blodticka
Dropptaggsvamp
Skarp dropptaggsvamp</t>
        </is>
      </c>
      <c r="S41">
        <f>HYPERLINK("https://klasma.github.io/Logging_2481/artfynd/A 36120-2024 artfynd.xlsx", "A 36120-2024")</f>
        <v/>
      </c>
      <c r="T41">
        <f>HYPERLINK("https://klasma.github.io/Logging_2481/kartor/A 36120-2024 karta.png", "A 36120-2024")</f>
        <v/>
      </c>
      <c r="V41">
        <f>HYPERLINK("https://klasma.github.io/Logging_2481/klagomål/A 36120-2024 FSC-klagomål.docx", "A 36120-2024")</f>
        <v/>
      </c>
      <c r="W41">
        <f>HYPERLINK("https://klasma.github.io/Logging_2481/klagomålsmail/A 36120-2024 FSC-klagomål mail.docx", "A 36120-2024")</f>
        <v/>
      </c>
      <c r="X41">
        <f>HYPERLINK("https://klasma.github.io/Logging_2481/tillsyn/A 36120-2024 tillsynsbegäran.docx", "A 36120-2024")</f>
        <v/>
      </c>
      <c r="Y41">
        <f>HYPERLINK("https://klasma.github.io/Logging_2481/tillsynsmail/A 36120-2024 tillsynsbegäran mail.docx", "A 36120-2024")</f>
        <v/>
      </c>
    </row>
    <row r="42" ht="15" customHeight="1">
      <c r="A42" t="inlineStr">
        <is>
          <t>A 34015-2025</t>
        </is>
      </c>
      <c r="B42" s="1" t="n">
        <v>45845</v>
      </c>
      <c r="C42" s="1" t="n">
        <v>45849</v>
      </c>
      <c r="D42" t="inlineStr">
        <is>
          <t>VÄSTERBOTTENS LÄN</t>
        </is>
      </c>
      <c r="E42" t="inlineStr">
        <is>
          <t>LYCKSELE</t>
        </is>
      </c>
      <c r="F42" t="inlineStr">
        <is>
          <t>Sveaskog</t>
        </is>
      </c>
      <c r="G42" t="n">
        <v>10.4</v>
      </c>
      <c r="H42" t="n">
        <v>3</v>
      </c>
      <c r="I42" t="n">
        <v>0</v>
      </c>
      <c r="J42" t="n">
        <v>5</v>
      </c>
      <c r="K42" t="n">
        <v>0</v>
      </c>
      <c r="L42" t="n">
        <v>0</v>
      </c>
      <c r="M42" t="n">
        <v>0</v>
      </c>
      <c r="N42" t="n">
        <v>0</v>
      </c>
      <c r="O42" t="n">
        <v>5</v>
      </c>
      <c r="P42" t="n">
        <v>0</v>
      </c>
      <c r="Q42" t="n">
        <v>7</v>
      </c>
      <c r="R42" s="2" t="inlineStr">
        <is>
          <t>Gammelgransskål
Garnlav
Tallriska
Tretåig hackspett
Vitgrynig nållav
Huggorm
Revlummer</t>
        </is>
      </c>
      <c r="S42">
        <f>HYPERLINK("https://klasma.github.io/Logging_242481/artfynd/A 34015-2025 artfynd.xlsx", "A 34015-2025")</f>
        <v/>
      </c>
      <c r="T42">
        <f>HYPERLINK("https://klasma.github.io/Logging_242481/kartor/A 34015-2025 karta.png", "A 34015-2025")</f>
        <v/>
      </c>
      <c r="V42">
        <f>HYPERLINK("https://klasma.github.io/Logging_242481/klagomål/A 34015-2025 FSC-klagomål.docx", "A 34015-2025")</f>
        <v/>
      </c>
      <c r="W42">
        <f>HYPERLINK("https://klasma.github.io/Logging_242481/klagomålsmail/A 34015-2025 FSC-klagomål mail.docx", "A 34015-2025")</f>
        <v/>
      </c>
      <c r="X42">
        <f>HYPERLINK("https://klasma.github.io/Logging_242481/tillsyn/A 34015-2025 tillsynsbegäran.docx", "A 34015-2025")</f>
        <v/>
      </c>
      <c r="Y42">
        <f>HYPERLINK("https://klasma.github.io/Logging_242481/tillsynsmail/A 34015-2025 tillsynsbegäran mail.docx", "A 34015-2025")</f>
        <v/>
      </c>
      <c r="Z42">
        <f>HYPERLINK("https://klasma.github.io/Logging_242481/fåglar/A 34015-2025 prioriterade fågelarter.docx", "A 34015-2025")</f>
        <v/>
      </c>
    </row>
    <row r="43" ht="15" customHeight="1">
      <c r="A43" t="inlineStr">
        <is>
          <t>A 55329-2019</t>
        </is>
      </c>
      <c r="B43" s="1" t="n">
        <v>43756</v>
      </c>
      <c r="C43" s="1" t="n">
        <v>45849</v>
      </c>
      <c r="D43" t="inlineStr">
        <is>
          <t>VÄSTERBOTTENS LÄN</t>
        </is>
      </c>
      <c r="E43" t="inlineStr">
        <is>
          <t>LYCKSELE</t>
        </is>
      </c>
      <c r="F43" t="inlineStr">
        <is>
          <t>Sveaskog</t>
        </is>
      </c>
      <c r="G43" t="n">
        <v>7.4</v>
      </c>
      <c r="H43" t="n">
        <v>3</v>
      </c>
      <c r="I43" t="n">
        <v>0</v>
      </c>
      <c r="J43" t="n">
        <v>4</v>
      </c>
      <c r="K43" t="n">
        <v>0</v>
      </c>
      <c r="L43" t="n">
        <v>0</v>
      </c>
      <c r="M43" t="n">
        <v>0</v>
      </c>
      <c r="N43" t="n">
        <v>0</v>
      </c>
      <c r="O43" t="n">
        <v>4</v>
      </c>
      <c r="P43" t="n">
        <v>0</v>
      </c>
      <c r="Q43" t="n">
        <v>6</v>
      </c>
      <c r="R43" s="2" t="inlineStr">
        <is>
          <t>Garnlav
Granticka
Spillkråka
Ullticka
Lavskrika
Revlummer</t>
        </is>
      </c>
      <c r="S43">
        <f>HYPERLINK("https://klasma.github.io/Logging_2481/artfynd/A 55329-2019 artfynd.xlsx", "A 55329-2019")</f>
        <v/>
      </c>
      <c r="T43">
        <f>HYPERLINK("https://klasma.github.io/Logging_2481/kartor/A 55329-2019 karta.png", "A 55329-2019")</f>
        <v/>
      </c>
      <c r="V43">
        <f>HYPERLINK("https://klasma.github.io/Logging_2481/klagomål/A 55329-2019 FSC-klagomål.docx", "A 55329-2019")</f>
        <v/>
      </c>
      <c r="W43">
        <f>HYPERLINK("https://klasma.github.io/Logging_2481/klagomålsmail/A 55329-2019 FSC-klagomål mail.docx", "A 55329-2019")</f>
        <v/>
      </c>
      <c r="X43">
        <f>HYPERLINK("https://klasma.github.io/Logging_2481/tillsyn/A 55329-2019 tillsynsbegäran.docx", "A 55329-2019")</f>
        <v/>
      </c>
      <c r="Y43">
        <f>HYPERLINK("https://klasma.github.io/Logging_2481/tillsynsmail/A 55329-2019 tillsynsbegäran mail.docx", "A 55329-2019")</f>
        <v/>
      </c>
      <c r="Z43">
        <f>HYPERLINK("https://klasma.github.io/Logging_2481/fåglar/A 55329-2019 prioriterade fågelarter.docx", "A 55329-2019")</f>
        <v/>
      </c>
    </row>
    <row r="44" ht="15" customHeight="1">
      <c r="A44" t="inlineStr">
        <is>
          <t>A 50012-2020</t>
        </is>
      </c>
      <c r="B44" s="1" t="n">
        <v>44109</v>
      </c>
      <c r="C44" s="1" t="n">
        <v>45849</v>
      </c>
      <c r="D44" t="inlineStr">
        <is>
          <t>VÄSTERBOTTENS LÄN</t>
        </is>
      </c>
      <c r="E44" t="inlineStr">
        <is>
          <t>LYCKSELE</t>
        </is>
      </c>
      <c r="F44" t="inlineStr">
        <is>
          <t>Sveaskog</t>
        </is>
      </c>
      <c r="G44" t="n">
        <v>5.7</v>
      </c>
      <c r="H44" t="n">
        <v>2</v>
      </c>
      <c r="I44" t="n">
        <v>2</v>
      </c>
      <c r="J44" t="n">
        <v>2</v>
      </c>
      <c r="K44" t="n">
        <v>0</v>
      </c>
      <c r="L44" t="n">
        <v>0</v>
      </c>
      <c r="M44" t="n">
        <v>0</v>
      </c>
      <c r="N44" t="n">
        <v>0</v>
      </c>
      <c r="O44" t="n">
        <v>2</v>
      </c>
      <c r="P44" t="n">
        <v>0</v>
      </c>
      <c r="Q44" t="n">
        <v>6</v>
      </c>
      <c r="R44" s="2" t="inlineStr">
        <is>
          <t>Garnlav
Lunglav
Luddlav
Stuplav
Fläcknycklar
Revlummer</t>
        </is>
      </c>
      <c r="S44">
        <f>HYPERLINK("https://klasma.github.io/Logging_2481/artfynd/A 50012-2020 artfynd.xlsx", "A 50012-2020")</f>
        <v/>
      </c>
      <c r="T44">
        <f>HYPERLINK("https://klasma.github.io/Logging_2481/kartor/A 50012-2020 karta.png", "A 50012-2020")</f>
        <v/>
      </c>
      <c r="V44">
        <f>HYPERLINK("https://klasma.github.io/Logging_2481/klagomål/A 50012-2020 FSC-klagomål.docx", "A 50012-2020")</f>
        <v/>
      </c>
      <c r="W44">
        <f>HYPERLINK("https://klasma.github.io/Logging_2481/klagomålsmail/A 50012-2020 FSC-klagomål mail.docx", "A 50012-2020")</f>
        <v/>
      </c>
      <c r="X44">
        <f>HYPERLINK("https://klasma.github.io/Logging_2481/tillsyn/A 50012-2020 tillsynsbegäran.docx", "A 50012-2020")</f>
        <v/>
      </c>
      <c r="Y44">
        <f>HYPERLINK("https://klasma.github.io/Logging_2481/tillsynsmail/A 50012-2020 tillsynsbegäran mail.docx", "A 50012-2020")</f>
        <v/>
      </c>
    </row>
    <row r="45" ht="15" customHeight="1">
      <c r="A45" t="inlineStr">
        <is>
          <t>A 31722-2022</t>
        </is>
      </c>
      <c r="B45" s="1" t="n">
        <v>44776</v>
      </c>
      <c r="C45" s="1" t="n">
        <v>45849</v>
      </c>
      <c r="D45" t="inlineStr">
        <is>
          <t>VÄSTERBOTTENS LÄN</t>
        </is>
      </c>
      <c r="E45" t="inlineStr">
        <is>
          <t>LYCKSELE</t>
        </is>
      </c>
      <c r="G45" t="n">
        <v>11.2</v>
      </c>
      <c r="H45" t="n">
        <v>1</v>
      </c>
      <c r="I45" t="n">
        <v>0</v>
      </c>
      <c r="J45" t="n">
        <v>5</v>
      </c>
      <c r="K45" t="n">
        <v>0</v>
      </c>
      <c r="L45" t="n">
        <v>0</v>
      </c>
      <c r="M45" t="n">
        <v>0</v>
      </c>
      <c r="N45" t="n">
        <v>0</v>
      </c>
      <c r="O45" t="n">
        <v>5</v>
      </c>
      <c r="P45" t="n">
        <v>0</v>
      </c>
      <c r="Q45" t="n">
        <v>6</v>
      </c>
      <c r="R45" s="2" t="inlineStr">
        <is>
          <t>Gammelgransskål
Garnlav
Gränsticka
Ullticka
Vitgrynig nållav
Fläcknycklar</t>
        </is>
      </c>
      <c r="S45">
        <f>HYPERLINK("https://klasma.github.io/Logging_2481/artfynd/A 31722-2022 artfynd.xlsx", "A 31722-2022")</f>
        <v/>
      </c>
      <c r="T45">
        <f>HYPERLINK("https://klasma.github.io/Logging_2481/kartor/A 31722-2022 karta.png", "A 31722-2022")</f>
        <v/>
      </c>
      <c r="V45">
        <f>HYPERLINK("https://klasma.github.io/Logging_2481/klagomål/A 31722-2022 FSC-klagomål.docx", "A 31722-2022")</f>
        <v/>
      </c>
      <c r="W45">
        <f>HYPERLINK("https://klasma.github.io/Logging_2481/klagomålsmail/A 31722-2022 FSC-klagomål mail.docx", "A 31722-2022")</f>
        <v/>
      </c>
      <c r="X45">
        <f>HYPERLINK("https://klasma.github.io/Logging_2481/tillsyn/A 31722-2022 tillsynsbegäran.docx", "A 31722-2022")</f>
        <v/>
      </c>
      <c r="Y45">
        <f>HYPERLINK("https://klasma.github.io/Logging_2481/tillsynsmail/A 31722-2022 tillsynsbegäran mail.docx", "A 31722-2022")</f>
        <v/>
      </c>
    </row>
    <row r="46" ht="15" customHeight="1">
      <c r="A46" t="inlineStr">
        <is>
          <t>A 11189-2023</t>
        </is>
      </c>
      <c r="B46" s="1" t="n">
        <v>44987</v>
      </c>
      <c r="C46" s="1" t="n">
        <v>45849</v>
      </c>
      <c r="D46" t="inlineStr">
        <is>
          <t>VÄSTERBOTTENS LÄN</t>
        </is>
      </c>
      <c r="E46" t="inlineStr">
        <is>
          <t>LYCKSELE</t>
        </is>
      </c>
      <c r="G46" t="n">
        <v>1.3</v>
      </c>
      <c r="H46" t="n">
        <v>2</v>
      </c>
      <c r="I46" t="n">
        <v>2</v>
      </c>
      <c r="J46" t="n">
        <v>4</v>
      </c>
      <c r="K46" t="n">
        <v>0</v>
      </c>
      <c r="L46" t="n">
        <v>0</v>
      </c>
      <c r="M46" t="n">
        <v>0</v>
      </c>
      <c r="N46" t="n">
        <v>0</v>
      </c>
      <c r="O46" t="n">
        <v>4</v>
      </c>
      <c r="P46" t="n">
        <v>0</v>
      </c>
      <c r="Q46" t="n">
        <v>6</v>
      </c>
      <c r="R46" s="2" t="inlineStr">
        <is>
          <t>Gammelgransskål
Spillkråka
Svart taggsvamp
Vitgrynig nållav
Dropptaggsvamp
Plattlummer</t>
        </is>
      </c>
      <c r="S46">
        <f>HYPERLINK("https://klasma.github.io/Logging_2481/artfynd/A 11189-2023 artfynd.xlsx", "A 11189-2023")</f>
        <v/>
      </c>
      <c r="T46">
        <f>HYPERLINK("https://klasma.github.io/Logging_2481/kartor/A 11189-2023 karta.png", "A 11189-2023")</f>
        <v/>
      </c>
      <c r="V46">
        <f>HYPERLINK("https://klasma.github.io/Logging_2481/klagomål/A 11189-2023 FSC-klagomål.docx", "A 11189-2023")</f>
        <v/>
      </c>
      <c r="W46">
        <f>HYPERLINK("https://klasma.github.io/Logging_2481/klagomålsmail/A 11189-2023 FSC-klagomål mail.docx", "A 11189-2023")</f>
        <v/>
      </c>
      <c r="X46">
        <f>HYPERLINK("https://klasma.github.io/Logging_2481/tillsyn/A 11189-2023 tillsynsbegäran.docx", "A 11189-2023")</f>
        <v/>
      </c>
      <c r="Y46">
        <f>HYPERLINK("https://klasma.github.io/Logging_2481/tillsynsmail/A 11189-2023 tillsynsbegäran mail.docx", "A 11189-2023")</f>
        <v/>
      </c>
      <c r="Z46">
        <f>HYPERLINK("https://klasma.github.io/Logging_2481/fåglar/A 11189-2023 prioriterade fågelarter.docx", "A 11189-2023")</f>
        <v/>
      </c>
    </row>
    <row r="47" ht="15" customHeight="1">
      <c r="A47" t="inlineStr">
        <is>
          <t>A 33589-2024</t>
        </is>
      </c>
      <c r="B47" s="1" t="n">
        <v>45520</v>
      </c>
      <c r="C47" s="1" t="n">
        <v>45849</v>
      </c>
      <c r="D47" t="inlineStr">
        <is>
          <t>VÄSTERBOTTENS LÄN</t>
        </is>
      </c>
      <c r="E47" t="inlineStr">
        <is>
          <t>LYCKSELE</t>
        </is>
      </c>
      <c r="F47" t="inlineStr">
        <is>
          <t>Sveaskog</t>
        </is>
      </c>
      <c r="G47" t="n">
        <v>3.5</v>
      </c>
      <c r="H47" t="n">
        <v>3</v>
      </c>
      <c r="I47" t="n">
        <v>0</v>
      </c>
      <c r="J47" t="n">
        <v>4</v>
      </c>
      <c r="K47" t="n">
        <v>0</v>
      </c>
      <c r="L47" t="n">
        <v>0</v>
      </c>
      <c r="M47" t="n">
        <v>0</v>
      </c>
      <c r="N47" t="n">
        <v>0</v>
      </c>
      <c r="O47" t="n">
        <v>4</v>
      </c>
      <c r="P47" t="n">
        <v>0</v>
      </c>
      <c r="Q47" t="n">
        <v>6</v>
      </c>
      <c r="R47" s="2" t="inlineStr">
        <is>
          <t>Garnlav
Granticka
Spillkråka
Ullticka
Lavskrika
Revlummer</t>
        </is>
      </c>
      <c r="S47">
        <f>HYPERLINK("https://klasma.github.io/Logging_2481/artfynd/A 33589-2024 artfynd.xlsx", "A 33589-2024")</f>
        <v/>
      </c>
      <c r="T47">
        <f>HYPERLINK("https://klasma.github.io/Logging_2481/kartor/A 33589-2024 karta.png", "A 33589-2024")</f>
        <v/>
      </c>
      <c r="V47">
        <f>HYPERLINK("https://klasma.github.io/Logging_2481/klagomål/A 33589-2024 FSC-klagomål.docx", "A 33589-2024")</f>
        <v/>
      </c>
      <c r="W47">
        <f>HYPERLINK("https://klasma.github.io/Logging_2481/klagomålsmail/A 33589-2024 FSC-klagomål mail.docx", "A 33589-2024")</f>
        <v/>
      </c>
      <c r="X47">
        <f>HYPERLINK("https://klasma.github.io/Logging_2481/tillsyn/A 33589-2024 tillsynsbegäran.docx", "A 33589-2024")</f>
        <v/>
      </c>
      <c r="Y47">
        <f>HYPERLINK("https://klasma.github.io/Logging_2481/tillsynsmail/A 33589-2024 tillsynsbegäran mail.docx", "A 33589-2024")</f>
        <v/>
      </c>
      <c r="Z47">
        <f>HYPERLINK("https://klasma.github.io/Logging_2481/fåglar/A 33589-2024 prioriterade fågelarter.docx", "A 33589-2024")</f>
        <v/>
      </c>
    </row>
    <row r="48" ht="15" customHeight="1">
      <c r="A48" t="inlineStr">
        <is>
          <t>A 44293-2024</t>
        </is>
      </c>
      <c r="B48" s="1" t="n">
        <v>45573</v>
      </c>
      <c r="C48" s="1" t="n">
        <v>45849</v>
      </c>
      <c r="D48" t="inlineStr">
        <is>
          <t>VÄSTERBOTTENS LÄN</t>
        </is>
      </c>
      <c r="E48" t="inlineStr">
        <is>
          <t>LYCKSELE</t>
        </is>
      </c>
      <c r="F48" t="inlineStr">
        <is>
          <t>Sveaskog</t>
        </is>
      </c>
      <c r="G48" t="n">
        <v>15.4</v>
      </c>
      <c r="H48" t="n">
        <v>0</v>
      </c>
      <c r="I48" t="n">
        <v>1</v>
      </c>
      <c r="J48" t="n">
        <v>5</v>
      </c>
      <c r="K48" t="n">
        <v>0</v>
      </c>
      <c r="L48" t="n">
        <v>0</v>
      </c>
      <c r="M48" t="n">
        <v>0</v>
      </c>
      <c r="N48" t="n">
        <v>0</v>
      </c>
      <c r="O48" t="n">
        <v>5</v>
      </c>
      <c r="P48" t="n">
        <v>0</v>
      </c>
      <c r="Q48" t="n">
        <v>6</v>
      </c>
      <c r="R48" s="2" t="inlineStr">
        <is>
          <t>Blå taggsvamp
Kolflarnlav
Mörk kolflarnlav
Orange taggsvamp
Vedflamlav
Dropptaggsvamp</t>
        </is>
      </c>
      <c r="S48">
        <f>HYPERLINK("https://klasma.github.io/Logging_2481/artfynd/A 44293-2024 artfynd.xlsx", "A 44293-2024")</f>
        <v/>
      </c>
      <c r="T48">
        <f>HYPERLINK("https://klasma.github.io/Logging_2481/kartor/A 44293-2024 karta.png", "A 44293-2024")</f>
        <v/>
      </c>
      <c r="V48">
        <f>HYPERLINK("https://klasma.github.io/Logging_2481/klagomål/A 44293-2024 FSC-klagomål.docx", "A 44293-2024")</f>
        <v/>
      </c>
      <c r="W48">
        <f>HYPERLINK("https://klasma.github.io/Logging_2481/klagomålsmail/A 44293-2024 FSC-klagomål mail.docx", "A 44293-2024")</f>
        <v/>
      </c>
      <c r="X48">
        <f>HYPERLINK("https://klasma.github.io/Logging_2481/tillsyn/A 44293-2024 tillsynsbegäran.docx", "A 44293-2024")</f>
        <v/>
      </c>
      <c r="Y48">
        <f>HYPERLINK("https://klasma.github.io/Logging_2481/tillsynsmail/A 44293-2024 tillsynsbegäran mail.docx", "A 44293-2024")</f>
        <v/>
      </c>
    </row>
    <row r="49" ht="15" customHeight="1">
      <c r="A49" t="inlineStr">
        <is>
          <t>A 32758-2025</t>
        </is>
      </c>
      <c r="B49" s="1" t="n">
        <v>45839</v>
      </c>
      <c r="C49" s="1" t="n">
        <v>45849</v>
      </c>
      <c r="D49" t="inlineStr">
        <is>
          <t>VÄSTERBOTTENS LÄN</t>
        </is>
      </c>
      <c r="E49" t="inlineStr">
        <is>
          <t>LYCKSELE</t>
        </is>
      </c>
      <c r="G49" t="n">
        <v>4.5</v>
      </c>
      <c r="H49" t="n">
        <v>4</v>
      </c>
      <c r="I49" t="n">
        <v>1</v>
      </c>
      <c r="J49" t="n">
        <v>3</v>
      </c>
      <c r="K49" t="n">
        <v>0</v>
      </c>
      <c r="L49" t="n">
        <v>0</v>
      </c>
      <c r="M49" t="n">
        <v>0</v>
      </c>
      <c r="N49" t="n">
        <v>0</v>
      </c>
      <c r="O49" t="n">
        <v>3</v>
      </c>
      <c r="P49" t="n">
        <v>0</v>
      </c>
      <c r="Q49" t="n">
        <v>6</v>
      </c>
      <c r="R49" s="2" t="inlineStr">
        <is>
          <t>Gammelgransskål
Garnlav
Spillkråka
Spindelblomster
Fläcknycklar
Revlummer</t>
        </is>
      </c>
      <c r="S49">
        <f>HYPERLINK("https://klasma.github.io/Logging_242481/artfynd/A 32758-2025 artfynd.xlsx", "A 32758-2025")</f>
        <v/>
      </c>
      <c r="T49">
        <f>HYPERLINK("https://klasma.github.io/Logging_242481/kartor/A 32758-2025 karta.png", "A 32758-2025")</f>
        <v/>
      </c>
      <c r="V49">
        <f>HYPERLINK("https://klasma.github.io/Logging_242481/klagomål/A 32758-2025 FSC-klagomål.docx", "A 32758-2025")</f>
        <v/>
      </c>
      <c r="W49">
        <f>HYPERLINK("https://klasma.github.io/Logging_242481/klagomålsmail/A 32758-2025 FSC-klagomål mail.docx", "A 32758-2025")</f>
        <v/>
      </c>
      <c r="X49">
        <f>HYPERLINK("https://klasma.github.io/Logging_242481/tillsyn/A 32758-2025 tillsynsbegäran.docx", "A 32758-2025")</f>
        <v/>
      </c>
      <c r="Y49">
        <f>HYPERLINK("https://klasma.github.io/Logging_242481/tillsynsmail/A 32758-2025 tillsynsbegäran mail.docx", "A 32758-2025")</f>
        <v/>
      </c>
      <c r="Z49">
        <f>HYPERLINK("https://klasma.github.io/Logging_242481/fåglar/A 32758-2025 prioriterade fågelarter.docx", "A 32758-2025")</f>
        <v/>
      </c>
    </row>
    <row r="50" ht="15" customHeight="1">
      <c r="A50" t="inlineStr">
        <is>
          <t>A 55889-2020</t>
        </is>
      </c>
      <c r="B50" s="1" t="n">
        <v>44132</v>
      </c>
      <c r="C50" s="1" t="n">
        <v>45849</v>
      </c>
      <c r="D50" t="inlineStr">
        <is>
          <t>VÄSTERBOTTENS LÄN</t>
        </is>
      </c>
      <c r="E50" t="inlineStr">
        <is>
          <t>LYCKSELE</t>
        </is>
      </c>
      <c r="F50" t="inlineStr">
        <is>
          <t>Holmen skog AB</t>
        </is>
      </c>
      <c r="G50" t="n">
        <v>11.3</v>
      </c>
      <c r="H50" t="n">
        <v>1</v>
      </c>
      <c r="I50" t="n">
        <v>0</v>
      </c>
      <c r="J50" t="n">
        <v>5</v>
      </c>
      <c r="K50" t="n">
        <v>0</v>
      </c>
      <c r="L50" t="n">
        <v>0</v>
      </c>
      <c r="M50" t="n">
        <v>0</v>
      </c>
      <c r="N50" t="n">
        <v>0</v>
      </c>
      <c r="O50" t="n">
        <v>5</v>
      </c>
      <c r="P50" t="n">
        <v>0</v>
      </c>
      <c r="Q50" t="n">
        <v>5</v>
      </c>
      <c r="R50" s="2" t="inlineStr">
        <is>
          <t>Garnlav
Granticka
Harticka
Tretåig hackspett
Vitgrynig nållav</t>
        </is>
      </c>
      <c r="S50">
        <f>HYPERLINK("https://klasma.github.io/Logging_2481/artfynd/A 55889-2020 artfynd.xlsx", "A 55889-2020")</f>
        <v/>
      </c>
      <c r="T50">
        <f>HYPERLINK("https://klasma.github.io/Logging_2481/kartor/A 55889-2020 karta.png", "A 55889-2020")</f>
        <v/>
      </c>
      <c r="V50">
        <f>HYPERLINK("https://klasma.github.io/Logging_2481/klagomål/A 55889-2020 FSC-klagomål.docx", "A 55889-2020")</f>
        <v/>
      </c>
      <c r="W50">
        <f>HYPERLINK("https://klasma.github.io/Logging_2481/klagomålsmail/A 55889-2020 FSC-klagomål mail.docx", "A 55889-2020")</f>
        <v/>
      </c>
      <c r="X50">
        <f>HYPERLINK("https://klasma.github.io/Logging_2481/tillsyn/A 55889-2020 tillsynsbegäran.docx", "A 55889-2020")</f>
        <v/>
      </c>
      <c r="Y50">
        <f>HYPERLINK("https://klasma.github.io/Logging_2481/tillsynsmail/A 55889-2020 tillsynsbegäran mail.docx", "A 55889-2020")</f>
        <v/>
      </c>
      <c r="Z50">
        <f>HYPERLINK("https://klasma.github.io/Logging_2481/fåglar/A 55889-2020 prioriterade fågelarter.docx", "A 55889-2020")</f>
        <v/>
      </c>
    </row>
    <row r="51" ht="15" customHeight="1">
      <c r="A51" t="inlineStr">
        <is>
          <t>A 39032-2021</t>
        </is>
      </c>
      <c r="B51" s="1" t="n">
        <v>44412</v>
      </c>
      <c r="C51" s="1" t="n">
        <v>45849</v>
      </c>
      <c r="D51" t="inlineStr">
        <is>
          <t>VÄSTERBOTTENS LÄN</t>
        </is>
      </c>
      <c r="E51" t="inlineStr">
        <is>
          <t>LYCKSELE</t>
        </is>
      </c>
      <c r="F51" t="inlineStr">
        <is>
          <t>Sveaskog</t>
        </is>
      </c>
      <c r="G51" t="n">
        <v>9.300000000000001</v>
      </c>
      <c r="H51" t="n">
        <v>0</v>
      </c>
      <c r="I51" t="n">
        <v>1</v>
      </c>
      <c r="J51" t="n">
        <v>4</v>
      </c>
      <c r="K51" t="n">
        <v>0</v>
      </c>
      <c r="L51" t="n">
        <v>0</v>
      </c>
      <c r="M51" t="n">
        <v>0</v>
      </c>
      <c r="N51" t="n">
        <v>0</v>
      </c>
      <c r="O51" t="n">
        <v>4</v>
      </c>
      <c r="P51" t="n">
        <v>0</v>
      </c>
      <c r="Q51" t="n">
        <v>5</v>
      </c>
      <c r="R51" s="2" t="inlineStr">
        <is>
          <t>Dvärgbägarlav
Skrovlig taggsvamp
Talltaggsvamp
Vaddporing
Dropptaggsvamp</t>
        </is>
      </c>
      <c r="S51">
        <f>HYPERLINK("https://klasma.github.io/Logging_2481/artfynd/A 39032-2021 artfynd.xlsx", "A 39032-2021")</f>
        <v/>
      </c>
      <c r="T51">
        <f>HYPERLINK("https://klasma.github.io/Logging_2481/kartor/A 39032-2021 karta.png", "A 39032-2021")</f>
        <v/>
      </c>
      <c r="V51">
        <f>HYPERLINK("https://klasma.github.io/Logging_2481/klagomål/A 39032-2021 FSC-klagomål.docx", "A 39032-2021")</f>
        <v/>
      </c>
      <c r="W51">
        <f>HYPERLINK("https://klasma.github.io/Logging_2481/klagomålsmail/A 39032-2021 FSC-klagomål mail.docx", "A 39032-2021")</f>
        <v/>
      </c>
      <c r="X51">
        <f>HYPERLINK("https://klasma.github.io/Logging_2481/tillsyn/A 39032-2021 tillsynsbegäran.docx", "A 39032-2021")</f>
        <v/>
      </c>
      <c r="Y51">
        <f>HYPERLINK("https://klasma.github.io/Logging_2481/tillsynsmail/A 39032-2021 tillsynsbegäran mail.docx", "A 39032-2021")</f>
        <v/>
      </c>
    </row>
    <row r="52" ht="15" customHeight="1">
      <c r="A52" t="inlineStr">
        <is>
          <t>A 59920-2021</t>
        </is>
      </c>
      <c r="B52" s="1" t="n">
        <v>44494</v>
      </c>
      <c r="C52" s="1" t="n">
        <v>45849</v>
      </c>
      <c r="D52" t="inlineStr">
        <is>
          <t>VÄSTERBOTTENS LÄN</t>
        </is>
      </c>
      <c r="E52" t="inlineStr">
        <is>
          <t>LYCKSELE</t>
        </is>
      </c>
      <c r="F52" t="inlineStr">
        <is>
          <t>Sveaskog</t>
        </is>
      </c>
      <c r="G52" t="n">
        <v>4.5</v>
      </c>
      <c r="H52" t="n">
        <v>1</v>
      </c>
      <c r="I52" t="n">
        <v>1</v>
      </c>
      <c r="J52" t="n">
        <v>3</v>
      </c>
      <c r="K52" t="n">
        <v>0</v>
      </c>
      <c r="L52" t="n">
        <v>0</v>
      </c>
      <c r="M52" t="n">
        <v>0</v>
      </c>
      <c r="N52" t="n">
        <v>0</v>
      </c>
      <c r="O52" t="n">
        <v>3</v>
      </c>
      <c r="P52" t="n">
        <v>0</v>
      </c>
      <c r="Q52" t="n">
        <v>5</v>
      </c>
      <c r="R52" s="2" t="inlineStr">
        <is>
          <t>Gammelgransskål
Garnlav
Ullticka
Bronshjon
Orre</t>
        </is>
      </c>
      <c r="S52">
        <f>HYPERLINK("https://klasma.github.io/Logging_2481/artfynd/A 59920-2021 artfynd.xlsx", "A 59920-2021")</f>
        <v/>
      </c>
      <c r="T52">
        <f>HYPERLINK("https://klasma.github.io/Logging_2481/kartor/A 59920-2021 karta.png", "A 59920-2021")</f>
        <v/>
      </c>
      <c r="V52">
        <f>HYPERLINK("https://klasma.github.io/Logging_2481/klagomål/A 59920-2021 FSC-klagomål.docx", "A 59920-2021")</f>
        <v/>
      </c>
      <c r="W52">
        <f>HYPERLINK("https://klasma.github.io/Logging_2481/klagomålsmail/A 59920-2021 FSC-klagomål mail.docx", "A 59920-2021")</f>
        <v/>
      </c>
      <c r="X52">
        <f>HYPERLINK("https://klasma.github.io/Logging_2481/tillsyn/A 59920-2021 tillsynsbegäran.docx", "A 59920-2021")</f>
        <v/>
      </c>
      <c r="Y52">
        <f>HYPERLINK("https://klasma.github.io/Logging_2481/tillsynsmail/A 59920-2021 tillsynsbegäran mail.docx", "A 59920-2021")</f>
        <v/>
      </c>
      <c r="Z52">
        <f>HYPERLINK("https://klasma.github.io/Logging_2481/fåglar/A 59920-2021 prioriterade fågelarter.docx", "A 59920-2021")</f>
        <v/>
      </c>
    </row>
    <row r="53" ht="15" customHeight="1">
      <c r="A53" t="inlineStr">
        <is>
          <t>A 7976-2022</t>
        </is>
      </c>
      <c r="B53" s="1" t="n">
        <v>44609</v>
      </c>
      <c r="C53" s="1" t="n">
        <v>45849</v>
      </c>
      <c r="D53" t="inlineStr">
        <is>
          <t>VÄSTERBOTTENS LÄN</t>
        </is>
      </c>
      <c r="E53" t="inlineStr">
        <is>
          <t>LYCKSELE</t>
        </is>
      </c>
      <c r="F53" t="inlineStr">
        <is>
          <t>Sveaskog</t>
        </is>
      </c>
      <c r="G53" t="n">
        <v>5.4</v>
      </c>
      <c r="H53" t="n">
        <v>0</v>
      </c>
      <c r="I53" t="n">
        <v>1</v>
      </c>
      <c r="J53" t="n">
        <v>4</v>
      </c>
      <c r="K53" t="n">
        <v>0</v>
      </c>
      <c r="L53" t="n">
        <v>0</v>
      </c>
      <c r="M53" t="n">
        <v>0</v>
      </c>
      <c r="N53" t="n">
        <v>0</v>
      </c>
      <c r="O53" t="n">
        <v>4</v>
      </c>
      <c r="P53" t="n">
        <v>0</v>
      </c>
      <c r="Q53" t="n">
        <v>5</v>
      </c>
      <c r="R53" s="2" t="inlineStr">
        <is>
          <t>Garnlav
Lunglav
Mörk kolflarnlav
Skrovellav
Luddlav</t>
        </is>
      </c>
      <c r="S53">
        <f>HYPERLINK("https://klasma.github.io/Logging_2481/artfynd/A 7976-2022 artfynd.xlsx", "A 7976-2022")</f>
        <v/>
      </c>
      <c r="T53">
        <f>HYPERLINK("https://klasma.github.io/Logging_2481/kartor/A 7976-2022 karta.png", "A 7976-2022")</f>
        <v/>
      </c>
      <c r="V53">
        <f>HYPERLINK("https://klasma.github.io/Logging_2481/klagomål/A 7976-2022 FSC-klagomål.docx", "A 7976-2022")</f>
        <v/>
      </c>
      <c r="W53">
        <f>HYPERLINK("https://klasma.github.io/Logging_2481/klagomålsmail/A 7976-2022 FSC-klagomål mail.docx", "A 7976-2022")</f>
        <v/>
      </c>
      <c r="X53">
        <f>HYPERLINK("https://klasma.github.io/Logging_2481/tillsyn/A 7976-2022 tillsynsbegäran.docx", "A 7976-2022")</f>
        <v/>
      </c>
      <c r="Y53">
        <f>HYPERLINK("https://klasma.github.io/Logging_2481/tillsynsmail/A 7976-2022 tillsynsbegäran mail.docx", "A 7976-2022")</f>
        <v/>
      </c>
    </row>
    <row r="54" ht="15" customHeight="1">
      <c r="A54" t="inlineStr">
        <is>
          <t>A 10345-2023</t>
        </is>
      </c>
      <c r="B54" s="1" t="n">
        <v>44980</v>
      </c>
      <c r="C54" s="1" t="n">
        <v>45849</v>
      </c>
      <c r="D54" t="inlineStr">
        <is>
          <t>VÄSTERBOTTENS LÄN</t>
        </is>
      </c>
      <c r="E54" t="inlineStr">
        <is>
          <t>LYCKSELE</t>
        </is>
      </c>
      <c r="G54" t="n">
        <v>2.3</v>
      </c>
      <c r="H54" t="n">
        <v>0</v>
      </c>
      <c r="I54" t="n">
        <v>1</v>
      </c>
      <c r="J54" t="n">
        <v>4</v>
      </c>
      <c r="K54" t="n">
        <v>0</v>
      </c>
      <c r="L54" t="n">
        <v>0</v>
      </c>
      <c r="M54" t="n">
        <v>0</v>
      </c>
      <c r="N54" t="n">
        <v>0</v>
      </c>
      <c r="O54" t="n">
        <v>4</v>
      </c>
      <c r="P54" t="n">
        <v>0</v>
      </c>
      <c r="Q54" t="n">
        <v>5</v>
      </c>
      <c r="R54" s="2" t="inlineStr">
        <is>
          <t>Blå taggsvamp
Gammelgransskål
Garnlav
Orange taggsvamp
Skarp dropptaggsvamp</t>
        </is>
      </c>
      <c r="S54">
        <f>HYPERLINK("https://klasma.github.io/Logging_2481/artfynd/A 10345-2023 artfynd.xlsx", "A 10345-2023")</f>
        <v/>
      </c>
      <c r="T54">
        <f>HYPERLINK("https://klasma.github.io/Logging_2481/kartor/A 10345-2023 karta.png", "A 10345-2023")</f>
        <v/>
      </c>
      <c r="V54">
        <f>HYPERLINK("https://klasma.github.io/Logging_2481/klagomål/A 10345-2023 FSC-klagomål.docx", "A 10345-2023")</f>
        <v/>
      </c>
      <c r="W54">
        <f>HYPERLINK("https://klasma.github.io/Logging_2481/klagomålsmail/A 10345-2023 FSC-klagomål mail.docx", "A 10345-2023")</f>
        <v/>
      </c>
      <c r="X54">
        <f>HYPERLINK("https://klasma.github.io/Logging_2481/tillsyn/A 10345-2023 tillsynsbegäran.docx", "A 10345-2023")</f>
        <v/>
      </c>
      <c r="Y54">
        <f>HYPERLINK("https://klasma.github.io/Logging_2481/tillsynsmail/A 10345-2023 tillsynsbegäran mail.docx", "A 10345-2023")</f>
        <v/>
      </c>
    </row>
    <row r="55" ht="15" customHeight="1">
      <c r="A55" t="inlineStr">
        <is>
          <t>A 10386-2023</t>
        </is>
      </c>
      <c r="B55" s="1" t="n">
        <v>44981</v>
      </c>
      <c r="C55" s="1" t="n">
        <v>45849</v>
      </c>
      <c r="D55" t="inlineStr">
        <is>
          <t>VÄSTERBOTTENS LÄN</t>
        </is>
      </c>
      <c r="E55" t="inlineStr">
        <is>
          <t>LYCKSELE</t>
        </is>
      </c>
      <c r="G55" t="n">
        <v>1.1</v>
      </c>
      <c r="H55" t="n">
        <v>1</v>
      </c>
      <c r="I55" t="n">
        <v>2</v>
      </c>
      <c r="J55" t="n">
        <v>2</v>
      </c>
      <c r="K55" t="n">
        <v>0</v>
      </c>
      <c r="L55" t="n">
        <v>0</v>
      </c>
      <c r="M55" t="n">
        <v>0</v>
      </c>
      <c r="N55" t="n">
        <v>0</v>
      </c>
      <c r="O55" t="n">
        <v>2</v>
      </c>
      <c r="P55" t="n">
        <v>0</v>
      </c>
      <c r="Q55" t="n">
        <v>5</v>
      </c>
      <c r="R55" s="2" t="inlineStr">
        <is>
          <t>Garnlav
Rosenticka
Dropptaggsvamp
Norrlandslav
Tjäder</t>
        </is>
      </c>
      <c r="S55">
        <f>HYPERLINK("https://klasma.github.io/Logging_2481/artfynd/A 10386-2023 artfynd.xlsx", "A 10386-2023")</f>
        <v/>
      </c>
      <c r="T55">
        <f>HYPERLINK("https://klasma.github.io/Logging_2481/kartor/A 10386-2023 karta.png", "A 10386-2023")</f>
        <v/>
      </c>
      <c r="V55">
        <f>HYPERLINK("https://klasma.github.io/Logging_2481/klagomål/A 10386-2023 FSC-klagomål.docx", "A 10386-2023")</f>
        <v/>
      </c>
      <c r="W55">
        <f>HYPERLINK("https://klasma.github.io/Logging_2481/klagomålsmail/A 10386-2023 FSC-klagomål mail.docx", "A 10386-2023")</f>
        <v/>
      </c>
      <c r="X55">
        <f>HYPERLINK("https://klasma.github.io/Logging_2481/tillsyn/A 10386-2023 tillsynsbegäran.docx", "A 10386-2023")</f>
        <v/>
      </c>
      <c r="Y55">
        <f>HYPERLINK("https://klasma.github.io/Logging_2481/tillsynsmail/A 10386-2023 tillsynsbegäran mail.docx", "A 10386-2023")</f>
        <v/>
      </c>
      <c r="Z55">
        <f>HYPERLINK("https://klasma.github.io/Logging_2481/fåglar/A 10386-2023 prioriterade fågelarter.docx", "A 10386-2023")</f>
        <v/>
      </c>
    </row>
    <row r="56" ht="15" customHeight="1">
      <c r="A56" t="inlineStr">
        <is>
          <t>A 58205-2023</t>
        </is>
      </c>
      <c r="B56" s="1" t="n">
        <v>45250</v>
      </c>
      <c r="C56" s="1" t="n">
        <v>45849</v>
      </c>
      <c r="D56" t="inlineStr">
        <is>
          <t>VÄSTERBOTTENS LÄN</t>
        </is>
      </c>
      <c r="E56" t="inlineStr">
        <is>
          <t>LYCKSELE</t>
        </is>
      </c>
      <c r="F56" t="inlineStr">
        <is>
          <t>Sveaskog</t>
        </is>
      </c>
      <c r="G56" t="n">
        <v>3.3</v>
      </c>
      <c r="H56" t="n">
        <v>2</v>
      </c>
      <c r="I56" t="n">
        <v>0</v>
      </c>
      <c r="J56" t="n">
        <v>4</v>
      </c>
      <c r="K56" t="n">
        <v>0</v>
      </c>
      <c r="L56" t="n">
        <v>0</v>
      </c>
      <c r="M56" t="n">
        <v>0</v>
      </c>
      <c r="N56" t="n">
        <v>0</v>
      </c>
      <c r="O56" t="n">
        <v>4</v>
      </c>
      <c r="P56" t="n">
        <v>0</v>
      </c>
      <c r="Q56" t="n">
        <v>5</v>
      </c>
      <c r="R56" s="2" t="inlineStr">
        <is>
          <t>Garnlav
Reliktbock
Tallticka
Varglav
Lavskrika</t>
        </is>
      </c>
      <c r="S56">
        <f>HYPERLINK("https://klasma.github.io/Logging_2481/artfynd/A 58205-2023 artfynd.xlsx", "A 58205-2023")</f>
        <v/>
      </c>
      <c r="T56">
        <f>HYPERLINK("https://klasma.github.io/Logging_2481/kartor/A 58205-2023 karta.png", "A 58205-2023")</f>
        <v/>
      </c>
      <c r="V56">
        <f>HYPERLINK("https://klasma.github.io/Logging_2481/klagomål/A 58205-2023 FSC-klagomål.docx", "A 58205-2023")</f>
        <v/>
      </c>
      <c r="W56">
        <f>HYPERLINK("https://klasma.github.io/Logging_2481/klagomålsmail/A 58205-2023 FSC-klagomål mail.docx", "A 58205-2023")</f>
        <v/>
      </c>
      <c r="X56">
        <f>HYPERLINK("https://klasma.github.io/Logging_2481/tillsyn/A 58205-2023 tillsynsbegäran.docx", "A 58205-2023")</f>
        <v/>
      </c>
      <c r="Y56">
        <f>HYPERLINK("https://klasma.github.io/Logging_2481/tillsynsmail/A 58205-2023 tillsynsbegäran mail.docx", "A 58205-2023")</f>
        <v/>
      </c>
      <c r="Z56">
        <f>HYPERLINK("https://klasma.github.io/Logging_2481/fåglar/A 58205-2023 prioriterade fågelarter.docx", "A 58205-2023")</f>
        <v/>
      </c>
    </row>
    <row r="57" ht="15" customHeight="1">
      <c r="A57" t="inlineStr">
        <is>
          <t>A 58366-2023</t>
        </is>
      </c>
      <c r="B57" s="1" t="n">
        <v>45250</v>
      </c>
      <c r="C57" s="1" t="n">
        <v>45849</v>
      </c>
      <c r="D57" t="inlineStr">
        <is>
          <t>VÄSTERBOTTENS LÄN</t>
        </is>
      </c>
      <c r="E57" t="inlineStr">
        <is>
          <t>LYCKSELE</t>
        </is>
      </c>
      <c r="F57" t="inlineStr">
        <is>
          <t>Sveaskog</t>
        </is>
      </c>
      <c r="G57" t="n">
        <v>7</v>
      </c>
      <c r="H57" t="n">
        <v>1</v>
      </c>
      <c r="I57" t="n">
        <v>1</v>
      </c>
      <c r="J57" t="n">
        <v>3</v>
      </c>
      <c r="K57" t="n">
        <v>1</v>
      </c>
      <c r="L57" t="n">
        <v>0</v>
      </c>
      <c r="M57" t="n">
        <v>0</v>
      </c>
      <c r="N57" t="n">
        <v>0</v>
      </c>
      <c r="O57" t="n">
        <v>4</v>
      </c>
      <c r="P57" t="n">
        <v>1</v>
      </c>
      <c r="Q57" t="n">
        <v>5</v>
      </c>
      <c r="R57" s="2" t="inlineStr">
        <is>
          <t>Doftticka
Garnlav
Lunglav
Skrovellav
Stuplav</t>
        </is>
      </c>
      <c r="S57">
        <f>HYPERLINK("https://klasma.github.io/Logging_2481/artfynd/A 58366-2023 artfynd.xlsx", "A 58366-2023")</f>
        <v/>
      </c>
      <c r="T57">
        <f>HYPERLINK("https://klasma.github.io/Logging_2481/kartor/A 58366-2023 karta.png", "A 58366-2023")</f>
        <v/>
      </c>
      <c r="V57">
        <f>HYPERLINK("https://klasma.github.io/Logging_2481/klagomål/A 58366-2023 FSC-klagomål.docx", "A 58366-2023")</f>
        <v/>
      </c>
      <c r="W57">
        <f>HYPERLINK("https://klasma.github.io/Logging_2481/klagomålsmail/A 58366-2023 FSC-klagomål mail.docx", "A 58366-2023")</f>
        <v/>
      </c>
      <c r="X57">
        <f>HYPERLINK("https://klasma.github.io/Logging_2481/tillsyn/A 58366-2023 tillsynsbegäran.docx", "A 58366-2023")</f>
        <v/>
      </c>
      <c r="Y57">
        <f>HYPERLINK("https://klasma.github.io/Logging_2481/tillsynsmail/A 58366-2023 tillsynsbegäran mail.docx", "A 58366-2023")</f>
        <v/>
      </c>
    </row>
    <row r="58" ht="15" customHeight="1">
      <c r="A58" t="inlineStr">
        <is>
          <t>A 56000-2024</t>
        </is>
      </c>
      <c r="B58" s="1" t="n">
        <v>45623</v>
      </c>
      <c r="C58" s="1" t="n">
        <v>45849</v>
      </c>
      <c r="D58" t="inlineStr">
        <is>
          <t>VÄSTERBOTTENS LÄN</t>
        </is>
      </c>
      <c r="E58" t="inlineStr">
        <is>
          <t>LYCKSELE</t>
        </is>
      </c>
      <c r="G58" t="n">
        <v>1.4</v>
      </c>
      <c r="H58" t="n">
        <v>1</v>
      </c>
      <c r="I58" t="n">
        <v>2</v>
      </c>
      <c r="J58" t="n">
        <v>2</v>
      </c>
      <c r="K58" t="n">
        <v>0</v>
      </c>
      <c r="L58" t="n">
        <v>0</v>
      </c>
      <c r="M58" t="n">
        <v>0</v>
      </c>
      <c r="N58" t="n">
        <v>0</v>
      </c>
      <c r="O58" t="n">
        <v>2</v>
      </c>
      <c r="P58" t="n">
        <v>0</v>
      </c>
      <c r="Q58" t="n">
        <v>5</v>
      </c>
      <c r="R58" s="2" t="inlineStr">
        <is>
          <t>Garnlav
Rosenticka
Dropptaggsvamp
Norrlandslav
Tjäder</t>
        </is>
      </c>
      <c r="S58">
        <f>HYPERLINK("https://klasma.github.io/Logging_2481/artfynd/A 56000-2024 artfynd.xlsx", "A 56000-2024")</f>
        <v/>
      </c>
      <c r="T58">
        <f>HYPERLINK("https://klasma.github.io/Logging_2481/kartor/A 56000-2024 karta.png", "A 56000-2024")</f>
        <v/>
      </c>
      <c r="V58">
        <f>HYPERLINK("https://klasma.github.io/Logging_2481/klagomål/A 56000-2024 FSC-klagomål.docx", "A 56000-2024")</f>
        <v/>
      </c>
      <c r="W58">
        <f>HYPERLINK("https://klasma.github.io/Logging_2481/klagomålsmail/A 56000-2024 FSC-klagomål mail.docx", "A 56000-2024")</f>
        <v/>
      </c>
      <c r="X58">
        <f>HYPERLINK("https://klasma.github.io/Logging_2481/tillsyn/A 56000-2024 tillsynsbegäran.docx", "A 56000-2024")</f>
        <v/>
      </c>
      <c r="Y58">
        <f>HYPERLINK("https://klasma.github.io/Logging_2481/tillsynsmail/A 56000-2024 tillsynsbegäran mail.docx", "A 56000-2024")</f>
        <v/>
      </c>
      <c r="Z58">
        <f>HYPERLINK("https://klasma.github.io/Logging_2481/fåglar/A 56000-2024 prioriterade fågelarter.docx", "A 56000-2024")</f>
        <v/>
      </c>
    </row>
    <row r="59" ht="15" customHeight="1">
      <c r="A59" t="inlineStr">
        <is>
          <t>A 56053-2024</t>
        </is>
      </c>
      <c r="B59" s="1" t="n">
        <v>45624</v>
      </c>
      <c r="C59" s="1" t="n">
        <v>45849</v>
      </c>
      <c r="D59" t="inlineStr">
        <is>
          <t>VÄSTERBOTTENS LÄN</t>
        </is>
      </c>
      <c r="E59" t="inlineStr">
        <is>
          <t>LYCKSELE</t>
        </is>
      </c>
      <c r="F59" t="inlineStr">
        <is>
          <t>Sveaskog</t>
        </is>
      </c>
      <c r="G59" t="n">
        <v>8.1</v>
      </c>
      <c r="H59" t="n">
        <v>0</v>
      </c>
      <c r="I59" t="n">
        <v>2</v>
      </c>
      <c r="J59" t="n">
        <v>3</v>
      </c>
      <c r="K59" t="n">
        <v>0</v>
      </c>
      <c r="L59" t="n">
        <v>0</v>
      </c>
      <c r="M59" t="n">
        <v>0</v>
      </c>
      <c r="N59" t="n">
        <v>0</v>
      </c>
      <c r="O59" t="n">
        <v>3</v>
      </c>
      <c r="P59" t="n">
        <v>0</v>
      </c>
      <c r="Q59" t="n">
        <v>5</v>
      </c>
      <c r="R59" s="2" t="inlineStr">
        <is>
          <t>Granticka
Rosenticka
Vedskivlav
Trådticka
Vedticka</t>
        </is>
      </c>
      <c r="S59">
        <f>HYPERLINK("https://klasma.github.io/Logging_2481/artfynd/A 56053-2024 artfynd.xlsx", "A 56053-2024")</f>
        <v/>
      </c>
      <c r="T59">
        <f>HYPERLINK("https://klasma.github.io/Logging_2481/kartor/A 56053-2024 karta.png", "A 56053-2024")</f>
        <v/>
      </c>
      <c r="V59">
        <f>HYPERLINK("https://klasma.github.io/Logging_2481/klagomål/A 56053-2024 FSC-klagomål.docx", "A 56053-2024")</f>
        <v/>
      </c>
      <c r="W59">
        <f>HYPERLINK("https://klasma.github.io/Logging_2481/klagomålsmail/A 56053-2024 FSC-klagomål mail.docx", "A 56053-2024")</f>
        <v/>
      </c>
      <c r="X59">
        <f>HYPERLINK("https://klasma.github.io/Logging_2481/tillsyn/A 56053-2024 tillsynsbegäran.docx", "A 56053-2024")</f>
        <v/>
      </c>
      <c r="Y59">
        <f>HYPERLINK("https://klasma.github.io/Logging_2481/tillsynsmail/A 56053-2024 tillsynsbegäran mail.docx", "A 56053-2024")</f>
        <v/>
      </c>
    </row>
    <row r="60" ht="15" customHeight="1">
      <c r="A60" t="inlineStr">
        <is>
          <t>A 21509-2025</t>
        </is>
      </c>
      <c r="B60" s="1" t="n">
        <v>45782</v>
      </c>
      <c r="C60" s="1" t="n">
        <v>45849</v>
      </c>
      <c r="D60" t="inlineStr">
        <is>
          <t>VÄSTERBOTTENS LÄN</t>
        </is>
      </c>
      <c r="E60" t="inlineStr">
        <is>
          <t>LYCKSELE</t>
        </is>
      </c>
      <c r="F60" t="inlineStr">
        <is>
          <t>Sveaskog</t>
        </is>
      </c>
      <c r="G60" t="n">
        <v>13.3</v>
      </c>
      <c r="H60" t="n">
        <v>0</v>
      </c>
      <c r="I60" t="n">
        <v>1</v>
      </c>
      <c r="J60" t="n">
        <v>4</v>
      </c>
      <c r="K60" t="n">
        <v>0</v>
      </c>
      <c r="L60" t="n">
        <v>0</v>
      </c>
      <c r="M60" t="n">
        <v>0</v>
      </c>
      <c r="N60" t="n">
        <v>0</v>
      </c>
      <c r="O60" t="n">
        <v>4</v>
      </c>
      <c r="P60" t="n">
        <v>0</v>
      </c>
      <c r="Q60" t="n">
        <v>5</v>
      </c>
      <c r="R60" s="2" t="inlineStr">
        <is>
          <t>Blå taggsvamp
Kolflarnlav
Mörk kolflarnlav
Orange taggsvamp
Skarp dropptaggsvamp</t>
        </is>
      </c>
      <c r="S60">
        <f>HYPERLINK("https://klasma.github.io/Logging_242481/artfynd/A 21509-2025 artfynd.xlsx", "A 21509-2025")</f>
        <v/>
      </c>
      <c r="T60">
        <f>HYPERLINK("https://klasma.github.io/Logging_242481/kartor/A 21509-2025 karta.png", "A 21509-2025")</f>
        <v/>
      </c>
      <c r="V60">
        <f>HYPERLINK("https://klasma.github.io/Logging_242481/klagomål/A 21509-2025 FSC-klagomål.docx", "A 21509-2025")</f>
        <v/>
      </c>
      <c r="W60">
        <f>HYPERLINK("https://klasma.github.io/Logging_242481/klagomålsmail/A 21509-2025 FSC-klagomål mail.docx", "A 21509-2025")</f>
        <v/>
      </c>
      <c r="X60">
        <f>HYPERLINK("https://klasma.github.io/Logging_242481/tillsyn/A 21509-2025 tillsynsbegäran.docx", "A 21509-2025")</f>
        <v/>
      </c>
      <c r="Y60">
        <f>HYPERLINK("https://klasma.github.io/Logging_242481/tillsynsmail/A 21509-2025 tillsynsbegäran mail.docx", "A 21509-2025")</f>
        <v/>
      </c>
    </row>
    <row r="61" ht="15" customHeight="1">
      <c r="A61" t="inlineStr">
        <is>
          <t>A 23310-2025</t>
        </is>
      </c>
      <c r="B61" s="1" t="n">
        <v>45791</v>
      </c>
      <c r="C61" s="1" t="n">
        <v>45849</v>
      </c>
      <c r="D61" t="inlineStr">
        <is>
          <t>VÄSTERBOTTENS LÄN</t>
        </is>
      </c>
      <c r="E61" t="inlineStr">
        <is>
          <t>LYCKSELE</t>
        </is>
      </c>
      <c r="F61" t="inlineStr">
        <is>
          <t>Sveaskog</t>
        </is>
      </c>
      <c r="G61" t="n">
        <v>12</v>
      </c>
      <c r="H61" t="n">
        <v>0</v>
      </c>
      <c r="I61" t="n">
        <v>1</v>
      </c>
      <c r="J61" t="n">
        <v>4</v>
      </c>
      <c r="K61" t="n">
        <v>0</v>
      </c>
      <c r="L61" t="n">
        <v>0</v>
      </c>
      <c r="M61" t="n">
        <v>0</v>
      </c>
      <c r="N61" t="n">
        <v>0</v>
      </c>
      <c r="O61" t="n">
        <v>4</v>
      </c>
      <c r="P61" t="n">
        <v>0</v>
      </c>
      <c r="Q61" t="n">
        <v>5</v>
      </c>
      <c r="R61" s="2" t="inlineStr">
        <is>
          <t>Blå taggsvamp
Kolflarnlav
Mörk kolflarnlav
Orange taggsvamp
Dropptaggsvamp</t>
        </is>
      </c>
      <c r="S61">
        <f>HYPERLINK("https://klasma.github.io/Logging_242481/artfynd/A 23310-2025 artfynd.xlsx", "A 23310-2025")</f>
        <v/>
      </c>
      <c r="T61">
        <f>HYPERLINK("https://klasma.github.io/Logging_242481/kartor/A 23310-2025 karta.png", "A 23310-2025")</f>
        <v/>
      </c>
      <c r="V61">
        <f>HYPERLINK("https://klasma.github.io/Logging_242481/klagomål/A 23310-2025 FSC-klagomål.docx", "A 23310-2025")</f>
        <v/>
      </c>
      <c r="W61">
        <f>HYPERLINK("https://klasma.github.io/Logging_242481/klagomålsmail/A 23310-2025 FSC-klagomål mail.docx", "A 23310-2025")</f>
        <v/>
      </c>
      <c r="X61">
        <f>HYPERLINK("https://klasma.github.io/Logging_242481/tillsyn/A 23310-2025 tillsynsbegäran.docx", "A 23310-2025")</f>
        <v/>
      </c>
      <c r="Y61">
        <f>HYPERLINK("https://klasma.github.io/Logging_242481/tillsynsmail/A 23310-2025 tillsynsbegäran mail.docx", "A 23310-2025")</f>
        <v/>
      </c>
    </row>
    <row r="62" ht="15" customHeight="1">
      <c r="A62" t="inlineStr">
        <is>
          <t>A 36155-2019</t>
        </is>
      </c>
      <c r="B62" s="1" t="n">
        <v>43668</v>
      </c>
      <c r="C62" s="1" t="n">
        <v>45849</v>
      </c>
      <c r="D62" t="inlineStr">
        <is>
          <t>VÄSTERBOTTENS LÄN</t>
        </is>
      </c>
      <c r="E62" t="inlineStr">
        <is>
          <t>LYCKSELE</t>
        </is>
      </c>
      <c r="F62" t="inlineStr">
        <is>
          <t>Sveaskog</t>
        </is>
      </c>
      <c r="G62" t="n">
        <v>18.2</v>
      </c>
      <c r="H62" t="n">
        <v>2</v>
      </c>
      <c r="I62" t="n">
        <v>2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4</v>
      </c>
      <c r="R62" s="2" t="inlineStr">
        <is>
          <t>Vedskivlav
Dropptaggsvamp
Plattlummer
Vanlig groda</t>
        </is>
      </c>
      <c r="S62">
        <f>HYPERLINK("https://klasma.github.io/Logging_2481/artfynd/A 36155-2019 artfynd.xlsx", "A 36155-2019")</f>
        <v/>
      </c>
      <c r="T62">
        <f>HYPERLINK("https://klasma.github.io/Logging_2481/kartor/A 36155-2019 karta.png", "A 36155-2019")</f>
        <v/>
      </c>
      <c r="U62">
        <f>HYPERLINK("https://klasma.github.io/Logging_2481/knärot/A 36155-2019 karta knärot.png", "A 36155-2019")</f>
        <v/>
      </c>
      <c r="V62">
        <f>HYPERLINK("https://klasma.github.io/Logging_2481/klagomål/A 36155-2019 FSC-klagomål.docx", "A 36155-2019")</f>
        <v/>
      </c>
      <c r="W62">
        <f>HYPERLINK("https://klasma.github.io/Logging_2481/klagomålsmail/A 36155-2019 FSC-klagomål mail.docx", "A 36155-2019")</f>
        <v/>
      </c>
      <c r="X62">
        <f>HYPERLINK("https://klasma.github.io/Logging_2481/tillsyn/A 36155-2019 tillsynsbegäran.docx", "A 36155-2019")</f>
        <v/>
      </c>
      <c r="Y62">
        <f>HYPERLINK("https://klasma.github.io/Logging_2481/tillsynsmail/A 36155-2019 tillsynsbegäran mail.docx", "A 36155-2019")</f>
        <v/>
      </c>
    </row>
    <row r="63" ht="15" customHeight="1">
      <c r="A63" t="inlineStr">
        <is>
          <t>A 43740-2021</t>
        </is>
      </c>
      <c r="B63" s="1" t="n">
        <v>44433</v>
      </c>
      <c r="C63" s="1" t="n">
        <v>45849</v>
      </c>
      <c r="D63" t="inlineStr">
        <is>
          <t>VÄSTERBOTTENS LÄN</t>
        </is>
      </c>
      <c r="E63" t="inlineStr">
        <is>
          <t>LYCKSELE</t>
        </is>
      </c>
      <c r="F63" t="inlineStr">
        <is>
          <t>Sveaskog</t>
        </is>
      </c>
      <c r="G63" t="n">
        <v>16.2</v>
      </c>
      <c r="H63" t="n">
        <v>0</v>
      </c>
      <c r="I63" t="n">
        <v>1</v>
      </c>
      <c r="J63" t="n">
        <v>3</v>
      </c>
      <c r="K63" t="n">
        <v>0</v>
      </c>
      <c r="L63" t="n">
        <v>0</v>
      </c>
      <c r="M63" t="n">
        <v>0</v>
      </c>
      <c r="N63" t="n">
        <v>0</v>
      </c>
      <c r="O63" t="n">
        <v>3</v>
      </c>
      <c r="P63" t="n">
        <v>0</v>
      </c>
      <c r="Q63" t="n">
        <v>4</v>
      </c>
      <c r="R63" s="2" t="inlineStr">
        <is>
          <t>Garnlav
Kolflarnlav
Lunglav
Bårdlav</t>
        </is>
      </c>
      <c r="S63">
        <f>HYPERLINK("https://klasma.github.io/Logging_2481/artfynd/A 43740-2021 artfynd.xlsx", "A 43740-2021")</f>
        <v/>
      </c>
      <c r="T63">
        <f>HYPERLINK("https://klasma.github.io/Logging_2481/kartor/A 43740-2021 karta.png", "A 43740-2021")</f>
        <v/>
      </c>
      <c r="V63">
        <f>HYPERLINK("https://klasma.github.io/Logging_2481/klagomål/A 43740-2021 FSC-klagomål.docx", "A 43740-2021")</f>
        <v/>
      </c>
      <c r="W63">
        <f>HYPERLINK("https://klasma.github.io/Logging_2481/klagomålsmail/A 43740-2021 FSC-klagomål mail.docx", "A 43740-2021")</f>
        <v/>
      </c>
      <c r="X63">
        <f>HYPERLINK("https://klasma.github.io/Logging_2481/tillsyn/A 43740-2021 tillsynsbegäran.docx", "A 43740-2021")</f>
        <v/>
      </c>
      <c r="Y63">
        <f>HYPERLINK("https://klasma.github.io/Logging_2481/tillsynsmail/A 43740-2021 tillsynsbegäran mail.docx", "A 43740-2021")</f>
        <v/>
      </c>
    </row>
    <row r="64" ht="15" customHeight="1">
      <c r="A64" t="inlineStr">
        <is>
          <t>A 54434-2021</t>
        </is>
      </c>
      <c r="B64" s="1" t="n">
        <v>44473</v>
      </c>
      <c r="C64" s="1" t="n">
        <v>45849</v>
      </c>
      <c r="D64" t="inlineStr">
        <is>
          <t>VÄSTERBOTTENS LÄN</t>
        </is>
      </c>
      <c r="E64" t="inlineStr">
        <is>
          <t>LYCKSELE</t>
        </is>
      </c>
      <c r="F64" t="inlineStr">
        <is>
          <t>Sveaskog</t>
        </is>
      </c>
      <c r="G64" t="n">
        <v>20.5</v>
      </c>
      <c r="H64" t="n">
        <v>0</v>
      </c>
      <c r="I64" t="n">
        <v>0</v>
      </c>
      <c r="J64" t="n">
        <v>3</v>
      </c>
      <c r="K64" t="n">
        <v>1</v>
      </c>
      <c r="L64" t="n">
        <v>0</v>
      </c>
      <c r="M64" t="n">
        <v>0</v>
      </c>
      <c r="N64" t="n">
        <v>0</v>
      </c>
      <c r="O64" t="n">
        <v>4</v>
      </c>
      <c r="P64" t="n">
        <v>1</v>
      </c>
      <c r="Q64" t="n">
        <v>4</v>
      </c>
      <c r="R64" s="2" t="inlineStr">
        <is>
          <t>Rynkskinn
Doftskinn
Garnlav
Lunglav</t>
        </is>
      </c>
      <c r="S64">
        <f>HYPERLINK("https://klasma.github.io/Logging_2481/artfynd/A 54434-2021 artfynd.xlsx", "A 54434-2021")</f>
        <v/>
      </c>
      <c r="T64">
        <f>HYPERLINK("https://klasma.github.io/Logging_2481/kartor/A 54434-2021 karta.png", "A 54434-2021")</f>
        <v/>
      </c>
      <c r="V64">
        <f>HYPERLINK("https://klasma.github.io/Logging_2481/klagomål/A 54434-2021 FSC-klagomål.docx", "A 54434-2021")</f>
        <v/>
      </c>
      <c r="W64">
        <f>HYPERLINK("https://klasma.github.io/Logging_2481/klagomålsmail/A 54434-2021 FSC-klagomål mail.docx", "A 54434-2021")</f>
        <v/>
      </c>
      <c r="X64">
        <f>HYPERLINK("https://klasma.github.io/Logging_2481/tillsyn/A 54434-2021 tillsynsbegäran.docx", "A 54434-2021")</f>
        <v/>
      </c>
      <c r="Y64">
        <f>HYPERLINK("https://klasma.github.io/Logging_2481/tillsynsmail/A 54434-2021 tillsynsbegäran mail.docx", "A 54434-2021")</f>
        <v/>
      </c>
    </row>
    <row r="65" ht="15" customHeight="1">
      <c r="A65" t="inlineStr">
        <is>
          <t>A 28993-2022</t>
        </is>
      </c>
      <c r="B65" s="1" t="n">
        <v>44749</v>
      </c>
      <c r="C65" s="1" t="n">
        <v>45849</v>
      </c>
      <c r="D65" t="inlineStr">
        <is>
          <t>VÄSTERBOTTENS LÄN</t>
        </is>
      </c>
      <c r="E65" t="inlineStr">
        <is>
          <t>LYCKSELE</t>
        </is>
      </c>
      <c r="F65" t="inlineStr">
        <is>
          <t>Holmen skog AB</t>
        </is>
      </c>
      <c r="G65" t="n">
        <v>6.9</v>
      </c>
      <c r="H65" t="n">
        <v>1</v>
      </c>
      <c r="I65" t="n">
        <v>0</v>
      </c>
      <c r="J65" t="n">
        <v>4</v>
      </c>
      <c r="K65" t="n">
        <v>0</v>
      </c>
      <c r="L65" t="n">
        <v>0</v>
      </c>
      <c r="M65" t="n">
        <v>0</v>
      </c>
      <c r="N65" t="n">
        <v>0</v>
      </c>
      <c r="O65" t="n">
        <v>4</v>
      </c>
      <c r="P65" t="n">
        <v>0</v>
      </c>
      <c r="Q65" t="n">
        <v>4</v>
      </c>
      <c r="R65" s="2" t="inlineStr">
        <is>
          <t>Garnlav
Granticka
Tretåig hackspett
Ullticka</t>
        </is>
      </c>
      <c r="S65">
        <f>HYPERLINK("https://klasma.github.io/Logging_2481/artfynd/A 28993-2022 artfynd.xlsx", "A 28993-2022")</f>
        <v/>
      </c>
      <c r="T65">
        <f>HYPERLINK("https://klasma.github.io/Logging_2481/kartor/A 28993-2022 karta.png", "A 28993-2022")</f>
        <v/>
      </c>
      <c r="V65">
        <f>HYPERLINK("https://klasma.github.io/Logging_2481/klagomål/A 28993-2022 FSC-klagomål.docx", "A 28993-2022")</f>
        <v/>
      </c>
      <c r="W65">
        <f>HYPERLINK("https://klasma.github.io/Logging_2481/klagomålsmail/A 28993-2022 FSC-klagomål mail.docx", "A 28993-2022")</f>
        <v/>
      </c>
      <c r="X65">
        <f>HYPERLINK("https://klasma.github.io/Logging_2481/tillsyn/A 28993-2022 tillsynsbegäran.docx", "A 28993-2022")</f>
        <v/>
      </c>
      <c r="Y65">
        <f>HYPERLINK("https://klasma.github.io/Logging_2481/tillsynsmail/A 28993-2022 tillsynsbegäran mail.docx", "A 28993-2022")</f>
        <v/>
      </c>
      <c r="Z65">
        <f>HYPERLINK("https://klasma.github.io/Logging_2481/fåglar/A 28993-2022 prioriterade fågelarter.docx", "A 28993-2022")</f>
        <v/>
      </c>
    </row>
    <row r="66" ht="15" customHeight="1">
      <c r="A66" t="inlineStr">
        <is>
          <t>A 30296-2022</t>
        </is>
      </c>
      <c r="B66" s="1" t="n">
        <v>44760</v>
      </c>
      <c r="C66" s="1" t="n">
        <v>45849</v>
      </c>
      <c r="D66" t="inlineStr">
        <is>
          <t>VÄSTERBOTTENS LÄN</t>
        </is>
      </c>
      <c r="E66" t="inlineStr">
        <is>
          <t>LYCKSELE</t>
        </is>
      </c>
      <c r="F66" t="inlineStr">
        <is>
          <t>Sveaskog</t>
        </is>
      </c>
      <c r="G66" t="n">
        <v>12.3</v>
      </c>
      <c r="H66" t="n">
        <v>0</v>
      </c>
      <c r="I66" t="n">
        <v>1</v>
      </c>
      <c r="J66" t="n">
        <v>3</v>
      </c>
      <c r="K66" t="n">
        <v>0</v>
      </c>
      <c r="L66" t="n">
        <v>0</v>
      </c>
      <c r="M66" t="n">
        <v>0</v>
      </c>
      <c r="N66" t="n">
        <v>0</v>
      </c>
      <c r="O66" t="n">
        <v>3</v>
      </c>
      <c r="P66" t="n">
        <v>0</v>
      </c>
      <c r="Q66" t="n">
        <v>4</v>
      </c>
      <c r="R66" s="2" t="inlineStr">
        <is>
          <t>Dvärgbägarlav
Kolflarnlav
Lunglav
Stuplav</t>
        </is>
      </c>
      <c r="S66">
        <f>HYPERLINK("https://klasma.github.io/Logging_2481/artfynd/A 30296-2022 artfynd.xlsx", "A 30296-2022")</f>
        <v/>
      </c>
      <c r="T66">
        <f>HYPERLINK("https://klasma.github.io/Logging_2481/kartor/A 30296-2022 karta.png", "A 30296-2022")</f>
        <v/>
      </c>
      <c r="V66">
        <f>HYPERLINK("https://klasma.github.io/Logging_2481/klagomål/A 30296-2022 FSC-klagomål.docx", "A 30296-2022")</f>
        <v/>
      </c>
      <c r="W66">
        <f>HYPERLINK("https://klasma.github.io/Logging_2481/klagomålsmail/A 30296-2022 FSC-klagomål mail.docx", "A 30296-2022")</f>
        <v/>
      </c>
      <c r="X66">
        <f>HYPERLINK("https://klasma.github.io/Logging_2481/tillsyn/A 30296-2022 tillsynsbegäran.docx", "A 30296-2022")</f>
        <v/>
      </c>
      <c r="Y66">
        <f>HYPERLINK("https://klasma.github.io/Logging_2481/tillsynsmail/A 30296-2022 tillsynsbegäran mail.docx", "A 30296-2022")</f>
        <v/>
      </c>
    </row>
    <row r="67" ht="15" customHeight="1">
      <c r="A67" t="inlineStr">
        <is>
          <t>A 2937-2023</t>
        </is>
      </c>
      <c r="B67" s="1" t="n">
        <v>44945</v>
      </c>
      <c r="C67" s="1" t="n">
        <v>45849</v>
      </c>
      <c r="D67" t="inlineStr">
        <is>
          <t>VÄSTERBOTTENS LÄN</t>
        </is>
      </c>
      <c r="E67" t="inlineStr">
        <is>
          <t>LYCKSELE</t>
        </is>
      </c>
      <c r="F67" t="inlineStr">
        <is>
          <t>Kyrkan</t>
        </is>
      </c>
      <c r="G67" t="n">
        <v>17.4</v>
      </c>
      <c r="H67" t="n">
        <v>0</v>
      </c>
      <c r="I67" t="n">
        <v>1</v>
      </c>
      <c r="J67" t="n">
        <v>3</v>
      </c>
      <c r="K67" t="n">
        <v>0</v>
      </c>
      <c r="L67" t="n">
        <v>0</v>
      </c>
      <c r="M67" t="n">
        <v>0</v>
      </c>
      <c r="N67" t="n">
        <v>0</v>
      </c>
      <c r="O67" t="n">
        <v>3</v>
      </c>
      <c r="P67" t="n">
        <v>0</v>
      </c>
      <c r="Q67" t="n">
        <v>4</v>
      </c>
      <c r="R67" s="2" t="inlineStr">
        <is>
          <t>Blå taggsvamp
Lunglav
Orange taggsvamp
Dropptaggsvamp</t>
        </is>
      </c>
      <c r="S67">
        <f>HYPERLINK("https://klasma.github.io/Logging_2481/artfynd/A 2937-2023 artfynd.xlsx", "A 2937-2023")</f>
        <v/>
      </c>
      <c r="T67">
        <f>HYPERLINK("https://klasma.github.io/Logging_2481/kartor/A 2937-2023 karta.png", "A 2937-2023")</f>
        <v/>
      </c>
      <c r="V67">
        <f>HYPERLINK("https://klasma.github.io/Logging_2481/klagomål/A 2937-2023 FSC-klagomål.docx", "A 2937-2023")</f>
        <v/>
      </c>
      <c r="W67">
        <f>HYPERLINK("https://klasma.github.io/Logging_2481/klagomålsmail/A 2937-2023 FSC-klagomål mail.docx", "A 2937-2023")</f>
        <v/>
      </c>
      <c r="X67">
        <f>HYPERLINK("https://klasma.github.io/Logging_2481/tillsyn/A 2937-2023 tillsynsbegäran.docx", "A 2937-2023")</f>
        <v/>
      </c>
      <c r="Y67">
        <f>HYPERLINK("https://klasma.github.io/Logging_2481/tillsynsmail/A 2937-2023 tillsynsbegäran mail.docx", "A 2937-2023")</f>
        <v/>
      </c>
    </row>
    <row r="68" ht="15" customHeight="1">
      <c r="A68" t="inlineStr">
        <is>
          <t>A 21068-2023</t>
        </is>
      </c>
      <c r="B68" s="1" t="n">
        <v>45057</v>
      </c>
      <c r="C68" s="1" t="n">
        <v>45849</v>
      </c>
      <c r="D68" t="inlineStr">
        <is>
          <t>VÄSTERBOTTENS LÄN</t>
        </is>
      </c>
      <c r="E68" t="inlineStr">
        <is>
          <t>LYCKSELE</t>
        </is>
      </c>
      <c r="G68" t="n">
        <v>4.3</v>
      </c>
      <c r="H68" t="n">
        <v>3</v>
      </c>
      <c r="I68" t="n">
        <v>1</v>
      </c>
      <c r="J68" t="n">
        <v>1</v>
      </c>
      <c r="K68" t="n">
        <v>0</v>
      </c>
      <c r="L68" t="n">
        <v>0</v>
      </c>
      <c r="M68" t="n">
        <v>0</v>
      </c>
      <c r="N68" t="n">
        <v>0</v>
      </c>
      <c r="O68" t="n">
        <v>1</v>
      </c>
      <c r="P68" t="n">
        <v>0</v>
      </c>
      <c r="Q68" t="n">
        <v>4</v>
      </c>
      <c r="R68" s="2" t="inlineStr">
        <is>
          <t>Lunglav
Spindelblomster
Fläcknycklar
Revlummer</t>
        </is>
      </c>
      <c r="S68">
        <f>HYPERLINK("https://klasma.github.io/Logging_2481/artfynd/A 21068-2023 artfynd.xlsx", "A 21068-2023")</f>
        <v/>
      </c>
      <c r="T68">
        <f>HYPERLINK("https://klasma.github.io/Logging_2481/kartor/A 21068-2023 karta.png", "A 21068-2023")</f>
        <v/>
      </c>
      <c r="V68">
        <f>HYPERLINK("https://klasma.github.io/Logging_2481/klagomål/A 21068-2023 FSC-klagomål.docx", "A 21068-2023")</f>
        <v/>
      </c>
      <c r="W68">
        <f>HYPERLINK("https://klasma.github.io/Logging_2481/klagomålsmail/A 21068-2023 FSC-klagomål mail.docx", "A 21068-2023")</f>
        <v/>
      </c>
      <c r="X68">
        <f>HYPERLINK("https://klasma.github.io/Logging_2481/tillsyn/A 21068-2023 tillsynsbegäran.docx", "A 21068-2023")</f>
        <v/>
      </c>
      <c r="Y68">
        <f>HYPERLINK("https://klasma.github.io/Logging_2481/tillsynsmail/A 21068-2023 tillsynsbegäran mail.docx", "A 21068-2023")</f>
        <v/>
      </c>
    </row>
    <row r="69" ht="15" customHeight="1">
      <c r="A69" t="inlineStr">
        <is>
          <t>A 36636-2023</t>
        </is>
      </c>
      <c r="B69" s="1" t="n">
        <v>45152</v>
      </c>
      <c r="C69" s="1" t="n">
        <v>45849</v>
      </c>
      <c r="D69" t="inlineStr">
        <is>
          <t>VÄSTERBOTTENS LÄN</t>
        </is>
      </c>
      <c r="E69" t="inlineStr">
        <is>
          <t>LYCKSELE</t>
        </is>
      </c>
      <c r="G69" t="n">
        <v>2.7</v>
      </c>
      <c r="H69" t="n">
        <v>2</v>
      </c>
      <c r="I69" t="n">
        <v>0</v>
      </c>
      <c r="J69" t="n">
        <v>3</v>
      </c>
      <c r="K69" t="n">
        <v>1</v>
      </c>
      <c r="L69" t="n">
        <v>0</v>
      </c>
      <c r="M69" t="n">
        <v>0</v>
      </c>
      <c r="N69" t="n">
        <v>0</v>
      </c>
      <c r="O69" t="n">
        <v>4</v>
      </c>
      <c r="P69" t="n">
        <v>1</v>
      </c>
      <c r="Q69" t="n">
        <v>4</v>
      </c>
      <c r="R69" s="2" t="inlineStr">
        <is>
          <t>Doftticka
Garnlav
Granticka
Spillkråka</t>
        </is>
      </c>
      <c r="S69">
        <f>HYPERLINK("https://klasma.github.io/Logging_2481/artfynd/A 36636-2023 artfynd.xlsx", "A 36636-2023")</f>
        <v/>
      </c>
      <c r="T69">
        <f>HYPERLINK("https://klasma.github.io/Logging_2481/kartor/A 36636-2023 karta.png", "A 36636-2023")</f>
        <v/>
      </c>
      <c r="V69">
        <f>HYPERLINK("https://klasma.github.io/Logging_2481/klagomål/A 36636-2023 FSC-klagomål.docx", "A 36636-2023")</f>
        <v/>
      </c>
      <c r="W69">
        <f>HYPERLINK("https://klasma.github.io/Logging_2481/klagomålsmail/A 36636-2023 FSC-klagomål mail.docx", "A 36636-2023")</f>
        <v/>
      </c>
      <c r="X69">
        <f>HYPERLINK("https://klasma.github.io/Logging_2481/tillsyn/A 36636-2023 tillsynsbegäran.docx", "A 36636-2023")</f>
        <v/>
      </c>
      <c r="Y69">
        <f>HYPERLINK("https://klasma.github.io/Logging_2481/tillsynsmail/A 36636-2023 tillsynsbegäran mail.docx", "A 36636-2023")</f>
        <v/>
      </c>
      <c r="Z69">
        <f>HYPERLINK("https://klasma.github.io/Logging_2481/fåglar/A 36636-2023 prioriterade fågelarter.docx", "A 36636-2023")</f>
        <v/>
      </c>
    </row>
    <row r="70" ht="15" customHeight="1">
      <c r="A70" t="inlineStr">
        <is>
          <t>A 53793-2023</t>
        </is>
      </c>
      <c r="B70" s="1" t="n">
        <v>45231</v>
      </c>
      <c r="C70" s="1" t="n">
        <v>45849</v>
      </c>
      <c r="D70" t="inlineStr">
        <is>
          <t>VÄSTERBOTTENS LÄN</t>
        </is>
      </c>
      <c r="E70" t="inlineStr">
        <is>
          <t>LYCKSELE</t>
        </is>
      </c>
      <c r="F70" t="inlineStr">
        <is>
          <t>Sveaskog</t>
        </is>
      </c>
      <c r="G70" t="n">
        <v>5.7</v>
      </c>
      <c r="H70" t="n">
        <v>0</v>
      </c>
      <c r="I70" t="n">
        <v>1</v>
      </c>
      <c r="J70" t="n">
        <v>3</v>
      </c>
      <c r="K70" t="n">
        <v>0</v>
      </c>
      <c r="L70" t="n">
        <v>0</v>
      </c>
      <c r="M70" t="n">
        <v>0</v>
      </c>
      <c r="N70" t="n">
        <v>0</v>
      </c>
      <c r="O70" t="n">
        <v>3</v>
      </c>
      <c r="P70" t="n">
        <v>0</v>
      </c>
      <c r="Q70" t="n">
        <v>4</v>
      </c>
      <c r="R70" s="2" t="inlineStr">
        <is>
          <t>Blå taggsvamp
Lunglav
Violmussling
Dropptaggsvamp</t>
        </is>
      </c>
      <c r="S70">
        <f>HYPERLINK("https://klasma.github.io/Logging_2481/artfynd/A 53793-2023 artfynd.xlsx", "A 53793-2023")</f>
        <v/>
      </c>
      <c r="T70">
        <f>HYPERLINK("https://klasma.github.io/Logging_2481/kartor/A 53793-2023 karta.png", "A 53793-2023")</f>
        <v/>
      </c>
      <c r="V70">
        <f>HYPERLINK("https://klasma.github.io/Logging_2481/klagomål/A 53793-2023 FSC-klagomål.docx", "A 53793-2023")</f>
        <v/>
      </c>
      <c r="W70">
        <f>HYPERLINK("https://klasma.github.io/Logging_2481/klagomålsmail/A 53793-2023 FSC-klagomål mail.docx", "A 53793-2023")</f>
        <v/>
      </c>
      <c r="X70">
        <f>HYPERLINK("https://klasma.github.io/Logging_2481/tillsyn/A 53793-2023 tillsynsbegäran.docx", "A 53793-2023")</f>
        <v/>
      </c>
      <c r="Y70">
        <f>HYPERLINK("https://klasma.github.io/Logging_2481/tillsynsmail/A 53793-2023 tillsynsbegäran mail.docx", "A 53793-2023")</f>
        <v/>
      </c>
    </row>
    <row r="71" ht="15" customHeight="1">
      <c r="A71" t="inlineStr">
        <is>
          <t>A 23970-2024</t>
        </is>
      </c>
      <c r="B71" s="1" t="n">
        <v>45455</v>
      </c>
      <c r="C71" s="1" t="n">
        <v>45849</v>
      </c>
      <c r="D71" t="inlineStr">
        <is>
          <t>VÄSTERBOTTENS LÄN</t>
        </is>
      </c>
      <c r="E71" t="inlineStr">
        <is>
          <t>LYCKSELE</t>
        </is>
      </c>
      <c r="F71" t="inlineStr">
        <is>
          <t>SCA</t>
        </is>
      </c>
      <c r="G71" t="n">
        <v>23.5</v>
      </c>
      <c r="H71" t="n">
        <v>0</v>
      </c>
      <c r="I71" t="n">
        <v>2</v>
      </c>
      <c r="J71" t="n">
        <v>2</v>
      </c>
      <c r="K71" t="n">
        <v>0</v>
      </c>
      <c r="L71" t="n">
        <v>0</v>
      </c>
      <c r="M71" t="n">
        <v>0</v>
      </c>
      <c r="N71" t="n">
        <v>0</v>
      </c>
      <c r="O71" t="n">
        <v>2</v>
      </c>
      <c r="P71" t="n">
        <v>0</v>
      </c>
      <c r="Q71" t="n">
        <v>4</v>
      </c>
      <c r="R71" s="2" t="inlineStr">
        <is>
          <t>Lunglav
Orange taggsvamp
Dropptaggsvamp
Stuplav</t>
        </is>
      </c>
      <c r="S71">
        <f>HYPERLINK("https://klasma.github.io/Logging_2481/artfynd/A 23970-2024 artfynd.xlsx", "A 23970-2024")</f>
        <v/>
      </c>
      <c r="T71">
        <f>HYPERLINK("https://klasma.github.io/Logging_2481/kartor/A 23970-2024 karta.png", "A 23970-2024")</f>
        <v/>
      </c>
      <c r="V71">
        <f>HYPERLINK("https://klasma.github.io/Logging_2481/klagomål/A 23970-2024 FSC-klagomål.docx", "A 23970-2024")</f>
        <v/>
      </c>
      <c r="W71">
        <f>HYPERLINK("https://klasma.github.io/Logging_2481/klagomålsmail/A 23970-2024 FSC-klagomål mail.docx", "A 23970-2024")</f>
        <v/>
      </c>
      <c r="X71">
        <f>HYPERLINK("https://klasma.github.io/Logging_2481/tillsyn/A 23970-2024 tillsynsbegäran.docx", "A 23970-2024")</f>
        <v/>
      </c>
      <c r="Y71">
        <f>HYPERLINK("https://klasma.github.io/Logging_2481/tillsynsmail/A 23970-2024 tillsynsbegäran mail.docx", "A 23970-2024")</f>
        <v/>
      </c>
    </row>
    <row r="72" ht="15" customHeight="1">
      <c r="A72" t="inlineStr">
        <is>
          <t>A 26961-2024</t>
        </is>
      </c>
      <c r="B72" s="1" t="n">
        <v>45471</v>
      </c>
      <c r="C72" s="1" t="n">
        <v>45849</v>
      </c>
      <c r="D72" t="inlineStr">
        <is>
          <t>VÄSTERBOTTENS LÄN</t>
        </is>
      </c>
      <c r="E72" t="inlineStr">
        <is>
          <t>LYCKSELE</t>
        </is>
      </c>
      <c r="F72" t="inlineStr">
        <is>
          <t>SCA</t>
        </is>
      </c>
      <c r="G72" t="n">
        <v>9.1</v>
      </c>
      <c r="H72" t="n">
        <v>0</v>
      </c>
      <c r="I72" t="n">
        <v>2</v>
      </c>
      <c r="J72" t="n">
        <v>2</v>
      </c>
      <c r="K72" t="n">
        <v>0</v>
      </c>
      <c r="L72" t="n">
        <v>0</v>
      </c>
      <c r="M72" t="n">
        <v>0</v>
      </c>
      <c r="N72" t="n">
        <v>0</v>
      </c>
      <c r="O72" t="n">
        <v>2</v>
      </c>
      <c r="P72" t="n">
        <v>0</v>
      </c>
      <c r="Q72" t="n">
        <v>4</v>
      </c>
      <c r="R72" s="2" t="inlineStr">
        <is>
          <t>Lunglav
Orange taggsvamp
Dropptaggsvamp
Stuplav</t>
        </is>
      </c>
      <c r="S72">
        <f>HYPERLINK("https://klasma.github.io/Logging_2481/artfynd/A 26961-2024 artfynd.xlsx", "A 26961-2024")</f>
        <v/>
      </c>
      <c r="T72">
        <f>HYPERLINK("https://klasma.github.io/Logging_2481/kartor/A 26961-2024 karta.png", "A 26961-2024")</f>
        <v/>
      </c>
      <c r="V72">
        <f>HYPERLINK("https://klasma.github.io/Logging_2481/klagomål/A 26961-2024 FSC-klagomål.docx", "A 26961-2024")</f>
        <v/>
      </c>
      <c r="W72">
        <f>HYPERLINK("https://klasma.github.io/Logging_2481/klagomålsmail/A 26961-2024 FSC-klagomål mail.docx", "A 26961-2024")</f>
        <v/>
      </c>
      <c r="X72">
        <f>HYPERLINK("https://klasma.github.io/Logging_2481/tillsyn/A 26961-2024 tillsynsbegäran.docx", "A 26961-2024")</f>
        <v/>
      </c>
      <c r="Y72">
        <f>HYPERLINK("https://klasma.github.io/Logging_2481/tillsynsmail/A 26961-2024 tillsynsbegäran mail.docx", "A 26961-2024")</f>
        <v/>
      </c>
    </row>
    <row r="73" ht="15" customHeight="1">
      <c r="A73" t="inlineStr">
        <is>
          <t>A 31811-2024</t>
        </is>
      </c>
      <c r="B73" s="1" t="n">
        <v>45509</v>
      </c>
      <c r="C73" s="1" t="n">
        <v>45849</v>
      </c>
      <c r="D73" t="inlineStr">
        <is>
          <t>VÄSTERBOTTENS LÄN</t>
        </is>
      </c>
      <c r="E73" t="inlineStr">
        <is>
          <t>LYCKSELE</t>
        </is>
      </c>
      <c r="F73" t="inlineStr">
        <is>
          <t>Sveaskog</t>
        </is>
      </c>
      <c r="G73" t="n">
        <v>18.2</v>
      </c>
      <c r="H73" t="n">
        <v>2</v>
      </c>
      <c r="I73" t="n">
        <v>2</v>
      </c>
      <c r="J73" t="n">
        <v>1</v>
      </c>
      <c r="K73" t="n">
        <v>0</v>
      </c>
      <c r="L73" t="n">
        <v>0</v>
      </c>
      <c r="M73" t="n">
        <v>0</v>
      </c>
      <c r="N73" t="n">
        <v>0</v>
      </c>
      <c r="O73" t="n">
        <v>1</v>
      </c>
      <c r="P73" t="n">
        <v>0</v>
      </c>
      <c r="Q73" t="n">
        <v>4</v>
      </c>
      <c r="R73" s="2" t="inlineStr">
        <is>
          <t>Vedskivlav
Dropptaggsvamp
Plattlummer
Vanlig groda</t>
        </is>
      </c>
      <c r="S73">
        <f>HYPERLINK("https://klasma.github.io/Logging_2481/artfynd/A 31811-2024 artfynd.xlsx", "A 31811-2024")</f>
        <v/>
      </c>
      <c r="T73">
        <f>HYPERLINK("https://klasma.github.io/Logging_2481/kartor/A 31811-2024 karta.png", "A 31811-2024")</f>
        <v/>
      </c>
      <c r="U73">
        <f>HYPERLINK("https://klasma.github.io/Logging_2481/knärot/A 31811-2024 karta knärot.png", "A 31811-2024")</f>
        <v/>
      </c>
      <c r="V73">
        <f>HYPERLINK("https://klasma.github.io/Logging_2481/klagomål/A 31811-2024 FSC-klagomål.docx", "A 31811-2024")</f>
        <v/>
      </c>
      <c r="W73">
        <f>HYPERLINK("https://klasma.github.io/Logging_2481/klagomålsmail/A 31811-2024 FSC-klagomål mail.docx", "A 31811-2024")</f>
        <v/>
      </c>
      <c r="X73">
        <f>HYPERLINK("https://klasma.github.io/Logging_2481/tillsyn/A 31811-2024 tillsynsbegäran.docx", "A 31811-2024")</f>
        <v/>
      </c>
      <c r="Y73">
        <f>HYPERLINK("https://klasma.github.io/Logging_2481/tillsynsmail/A 31811-2024 tillsynsbegäran mail.docx", "A 31811-2024")</f>
        <v/>
      </c>
    </row>
    <row r="74" ht="15" customHeight="1">
      <c r="A74" t="inlineStr">
        <is>
          <t>A 33586-2024</t>
        </is>
      </c>
      <c r="B74" s="1" t="n">
        <v>45520</v>
      </c>
      <c r="C74" s="1" t="n">
        <v>45849</v>
      </c>
      <c r="D74" t="inlineStr">
        <is>
          <t>VÄSTERBOTTENS LÄN</t>
        </is>
      </c>
      <c r="E74" t="inlineStr">
        <is>
          <t>LYCKSELE</t>
        </is>
      </c>
      <c r="F74" t="inlineStr">
        <is>
          <t>Sveaskog</t>
        </is>
      </c>
      <c r="G74" t="n">
        <v>3.1</v>
      </c>
      <c r="H74" t="n">
        <v>0</v>
      </c>
      <c r="I74" t="n">
        <v>1</v>
      </c>
      <c r="J74" t="n">
        <v>3</v>
      </c>
      <c r="K74" t="n">
        <v>0</v>
      </c>
      <c r="L74" t="n">
        <v>0</v>
      </c>
      <c r="M74" t="n">
        <v>0</v>
      </c>
      <c r="N74" t="n">
        <v>0</v>
      </c>
      <c r="O74" t="n">
        <v>3</v>
      </c>
      <c r="P74" t="n">
        <v>0</v>
      </c>
      <c r="Q74" t="n">
        <v>4</v>
      </c>
      <c r="R74" s="2" t="inlineStr">
        <is>
          <t>Granticka
Mörk kolflarnlav
Ullticka
Luddlav</t>
        </is>
      </c>
      <c r="S74">
        <f>HYPERLINK("https://klasma.github.io/Logging_2481/artfynd/A 33586-2024 artfynd.xlsx", "A 33586-2024")</f>
        <v/>
      </c>
      <c r="T74">
        <f>HYPERLINK("https://klasma.github.io/Logging_2481/kartor/A 33586-2024 karta.png", "A 33586-2024")</f>
        <v/>
      </c>
      <c r="V74">
        <f>HYPERLINK("https://klasma.github.io/Logging_2481/klagomål/A 33586-2024 FSC-klagomål.docx", "A 33586-2024")</f>
        <v/>
      </c>
      <c r="W74">
        <f>HYPERLINK("https://klasma.github.io/Logging_2481/klagomålsmail/A 33586-2024 FSC-klagomål mail.docx", "A 33586-2024")</f>
        <v/>
      </c>
      <c r="X74">
        <f>HYPERLINK("https://klasma.github.io/Logging_2481/tillsyn/A 33586-2024 tillsynsbegäran.docx", "A 33586-2024")</f>
        <v/>
      </c>
      <c r="Y74">
        <f>HYPERLINK("https://klasma.github.io/Logging_2481/tillsynsmail/A 33586-2024 tillsynsbegäran mail.docx", "A 33586-2024")</f>
        <v/>
      </c>
    </row>
    <row r="75" ht="15" customHeight="1">
      <c r="A75" t="inlineStr">
        <is>
          <t>A 35790-2024</t>
        </is>
      </c>
      <c r="B75" s="1" t="n">
        <v>45532</v>
      </c>
      <c r="C75" s="1" t="n">
        <v>45849</v>
      </c>
      <c r="D75" t="inlineStr">
        <is>
          <t>VÄSTERBOTTENS LÄN</t>
        </is>
      </c>
      <c r="E75" t="inlineStr">
        <is>
          <t>LYCKSELE</t>
        </is>
      </c>
      <c r="F75" t="inlineStr">
        <is>
          <t>Sveaskog</t>
        </is>
      </c>
      <c r="G75" t="n">
        <v>4.4</v>
      </c>
      <c r="H75" t="n">
        <v>1</v>
      </c>
      <c r="I75" t="n">
        <v>0</v>
      </c>
      <c r="J75" t="n">
        <v>4</v>
      </c>
      <c r="K75" t="n">
        <v>0</v>
      </c>
      <c r="L75" t="n">
        <v>0</v>
      </c>
      <c r="M75" t="n">
        <v>0</v>
      </c>
      <c r="N75" t="n">
        <v>0</v>
      </c>
      <c r="O75" t="n">
        <v>4</v>
      </c>
      <c r="P75" t="n">
        <v>0</v>
      </c>
      <c r="Q75" t="n">
        <v>4</v>
      </c>
      <c r="R75" s="2" t="inlineStr">
        <is>
          <t>Dvärgbägarlav
Tallriska
Talltita
Äggvaxskivling</t>
        </is>
      </c>
      <c r="S75">
        <f>HYPERLINK("https://klasma.github.io/Logging_2481/artfynd/A 35790-2024 artfynd.xlsx", "A 35790-2024")</f>
        <v/>
      </c>
      <c r="T75">
        <f>HYPERLINK("https://klasma.github.io/Logging_2481/kartor/A 35790-2024 karta.png", "A 35790-2024")</f>
        <v/>
      </c>
      <c r="V75">
        <f>HYPERLINK("https://klasma.github.io/Logging_2481/klagomål/A 35790-2024 FSC-klagomål.docx", "A 35790-2024")</f>
        <v/>
      </c>
      <c r="W75">
        <f>HYPERLINK("https://klasma.github.io/Logging_2481/klagomålsmail/A 35790-2024 FSC-klagomål mail.docx", "A 35790-2024")</f>
        <v/>
      </c>
      <c r="X75">
        <f>HYPERLINK("https://klasma.github.io/Logging_2481/tillsyn/A 35790-2024 tillsynsbegäran.docx", "A 35790-2024")</f>
        <v/>
      </c>
      <c r="Y75">
        <f>HYPERLINK("https://klasma.github.io/Logging_2481/tillsynsmail/A 35790-2024 tillsynsbegäran mail.docx", "A 35790-2024")</f>
        <v/>
      </c>
      <c r="Z75">
        <f>HYPERLINK("https://klasma.github.io/Logging_2481/fåglar/A 35790-2024 prioriterade fågelarter.docx", "A 35790-2024")</f>
        <v/>
      </c>
    </row>
    <row r="76" ht="15" customHeight="1">
      <c r="A76" t="inlineStr">
        <is>
          <t>A 46203-2024</t>
        </is>
      </c>
      <c r="B76" s="1" t="n">
        <v>45581</v>
      </c>
      <c r="C76" s="1" t="n">
        <v>45849</v>
      </c>
      <c r="D76" t="inlineStr">
        <is>
          <t>VÄSTERBOTTENS LÄN</t>
        </is>
      </c>
      <c r="E76" t="inlineStr">
        <is>
          <t>LYCKSELE</t>
        </is>
      </c>
      <c r="F76" t="inlineStr">
        <is>
          <t>Sveaskog</t>
        </is>
      </c>
      <c r="G76" t="n">
        <v>16.9</v>
      </c>
      <c r="H76" t="n">
        <v>0</v>
      </c>
      <c r="I76" t="n">
        <v>1</v>
      </c>
      <c r="J76" t="n">
        <v>3</v>
      </c>
      <c r="K76" t="n">
        <v>0</v>
      </c>
      <c r="L76" t="n">
        <v>0</v>
      </c>
      <c r="M76" t="n">
        <v>0</v>
      </c>
      <c r="N76" t="n">
        <v>0</v>
      </c>
      <c r="O76" t="n">
        <v>3</v>
      </c>
      <c r="P76" t="n">
        <v>0</v>
      </c>
      <c r="Q76" t="n">
        <v>4</v>
      </c>
      <c r="R76" s="2" t="inlineStr">
        <is>
          <t>Mörk kolflarnlav
Orange taggsvamp
Talltaggsvamp
Skarp dropptaggsvamp</t>
        </is>
      </c>
      <c r="S76">
        <f>HYPERLINK("https://klasma.github.io/Logging_2481/artfynd/A 46203-2024 artfynd.xlsx", "A 46203-2024")</f>
        <v/>
      </c>
      <c r="T76">
        <f>HYPERLINK("https://klasma.github.io/Logging_2481/kartor/A 46203-2024 karta.png", "A 46203-2024")</f>
        <v/>
      </c>
      <c r="V76">
        <f>HYPERLINK("https://klasma.github.io/Logging_2481/klagomål/A 46203-2024 FSC-klagomål.docx", "A 46203-2024")</f>
        <v/>
      </c>
      <c r="W76">
        <f>HYPERLINK("https://klasma.github.io/Logging_2481/klagomålsmail/A 46203-2024 FSC-klagomål mail.docx", "A 46203-2024")</f>
        <v/>
      </c>
      <c r="X76">
        <f>HYPERLINK("https://klasma.github.io/Logging_2481/tillsyn/A 46203-2024 tillsynsbegäran.docx", "A 46203-2024")</f>
        <v/>
      </c>
      <c r="Y76">
        <f>HYPERLINK("https://klasma.github.io/Logging_2481/tillsynsmail/A 46203-2024 tillsynsbegäran mail.docx", "A 46203-2024")</f>
        <v/>
      </c>
    </row>
    <row r="77" ht="15" customHeight="1">
      <c r="A77" t="inlineStr">
        <is>
          <t>A 47977-2024</t>
        </is>
      </c>
      <c r="B77" s="1" t="n">
        <v>45589</v>
      </c>
      <c r="C77" s="1" t="n">
        <v>45849</v>
      </c>
      <c r="D77" t="inlineStr">
        <is>
          <t>VÄSTERBOTTENS LÄN</t>
        </is>
      </c>
      <c r="E77" t="inlineStr">
        <is>
          <t>LYCKSELE</t>
        </is>
      </c>
      <c r="F77" t="inlineStr">
        <is>
          <t>Sveaskog</t>
        </is>
      </c>
      <c r="G77" t="n">
        <v>3</v>
      </c>
      <c r="H77" t="n">
        <v>0</v>
      </c>
      <c r="I77" t="n">
        <v>0</v>
      </c>
      <c r="J77" t="n">
        <v>4</v>
      </c>
      <c r="K77" t="n">
        <v>0</v>
      </c>
      <c r="L77" t="n">
        <v>0</v>
      </c>
      <c r="M77" t="n">
        <v>0</v>
      </c>
      <c r="N77" t="n">
        <v>0</v>
      </c>
      <c r="O77" t="n">
        <v>4</v>
      </c>
      <c r="P77" t="n">
        <v>0</v>
      </c>
      <c r="Q77" t="n">
        <v>4</v>
      </c>
      <c r="R77" s="2" t="inlineStr">
        <is>
          <t>Blå taggsvamp
Kolflarnlav
Orange taggsvamp
Skrovlig taggsvamp</t>
        </is>
      </c>
      <c r="S77">
        <f>HYPERLINK("https://klasma.github.io/Logging_2481/artfynd/A 47977-2024 artfynd.xlsx", "A 47977-2024")</f>
        <v/>
      </c>
      <c r="T77">
        <f>HYPERLINK("https://klasma.github.io/Logging_2481/kartor/A 47977-2024 karta.png", "A 47977-2024")</f>
        <v/>
      </c>
      <c r="V77">
        <f>HYPERLINK("https://klasma.github.io/Logging_2481/klagomål/A 47977-2024 FSC-klagomål.docx", "A 47977-2024")</f>
        <v/>
      </c>
      <c r="W77">
        <f>HYPERLINK("https://klasma.github.io/Logging_2481/klagomålsmail/A 47977-2024 FSC-klagomål mail.docx", "A 47977-2024")</f>
        <v/>
      </c>
      <c r="X77">
        <f>HYPERLINK("https://klasma.github.io/Logging_2481/tillsyn/A 47977-2024 tillsynsbegäran.docx", "A 47977-2024")</f>
        <v/>
      </c>
      <c r="Y77">
        <f>HYPERLINK("https://klasma.github.io/Logging_2481/tillsynsmail/A 47977-2024 tillsynsbegäran mail.docx", "A 47977-2024")</f>
        <v/>
      </c>
    </row>
    <row r="78" ht="15" customHeight="1">
      <c r="A78" t="inlineStr">
        <is>
          <t>A 52891-2024</t>
        </is>
      </c>
      <c r="B78" s="1" t="n">
        <v>45610</v>
      </c>
      <c r="C78" s="1" t="n">
        <v>45849</v>
      </c>
      <c r="D78" t="inlineStr">
        <is>
          <t>VÄSTERBOTTENS LÄN</t>
        </is>
      </c>
      <c r="E78" t="inlineStr">
        <is>
          <t>LYCKSELE</t>
        </is>
      </c>
      <c r="F78" t="inlineStr">
        <is>
          <t>Holmen skog AB</t>
        </is>
      </c>
      <c r="G78" t="n">
        <v>5</v>
      </c>
      <c r="H78" t="n">
        <v>0</v>
      </c>
      <c r="I78" t="n">
        <v>1</v>
      </c>
      <c r="J78" t="n">
        <v>3</v>
      </c>
      <c r="K78" t="n">
        <v>0</v>
      </c>
      <c r="L78" t="n">
        <v>0</v>
      </c>
      <c r="M78" t="n">
        <v>0</v>
      </c>
      <c r="N78" t="n">
        <v>0</v>
      </c>
      <c r="O78" t="n">
        <v>3</v>
      </c>
      <c r="P78" t="n">
        <v>0</v>
      </c>
      <c r="Q78" t="n">
        <v>4</v>
      </c>
      <c r="R78" s="2" t="inlineStr">
        <is>
          <t>Garnlav
Granticka
Lunglav
Bårdlav</t>
        </is>
      </c>
      <c r="S78">
        <f>HYPERLINK("https://klasma.github.io/Logging_2481/artfynd/A 52891-2024 artfynd.xlsx", "A 52891-2024")</f>
        <v/>
      </c>
      <c r="T78">
        <f>HYPERLINK("https://klasma.github.io/Logging_2481/kartor/A 52891-2024 karta.png", "A 52891-2024")</f>
        <v/>
      </c>
      <c r="V78">
        <f>HYPERLINK("https://klasma.github.io/Logging_2481/klagomål/A 52891-2024 FSC-klagomål.docx", "A 52891-2024")</f>
        <v/>
      </c>
      <c r="W78">
        <f>HYPERLINK("https://klasma.github.io/Logging_2481/klagomålsmail/A 52891-2024 FSC-klagomål mail.docx", "A 52891-2024")</f>
        <v/>
      </c>
      <c r="X78">
        <f>HYPERLINK("https://klasma.github.io/Logging_2481/tillsyn/A 52891-2024 tillsynsbegäran.docx", "A 52891-2024")</f>
        <v/>
      </c>
      <c r="Y78">
        <f>HYPERLINK("https://klasma.github.io/Logging_2481/tillsynsmail/A 52891-2024 tillsynsbegäran mail.docx", "A 52891-2024")</f>
        <v/>
      </c>
    </row>
    <row r="79" ht="15" customHeight="1">
      <c r="A79" t="inlineStr">
        <is>
          <t>A 53094-2024</t>
        </is>
      </c>
      <c r="B79" s="1" t="n">
        <v>45611</v>
      </c>
      <c r="C79" s="1" t="n">
        <v>45849</v>
      </c>
      <c r="D79" t="inlineStr">
        <is>
          <t>VÄSTERBOTTENS LÄN</t>
        </is>
      </c>
      <c r="E79" t="inlineStr">
        <is>
          <t>LYCKSELE</t>
        </is>
      </c>
      <c r="F79" t="inlineStr">
        <is>
          <t>Sveaskog</t>
        </is>
      </c>
      <c r="G79" t="n">
        <v>5.4</v>
      </c>
      <c r="H79" t="n">
        <v>0</v>
      </c>
      <c r="I79" t="n">
        <v>0</v>
      </c>
      <c r="J79" t="n">
        <v>4</v>
      </c>
      <c r="K79" t="n">
        <v>0</v>
      </c>
      <c r="L79" t="n">
        <v>0</v>
      </c>
      <c r="M79" t="n">
        <v>0</v>
      </c>
      <c r="N79" t="n">
        <v>0</v>
      </c>
      <c r="O79" t="n">
        <v>4</v>
      </c>
      <c r="P79" t="n">
        <v>0</v>
      </c>
      <c r="Q79" t="n">
        <v>4</v>
      </c>
      <c r="R79" s="2" t="inlineStr">
        <is>
          <t>Blå taggsvamp
Kolflarnlav
Lunglav
Motaggsvamp</t>
        </is>
      </c>
      <c r="S79">
        <f>HYPERLINK("https://klasma.github.io/Logging_2481/artfynd/A 53094-2024 artfynd.xlsx", "A 53094-2024")</f>
        <v/>
      </c>
      <c r="T79">
        <f>HYPERLINK("https://klasma.github.io/Logging_2481/kartor/A 53094-2024 karta.png", "A 53094-2024")</f>
        <v/>
      </c>
      <c r="V79">
        <f>HYPERLINK("https://klasma.github.io/Logging_2481/klagomål/A 53094-2024 FSC-klagomål.docx", "A 53094-2024")</f>
        <v/>
      </c>
      <c r="W79">
        <f>HYPERLINK("https://klasma.github.io/Logging_2481/klagomålsmail/A 53094-2024 FSC-klagomål mail.docx", "A 53094-2024")</f>
        <v/>
      </c>
      <c r="X79">
        <f>HYPERLINK("https://klasma.github.io/Logging_2481/tillsyn/A 53094-2024 tillsynsbegäran.docx", "A 53094-2024")</f>
        <v/>
      </c>
      <c r="Y79">
        <f>HYPERLINK("https://klasma.github.io/Logging_2481/tillsynsmail/A 53094-2024 tillsynsbegäran mail.docx", "A 53094-2024")</f>
        <v/>
      </c>
    </row>
    <row r="80" ht="15" customHeight="1">
      <c r="A80" t="inlineStr">
        <is>
          <t>A 54905-2024</t>
        </is>
      </c>
      <c r="B80" s="1" t="n">
        <v>45618</v>
      </c>
      <c r="C80" s="1" t="n">
        <v>45849</v>
      </c>
      <c r="D80" t="inlineStr">
        <is>
          <t>VÄSTERBOTTENS LÄN</t>
        </is>
      </c>
      <c r="E80" t="inlineStr">
        <is>
          <t>LYCKSELE</t>
        </is>
      </c>
      <c r="F80" t="inlineStr">
        <is>
          <t>Sveaskog</t>
        </is>
      </c>
      <c r="G80" t="n">
        <v>2.2</v>
      </c>
      <c r="H80" t="n">
        <v>0</v>
      </c>
      <c r="I80" t="n">
        <v>1</v>
      </c>
      <c r="J80" t="n">
        <v>2</v>
      </c>
      <c r="K80" t="n">
        <v>1</v>
      </c>
      <c r="L80" t="n">
        <v>0</v>
      </c>
      <c r="M80" t="n">
        <v>0</v>
      </c>
      <c r="N80" t="n">
        <v>0</v>
      </c>
      <c r="O80" t="n">
        <v>3</v>
      </c>
      <c r="P80" t="n">
        <v>1</v>
      </c>
      <c r="Q80" t="n">
        <v>4</v>
      </c>
      <c r="R80" s="2" t="inlineStr">
        <is>
          <t>Fläckporing
Garnlav
Kolflarnlav
Dropptaggsvamp</t>
        </is>
      </c>
      <c r="S80">
        <f>HYPERLINK("https://klasma.github.io/Logging_2481/artfynd/A 54905-2024 artfynd.xlsx", "A 54905-2024")</f>
        <v/>
      </c>
      <c r="T80">
        <f>HYPERLINK("https://klasma.github.io/Logging_2481/kartor/A 54905-2024 karta.png", "A 54905-2024")</f>
        <v/>
      </c>
      <c r="V80">
        <f>HYPERLINK("https://klasma.github.io/Logging_2481/klagomål/A 54905-2024 FSC-klagomål.docx", "A 54905-2024")</f>
        <v/>
      </c>
      <c r="W80">
        <f>HYPERLINK("https://klasma.github.io/Logging_2481/klagomålsmail/A 54905-2024 FSC-klagomål mail.docx", "A 54905-2024")</f>
        <v/>
      </c>
      <c r="X80">
        <f>HYPERLINK("https://klasma.github.io/Logging_2481/tillsyn/A 54905-2024 tillsynsbegäran.docx", "A 54905-2024")</f>
        <v/>
      </c>
      <c r="Y80">
        <f>HYPERLINK("https://klasma.github.io/Logging_2481/tillsynsmail/A 54905-2024 tillsynsbegäran mail.docx", "A 54905-2024")</f>
        <v/>
      </c>
    </row>
    <row r="81" ht="15" customHeight="1">
      <c r="A81" t="inlineStr">
        <is>
          <t>A 55825-2024</t>
        </is>
      </c>
      <c r="B81" s="1" t="n">
        <v>45623</v>
      </c>
      <c r="C81" s="1" t="n">
        <v>45849</v>
      </c>
      <c r="D81" t="inlineStr">
        <is>
          <t>VÄSTERBOTTENS LÄN</t>
        </is>
      </c>
      <c r="E81" t="inlineStr">
        <is>
          <t>LYCKSELE</t>
        </is>
      </c>
      <c r="G81" t="n">
        <v>7.1</v>
      </c>
      <c r="H81" t="n">
        <v>3</v>
      </c>
      <c r="I81" t="n">
        <v>0</v>
      </c>
      <c r="J81" t="n">
        <v>3</v>
      </c>
      <c r="K81" t="n">
        <v>0</v>
      </c>
      <c r="L81" t="n">
        <v>0</v>
      </c>
      <c r="M81" t="n">
        <v>0</v>
      </c>
      <c r="N81" t="n">
        <v>0</v>
      </c>
      <c r="O81" t="n">
        <v>3</v>
      </c>
      <c r="P81" t="n">
        <v>0</v>
      </c>
      <c r="Q81" t="n">
        <v>4</v>
      </c>
      <c r="R81" s="2" t="inlineStr">
        <is>
          <t>Kolflarnlav
Spillkråka
Tretåig hackspett
Revlummer</t>
        </is>
      </c>
      <c r="S81">
        <f>HYPERLINK("https://klasma.github.io/Logging_2481/artfynd/A 55825-2024 artfynd.xlsx", "A 55825-2024")</f>
        <v/>
      </c>
      <c r="T81">
        <f>HYPERLINK("https://klasma.github.io/Logging_2481/kartor/A 55825-2024 karta.png", "A 55825-2024")</f>
        <v/>
      </c>
      <c r="V81">
        <f>HYPERLINK("https://klasma.github.io/Logging_2481/klagomål/A 55825-2024 FSC-klagomål.docx", "A 55825-2024")</f>
        <v/>
      </c>
      <c r="W81">
        <f>HYPERLINK("https://klasma.github.io/Logging_2481/klagomålsmail/A 55825-2024 FSC-klagomål mail.docx", "A 55825-2024")</f>
        <v/>
      </c>
      <c r="X81">
        <f>HYPERLINK("https://klasma.github.io/Logging_2481/tillsyn/A 55825-2024 tillsynsbegäran.docx", "A 55825-2024")</f>
        <v/>
      </c>
      <c r="Y81">
        <f>HYPERLINK("https://klasma.github.io/Logging_2481/tillsynsmail/A 55825-2024 tillsynsbegäran mail.docx", "A 55825-2024")</f>
        <v/>
      </c>
      <c r="Z81">
        <f>HYPERLINK("https://klasma.github.io/Logging_2481/fåglar/A 55825-2024 prioriterade fågelarter.docx", "A 55825-2024")</f>
        <v/>
      </c>
    </row>
    <row r="82" ht="15" customHeight="1">
      <c r="A82" t="inlineStr">
        <is>
          <t>A 27068-2025</t>
        </is>
      </c>
      <c r="B82" s="1" t="n">
        <v>45811</v>
      </c>
      <c r="C82" s="1" t="n">
        <v>45849</v>
      </c>
      <c r="D82" t="inlineStr">
        <is>
          <t>VÄSTERBOTTENS LÄN</t>
        </is>
      </c>
      <c r="E82" t="inlineStr">
        <is>
          <t>LYCKSELE</t>
        </is>
      </c>
      <c r="F82" t="inlineStr">
        <is>
          <t>Sveaskog</t>
        </is>
      </c>
      <c r="G82" t="n">
        <v>3.3</v>
      </c>
      <c r="H82" t="n">
        <v>0</v>
      </c>
      <c r="I82" t="n">
        <v>1</v>
      </c>
      <c r="J82" t="n">
        <v>3</v>
      </c>
      <c r="K82" t="n">
        <v>0</v>
      </c>
      <c r="L82" t="n">
        <v>0</v>
      </c>
      <c r="M82" t="n">
        <v>0</v>
      </c>
      <c r="N82" t="n">
        <v>0</v>
      </c>
      <c r="O82" t="n">
        <v>3</v>
      </c>
      <c r="P82" t="n">
        <v>0</v>
      </c>
      <c r="Q82" t="n">
        <v>4</v>
      </c>
      <c r="R82" s="2" t="inlineStr">
        <is>
          <t>Blå taggsvamp
Kolflarnlav
Motaggsvamp
Dropptaggsvamp</t>
        </is>
      </c>
      <c r="S82">
        <f>HYPERLINK("https://klasma.github.io/Logging_242481/artfynd/A 27068-2025 artfynd.xlsx", "A 27068-2025")</f>
        <v/>
      </c>
      <c r="T82">
        <f>HYPERLINK("https://klasma.github.io/Logging_242481/kartor/A 27068-2025 karta.png", "A 27068-2025")</f>
        <v/>
      </c>
      <c r="V82">
        <f>HYPERLINK("https://klasma.github.io/Logging_242481/klagomål/A 27068-2025 FSC-klagomål.docx", "A 27068-2025")</f>
        <v/>
      </c>
      <c r="W82">
        <f>HYPERLINK("https://klasma.github.io/Logging_242481/klagomålsmail/A 27068-2025 FSC-klagomål mail.docx", "A 27068-2025")</f>
        <v/>
      </c>
      <c r="X82">
        <f>HYPERLINK("https://klasma.github.io/Logging_242481/tillsyn/A 27068-2025 tillsynsbegäran.docx", "A 27068-2025")</f>
        <v/>
      </c>
      <c r="Y82">
        <f>HYPERLINK("https://klasma.github.io/Logging_242481/tillsynsmail/A 27068-2025 tillsynsbegäran mail.docx", "A 27068-2025")</f>
        <v/>
      </c>
    </row>
    <row r="83" ht="15" customHeight="1">
      <c r="A83" t="inlineStr">
        <is>
          <t>A 30414-2025</t>
        </is>
      </c>
      <c r="B83" s="1" t="n">
        <v>45827</v>
      </c>
      <c r="C83" s="1" t="n">
        <v>45849</v>
      </c>
      <c r="D83" t="inlineStr">
        <is>
          <t>VÄSTERBOTTENS LÄN</t>
        </is>
      </c>
      <c r="E83" t="inlineStr">
        <is>
          <t>LYCKSELE</t>
        </is>
      </c>
      <c r="F83" t="inlineStr">
        <is>
          <t>Sveaskog</t>
        </is>
      </c>
      <c r="G83" t="n">
        <v>17</v>
      </c>
      <c r="H83" t="n">
        <v>0</v>
      </c>
      <c r="I83" t="n">
        <v>2</v>
      </c>
      <c r="J83" t="n">
        <v>2</v>
      </c>
      <c r="K83" t="n">
        <v>0</v>
      </c>
      <c r="L83" t="n">
        <v>0</v>
      </c>
      <c r="M83" t="n">
        <v>0</v>
      </c>
      <c r="N83" t="n">
        <v>0</v>
      </c>
      <c r="O83" t="n">
        <v>2</v>
      </c>
      <c r="P83" t="n">
        <v>0</v>
      </c>
      <c r="Q83" t="n">
        <v>4</v>
      </c>
      <c r="R83" s="2" t="inlineStr">
        <is>
          <t>Lunglav
Skrovellav
Skinnlav
Stor aspticka</t>
        </is>
      </c>
      <c r="S83">
        <f>HYPERLINK("https://klasma.github.io/Logging_242481/artfynd/A 30414-2025 artfynd.xlsx", "A 30414-2025")</f>
        <v/>
      </c>
      <c r="T83">
        <f>HYPERLINK("https://klasma.github.io/Logging_242481/kartor/A 30414-2025 karta.png", "A 30414-2025")</f>
        <v/>
      </c>
      <c r="V83">
        <f>HYPERLINK("https://klasma.github.io/Logging_242481/klagomål/A 30414-2025 FSC-klagomål.docx", "A 30414-2025")</f>
        <v/>
      </c>
      <c r="W83">
        <f>HYPERLINK("https://klasma.github.io/Logging_242481/klagomålsmail/A 30414-2025 FSC-klagomål mail.docx", "A 30414-2025")</f>
        <v/>
      </c>
      <c r="X83">
        <f>HYPERLINK("https://klasma.github.io/Logging_242481/tillsyn/A 30414-2025 tillsynsbegäran.docx", "A 30414-2025")</f>
        <v/>
      </c>
      <c r="Y83">
        <f>HYPERLINK("https://klasma.github.io/Logging_242481/tillsynsmail/A 30414-2025 tillsynsbegäran mail.docx", "A 30414-2025")</f>
        <v/>
      </c>
    </row>
    <row r="84" ht="15" customHeight="1">
      <c r="A84" t="inlineStr">
        <is>
          <t>A 48784-2019</t>
        </is>
      </c>
      <c r="B84" s="1" t="n">
        <v>43727</v>
      </c>
      <c r="C84" s="1" t="n">
        <v>45849</v>
      </c>
      <c r="D84" t="inlineStr">
        <is>
          <t>VÄSTERBOTTENS LÄN</t>
        </is>
      </c>
      <c r="E84" t="inlineStr">
        <is>
          <t>LYCKSELE</t>
        </is>
      </c>
      <c r="F84" t="inlineStr">
        <is>
          <t>Sveaskog</t>
        </is>
      </c>
      <c r="G84" t="n">
        <v>2.8</v>
      </c>
      <c r="H84" t="n">
        <v>0</v>
      </c>
      <c r="I84" t="n">
        <v>0</v>
      </c>
      <c r="J84" t="n">
        <v>3</v>
      </c>
      <c r="K84" t="n">
        <v>0</v>
      </c>
      <c r="L84" t="n">
        <v>0</v>
      </c>
      <c r="M84" t="n">
        <v>0</v>
      </c>
      <c r="N84" t="n">
        <v>0</v>
      </c>
      <c r="O84" t="n">
        <v>3</v>
      </c>
      <c r="P84" t="n">
        <v>0</v>
      </c>
      <c r="Q84" t="n">
        <v>3</v>
      </c>
      <c r="R84" s="2" t="inlineStr">
        <is>
          <t>Gammelgransskål
Garnlav
Granticka</t>
        </is>
      </c>
      <c r="S84">
        <f>HYPERLINK("https://klasma.github.io/Logging_2481/artfynd/A 48784-2019 artfynd.xlsx", "A 48784-2019")</f>
        <v/>
      </c>
      <c r="T84">
        <f>HYPERLINK("https://klasma.github.io/Logging_2481/kartor/A 48784-2019 karta.png", "A 48784-2019")</f>
        <v/>
      </c>
      <c r="V84">
        <f>HYPERLINK("https://klasma.github.io/Logging_2481/klagomål/A 48784-2019 FSC-klagomål.docx", "A 48784-2019")</f>
        <v/>
      </c>
      <c r="W84">
        <f>HYPERLINK("https://klasma.github.io/Logging_2481/klagomålsmail/A 48784-2019 FSC-klagomål mail.docx", "A 48784-2019")</f>
        <v/>
      </c>
      <c r="X84">
        <f>HYPERLINK("https://klasma.github.io/Logging_2481/tillsyn/A 48784-2019 tillsynsbegäran.docx", "A 48784-2019")</f>
        <v/>
      </c>
      <c r="Y84">
        <f>HYPERLINK("https://klasma.github.io/Logging_2481/tillsynsmail/A 48784-2019 tillsynsbegäran mail.docx", "A 48784-2019")</f>
        <v/>
      </c>
    </row>
    <row r="85" ht="15" customHeight="1">
      <c r="A85" t="inlineStr">
        <is>
          <t>A 47498-2021</t>
        </is>
      </c>
      <c r="B85" s="1" t="n">
        <v>44447</v>
      </c>
      <c r="C85" s="1" t="n">
        <v>45849</v>
      </c>
      <c r="D85" t="inlineStr">
        <is>
          <t>VÄSTERBOTTENS LÄN</t>
        </is>
      </c>
      <c r="E85" t="inlineStr">
        <is>
          <t>LYCKSELE</t>
        </is>
      </c>
      <c r="F85" t="inlineStr">
        <is>
          <t>Sveaskog</t>
        </is>
      </c>
      <c r="G85" t="n">
        <v>4.6</v>
      </c>
      <c r="H85" t="n">
        <v>1</v>
      </c>
      <c r="I85" t="n">
        <v>2</v>
      </c>
      <c r="J85" t="n">
        <v>0</v>
      </c>
      <c r="K85" t="n">
        <v>1</v>
      </c>
      <c r="L85" t="n">
        <v>0</v>
      </c>
      <c r="M85" t="n">
        <v>0</v>
      </c>
      <c r="N85" t="n">
        <v>0</v>
      </c>
      <c r="O85" t="n">
        <v>1</v>
      </c>
      <c r="P85" t="n">
        <v>1</v>
      </c>
      <c r="Q85" t="n">
        <v>3</v>
      </c>
      <c r="R85" s="2" t="inlineStr">
        <is>
          <t>Doftticka
Skinnlav
Stuplav</t>
        </is>
      </c>
      <c r="S85">
        <f>HYPERLINK("https://klasma.github.io/Logging_2481/artfynd/A 47498-2021 artfynd.xlsx", "A 47498-2021")</f>
        <v/>
      </c>
      <c r="T85">
        <f>HYPERLINK("https://klasma.github.io/Logging_2481/kartor/A 47498-2021 karta.png", "A 47498-2021")</f>
        <v/>
      </c>
      <c r="V85">
        <f>HYPERLINK("https://klasma.github.io/Logging_2481/klagomål/A 47498-2021 FSC-klagomål.docx", "A 47498-2021")</f>
        <v/>
      </c>
      <c r="W85">
        <f>HYPERLINK("https://klasma.github.io/Logging_2481/klagomålsmail/A 47498-2021 FSC-klagomål mail.docx", "A 47498-2021")</f>
        <v/>
      </c>
      <c r="X85">
        <f>HYPERLINK("https://klasma.github.io/Logging_2481/tillsyn/A 47498-2021 tillsynsbegäran.docx", "A 47498-2021")</f>
        <v/>
      </c>
      <c r="Y85">
        <f>HYPERLINK("https://klasma.github.io/Logging_2481/tillsynsmail/A 47498-2021 tillsynsbegäran mail.docx", "A 47498-2021")</f>
        <v/>
      </c>
    </row>
    <row r="86" ht="15" customHeight="1">
      <c r="A86" t="inlineStr">
        <is>
          <t>A 61172-2021</t>
        </is>
      </c>
      <c r="B86" s="1" t="n">
        <v>44498</v>
      </c>
      <c r="C86" s="1" t="n">
        <v>45849</v>
      </c>
      <c r="D86" t="inlineStr">
        <is>
          <t>VÄSTERBOTTENS LÄN</t>
        </is>
      </c>
      <c r="E86" t="inlineStr">
        <is>
          <t>LYCKSELE</t>
        </is>
      </c>
      <c r="F86" t="inlineStr">
        <is>
          <t>Sveaskog</t>
        </is>
      </c>
      <c r="G86" t="n">
        <v>1.8</v>
      </c>
      <c r="H86" t="n">
        <v>0</v>
      </c>
      <c r="I86" t="n">
        <v>0</v>
      </c>
      <c r="J86" t="n">
        <v>2</v>
      </c>
      <c r="K86" t="n">
        <v>1</v>
      </c>
      <c r="L86" t="n">
        <v>0</v>
      </c>
      <c r="M86" t="n">
        <v>0</v>
      </c>
      <c r="N86" t="n">
        <v>0</v>
      </c>
      <c r="O86" t="n">
        <v>3</v>
      </c>
      <c r="P86" t="n">
        <v>1</v>
      </c>
      <c r="Q86" t="n">
        <v>3</v>
      </c>
      <c r="R86" s="2" t="inlineStr">
        <is>
          <t>Jättemusseron
Kolflarnlav
Nordtagging</t>
        </is>
      </c>
      <c r="S86">
        <f>HYPERLINK("https://klasma.github.io/Logging_2481/artfynd/A 61172-2021 artfynd.xlsx", "A 61172-2021")</f>
        <v/>
      </c>
      <c r="T86">
        <f>HYPERLINK("https://klasma.github.io/Logging_2481/kartor/A 61172-2021 karta.png", "A 61172-2021")</f>
        <v/>
      </c>
      <c r="V86">
        <f>HYPERLINK("https://klasma.github.io/Logging_2481/klagomål/A 61172-2021 FSC-klagomål.docx", "A 61172-2021")</f>
        <v/>
      </c>
      <c r="W86">
        <f>HYPERLINK("https://klasma.github.io/Logging_2481/klagomålsmail/A 61172-2021 FSC-klagomål mail.docx", "A 61172-2021")</f>
        <v/>
      </c>
      <c r="X86">
        <f>HYPERLINK("https://klasma.github.io/Logging_2481/tillsyn/A 61172-2021 tillsynsbegäran.docx", "A 61172-2021")</f>
        <v/>
      </c>
      <c r="Y86">
        <f>HYPERLINK("https://klasma.github.io/Logging_2481/tillsynsmail/A 61172-2021 tillsynsbegäran mail.docx", "A 61172-2021")</f>
        <v/>
      </c>
    </row>
    <row r="87" ht="15" customHeight="1">
      <c r="A87" t="inlineStr">
        <is>
          <t>A 61747-2021</t>
        </is>
      </c>
      <c r="B87" s="1" t="n">
        <v>44501</v>
      </c>
      <c r="C87" s="1" t="n">
        <v>45849</v>
      </c>
      <c r="D87" t="inlineStr">
        <is>
          <t>VÄSTERBOTTENS LÄN</t>
        </is>
      </c>
      <c r="E87" t="inlineStr">
        <is>
          <t>LYCKSELE</t>
        </is>
      </c>
      <c r="F87" t="inlineStr">
        <is>
          <t>Sveaskog</t>
        </is>
      </c>
      <c r="G87" t="n">
        <v>15.1</v>
      </c>
      <c r="H87" t="n">
        <v>0</v>
      </c>
      <c r="I87" t="n">
        <v>2</v>
      </c>
      <c r="J87" t="n">
        <v>1</v>
      </c>
      <c r="K87" t="n">
        <v>0</v>
      </c>
      <c r="L87" t="n">
        <v>0</v>
      </c>
      <c r="M87" t="n">
        <v>0</v>
      </c>
      <c r="N87" t="n">
        <v>0</v>
      </c>
      <c r="O87" t="n">
        <v>1</v>
      </c>
      <c r="P87" t="n">
        <v>0</v>
      </c>
      <c r="Q87" t="n">
        <v>3</v>
      </c>
      <c r="R87" s="2" t="inlineStr">
        <is>
          <t>Vaddporing
Dropptaggsvamp
Fjällig taggsvamp s.str.</t>
        </is>
      </c>
      <c r="S87">
        <f>HYPERLINK("https://klasma.github.io/Logging_2481/artfynd/A 61747-2021 artfynd.xlsx", "A 61747-2021")</f>
        <v/>
      </c>
      <c r="T87">
        <f>HYPERLINK("https://klasma.github.io/Logging_2481/kartor/A 61747-2021 karta.png", "A 61747-2021")</f>
        <v/>
      </c>
      <c r="V87">
        <f>HYPERLINK("https://klasma.github.io/Logging_2481/klagomål/A 61747-2021 FSC-klagomål.docx", "A 61747-2021")</f>
        <v/>
      </c>
      <c r="W87">
        <f>HYPERLINK("https://klasma.github.io/Logging_2481/klagomålsmail/A 61747-2021 FSC-klagomål mail.docx", "A 61747-2021")</f>
        <v/>
      </c>
      <c r="X87">
        <f>HYPERLINK("https://klasma.github.io/Logging_2481/tillsyn/A 61747-2021 tillsynsbegäran.docx", "A 61747-2021")</f>
        <v/>
      </c>
      <c r="Y87">
        <f>HYPERLINK("https://klasma.github.io/Logging_2481/tillsynsmail/A 61747-2021 tillsynsbegäran mail.docx", "A 61747-2021")</f>
        <v/>
      </c>
    </row>
    <row r="88" ht="15" customHeight="1">
      <c r="A88" t="inlineStr">
        <is>
          <t>A 28420-2022</t>
        </is>
      </c>
      <c r="B88" s="1" t="n">
        <v>44747</v>
      </c>
      <c r="C88" s="1" t="n">
        <v>45849</v>
      </c>
      <c r="D88" t="inlineStr">
        <is>
          <t>VÄSTERBOTTENS LÄN</t>
        </is>
      </c>
      <c r="E88" t="inlineStr">
        <is>
          <t>LYCKSELE</t>
        </is>
      </c>
      <c r="G88" t="n">
        <v>6.4</v>
      </c>
      <c r="H88" t="n">
        <v>0</v>
      </c>
      <c r="I88" t="n">
        <v>2</v>
      </c>
      <c r="J88" t="n">
        <v>1</v>
      </c>
      <c r="K88" t="n">
        <v>0</v>
      </c>
      <c r="L88" t="n">
        <v>0</v>
      </c>
      <c r="M88" t="n">
        <v>0</v>
      </c>
      <c r="N88" t="n">
        <v>0</v>
      </c>
      <c r="O88" t="n">
        <v>1</v>
      </c>
      <c r="P88" t="n">
        <v>0</v>
      </c>
      <c r="Q88" t="n">
        <v>3</v>
      </c>
      <c r="R88" s="2" t="inlineStr">
        <is>
          <t>Lunglav
Luddlav
Stuplav</t>
        </is>
      </c>
      <c r="S88">
        <f>HYPERLINK("https://klasma.github.io/Logging_2481/artfynd/A 28420-2022 artfynd.xlsx", "A 28420-2022")</f>
        <v/>
      </c>
      <c r="T88">
        <f>HYPERLINK("https://klasma.github.io/Logging_2481/kartor/A 28420-2022 karta.png", "A 28420-2022")</f>
        <v/>
      </c>
      <c r="V88">
        <f>HYPERLINK("https://klasma.github.io/Logging_2481/klagomål/A 28420-2022 FSC-klagomål.docx", "A 28420-2022")</f>
        <v/>
      </c>
      <c r="W88">
        <f>HYPERLINK("https://klasma.github.io/Logging_2481/klagomålsmail/A 28420-2022 FSC-klagomål mail.docx", "A 28420-2022")</f>
        <v/>
      </c>
      <c r="X88">
        <f>HYPERLINK("https://klasma.github.io/Logging_2481/tillsyn/A 28420-2022 tillsynsbegäran.docx", "A 28420-2022")</f>
        <v/>
      </c>
      <c r="Y88">
        <f>HYPERLINK("https://klasma.github.io/Logging_2481/tillsynsmail/A 28420-2022 tillsynsbegäran mail.docx", "A 28420-2022")</f>
        <v/>
      </c>
    </row>
    <row r="89" ht="15" customHeight="1">
      <c r="A89" t="inlineStr">
        <is>
          <t>A 56519-2022</t>
        </is>
      </c>
      <c r="B89" s="1" t="n">
        <v>44893</v>
      </c>
      <c r="C89" s="1" t="n">
        <v>45849</v>
      </c>
      <c r="D89" t="inlineStr">
        <is>
          <t>VÄSTERBOTTENS LÄN</t>
        </is>
      </c>
      <c r="E89" t="inlineStr">
        <is>
          <t>LYCKSELE</t>
        </is>
      </c>
      <c r="F89" t="inlineStr">
        <is>
          <t>Sveaskog</t>
        </is>
      </c>
      <c r="G89" t="n">
        <v>18.2</v>
      </c>
      <c r="H89" t="n">
        <v>0</v>
      </c>
      <c r="I89" t="n">
        <v>2</v>
      </c>
      <c r="J89" t="n">
        <v>1</v>
      </c>
      <c r="K89" t="n">
        <v>0</v>
      </c>
      <c r="L89" t="n">
        <v>0</v>
      </c>
      <c r="M89" t="n">
        <v>0</v>
      </c>
      <c r="N89" t="n">
        <v>0</v>
      </c>
      <c r="O89" t="n">
        <v>1</v>
      </c>
      <c r="P89" t="n">
        <v>0</v>
      </c>
      <c r="Q89" t="n">
        <v>3</v>
      </c>
      <c r="R89" s="2" t="inlineStr">
        <is>
          <t>Vedflamlav
Dropptaggsvamp
Skarp dropptaggsvamp</t>
        </is>
      </c>
      <c r="S89">
        <f>HYPERLINK("https://klasma.github.io/Logging_2481/artfynd/A 56519-2022 artfynd.xlsx", "A 56519-2022")</f>
        <v/>
      </c>
      <c r="T89">
        <f>HYPERLINK("https://klasma.github.io/Logging_2481/kartor/A 56519-2022 karta.png", "A 56519-2022")</f>
        <v/>
      </c>
      <c r="V89">
        <f>HYPERLINK("https://klasma.github.io/Logging_2481/klagomål/A 56519-2022 FSC-klagomål.docx", "A 56519-2022")</f>
        <v/>
      </c>
      <c r="W89">
        <f>HYPERLINK("https://klasma.github.io/Logging_2481/klagomålsmail/A 56519-2022 FSC-klagomål mail.docx", "A 56519-2022")</f>
        <v/>
      </c>
      <c r="X89">
        <f>HYPERLINK("https://klasma.github.io/Logging_2481/tillsyn/A 56519-2022 tillsynsbegäran.docx", "A 56519-2022")</f>
        <v/>
      </c>
      <c r="Y89">
        <f>HYPERLINK("https://klasma.github.io/Logging_2481/tillsynsmail/A 56519-2022 tillsynsbegäran mail.docx", "A 56519-2022")</f>
        <v/>
      </c>
    </row>
    <row r="90" ht="15" customHeight="1">
      <c r="A90" t="inlineStr">
        <is>
          <t>A 40657-2023</t>
        </is>
      </c>
      <c r="B90" s="1" t="n">
        <v>45170</v>
      </c>
      <c r="C90" s="1" t="n">
        <v>45849</v>
      </c>
      <c r="D90" t="inlineStr">
        <is>
          <t>VÄSTERBOTTENS LÄN</t>
        </is>
      </c>
      <c r="E90" t="inlineStr">
        <is>
          <t>LYCKSELE</t>
        </is>
      </c>
      <c r="F90" t="inlineStr">
        <is>
          <t>Sveaskog</t>
        </is>
      </c>
      <c r="G90" t="n">
        <v>7.1</v>
      </c>
      <c r="H90" t="n">
        <v>0</v>
      </c>
      <c r="I90" t="n">
        <v>1</v>
      </c>
      <c r="J90" t="n">
        <v>2</v>
      </c>
      <c r="K90" t="n">
        <v>0</v>
      </c>
      <c r="L90" t="n">
        <v>0</v>
      </c>
      <c r="M90" t="n">
        <v>0</v>
      </c>
      <c r="N90" t="n">
        <v>0</v>
      </c>
      <c r="O90" t="n">
        <v>2</v>
      </c>
      <c r="P90" t="n">
        <v>0</v>
      </c>
      <c r="Q90" t="n">
        <v>3</v>
      </c>
      <c r="R90" s="2" t="inlineStr">
        <is>
          <t>Lunglav
Orange taggsvamp
Dropptaggsvamp</t>
        </is>
      </c>
      <c r="S90">
        <f>HYPERLINK("https://klasma.github.io/Logging_2481/artfynd/A 40657-2023 artfynd.xlsx", "A 40657-2023")</f>
        <v/>
      </c>
      <c r="T90">
        <f>HYPERLINK("https://klasma.github.io/Logging_2481/kartor/A 40657-2023 karta.png", "A 40657-2023")</f>
        <v/>
      </c>
      <c r="V90">
        <f>HYPERLINK("https://klasma.github.io/Logging_2481/klagomål/A 40657-2023 FSC-klagomål.docx", "A 40657-2023")</f>
        <v/>
      </c>
      <c r="W90">
        <f>HYPERLINK("https://klasma.github.io/Logging_2481/klagomålsmail/A 40657-2023 FSC-klagomål mail.docx", "A 40657-2023")</f>
        <v/>
      </c>
      <c r="X90">
        <f>HYPERLINK("https://klasma.github.io/Logging_2481/tillsyn/A 40657-2023 tillsynsbegäran.docx", "A 40657-2023")</f>
        <v/>
      </c>
      <c r="Y90">
        <f>HYPERLINK("https://klasma.github.io/Logging_2481/tillsynsmail/A 40657-2023 tillsynsbegäran mail.docx", "A 40657-2023")</f>
        <v/>
      </c>
    </row>
    <row r="91" ht="15" customHeight="1">
      <c r="A91" t="inlineStr">
        <is>
          <t>A 53808-2023</t>
        </is>
      </c>
      <c r="B91" s="1" t="n">
        <v>45231</v>
      </c>
      <c r="C91" s="1" t="n">
        <v>45849</v>
      </c>
      <c r="D91" t="inlineStr">
        <is>
          <t>VÄSTERBOTTENS LÄN</t>
        </is>
      </c>
      <c r="E91" t="inlineStr">
        <is>
          <t>LYCKSELE</t>
        </is>
      </c>
      <c r="F91" t="inlineStr">
        <is>
          <t>Sveaskog</t>
        </is>
      </c>
      <c r="G91" t="n">
        <v>1.8</v>
      </c>
      <c r="H91" t="n">
        <v>0</v>
      </c>
      <c r="I91" t="n">
        <v>2</v>
      </c>
      <c r="J91" t="n">
        <v>1</v>
      </c>
      <c r="K91" t="n">
        <v>0</v>
      </c>
      <c r="L91" t="n">
        <v>0</v>
      </c>
      <c r="M91" t="n">
        <v>0</v>
      </c>
      <c r="N91" t="n">
        <v>0</v>
      </c>
      <c r="O91" t="n">
        <v>1</v>
      </c>
      <c r="P91" t="n">
        <v>0</v>
      </c>
      <c r="Q91" t="n">
        <v>3</v>
      </c>
      <c r="R91" s="2" t="inlineStr">
        <is>
          <t>Vedflamlav
Brandticka
Gullgröppa</t>
        </is>
      </c>
      <c r="S91">
        <f>HYPERLINK("https://klasma.github.io/Logging_2481/artfynd/A 53808-2023 artfynd.xlsx", "A 53808-2023")</f>
        <v/>
      </c>
      <c r="T91">
        <f>HYPERLINK("https://klasma.github.io/Logging_2481/kartor/A 53808-2023 karta.png", "A 53808-2023")</f>
        <v/>
      </c>
      <c r="V91">
        <f>HYPERLINK("https://klasma.github.io/Logging_2481/klagomål/A 53808-2023 FSC-klagomål.docx", "A 53808-2023")</f>
        <v/>
      </c>
      <c r="W91">
        <f>HYPERLINK("https://klasma.github.io/Logging_2481/klagomålsmail/A 53808-2023 FSC-klagomål mail.docx", "A 53808-2023")</f>
        <v/>
      </c>
      <c r="X91">
        <f>HYPERLINK("https://klasma.github.io/Logging_2481/tillsyn/A 53808-2023 tillsynsbegäran.docx", "A 53808-2023")</f>
        <v/>
      </c>
      <c r="Y91">
        <f>HYPERLINK("https://klasma.github.io/Logging_2481/tillsynsmail/A 53808-2023 tillsynsbegäran mail.docx", "A 53808-2023")</f>
        <v/>
      </c>
    </row>
    <row r="92" ht="15" customHeight="1">
      <c r="A92" t="inlineStr">
        <is>
          <t>A 679-2024</t>
        </is>
      </c>
      <c r="B92" s="1" t="n">
        <v>45300</v>
      </c>
      <c r="C92" s="1" t="n">
        <v>45849</v>
      </c>
      <c r="D92" t="inlineStr">
        <is>
          <t>VÄSTERBOTTENS LÄN</t>
        </is>
      </c>
      <c r="E92" t="inlineStr">
        <is>
          <t>LYCKSELE</t>
        </is>
      </c>
      <c r="G92" t="n">
        <v>11.3</v>
      </c>
      <c r="H92" t="n">
        <v>0</v>
      </c>
      <c r="I92" t="n">
        <v>1</v>
      </c>
      <c r="J92" t="n">
        <v>2</v>
      </c>
      <c r="K92" t="n">
        <v>0</v>
      </c>
      <c r="L92" t="n">
        <v>0</v>
      </c>
      <c r="M92" t="n">
        <v>0</v>
      </c>
      <c r="N92" t="n">
        <v>0</v>
      </c>
      <c r="O92" t="n">
        <v>2</v>
      </c>
      <c r="P92" t="n">
        <v>0</v>
      </c>
      <c r="Q92" t="n">
        <v>3</v>
      </c>
      <c r="R92" s="2" t="inlineStr">
        <is>
          <t>Garnlav
Skrovellav
Luddlav</t>
        </is>
      </c>
      <c r="S92">
        <f>HYPERLINK("https://klasma.github.io/Logging_2481/artfynd/A 679-2024 artfynd.xlsx", "A 679-2024")</f>
        <v/>
      </c>
      <c r="T92">
        <f>HYPERLINK("https://klasma.github.io/Logging_2481/kartor/A 679-2024 karta.png", "A 679-2024")</f>
        <v/>
      </c>
      <c r="V92">
        <f>HYPERLINK("https://klasma.github.io/Logging_2481/klagomål/A 679-2024 FSC-klagomål.docx", "A 679-2024")</f>
        <v/>
      </c>
      <c r="W92">
        <f>HYPERLINK("https://klasma.github.io/Logging_2481/klagomålsmail/A 679-2024 FSC-klagomål mail.docx", "A 679-2024")</f>
        <v/>
      </c>
      <c r="X92">
        <f>HYPERLINK("https://klasma.github.io/Logging_2481/tillsyn/A 679-2024 tillsynsbegäran.docx", "A 679-2024")</f>
        <v/>
      </c>
      <c r="Y92">
        <f>HYPERLINK("https://klasma.github.io/Logging_2481/tillsynsmail/A 679-2024 tillsynsbegäran mail.docx", "A 679-2024")</f>
        <v/>
      </c>
    </row>
    <row r="93" ht="15" customHeight="1">
      <c r="A93" t="inlineStr">
        <is>
          <t>A 35678-2024</t>
        </is>
      </c>
      <c r="B93" s="1" t="n">
        <v>45532</v>
      </c>
      <c r="C93" s="1" t="n">
        <v>45849</v>
      </c>
      <c r="D93" t="inlineStr">
        <is>
          <t>VÄSTERBOTTENS LÄN</t>
        </is>
      </c>
      <c r="E93" t="inlineStr">
        <is>
          <t>LYCKSELE</t>
        </is>
      </c>
      <c r="F93" t="inlineStr">
        <is>
          <t>Sveaskog</t>
        </is>
      </c>
      <c r="G93" t="n">
        <v>16.5</v>
      </c>
      <c r="H93" t="n">
        <v>0</v>
      </c>
      <c r="I93" t="n">
        <v>0</v>
      </c>
      <c r="J93" t="n">
        <v>3</v>
      </c>
      <c r="K93" t="n">
        <v>0</v>
      </c>
      <c r="L93" t="n">
        <v>0</v>
      </c>
      <c r="M93" t="n">
        <v>0</v>
      </c>
      <c r="N93" t="n">
        <v>0</v>
      </c>
      <c r="O93" t="n">
        <v>3</v>
      </c>
      <c r="P93" t="n">
        <v>0</v>
      </c>
      <c r="Q93" t="n">
        <v>3</v>
      </c>
      <c r="R93" s="2" t="inlineStr">
        <is>
          <t>Gammelgransskål
Garnlav
Vaddporing</t>
        </is>
      </c>
      <c r="S93">
        <f>HYPERLINK("https://klasma.github.io/Logging_2481/artfynd/A 35678-2024 artfynd.xlsx", "A 35678-2024")</f>
        <v/>
      </c>
      <c r="T93">
        <f>HYPERLINK("https://klasma.github.io/Logging_2481/kartor/A 35678-2024 karta.png", "A 35678-2024")</f>
        <v/>
      </c>
      <c r="V93">
        <f>HYPERLINK("https://klasma.github.io/Logging_2481/klagomål/A 35678-2024 FSC-klagomål.docx", "A 35678-2024")</f>
        <v/>
      </c>
      <c r="W93">
        <f>HYPERLINK("https://klasma.github.io/Logging_2481/klagomålsmail/A 35678-2024 FSC-klagomål mail.docx", "A 35678-2024")</f>
        <v/>
      </c>
      <c r="X93">
        <f>HYPERLINK("https://klasma.github.io/Logging_2481/tillsyn/A 35678-2024 tillsynsbegäran.docx", "A 35678-2024")</f>
        <v/>
      </c>
      <c r="Y93">
        <f>HYPERLINK("https://klasma.github.io/Logging_2481/tillsynsmail/A 35678-2024 tillsynsbegäran mail.docx", "A 35678-2024")</f>
        <v/>
      </c>
    </row>
    <row r="94" ht="15" customHeight="1">
      <c r="A94" t="inlineStr">
        <is>
          <t>A 38006-2024</t>
        </is>
      </c>
      <c r="B94" s="1" t="n">
        <v>45544</v>
      </c>
      <c r="C94" s="1" t="n">
        <v>45849</v>
      </c>
      <c r="D94" t="inlineStr">
        <is>
          <t>VÄSTERBOTTENS LÄN</t>
        </is>
      </c>
      <c r="E94" t="inlineStr">
        <is>
          <t>LYCKSELE</t>
        </is>
      </c>
      <c r="F94" t="inlineStr">
        <is>
          <t>Sveaskog</t>
        </is>
      </c>
      <c r="G94" t="n">
        <v>4.8</v>
      </c>
      <c r="H94" t="n">
        <v>0</v>
      </c>
      <c r="I94" t="n">
        <v>0</v>
      </c>
      <c r="J94" t="n">
        <v>2</v>
      </c>
      <c r="K94" t="n">
        <v>1</v>
      </c>
      <c r="L94" t="n">
        <v>0</v>
      </c>
      <c r="M94" t="n">
        <v>0</v>
      </c>
      <c r="N94" t="n">
        <v>0</v>
      </c>
      <c r="O94" t="n">
        <v>3</v>
      </c>
      <c r="P94" t="n">
        <v>1</v>
      </c>
      <c r="Q94" t="n">
        <v>3</v>
      </c>
      <c r="R94" s="2" t="inlineStr">
        <is>
          <t>Lammticka
Blå taggsvamp
Koralltaggsvamp</t>
        </is>
      </c>
      <c r="S94">
        <f>HYPERLINK("https://klasma.github.io/Logging_2481/artfynd/A 38006-2024 artfynd.xlsx", "A 38006-2024")</f>
        <v/>
      </c>
      <c r="T94">
        <f>HYPERLINK("https://klasma.github.io/Logging_2481/kartor/A 38006-2024 karta.png", "A 38006-2024")</f>
        <v/>
      </c>
      <c r="V94">
        <f>HYPERLINK("https://klasma.github.io/Logging_2481/klagomål/A 38006-2024 FSC-klagomål.docx", "A 38006-2024")</f>
        <v/>
      </c>
      <c r="W94">
        <f>HYPERLINK("https://klasma.github.io/Logging_2481/klagomålsmail/A 38006-2024 FSC-klagomål mail.docx", "A 38006-2024")</f>
        <v/>
      </c>
      <c r="X94">
        <f>HYPERLINK("https://klasma.github.io/Logging_2481/tillsyn/A 38006-2024 tillsynsbegäran.docx", "A 38006-2024")</f>
        <v/>
      </c>
      <c r="Y94">
        <f>HYPERLINK("https://klasma.github.io/Logging_2481/tillsynsmail/A 38006-2024 tillsynsbegäran mail.docx", "A 38006-2024")</f>
        <v/>
      </c>
    </row>
    <row r="95" ht="15" customHeight="1">
      <c r="A95" t="inlineStr">
        <is>
          <t>A 40724-2024</t>
        </is>
      </c>
      <c r="B95" s="1" t="n">
        <v>45558</v>
      </c>
      <c r="C95" s="1" t="n">
        <v>45849</v>
      </c>
      <c r="D95" t="inlineStr">
        <is>
          <t>VÄSTERBOTTENS LÄN</t>
        </is>
      </c>
      <c r="E95" t="inlineStr">
        <is>
          <t>LYCKSELE</t>
        </is>
      </c>
      <c r="F95" t="inlineStr">
        <is>
          <t>Sveaskog</t>
        </is>
      </c>
      <c r="G95" t="n">
        <v>11.5</v>
      </c>
      <c r="H95" t="n">
        <v>0</v>
      </c>
      <c r="I95" t="n">
        <v>0</v>
      </c>
      <c r="J95" t="n">
        <v>3</v>
      </c>
      <c r="K95" t="n">
        <v>0</v>
      </c>
      <c r="L95" t="n">
        <v>0</v>
      </c>
      <c r="M95" t="n">
        <v>0</v>
      </c>
      <c r="N95" t="n">
        <v>0</v>
      </c>
      <c r="O95" t="n">
        <v>3</v>
      </c>
      <c r="P95" t="n">
        <v>0</v>
      </c>
      <c r="Q95" t="n">
        <v>3</v>
      </c>
      <c r="R95" s="2" t="inlineStr">
        <is>
          <t>Blanksvart spiklav
Kolflarnlav
Orange taggsvamp</t>
        </is>
      </c>
      <c r="S95">
        <f>HYPERLINK("https://klasma.github.io/Logging_2481/artfynd/A 40724-2024 artfynd.xlsx", "A 40724-2024")</f>
        <v/>
      </c>
      <c r="T95">
        <f>HYPERLINK("https://klasma.github.io/Logging_2481/kartor/A 40724-2024 karta.png", "A 40724-2024")</f>
        <v/>
      </c>
      <c r="V95">
        <f>HYPERLINK("https://klasma.github.io/Logging_2481/klagomål/A 40724-2024 FSC-klagomål.docx", "A 40724-2024")</f>
        <v/>
      </c>
      <c r="W95">
        <f>HYPERLINK("https://klasma.github.io/Logging_2481/klagomålsmail/A 40724-2024 FSC-klagomål mail.docx", "A 40724-2024")</f>
        <v/>
      </c>
      <c r="X95">
        <f>HYPERLINK("https://klasma.github.io/Logging_2481/tillsyn/A 40724-2024 tillsynsbegäran.docx", "A 40724-2024")</f>
        <v/>
      </c>
      <c r="Y95">
        <f>HYPERLINK("https://klasma.github.io/Logging_2481/tillsynsmail/A 40724-2024 tillsynsbegäran mail.docx", "A 40724-2024")</f>
        <v/>
      </c>
    </row>
    <row r="96" ht="15" customHeight="1">
      <c r="A96" t="inlineStr">
        <is>
          <t>A 43584-2024</t>
        </is>
      </c>
      <c r="B96" s="1" t="n">
        <v>45569</v>
      </c>
      <c r="C96" s="1" t="n">
        <v>45849</v>
      </c>
      <c r="D96" t="inlineStr">
        <is>
          <t>VÄSTERBOTTENS LÄN</t>
        </is>
      </c>
      <c r="E96" t="inlineStr">
        <is>
          <t>LYCKSELE</t>
        </is>
      </c>
      <c r="F96" t="inlineStr">
        <is>
          <t>Sveaskog</t>
        </is>
      </c>
      <c r="G96" t="n">
        <v>13.1</v>
      </c>
      <c r="H96" t="n">
        <v>0</v>
      </c>
      <c r="I96" t="n">
        <v>1</v>
      </c>
      <c r="J96" t="n">
        <v>2</v>
      </c>
      <c r="K96" t="n">
        <v>0</v>
      </c>
      <c r="L96" t="n">
        <v>0</v>
      </c>
      <c r="M96" t="n">
        <v>0</v>
      </c>
      <c r="N96" t="n">
        <v>0</v>
      </c>
      <c r="O96" t="n">
        <v>2</v>
      </c>
      <c r="P96" t="n">
        <v>0</v>
      </c>
      <c r="Q96" t="n">
        <v>3</v>
      </c>
      <c r="R96" s="2" t="inlineStr">
        <is>
          <t>Blå taggsvamp
Motaggsvamp
Dropptaggsvamp</t>
        </is>
      </c>
      <c r="S96">
        <f>HYPERLINK("https://klasma.github.io/Logging_2481/artfynd/A 43584-2024 artfynd.xlsx", "A 43584-2024")</f>
        <v/>
      </c>
      <c r="T96">
        <f>HYPERLINK("https://klasma.github.io/Logging_2481/kartor/A 43584-2024 karta.png", "A 43584-2024")</f>
        <v/>
      </c>
      <c r="V96">
        <f>HYPERLINK("https://klasma.github.io/Logging_2481/klagomål/A 43584-2024 FSC-klagomål.docx", "A 43584-2024")</f>
        <v/>
      </c>
      <c r="W96">
        <f>HYPERLINK("https://klasma.github.io/Logging_2481/klagomålsmail/A 43584-2024 FSC-klagomål mail.docx", "A 43584-2024")</f>
        <v/>
      </c>
      <c r="X96">
        <f>HYPERLINK("https://klasma.github.io/Logging_2481/tillsyn/A 43584-2024 tillsynsbegäran.docx", "A 43584-2024")</f>
        <v/>
      </c>
      <c r="Y96">
        <f>HYPERLINK("https://klasma.github.io/Logging_2481/tillsynsmail/A 43584-2024 tillsynsbegäran mail.docx", "A 43584-2024")</f>
        <v/>
      </c>
    </row>
    <row r="97" ht="15" customHeight="1">
      <c r="A97" t="inlineStr">
        <is>
          <t>A 45868-2024</t>
        </is>
      </c>
      <c r="B97" s="1" t="n">
        <v>45580</v>
      </c>
      <c r="C97" s="1" t="n">
        <v>45849</v>
      </c>
      <c r="D97" t="inlineStr">
        <is>
          <t>VÄSTERBOTTENS LÄN</t>
        </is>
      </c>
      <c r="E97" t="inlineStr">
        <is>
          <t>LYCKSELE</t>
        </is>
      </c>
      <c r="F97" t="inlineStr">
        <is>
          <t>Sveaskog</t>
        </is>
      </c>
      <c r="G97" t="n">
        <v>3.7</v>
      </c>
      <c r="H97" t="n">
        <v>0</v>
      </c>
      <c r="I97" t="n">
        <v>0</v>
      </c>
      <c r="J97" t="n">
        <v>3</v>
      </c>
      <c r="K97" t="n">
        <v>0</v>
      </c>
      <c r="L97" t="n">
        <v>0</v>
      </c>
      <c r="M97" t="n">
        <v>0</v>
      </c>
      <c r="N97" t="n">
        <v>0</v>
      </c>
      <c r="O97" t="n">
        <v>3</v>
      </c>
      <c r="P97" t="n">
        <v>0</v>
      </c>
      <c r="Q97" t="n">
        <v>3</v>
      </c>
      <c r="R97" s="2" t="inlineStr">
        <is>
          <t>Kolflarnlav
Mörk kolflarnlav
Orange taggsvamp</t>
        </is>
      </c>
      <c r="S97">
        <f>HYPERLINK("https://klasma.github.io/Logging_2481/artfynd/A 45868-2024 artfynd.xlsx", "A 45868-2024")</f>
        <v/>
      </c>
      <c r="T97">
        <f>HYPERLINK("https://klasma.github.io/Logging_2481/kartor/A 45868-2024 karta.png", "A 45868-2024")</f>
        <v/>
      </c>
      <c r="V97">
        <f>HYPERLINK("https://klasma.github.io/Logging_2481/klagomål/A 45868-2024 FSC-klagomål.docx", "A 45868-2024")</f>
        <v/>
      </c>
      <c r="W97">
        <f>HYPERLINK("https://klasma.github.io/Logging_2481/klagomålsmail/A 45868-2024 FSC-klagomål mail.docx", "A 45868-2024")</f>
        <v/>
      </c>
      <c r="X97">
        <f>HYPERLINK("https://klasma.github.io/Logging_2481/tillsyn/A 45868-2024 tillsynsbegäran.docx", "A 45868-2024")</f>
        <v/>
      </c>
      <c r="Y97">
        <f>HYPERLINK("https://klasma.github.io/Logging_2481/tillsynsmail/A 45868-2024 tillsynsbegäran mail.docx", "A 45868-2024")</f>
        <v/>
      </c>
    </row>
    <row r="98" ht="15" customHeight="1">
      <c r="A98" t="inlineStr">
        <is>
          <t>A 47093-2024</t>
        </is>
      </c>
      <c r="B98" s="1" t="n">
        <v>45586</v>
      </c>
      <c r="C98" s="1" t="n">
        <v>45849</v>
      </c>
      <c r="D98" t="inlineStr">
        <is>
          <t>VÄSTERBOTTENS LÄN</t>
        </is>
      </c>
      <c r="E98" t="inlineStr">
        <is>
          <t>LYCKSELE</t>
        </is>
      </c>
      <c r="F98" t="inlineStr">
        <is>
          <t>Sveaskog</t>
        </is>
      </c>
      <c r="G98" t="n">
        <v>13.2</v>
      </c>
      <c r="H98" t="n">
        <v>0</v>
      </c>
      <c r="I98" t="n">
        <v>1</v>
      </c>
      <c r="J98" t="n">
        <v>2</v>
      </c>
      <c r="K98" t="n">
        <v>0</v>
      </c>
      <c r="L98" t="n">
        <v>0</v>
      </c>
      <c r="M98" t="n">
        <v>0</v>
      </c>
      <c r="N98" t="n">
        <v>0</v>
      </c>
      <c r="O98" t="n">
        <v>2</v>
      </c>
      <c r="P98" t="n">
        <v>0</v>
      </c>
      <c r="Q98" t="n">
        <v>3</v>
      </c>
      <c r="R98" s="2" t="inlineStr">
        <is>
          <t>Mörk kolflarnlav
Talltaggsvamp
Skarp dropptaggsvamp</t>
        </is>
      </c>
      <c r="S98">
        <f>HYPERLINK("https://klasma.github.io/Logging_2481/artfynd/A 47093-2024 artfynd.xlsx", "A 47093-2024")</f>
        <v/>
      </c>
      <c r="T98">
        <f>HYPERLINK("https://klasma.github.io/Logging_2481/kartor/A 47093-2024 karta.png", "A 47093-2024")</f>
        <v/>
      </c>
      <c r="V98">
        <f>HYPERLINK("https://klasma.github.io/Logging_2481/klagomål/A 47093-2024 FSC-klagomål.docx", "A 47093-2024")</f>
        <v/>
      </c>
      <c r="W98">
        <f>HYPERLINK("https://klasma.github.io/Logging_2481/klagomålsmail/A 47093-2024 FSC-klagomål mail.docx", "A 47093-2024")</f>
        <v/>
      </c>
      <c r="X98">
        <f>HYPERLINK("https://klasma.github.io/Logging_2481/tillsyn/A 47093-2024 tillsynsbegäran.docx", "A 47093-2024")</f>
        <v/>
      </c>
      <c r="Y98">
        <f>HYPERLINK("https://klasma.github.io/Logging_2481/tillsynsmail/A 47093-2024 tillsynsbegäran mail.docx", "A 47093-2024")</f>
        <v/>
      </c>
    </row>
    <row r="99" ht="15" customHeight="1">
      <c r="A99" t="inlineStr">
        <is>
          <t>A 48129-2024</t>
        </is>
      </c>
      <c r="B99" s="1" t="n">
        <v>45589</v>
      </c>
      <c r="C99" s="1" t="n">
        <v>45849</v>
      </c>
      <c r="D99" t="inlineStr">
        <is>
          <t>VÄSTERBOTTENS LÄN</t>
        </is>
      </c>
      <c r="E99" t="inlineStr">
        <is>
          <t>LYCKSELE</t>
        </is>
      </c>
      <c r="F99" t="inlineStr">
        <is>
          <t>Sveaskog</t>
        </is>
      </c>
      <c r="G99" t="n">
        <v>9.800000000000001</v>
      </c>
      <c r="H99" t="n">
        <v>0</v>
      </c>
      <c r="I99" t="n">
        <v>0</v>
      </c>
      <c r="J99" t="n">
        <v>3</v>
      </c>
      <c r="K99" t="n">
        <v>0</v>
      </c>
      <c r="L99" t="n">
        <v>0</v>
      </c>
      <c r="M99" t="n">
        <v>0</v>
      </c>
      <c r="N99" t="n">
        <v>0</v>
      </c>
      <c r="O99" t="n">
        <v>3</v>
      </c>
      <c r="P99" t="n">
        <v>0</v>
      </c>
      <c r="Q99" t="n">
        <v>3</v>
      </c>
      <c r="R99" s="2" t="inlineStr">
        <is>
          <t>Blå taggsvamp
Kolflarnlav
Orange taggsvamp</t>
        </is>
      </c>
      <c r="S99">
        <f>HYPERLINK("https://klasma.github.io/Logging_2481/artfynd/A 48129-2024 artfynd.xlsx", "A 48129-2024")</f>
        <v/>
      </c>
      <c r="T99">
        <f>HYPERLINK("https://klasma.github.io/Logging_2481/kartor/A 48129-2024 karta.png", "A 48129-2024")</f>
        <v/>
      </c>
      <c r="V99">
        <f>HYPERLINK("https://klasma.github.io/Logging_2481/klagomål/A 48129-2024 FSC-klagomål.docx", "A 48129-2024")</f>
        <v/>
      </c>
      <c r="W99">
        <f>HYPERLINK("https://klasma.github.io/Logging_2481/klagomålsmail/A 48129-2024 FSC-klagomål mail.docx", "A 48129-2024")</f>
        <v/>
      </c>
      <c r="X99">
        <f>HYPERLINK("https://klasma.github.io/Logging_2481/tillsyn/A 48129-2024 tillsynsbegäran.docx", "A 48129-2024")</f>
        <v/>
      </c>
      <c r="Y99">
        <f>HYPERLINK("https://klasma.github.io/Logging_2481/tillsynsmail/A 48129-2024 tillsynsbegäran mail.docx", "A 48129-2024")</f>
        <v/>
      </c>
    </row>
    <row r="100" ht="15" customHeight="1">
      <c r="A100" t="inlineStr">
        <is>
          <t>A 48395-2024</t>
        </is>
      </c>
      <c r="B100" s="1" t="n">
        <v>45590</v>
      </c>
      <c r="C100" s="1" t="n">
        <v>45849</v>
      </c>
      <c r="D100" t="inlineStr">
        <is>
          <t>VÄSTERBOTTENS LÄN</t>
        </is>
      </c>
      <c r="E100" t="inlineStr">
        <is>
          <t>LYCKSELE</t>
        </is>
      </c>
      <c r="F100" t="inlineStr">
        <is>
          <t>SCA</t>
        </is>
      </c>
      <c r="G100" t="n">
        <v>1.1</v>
      </c>
      <c r="H100" t="n">
        <v>1</v>
      </c>
      <c r="I100" t="n">
        <v>1</v>
      </c>
      <c r="J100" t="n">
        <v>1</v>
      </c>
      <c r="K100" t="n">
        <v>0</v>
      </c>
      <c r="L100" t="n">
        <v>0</v>
      </c>
      <c r="M100" t="n">
        <v>0</v>
      </c>
      <c r="N100" t="n">
        <v>0</v>
      </c>
      <c r="O100" t="n">
        <v>1</v>
      </c>
      <c r="P100" t="n">
        <v>0</v>
      </c>
      <c r="Q100" t="n">
        <v>3</v>
      </c>
      <c r="R100" s="2" t="inlineStr">
        <is>
          <t>Ullticka
Ögonpyrola
Tjäder</t>
        </is>
      </c>
      <c r="S100">
        <f>HYPERLINK("https://klasma.github.io/Logging_2481/artfynd/A 48395-2024 artfynd.xlsx", "A 48395-2024")</f>
        <v/>
      </c>
      <c r="T100">
        <f>HYPERLINK("https://klasma.github.io/Logging_2481/kartor/A 48395-2024 karta.png", "A 48395-2024")</f>
        <v/>
      </c>
      <c r="V100">
        <f>HYPERLINK("https://klasma.github.io/Logging_2481/klagomål/A 48395-2024 FSC-klagomål.docx", "A 48395-2024")</f>
        <v/>
      </c>
      <c r="W100">
        <f>HYPERLINK("https://klasma.github.io/Logging_2481/klagomålsmail/A 48395-2024 FSC-klagomål mail.docx", "A 48395-2024")</f>
        <v/>
      </c>
      <c r="X100">
        <f>HYPERLINK("https://klasma.github.io/Logging_2481/tillsyn/A 48395-2024 tillsynsbegäran.docx", "A 48395-2024")</f>
        <v/>
      </c>
      <c r="Y100">
        <f>HYPERLINK("https://klasma.github.io/Logging_2481/tillsynsmail/A 48395-2024 tillsynsbegäran mail.docx", "A 48395-2024")</f>
        <v/>
      </c>
      <c r="Z100">
        <f>HYPERLINK("https://klasma.github.io/Logging_2481/fåglar/A 48395-2024 prioriterade fågelarter.docx", "A 48395-2024")</f>
        <v/>
      </c>
    </row>
    <row r="101" ht="15" customHeight="1">
      <c r="A101" t="inlineStr">
        <is>
          <t>A 50743-2024</t>
        </is>
      </c>
      <c r="B101" s="1" t="n">
        <v>45602</v>
      </c>
      <c r="C101" s="1" t="n">
        <v>45849</v>
      </c>
      <c r="D101" t="inlineStr">
        <is>
          <t>VÄSTERBOTTENS LÄN</t>
        </is>
      </c>
      <c r="E101" t="inlineStr">
        <is>
          <t>LYCKSELE</t>
        </is>
      </c>
      <c r="F101" t="inlineStr">
        <is>
          <t>Sveaskog</t>
        </is>
      </c>
      <c r="G101" t="n">
        <v>7.4</v>
      </c>
      <c r="H101" t="n">
        <v>1</v>
      </c>
      <c r="I101" t="n">
        <v>0</v>
      </c>
      <c r="J101" t="n">
        <v>2</v>
      </c>
      <c r="K101" t="n">
        <v>1</v>
      </c>
      <c r="L101" t="n">
        <v>0</v>
      </c>
      <c r="M101" t="n">
        <v>0</v>
      </c>
      <c r="N101" t="n">
        <v>0</v>
      </c>
      <c r="O101" t="n">
        <v>3</v>
      </c>
      <c r="P101" t="n">
        <v>1</v>
      </c>
      <c r="Q101" t="n">
        <v>3</v>
      </c>
      <c r="R101" s="2" t="inlineStr">
        <is>
          <t>Doftticka
Lunglav
Mörk kolflarnlav</t>
        </is>
      </c>
      <c r="S101">
        <f>HYPERLINK("https://klasma.github.io/Logging_2481/artfynd/A 50743-2024 artfynd.xlsx", "A 50743-2024")</f>
        <v/>
      </c>
      <c r="T101">
        <f>HYPERLINK("https://klasma.github.io/Logging_2481/kartor/A 50743-2024 karta.png", "A 50743-2024")</f>
        <v/>
      </c>
      <c r="V101">
        <f>HYPERLINK("https://klasma.github.io/Logging_2481/klagomål/A 50743-2024 FSC-klagomål.docx", "A 50743-2024")</f>
        <v/>
      </c>
      <c r="W101">
        <f>HYPERLINK("https://klasma.github.io/Logging_2481/klagomålsmail/A 50743-2024 FSC-klagomål mail.docx", "A 50743-2024")</f>
        <v/>
      </c>
      <c r="X101">
        <f>HYPERLINK("https://klasma.github.io/Logging_2481/tillsyn/A 50743-2024 tillsynsbegäran.docx", "A 50743-2024")</f>
        <v/>
      </c>
      <c r="Y101">
        <f>HYPERLINK("https://klasma.github.io/Logging_2481/tillsynsmail/A 50743-2024 tillsynsbegäran mail.docx", "A 50743-2024")</f>
        <v/>
      </c>
    </row>
    <row r="102" ht="15" customHeight="1">
      <c r="A102" t="inlineStr">
        <is>
          <t>A 53115-2024</t>
        </is>
      </c>
      <c r="B102" s="1" t="n">
        <v>45611</v>
      </c>
      <c r="C102" s="1" t="n">
        <v>45849</v>
      </c>
      <c r="D102" t="inlineStr">
        <is>
          <t>VÄSTERBOTTENS LÄN</t>
        </is>
      </c>
      <c r="E102" t="inlineStr">
        <is>
          <t>LYCKSELE</t>
        </is>
      </c>
      <c r="F102" t="inlineStr">
        <is>
          <t>Sveaskog</t>
        </is>
      </c>
      <c r="G102" t="n">
        <v>4.1</v>
      </c>
      <c r="H102" t="n">
        <v>0</v>
      </c>
      <c r="I102" t="n">
        <v>0</v>
      </c>
      <c r="J102" t="n">
        <v>3</v>
      </c>
      <c r="K102" t="n">
        <v>0</v>
      </c>
      <c r="L102" t="n">
        <v>0</v>
      </c>
      <c r="M102" t="n">
        <v>0</v>
      </c>
      <c r="N102" t="n">
        <v>0</v>
      </c>
      <c r="O102" t="n">
        <v>3</v>
      </c>
      <c r="P102" t="n">
        <v>0</v>
      </c>
      <c r="Q102" t="n">
        <v>3</v>
      </c>
      <c r="R102" s="2" t="inlineStr">
        <is>
          <t>Blå taggsvamp
Kolflarnlav
Orange taggsvamp</t>
        </is>
      </c>
      <c r="S102">
        <f>HYPERLINK("https://klasma.github.io/Logging_2481/artfynd/A 53115-2024 artfynd.xlsx", "A 53115-2024")</f>
        <v/>
      </c>
      <c r="T102">
        <f>HYPERLINK("https://klasma.github.io/Logging_2481/kartor/A 53115-2024 karta.png", "A 53115-2024")</f>
        <v/>
      </c>
      <c r="V102">
        <f>HYPERLINK("https://klasma.github.io/Logging_2481/klagomål/A 53115-2024 FSC-klagomål.docx", "A 53115-2024")</f>
        <v/>
      </c>
      <c r="W102">
        <f>HYPERLINK("https://klasma.github.io/Logging_2481/klagomålsmail/A 53115-2024 FSC-klagomål mail.docx", "A 53115-2024")</f>
        <v/>
      </c>
      <c r="X102">
        <f>HYPERLINK("https://klasma.github.io/Logging_2481/tillsyn/A 53115-2024 tillsynsbegäran.docx", "A 53115-2024")</f>
        <v/>
      </c>
      <c r="Y102">
        <f>HYPERLINK("https://klasma.github.io/Logging_2481/tillsynsmail/A 53115-2024 tillsynsbegäran mail.docx", "A 53115-2024")</f>
        <v/>
      </c>
    </row>
    <row r="103" ht="15" customHeight="1">
      <c r="A103" t="inlineStr">
        <is>
          <t>A 54566-2024</t>
        </is>
      </c>
      <c r="B103" s="1" t="n">
        <v>45617</v>
      </c>
      <c r="C103" s="1" t="n">
        <v>45849</v>
      </c>
      <c r="D103" t="inlineStr">
        <is>
          <t>VÄSTERBOTTENS LÄN</t>
        </is>
      </c>
      <c r="E103" t="inlineStr">
        <is>
          <t>LYCKSELE</t>
        </is>
      </c>
      <c r="F103" t="inlineStr">
        <is>
          <t>Sveaskog</t>
        </is>
      </c>
      <c r="G103" t="n">
        <v>6.7</v>
      </c>
      <c r="H103" t="n">
        <v>0</v>
      </c>
      <c r="I103" t="n">
        <v>2</v>
      </c>
      <c r="J103" t="n">
        <v>1</v>
      </c>
      <c r="K103" t="n">
        <v>0</v>
      </c>
      <c r="L103" t="n">
        <v>0</v>
      </c>
      <c r="M103" t="n">
        <v>0</v>
      </c>
      <c r="N103" t="n">
        <v>0</v>
      </c>
      <c r="O103" t="n">
        <v>1</v>
      </c>
      <c r="P103" t="n">
        <v>0</v>
      </c>
      <c r="Q103" t="n">
        <v>3</v>
      </c>
      <c r="R103" s="2" t="inlineStr">
        <is>
          <t>Orange taggsvamp
Dropptaggsvamp
Vedticka</t>
        </is>
      </c>
      <c r="S103">
        <f>HYPERLINK("https://klasma.github.io/Logging_2481/artfynd/A 54566-2024 artfynd.xlsx", "A 54566-2024")</f>
        <v/>
      </c>
      <c r="T103">
        <f>HYPERLINK("https://klasma.github.io/Logging_2481/kartor/A 54566-2024 karta.png", "A 54566-2024")</f>
        <v/>
      </c>
      <c r="V103">
        <f>HYPERLINK("https://klasma.github.io/Logging_2481/klagomål/A 54566-2024 FSC-klagomål.docx", "A 54566-2024")</f>
        <v/>
      </c>
      <c r="W103">
        <f>HYPERLINK("https://klasma.github.io/Logging_2481/klagomålsmail/A 54566-2024 FSC-klagomål mail.docx", "A 54566-2024")</f>
        <v/>
      </c>
      <c r="X103">
        <f>HYPERLINK("https://klasma.github.io/Logging_2481/tillsyn/A 54566-2024 tillsynsbegäran.docx", "A 54566-2024")</f>
        <v/>
      </c>
      <c r="Y103">
        <f>HYPERLINK("https://klasma.github.io/Logging_2481/tillsynsmail/A 54566-2024 tillsynsbegäran mail.docx", "A 54566-2024")</f>
        <v/>
      </c>
    </row>
    <row r="104" ht="15" customHeight="1">
      <c r="A104" t="inlineStr">
        <is>
          <t>A 55046-2024</t>
        </is>
      </c>
      <c r="B104" s="1" t="n">
        <v>45618</v>
      </c>
      <c r="C104" s="1" t="n">
        <v>45849</v>
      </c>
      <c r="D104" t="inlineStr">
        <is>
          <t>VÄSTERBOTTENS LÄN</t>
        </is>
      </c>
      <c r="E104" t="inlineStr">
        <is>
          <t>LYCKSELE</t>
        </is>
      </c>
      <c r="G104" t="n">
        <v>2.4</v>
      </c>
      <c r="H104" t="n">
        <v>1</v>
      </c>
      <c r="I104" t="n">
        <v>0</v>
      </c>
      <c r="J104" t="n">
        <v>3</v>
      </c>
      <c r="K104" t="n">
        <v>0</v>
      </c>
      <c r="L104" t="n">
        <v>0</v>
      </c>
      <c r="M104" t="n">
        <v>0</v>
      </c>
      <c r="N104" t="n">
        <v>0</v>
      </c>
      <c r="O104" t="n">
        <v>3</v>
      </c>
      <c r="P104" t="n">
        <v>0</v>
      </c>
      <c r="Q104" t="n">
        <v>3</v>
      </c>
      <c r="R104" s="2" t="inlineStr">
        <is>
          <t>Gammelgransskål
Tretåig hackspett
Vitgrynig nållav</t>
        </is>
      </c>
      <c r="S104">
        <f>HYPERLINK("https://klasma.github.io/Logging_2481/artfynd/A 55046-2024 artfynd.xlsx", "A 55046-2024")</f>
        <v/>
      </c>
      <c r="T104">
        <f>HYPERLINK("https://klasma.github.io/Logging_2481/kartor/A 55046-2024 karta.png", "A 55046-2024")</f>
        <v/>
      </c>
      <c r="V104">
        <f>HYPERLINK("https://klasma.github.io/Logging_2481/klagomål/A 55046-2024 FSC-klagomål.docx", "A 55046-2024")</f>
        <v/>
      </c>
      <c r="W104">
        <f>HYPERLINK("https://klasma.github.io/Logging_2481/klagomålsmail/A 55046-2024 FSC-klagomål mail.docx", "A 55046-2024")</f>
        <v/>
      </c>
      <c r="X104">
        <f>HYPERLINK("https://klasma.github.io/Logging_2481/tillsyn/A 55046-2024 tillsynsbegäran.docx", "A 55046-2024")</f>
        <v/>
      </c>
      <c r="Y104">
        <f>HYPERLINK("https://klasma.github.io/Logging_2481/tillsynsmail/A 55046-2024 tillsynsbegäran mail.docx", "A 55046-2024")</f>
        <v/>
      </c>
      <c r="Z104">
        <f>HYPERLINK("https://klasma.github.io/Logging_2481/fåglar/A 55046-2024 prioriterade fågelarter.docx", "A 55046-2024")</f>
        <v/>
      </c>
    </row>
    <row r="105" ht="15" customHeight="1">
      <c r="A105" t="inlineStr">
        <is>
          <t>A 54802-2024</t>
        </is>
      </c>
      <c r="B105" s="1" t="n">
        <v>45618</v>
      </c>
      <c r="C105" s="1" t="n">
        <v>45849</v>
      </c>
      <c r="D105" t="inlineStr">
        <is>
          <t>VÄSTERBOTTENS LÄN</t>
        </is>
      </c>
      <c r="E105" t="inlineStr">
        <is>
          <t>LYCKSELE</t>
        </is>
      </c>
      <c r="F105" t="inlineStr">
        <is>
          <t>Sveaskog</t>
        </is>
      </c>
      <c r="G105" t="n">
        <v>6.2</v>
      </c>
      <c r="H105" t="n">
        <v>1</v>
      </c>
      <c r="I105" t="n">
        <v>1</v>
      </c>
      <c r="J105" t="n">
        <v>1</v>
      </c>
      <c r="K105" t="n">
        <v>1</v>
      </c>
      <c r="L105" t="n">
        <v>0</v>
      </c>
      <c r="M105" t="n">
        <v>0</v>
      </c>
      <c r="N105" t="n">
        <v>0</v>
      </c>
      <c r="O105" t="n">
        <v>2</v>
      </c>
      <c r="P105" t="n">
        <v>1</v>
      </c>
      <c r="Q105" t="n">
        <v>3</v>
      </c>
      <c r="R105" s="2" t="inlineStr">
        <is>
          <t>Doftticka
Blå taggsvamp
Dropptaggsvamp</t>
        </is>
      </c>
      <c r="S105">
        <f>HYPERLINK("https://klasma.github.io/Logging_2481/artfynd/A 54802-2024 artfynd.xlsx", "A 54802-2024")</f>
        <v/>
      </c>
      <c r="T105">
        <f>HYPERLINK("https://klasma.github.io/Logging_2481/kartor/A 54802-2024 karta.png", "A 54802-2024")</f>
        <v/>
      </c>
      <c r="V105">
        <f>HYPERLINK("https://klasma.github.io/Logging_2481/klagomål/A 54802-2024 FSC-klagomål.docx", "A 54802-2024")</f>
        <v/>
      </c>
      <c r="W105">
        <f>HYPERLINK("https://klasma.github.io/Logging_2481/klagomålsmail/A 54802-2024 FSC-klagomål mail.docx", "A 54802-2024")</f>
        <v/>
      </c>
      <c r="X105">
        <f>HYPERLINK("https://klasma.github.io/Logging_2481/tillsyn/A 54802-2024 tillsynsbegäran.docx", "A 54802-2024")</f>
        <v/>
      </c>
      <c r="Y105">
        <f>HYPERLINK("https://klasma.github.io/Logging_2481/tillsynsmail/A 54802-2024 tillsynsbegäran mail.docx", "A 54802-2024")</f>
        <v/>
      </c>
    </row>
    <row r="106" ht="15" customHeight="1">
      <c r="A106" t="inlineStr">
        <is>
          <t>A 57357-2024</t>
        </is>
      </c>
      <c r="B106" s="1" t="n">
        <v>45629</v>
      </c>
      <c r="C106" s="1" t="n">
        <v>45849</v>
      </c>
      <c r="D106" t="inlineStr">
        <is>
          <t>VÄSTERBOTTENS LÄN</t>
        </is>
      </c>
      <c r="E106" t="inlineStr">
        <is>
          <t>LYCKSELE</t>
        </is>
      </c>
      <c r="F106" t="inlineStr">
        <is>
          <t>Sveaskog</t>
        </is>
      </c>
      <c r="G106" t="n">
        <v>9.699999999999999</v>
      </c>
      <c r="H106" t="n">
        <v>0</v>
      </c>
      <c r="I106" t="n">
        <v>0</v>
      </c>
      <c r="J106" t="n">
        <v>3</v>
      </c>
      <c r="K106" t="n">
        <v>0</v>
      </c>
      <c r="L106" t="n">
        <v>0</v>
      </c>
      <c r="M106" t="n">
        <v>0</v>
      </c>
      <c r="N106" t="n">
        <v>0</v>
      </c>
      <c r="O106" t="n">
        <v>3</v>
      </c>
      <c r="P106" t="n">
        <v>0</v>
      </c>
      <c r="Q106" t="n">
        <v>3</v>
      </c>
      <c r="R106" s="2" t="inlineStr">
        <is>
          <t>Doftskinn
Gammelgransskål
Garnlav</t>
        </is>
      </c>
      <c r="S106">
        <f>HYPERLINK("https://klasma.github.io/Logging_2481/artfynd/A 57357-2024 artfynd.xlsx", "A 57357-2024")</f>
        <v/>
      </c>
      <c r="T106">
        <f>HYPERLINK("https://klasma.github.io/Logging_2481/kartor/A 57357-2024 karta.png", "A 57357-2024")</f>
        <v/>
      </c>
      <c r="V106">
        <f>HYPERLINK("https://klasma.github.io/Logging_2481/klagomål/A 57357-2024 FSC-klagomål.docx", "A 57357-2024")</f>
        <v/>
      </c>
      <c r="W106">
        <f>HYPERLINK("https://klasma.github.io/Logging_2481/klagomålsmail/A 57357-2024 FSC-klagomål mail.docx", "A 57357-2024")</f>
        <v/>
      </c>
      <c r="X106">
        <f>HYPERLINK("https://klasma.github.io/Logging_2481/tillsyn/A 57357-2024 tillsynsbegäran.docx", "A 57357-2024")</f>
        <v/>
      </c>
      <c r="Y106">
        <f>HYPERLINK("https://klasma.github.io/Logging_2481/tillsynsmail/A 57357-2024 tillsynsbegäran mail.docx", "A 57357-2024")</f>
        <v/>
      </c>
    </row>
    <row r="107" ht="15" customHeight="1">
      <c r="A107" t="inlineStr">
        <is>
          <t>A 59276-2024</t>
        </is>
      </c>
      <c r="B107" s="1" t="n">
        <v>45637</v>
      </c>
      <c r="C107" s="1" t="n">
        <v>45849</v>
      </c>
      <c r="D107" t="inlineStr">
        <is>
          <t>VÄSTERBOTTENS LÄN</t>
        </is>
      </c>
      <c r="E107" t="inlineStr">
        <is>
          <t>LYCKSELE</t>
        </is>
      </c>
      <c r="F107" t="inlineStr">
        <is>
          <t>Sveaskog</t>
        </is>
      </c>
      <c r="G107" t="n">
        <v>12</v>
      </c>
      <c r="H107" t="n">
        <v>0</v>
      </c>
      <c r="I107" t="n">
        <v>1</v>
      </c>
      <c r="J107" t="n">
        <v>2</v>
      </c>
      <c r="K107" t="n">
        <v>0</v>
      </c>
      <c r="L107" t="n">
        <v>0</v>
      </c>
      <c r="M107" t="n">
        <v>0</v>
      </c>
      <c r="N107" t="n">
        <v>0</v>
      </c>
      <c r="O107" t="n">
        <v>2</v>
      </c>
      <c r="P107" t="n">
        <v>0</v>
      </c>
      <c r="Q107" t="n">
        <v>3</v>
      </c>
      <c r="R107" s="2" t="inlineStr">
        <is>
          <t>Kolflarnlav
Motaggsvamp
Dropptaggsvamp</t>
        </is>
      </c>
      <c r="S107">
        <f>HYPERLINK("https://klasma.github.io/Logging_2481/artfynd/A 59276-2024 artfynd.xlsx", "A 59276-2024")</f>
        <v/>
      </c>
      <c r="T107">
        <f>HYPERLINK("https://klasma.github.io/Logging_2481/kartor/A 59276-2024 karta.png", "A 59276-2024")</f>
        <v/>
      </c>
      <c r="V107">
        <f>HYPERLINK("https://klasma.github.io/Logging_2481/klagomål/A 59276-2024 FSC-klagomål.docx", "A 59276-2024")</f>
        <v/>
      </c>
      <c r="W107">
        <f>HYPERLINK("https://klasma.github.io/Logging_2481/klagomålsmail/A 59276-2024 FSC-klagomål mail.docx", "A 59276-2024")</f>
        <v/>
      </c>
      <c r="X107">
        <f>HYPERLINK("https://klasma.github.io/Logging_2481/tillsyn/A 59276-2024 tillsynsbegäran.docx", "A 59276-2024")</f>
        <v/>
      </c>
      <c r="Y107">
        <f>HYPERLINK("https://klasma.github.io/Logging_2481/tillsynsmail/A 59276-2024 tillsynsbegäran mail.docx", "A 59276-2024")</f>
        <v/>
      </c>
    </row>
    <row r="108" ht="15" customHeight="1">
      <c r="A108" t="inlineStr">
        <is>
          <t>A 60422-2024</t>
        </is>
      </c>
      <c r="B108" s="1" t="n">
        <v>45643</v>
      </c>
      <c r="C108" s="1" t="n">
        <v>45849</v>
      </c>
      <c r="D108" t="inlineStr">
        <is>
          <t>VÄSTERBOTTENS LÄN</t>
        </is>
      </c>
      <c r="E108" t="inlineStr">
        <is>
          <t>LYCKSELE</t>
        </is>
      </c>
      <c r="F108" t="inlineStr">
        <is>
          <t>Sveaskog</t>
        </is>
      </c>
      <c r="G108" t="n">
        <v>12</v>
      </c>
      <c r="H108" t="n">
        <v>0</v>
      </c>
      <c r="I108" t="n">
        <v>1</v>
      </c>
      <c r="J108" t="n">
        <v>2</v>
      </c>
      <c r="K108" t="n">
        <v>0</v>
      </c>
      <c r="L108" t="n">
        <v>0</v>
      </c>
      <c r="M108" t="n">
        <v>0</v>
      </c>
      <c r="N108" t="n">
        <v>0</v>
      </c>
      <c r="O108" t="n">
        <v>2</v>
      </c>
      <c r="P108" t="n">
        <v>0</v>
      </c>
      <c r="Q108" t="n">
        <v>3</v>
      </c>
      <c r="R108" s="2" t="inlineStr">
        <is>
          <t>Kolflarnlav
Motaggsvamp
Dropptaggsvamp</t>
        </is>
      </c>
      <c r="S108">
        <f>HYPERLINK("https://klasma.github.io/Logging_2481/artfynd/A 60422-2024 artfynd.xlsx", "A 60422-2024")</f>
        <v/>
      </c>
      <c r="T108">
        <f>HYPERLINK("https://klasma.github.io/Logging_2481/kartor/A 60422-2024 karta.png", "A 60422-2024")</f>
        <v/>
      </c>
      <c r="V108">
        <f>HYPERLINK("https://klasma.github.io/Logging_2481/klagomål/A 60422-2024 FSC-klagomål.docx", "A 60422-2024")</f>
        <v/>
      </c>
      <c r="W108">
        <f>HYPERLINK("https://klasma.github.io/Logging_2481/klagomålsmail/A 60422-2024 FSC-klagomål mail.docx", "A 60422-2024")</f>
        <v/>
      </c>
      <c r="X108">
        <f>HYPERLINK("https://klasma.github.io/Logging_2481/tillsyn/A 60422-2024 tillsynsbegäran.docx", "A 60422-2024")</f>
        <v/>
      </c>
      <c r="Y108">
        <f>HYPERLINK("https://klasma.github.io/Logging_2481/tillsynsmail/A 60422-2024 tillsynsbegäran mail.docx", "A 60422-2024")</f>
        <v/>
      </c>
    </row>
    <row r="109" ht="15" customHeight="1">
      <c r="A109" t="inlineStr">
        <is>
          <t>A 5696-2025</t>
        </is>
      </c>
      <c r="B109" s="1" t="n">
        <v>45694</v>
      </c>
      <c r="C109" s="1" t="n">
        <v>45849</v>
      </c>
      <c r="D109" t="inlineStr">
        <is>
          <t>VÄSTERBOTTENS LÄN</t>
        </is>
      </c>
      <c r="E109" t="inlineStr">
        <is>
          <t>LYCKSELE</t>
        </is>
      </c>
      <c r="G109" t="n">
        <v>6.4</v>
      </c>
      <c r="H109" t="n">
        <v>1</v>
      </c>
      <c r="I109" t="n">
        <v>1</v>
      </c>
      <c r="J109" t="n">
        <v>2</v>
      </c>
      <c r="K109" t="n">
        <v>0</v>
      </c>
      <c r="L109" t="n">
        <v>0</v>
      </c>
      <c r="M109" t="n">
        <v>0</v>
      </c>
      <c r="N109" t="n">
        <v>0</v>
      </c>
      <c r="O109" t="n">
        <v>2</v>
      </c>
      <c r="P109" t="n">
        <v>0</v>
      </c>
      <c r="Q109" t="n">
        <v>3</v>
      </c>
      <c r="R109" s="2" t="inlineStr">
        <is>
          <t>Blå taggsvamp
Tretåig hackspett
Dropptaggsvamp</t>
        </is>
      </c>
      <c r="S109">
        <f>HYPERLINK("https://klasma.github.io/Logging_2481/artfynd/A 5696-2025 artfynd.xlsx", "A 5696-2025")</f>
        <v/>
      </c>
      <c r="T109">
        <f>HYPERLINK("https://klasma.github.io/Logging_2481/kartor/A 5696-2025 karta.png", "A 5696-2025")</f>
        <v/>
      </c>
      <c r="V109">
        <f>HYPERLINK("https://klasma.github.io/Logging_2481/klagomål/A 5696-2025 FSC-klagomål.docx", "A 5696-2025")</f>
        <v/>
      </c>
      <c r="W109">
        <f>HYPERLINK("https://klasma.github.io/Logging_2481/klagomålsmail/A 5696-2025 FSC-klagomål mail.docx", "A 5696-2025")</f>
        <v/>
      </c>
      <c r="X109">
        <f>HYPERLINK("https://klasma.github.io/Logging_2481/tillsyn/A 5696-2025 tillsynsbegäran.docx", "A 5696-2025")</f>
        <v/>
      </c>
      <c r="Y109">
        <f>HYPERLINK("https://klasma.github.io/Logging_2481/tillsynsmail/A 5696-2025 tillsynsbegäran mail.docx", "A 5696-2025")</f>
        <v/>
      </c>
      <c r="Z109">
        <f>HYPERLINK("https://klasma.github.io/Logging_2481/fåglar/A 5696-2025 prioriterade fågelarter.docx", "A 5696-2025")</f>
        <v/>
      </c>
    </row>
    <row r="110" ht="15" customHeight="1">
      <c r="A110" t="inlineStr">
        <is>
          <t>A 22123-2025</t>
        </is>
      </c>
      <c r="B110" s="1" t="n">
        <v>45785</v>
      </c>
      <c r="C110" s="1" t="n">
        <v>45849</v>
      </c>
      <c r="D110" t="inlineStr">
        <is>
          <t>VÄSTERBOTTENS LÄN</t>
        </is>
      </c>
      <c r="E110" t="inlineStr">
        <is>
          <t>LYCKSELE</t>
        </is>
      </c>
      <c r="F110" t="inlineStr">
        <is>
          <t>Sveaskog</t>
        </is>
      </c>
      <c r="G110" t="n">
        <v>11.2</v>
      </c>
      <c r="H110" t="n">
        <v>0</v>
      </c>
      <c r="I110" t="n">
        <v>1</v>
      </c>
      <c r="J110" t="n">
        <v>2</v>
      </c>
      <c r="K110" t="n">
        <v>0</v>
      </c>
      <c r="L110" t="n">
        <v>0</v>
      </c>
      <c r="M110" t="n">
        <v>0</v>
      </c>
      <c r="N110" t="n">
        <v>0</v>
      </c>
      <c r="O110" t="n">
        <v>2</v>
      </c>
      <c r="P110" t="n">
        <v>0</v>
      </c>
      <c r="Q110" t="n">
        <v>3</v>
      </c>
      <c r="R110" s="2" t="inlineStr">
        <is>
          <t>Blå taggsvamp
Kolflarnlav
Dropptaggsvamp</t>
        </is>
      </c>
      <c r="S110">
        <f>HYPERLINK("https://klasma.github.io/Logging_242481/artfynd/A 22123-2025 artfynd.xlsx", "A 22123-2025")</f>
        <v/>
      </c>
      <c r="T110">
        <f>HYPERLINK("https://klasma.github.io/Logging_242481/kartor/A 22123-2025 karta.png", "A 22123-2025")</f>
        <v/>
      </c>
      <c r="V110">
        <f>HYPERLINK("https://klasma.github.io/Logging_242481/klagomål/A 22123-2025 FSC-klagomål.docx", "A 22123-2025")</f>
        <v/>
      </c>
      <c r="W110">
        <f>HYPERLINK("https://klasma.github.io/Logging_242481/klagomålsmail/A 22123-2025 FSC-klagomål mail.docx", "A 22123-2025")</f>
        <v/>
      </c>
      <c r="X110">
        <f>HYPERLINK("https://klasma.github.io/Logging_242481/tillsyn/A 22123-2025 tillsynsbegäran.docx", "A 22123-2025")</f>
        <v/>
      </c>
      <c r="Y110">
        <f>HYPERLINK("https://klasma.github.io/Logging_242481/tillsynsmail/A 22123-2025 tillsynsbegäran mail.docx", "A 22123-2025")</f>
        <v/>
      </c>
    </row>
    <row r="111" ht="15" customHeight="1">
      <c r="A111" t="inlineStr">
        <is>
          <t>A 22368-2025</t>
        </is>
      </c>
      <c r="B111" s="1" t="n">
        <v>45786</v>
      </c>
      <c r="C111" s="1" t="n">
        <v>45849</v>
      </c>
      <c r="D111" t="inlineStr">
        <is>
          <t>VÄSTERBOTTENS LÄN</t>
        </is>
      </c>
      <c r="E111" t="inlineStr">
        <is>
          <t>LYCKSELE</t>
        </is>
      </c>
      <c r="F111" t="inlineStr">
        <is>
          <t>Sveaskog</t>
        </is>
      </c>
      <c r="G111" t="n">
        <v>2.9</v>
      </c>
      <c r="H111" t="n">
        <v>0</v>
      </c>
      <c r="I111" t="n">
        <v>0</v>
      </c>
      <c r="J111" t="n">
        <v>3</v>
      </c>
      <c r="K111" t="n">
        <v>0</v>
      </c>
      <c r="L111" t="n">
        <v>0</v>
      </c>
      <c r="M111" t="n">
        <v>0</v>
      </c>
      <c r="N111" t="n">
        <v>0</v>
      </c>
      <c r="O111" t="n">
        <v>3</v>
      </c>
      <c r="P111" t="n">
        <v>0</v>
      </c>
      <c r="Q111" t="n">
        <v>3</v>
      </c>
      <c r="R111" s="2" t="inlineStr">
        <is>
          <t>Blå taggsvamp
Kolflarnlav
Mörk kolflarnlav</t>
        </is>
      </c>
      <c r="S111">
        <f>HYPERLINK("https://klasma.github.io/Logging_242481/artfynd/A 22368-2025 artfynd.xlsx", "A 22368-2025")</f>
        <v/>
      </c>
      <c r="T111">
        <f>HYPERLINK("https://klasma.github.io/Logging_242481/kartor/A 22368-2025 karta.png", "A 22368-2025")</f>
        <v/>
      </c>
      <c r="V111">
        <f>HYPERLINK("https://klasma.github.io/Logging_242481/klagomål/A 22368-2025 FSC-klagomål.docx", "A 22368-2025")</f>
        <v/>
      </c>
      <c r="W111">
        <f>HYPERLINK("https://klasma.github.io/Logging_242481/klagomålsmail/A 22368-2025 FSC-klagomål mail.docx", "A 22368-2025")</f>
        <v/>
      </c>
      <c r="X111">
        <f>HYPERLINK("https://klasma.github.io/Logging_242481/tillsyn/A 22368-2025 tillsynsbegäran.docx", "A 22368-2025")</f>
        <v/>
      </c>
      <c r="Y111">
        <f>HYPERLINK("https://klasma.github.io/Logging_242481/tillsynsmail/A 22368-2025 tillsynsbegäran mail.docx", "A 22368-2025")</f>
        <v/>
      </c>
    </row>
    <row r="112" ht="15" customHeight="1">
      <c r="A112" t="inlineStr">
        <is>
          <t>A 33340-2025</t>
        </is>
      </c>
      <c r="B112" s="1" t="n">
        <v>45841</v>
      </c>
      <c r="C112" s="1" t="n">
        <v>45849</v>
      </c>
      <c r="D112" t="inlineStr">
        <is>
          <t>VÄSTERBOTTENS LÄN</t>
        </is>
      </c>
      <c r="E112" t="inlineStr">
        <is>
          <t>LYCKSELE</t>
        </is>
      </c>
      <c r="F112" t="inlineStr">
        <is>
          <t>Sveaskog</t>
        </is>
      </c>
      <c r="G112" t="n">
        <v>5.2</v>
      </c>
      <c r="H112" t="n">
        <v>0</v>
      </c>
      <c r="I112" t="n">
        <v>0</v>
      </c>
      <c r="J112" t="n">
        <v>3</v>
      </c>
      <c r="K112" t="n">
        <v>0</v>
      </c>
      <c r="L112" t="n">
        <v>0</v>
      </c>
      <c r="M112" t="n">
        <v>0</v>
      </c>
      <c r="N112" t="n">
        <v>0</v>
      </c>
      <c r="O112" t="n">
        <v>3</v>
      </c>
      <c r="P112" t="n">
        <v>0</v>
      </c>
      <c r="Q112" t="n">
        <v>3</v>
      </c>
      <c r="R112" s="2" t="inlineStr">
        <is>
          <t>Mörk kolflarnlav
Vaddporing
Vedflamlav</t>
        </is>
      </c>
      <c r="S112">
        <f>HYPERLINK("https://klasma.github.io/Logging_242481/artfynd/A 33340-2025 artfynd.xlsx", "A 33340-2025")</f>
        <v/>
      </c>
      <c r="T112">
        <f>HYPERLINK("https://klasma.github.io/Logging_242481/kartor/A 33340-2025 karta.png", "A 33340-2025")</f>
        <v/>
      </c>
      <c r="V112">
        <f>HYPERLINK("https://klasma.github.io/Logging_242481/klagomål/A 33340-2025 FSC-klagomål.docx", "A 33340-2025")</f>
        <v/>
      </c>
      <c r="W112">
        <f>HYPERLINK("https://klasma.github.io/Logging_242481/klagomålsmail/A 33340-2025 FSC-klagomål mail.docx", "A 33340-2025")</f>
        <v/>
      </c>
      <c r="X112">
        <f>HYPERLINK("https://klasma.github.io/Logging_242481/tillsyn/A 33340-2025 tillsynsbegäran.docx", "A 33340-2025")</f>
        <v/>
      </c>
      <c r="Y112">
        <f>HYPERLINK("https://klasma.github.io/Logging_242481/tillsynsmail/A 33340-2025 tillsynsbegäran mail.docx", "A 33340-2025")</f>
        <v/>
      </c>
    </row>
    <row r="113" ht="15" customHeight="1">
      <c r="A113" t="inlineStr">
        <is>
          <t>A 15662-2021</t>
        </is>
      </c>
      <c r="B113" s="1" t="n">
        <v>44286</v>
      </c>
      <c r="C113" s="1" t="n">
        <v>45849</v>
      </c>
      <c r="D113" t="inlineStr">
        <is>
          <t>VÄSTERBOTTENS LÄN</t>
        </is>
      </c>
      <c r="E113" t="inlineStr">
        <is>
          <t>LYCKSELE</t>
        </is>
      </c>
      <c r="F113" t="inlineStr">
        <is>
          <t>Sveaskog</t>
        </is>
      </c>
      <c r="G113" t="n">
        <v>3.4</v>
      </c>
      <c r="H113" t="n">
        <v>0</v>
      </c>
      <c r="I113" t="n">
        <v>0</v>
      </c>
      <c r="J113" t="n">
        <v>2</v>
      </c>
      <c r="K113" t="n">
        <v>0</v>
      </c>
      <c r="L113" t="n">
        <v>0</v>
      </c>
      <c r="M113" t="n">
        <v>0</v>
      </c>
      <c r="N113" t="n">
        <v>0</v>
      </c>
      <c r="O113" t="n">
        <v>2</v>
      </c>
      <c r="P113" t="n">
        <v>0</v>
      </c>
      <c r="Q113" t="n">
        <v>2</v>
      </c>
      <c r="R113" s="2" t="inlineStr">
        <is>
          <t>Lunglav
Reliktbock</t>
        </is>
      </c>
      <c r="S113">
        <f>HYPERLINK("https://klasma.github.io/Logging_2481/artfynd/A 15662-2021 artfynd.xlsx", "A 15662-2021")</f>
        <v/>
      </c>
      <c r="T113">
        <f>HYPERLINK("https://klasma.github.io/Logging_2481/kartor/A 15662-2021 karta.png", "A 15662-2021")</f>
        <v/>
      </c>
      <c r="V113">
        <f>HYPERLINK("https://klasma.github.io/Logging_2481/klagomål/A 15662-2021 FSC-klagomål.docx", "A 15662-2021")</f>
        <v/>
      </c>
      <c r="W113">
        <f>HYPERLINK("https://klasma.github.io/Logging_2481/klagomålsmail/A 15662-2021 FSC-klagomål mail.docx", "A 15662-2021")</f>
        <v/>
      </c>
      <c r="X113">
        <f>HYPERLINK("https://klasma.github.io/Logging_2481/tillsyn/A 15662-2021 tillsynsbegäran.docx", "A 15662-2021")</f>
        <v/>
      </c>
      <c r="Y113">
        <f>HYPERLINK("https://klasma.github.io/Logging_2481/tillsynsmail/A 15662-2021 tillsynsbegäran mail.docx", "A 15662-2021")</f>
        <v/>
      </c>
    </row>
    <row r="114" ht="15" customHeight="1">
      <c r="A114" t="inlineStr">
        <is>
          <t>A 61497-2021</t>
        </is>
      </c>
      <c r="B114" s="1" t="n">
        <v>44501</v>
      </c>
      <c r="C114" s="1" t="n">
        <v>45849</v>
      </c>
      <c r="D114" t="inlineStr">
        <is>
          <t>VÄSTERBOTTENS LÄN</t>
        </is>
      </c>
      <c r="E114" t="inlineStr">
        <is>
          <t>LYCKSELE</t>
        </is>
      </c>
      <c r="F114" t="inlineStr">
        <is>
          <t>Sveaskog</t>
        </is>
      </c>
      <c r="G114" t="n">
        <v>8</v>
      </c>
      <c r="H114" t="n">
        <v>0</v>
      </c>
      <c r="I114" t="n">
        <v>0</v>
      </c>
      <c r="J114" t="n">
        <v>2</v>
      </c>
      <c r="K114" t="n">
        <v>0</v>
      </c>
      <c r="L114" t="n">
        <v>0</v>
      </c>
      <c r="M114" t="n">
        <v>0</v>
      </c>
      <c r="N114" t="n">
        <v>0</v>
      </c>
      <c r="O114" t="n">
        <v>2</v>
      </c>
      <c r="P114" t="n">
        <v>0</v>
      </c>
      <c r="Q114" t="n">
        <v>2</v>
      </c>
      <c r="R114" s="2" t="inlineStr">
        <is>
          <t>Dvärgbägarlav
Vaddporing</t>
        </is>
      </c>
      <c r="S114">
        <f>HYPERLINK("https://klasma.github.io/Logging_2481/artfynd/A 61497-2021 artfynd.xlsx", "A 61497-2021")</f>
        <v/>
      </c>
      <c r="T114">
        <f>HYPERLINK("https://klasma.github.io/Logging_2481/kartor/A 61497-2021 karta.png", "A 61497-2021")</f>
        <v/>
      </c>
      <c r="V114">
        <f>HYPERLINK("https://klasma.github.io/Logging_2481/klagomål/A 61497-2021 FSC-klagomål.docx", "A 61497-2021")</f>
        <v/>
      </c>
      <c r="W114">
        <f>HYPERLINK("https://klasma.github.io/Logging_2481/klagomålsmail/A 61497-2021 FSC-klagomål mail.docx", "A 61497-2021")</f>
        <v/>
      </c>
      <c r="X114">
        <f>HYPERLINK("https://klasma.github.io/Logging_2481/tillsyn/A 61497-2021 tillsynsbegäran.docx", "A 61497-2021")</f>
        <v/>
      </c>
      <c r="Y114">
        <f>HYPERLINK("https://klasma.github.io/Logging_2481/tillsynsmail/A 61497-2021 tillsynsbegäran mail.docx", "A 61497-2021")</f>
        <v/>
      </c>
    </row>
    <row r="115" ht="15" customHeight="1">
      <c r="A115" t="inlineStr">
        <is>
          <t>A 70179-2021</t>
        </is>
      </c>
      <c r="B115" s="1" t="n">
        <v>44533</v>
      </c>
      <c r="C115" s="1" t="n">
        <v>45849</v>
      </c>
      <c r="D115" t="inlineStr">
        <is>
          <t>VÄSTERBOTTENS LÄN</t>
        </is>
      </c>
      <c r="E115" t="inlineStr">
        <is>
          <t>LYCKSELE</t>
        </is>
      </c>
      <c r="G115" t="n">
        <v>5.2</v>
      </c>
      <c r="H115" t="n">
        <v>0</v>
      </c>
      <c r="I115" t="n">
        <v>0</v>
      </c>
      <c r="J115" t="n">
        <v>2</v>
      </c>
      <c r="K115" t="n">
        <v>0</v>
      </c>
      <c r="L115" t="n">
        <v>0</v>
      </c>
      <c r="M115" t="n">
        <v>0</v>
      </c>
      <c r="N115" t="n">
        <v>0</v>
      </c>
      <c r="O115" t="n">
        <v>2</v>
      </c>
      <c r="P115" t="n">
        <v>0</v>
      </c>
      <c r="Q115" t="n">
        <v>2</v>
      </c>
      <c r="R115" s="2" t="inlineStr">
        <is>
          <t>Blanksvart spiklav
Vedflamlav</t>
        </is>
      </c>
      <c r="S115">
        <f>HYPERLINK("https://klasma.github.io/Logging_2481/artfynd/A 70179-2021 artfynd.xlsx", "A 70179-2021")</f>
        <v/>
      </c>
      <c r="T115">
        <f>HYPERLINK("https://klasma.github.io/Logging_2481/kartor/A 70179-2021 karta.png", "A 70179-2021")</f>
        <v/>
      </c>
      <c r="V115">
        <f>HYPERLINK("https://klasma.github.io/Logging_2481/klagomål/A 70179-2021 FSC-klagomål.docx", "A 70179-2021")</f>
        <v/>
      </c>
      <c r="W115">
        <f>HYPERLINK("https://klasma.github.io/Logging_2481/klagomålsmail/A 70179-2021 FSC-klagomål mail.docx", "A 70179-2021")</f>
        <v/>
      </c>
      <c r="X115">
        <f>HYPERLINK("https://klasma.github.io/Logging_2481/tillsyn/A 70179-2021 tillsynsbegäran.docx", "A 70179-2021")</f>
        <v/>
      </c>
      <c r="Y115">
        <f>HYPERLINK("https://klasma.github.io/Logging_2481/tillsynsmail/A 70179-2021 tillsynsbegäran mail.docx", "A 70179-2021")</f>
        <v/>
      </c>
    </row>
    <row r="116" ht="15" customHeight="1">
      <c r="A116" t="inlineStr">
        <is>
          <t>A 6526-2022</t>
        </is>
      </c>
      <c r="B116" s="1" t="n">
        <v>44601</v>
      </c>
      <c r="C116" s="1" t="n">
        <v>45849</v>
      </c>
      <c r="D116" t="inlineStr">
        <is>
          <t>VÄSTERBOTTENS LÄN</t>
        </is>
      </c>
      <c r="E116" t="inlineStr">
        <is>
          <t>LYCKSELE</t>
        </is>
      </c>
      <c r="F116" t="inlineStr">
        <is>
          <t>Sveaskog</t>
        </is>
      </c>
      <c r="G116" t="n">
        <v>6.7</v>
      </c>
      <c r="H116" t="n">
        <v>0</v>
      </c>
      <c r="I116" t="n">
        <v>1</v>
      </c>
      <c r="J116" t="n">
        <v>1</v>
      </c>
      <c r="K116" t="n">
        <v>0</v>
      </c>
      <c r="L116" t="n">
        <v>0</v>
      </c>
      <c r="M116" t="n">
        <v>0</v>
      </c>
      <c r="N116" t="n">
        <v>0</v>
      </c>
      <c r="O116" t="n">
        <v>1</v>
      </c>
      <c r="P116" t="n">
        <v>0</v>
      </c>
      <c r="Q116" t="n">
        <v>2</v>
      </c>
      <c r="R116" s="2" t="inlineStr">
        <is>
          <t>Skrovlig taggsvamp
Dropptaggsvamp</t>
        </is>
      </c>
      <c r="S116">
        <f>HYPERLINK("https://klasma.github.io/Logging_2481/artfynd/A 6526-2022 artfynd.xlsx", "A 6526-2022")</f>
        <v/>
      </c>
      <c r="T116">
        <f>HYPERLINK("https://klasma.github.io/Logging_2481/kartor/A 6526-2022 karta.png", "A 6526-2022")</f>
        <v/>
      </c>
      <c r="V116">
        <f>HYPERLINK("https://klasma.github.io/Logging_2481/klagomål/A 6526-2022 FSC-klagomål.docx", "A 6526-2022")</f>
        <v/>
      </c>
      <c r="W116">
        <f>HYPERLINK("https://klasma.github.io/Logging_2481/klagomålsmail/A 6526-2022 FSC-klagomål mail.docx", "A 6526-2022")</f>
        <v/>
      </c>
      <c r="X116">
        <f>HYPERLINK("https://klasma.github.io/Logging_2481/tillsyn/A 6526-2022 tillsynsbegäran.docx", "A 6526-2022")</f>
        <v/>
      </c>
      <c r="Y116">
        <f>HYPERLINK("https://klasma.github.io/Logging_2481/tillsynsmail/A 6526-2022 tillsynsbegäran mail.docx", "A 6526-2022")</f>
        <v/>
      </c>
    </row>
    <row r="117" ht="15" customHeight="1">
      <c r="A117" t="inlineStr">
        <is>
          <t>A 21668-2022</t>
        </is>
      </c>
      <c r="B117" s="1" t="n">
        <v>44706</v>
      </c>
      <c r="C117" s="1" t="n">
        <v>45849</v>
      </c>
      <c r="D117" t="inlineStr">
        <is>
          <t>VÄSTERBOTTENS LÄN</t>
        </is>
      </c>
      <c r="E117" t="inlineStr">
        <is>
          <t>LYCKSELE</t>
        </is>
      </c>
      <c r="F117" t="inlineStr">
        <is>
          <t>SCA</t>
        </is>
      </c>
      <c r="G117" t="n">
        <v>1</v>
      </c>
      <c r="H117" t="n">
        <v>0</v>
      </c>
      <c r="I117" t="n">
        <v>0</v>
      </c>
      <c r="J117" t="n">
        <v>2</v>
      </c>
      <c r="K117" t="n">
        <v>0</v>
      </c>
      <c r="L117" t="n">
        <v>0</v>
      </c>
      <c r="M117" t="n">
        <v>0</v>
      </c>
      <c r="N117" t="n">
        <v>0</v>
      </c>
      <c r="O117" t="n">
        <v>2</v>
      </c>
      <c r="P117" t="n">
        <v>0</v>
      </c>
      <c r="Q117" t="n">
        <v>2</v>
      </c>
      <c r="R117" s="2" t="inlineStr">
        <is>
          <t>Gammelgransskål
Granticka</t>
        </is>
      </c>
      <c r="S117">
        <f>HYPERLINK("https://klasma.github.io/Logging_2481/artfynd/A 21668-2022 artfynd.xlsx", "A 21668-2022")</f>
        <v/>
      </c>
      <c r="T117">
        <f>HYPERLINK("https://klasma.github.io/Logging_2481/kartor/A 21668-2022 karta.png", "A 21668-2022")</f>
        <v/>
      </c>
      <c r="V117">
        <f>HYPERLINK("https://klasma.github.io/Logging_2481/klagomål/A 21668-2022 FSC-klagomål.docx", "A 21668-2022")</f>
        <v/>
      </c>
      <c r="W117">
        <f>HYPERLINK("https://klasma.github.io/Logging_2481/klagomålsmail/A 21668-2022 FSC-klagomål mail.docx", "A 21668-2022")</f>
        <v/>
      </c>
      <c r="X117">
        <f>HYPERLINK("https://klasma.github.io/Logging_2481/tillsyn/A 21668-2022 tillsynsbegäran.docx", "A 21668-2022")</f>
        <v/>
      </c>
      <c r="Y117">
        <f>HYPERLINK("https://klasma.github.io/Logging_2481/tillsynsmail/A 21668-2022 tillsynsbegäran mail.docx", "A 21668-2022")</f>
        <v/>
      </c>
    </row>
    <row r="118" ht="15" customHeight="1">
      <c r="A118" t="inlineStr">
        <is>
          <t>A 52683-2022</t>
        </is>
      </c>
      <c r="B118" s="1" t="n">
        <v>44874</v>
      </c>
      <c r="C118" s="1" t="n">
        <v>45849</v>
      </c>
      <c r="D118" t="inlineStr">
        <is>
          <t>VÄSTERBOTTENS LÄN</t>
        </is>
      </c>
      <c r="E118" t="inlineStr">
        <is>
          <t>LYCKSELE</t>
        </is>
      </c>
      <c r="F118" t="inlineStr">
        <is>
          <t>Sveaskog</t>
        </is>
      </c>
      <c r="G118" t="n">
        <v>24.8</v>
      </c>
      <c r="H118" t="n">
        <v>1</v>
      </c>
      <c r="I118" t="n">
        <v>1</v>
      </c>
      <c r="J118" t="n">
        <v>1</v>
      </c>
      <c r="K118" t="n">
        <v>0</v>
      </c>
      <c r="L118" t="n">
        <v>0</v>
      </c>
      <c r="M118" t="n">
        <v>0</v>
      </c>
      <c r="N118" t="n">
        <v>0</v>
      </c>
      <c r="O118" t="n">
        <v>1</v>
      </c>
      <c r="P118" t="n">
        <v>0</v>
      </c>
      <c r="Q118" t="n">
        <v>2</v>
      </c>
      <c r="R118" s="2" t="inlineStr">
        <is>
          <t>Rödvingetrast
Ögonpyrola</t>
        </is>
      </c>
      <c r="S118">
        <f>HYPERLINK("https://klasma.github.io/Logging_2481/artfynd/A 52683-2022 artfynd.xlsx", "A 52683-2022")</f>
        <v/>
      </c>
      <c r="T118">
        <f>HYPERLINK("https://klasma.github.io/Logging_2481/kartor/A 52683-2022 karta.png", "A 52683-2022")</f>
        <v/>
      </c>
      <c r="V118">
        <f>HYPERLINK("https://klasma.github.io/Logging_2481/klagomål/A 52683-2022 FSC-klagomål.docx", "A 52683-2022")</f>
        <v/>
      </c>
      <c r="W118">
        <f>HYPERLINK("https://klasma.github.io/Logging_2481/klagomålsmail/A 52683-2022 FSC-klagomål mail.docx", "A 52683-2022")</f>
        <v/>
      </c>
      <c r="X118">
        <f>HYPERLINK("https://klasma.github.io/Logging_2481/tillsyn/A 52683-2022 tillsynsbegäran.docx", "A 52683-2022")</f>
        <v/>
      </c>
      <c r="Y118">
        <f>HYPERLINK("https://klasma.github.io/Logging_2481/tillsynsmail/A 52683-2022 tillsynsbegäran mail.docx", "A 52683-2022")</f>
        <v/>
      </c>
      <c r="Z118">
        <f>HYPERLINK("https://klasma.github.io/Logging_2481/fåglar/A 52683-2022 prioriterade fågelarter.docx", "A 52683-2022")</f>
        <v/>
      </c>
    </row>
    <row r="119" ht="15" customHeight="1">
      <c r="A119" t="inlineStr">
        <is>
          <t>A 58624-2022</t>
        </is>
      </c>
      <c r="B119" s="1" t="n">
        <v>44902</v>
      </c>
      <c r="C119" s="1" t="n">
        <v>45849</v>
      </c>
      <c r="D119" t="inlineStr">
        <is>
          <t>VÄSTERBOTTENS LÄN</t>
        </is>
      </c>
      <c r="E119" t="inlineStr">
        <is>
          <t>LYCKSELE</t>
        </is>
      </c>
      <c r="F119" t="inlineStr">
        <is>
          <t>Sveaskog</t>
        </is>
      </c>
      <c r="G119" t="n">
        <v>3.2</v>
      </c>
      <c r="H119" t="n">
        <v>0</v>
      </c>
      <c r="I119" t="n">
        <v>0</v>
      </c>
      <c r="J119" t="n">
        <v>2</v>
      </c>
      <c r="K119" t="n">
        <v>0</v>
      </c>
      <c r="L119" t="n">
        <v>0</v>
      </c>
      <c r="M119" t="n">
        <v>0</v>
      </c>
      <c r="N119" t="n">
        <v>0</v>
      </c>
      <c r="O119" t="n">
        <v>2</v>
      </c>
      <c r="P119" t="n">
        <v>0</v>
      </c>
      <c r="Q119" t="n">
        <v>2</v>
      </c>
      <c r="R119" s="2" t="inlineStr">
        <is>
          <t>Blanksvart spiklav
Vedflamlav</t>
        </is>
      </c>
      <c r="S119">
        <f>HYPERLINK("https://klasma.github.io/Logging_2481/artfynd/A 58624-2022 artfynd.xlsx", "A 58624-2022")</f>
        <v/>
      </c>
      <c r="T119">
        <f>HYPERLINK("https://klasma.github.io/Logging_2481/kartor/A 58624-2022 karta.png", "A 58624-2022")</f>
        <v/>
      </c>
      <c r="V119">
        <f>HYPERLINK("https://klasma.github.io/Logging_2481/klagomål/A 58624-2022 FSC-klagomål.docx", "A 58624-2022")</f>
        <v/>
      </c>
      <c r="W119">
        <f>HYPERLINK("https://klasma.github.io/Logging_2481/klagomålsmail/A 58624-2022 FSC-klagomål mail.docx", "A 58624-2022")</f>
        <v/>
      </c>
      <c r="X119">
        <f>HYPERLINK("https://klasma.github.io/Logging_2481/tillsyn/A 58624-2022 tillsynsbegäran.docx", "A 58624-2022")</f>
        <v/>
      </c>
      <c r="Y119">
        <f>HYPERLINK("https://klasma.github.io/Logging_2481/tillsynsmail/A 58624-2022 tillsynsbegäran mail.docx", "A 58624-2022")</f>
        <v/>
      </c>
    </row>
    <row r="120" ht="15" customHeight="1">
      <c r="A120" t="inlineStr">
        <is>
          <t>A 2893-2023</t>
        </is>
      </c>
      <c r="B120" s="1" t="n">
        <v>44945</v>
      </c>
      <c r="C120" s="1" t="n">
        <v>45849</v>
      </c>
      <c r="D120" t="inlineStr">
        <is>
          <t>VÄSTERBOTTENS LÄN</t>
        </is>
      </c>
      <c r="E120" t="inlineStr">
        <is>
          <t>LYCKSELE</t>
        </is>
      </c>
      <c r="F120" t="inlineStr">
        <is>
          <t>Kyrkan</t>
        </is>
      </c>
      <c r="G120" t="n">
        <v>3.5</v>
      </c>
      <c r="H120" t="n">
        <v>0</v>
      </c>
      <c r="I120" t="n">
        <v>1</v>
      </c>
      <c r="J120" t="n">
        <v>1</v>
      </c>
      <c r="K120" t="n">
        <v>0</v>
      </c>
      <c r="L120" t="n">
        <v>0</v>
      </c>
      <c r="M120" t="n">
        <v>0</v>
      </c>
      <c r="N120" t="n">
        <v>0</v>
      </c>
      <c r="O120" t="n">
        <v>1</v>
      </c>
      <c r="P120" t="n">
        <v>0</v>
      </c>
      <c r="Q120" t="n">
        <v>2</v>
      </c>
      <c r="R120" s="2" t="inlineStr">
        <is>
          <t>Garnlav
Dropptaggsvamp</t>
        </is>
      </c>
      <c r="S120">
        <f>HYPERLINK("https://klasma.github.io/Logging_2481/artfynd/A 2893-2023 artfynd.xlsx", "A 2893-2023")</f>
        <v/>
      </c>
      <c r="T120">
        <f>HYPERLINK("https://klasma.github.io/Logging_2481/kartor/A 2893-2023 karta.png", "A 2893-2023")</f>
        <v/>
      </c>
      <c r="V120">
        <f>HYPERLINK("https://klasma.github.io/Logging_2481/klagomål/A 2893-2023 FSC-klagomål.docx", "A 2893-2023")</f>
        <v/>
      </c>
      <c r="W120">
        <f>HYPERLINK("https://klasma.github.io/Logging_2481/klagomålsmail/A 2893-2023 FSC-klagomål mail.docx", "A 2893-2023")</f>
        <v/>
      </c>
      <c r="X120">
        <f>HYPERLINK("https://klasma.github.io/Logging_2481/tillsyn/A 2893-2023 tillsynsbegäran.docx", "A 2893-2023")</f>
        <v/>
      </c>
      <c r="Y120">
        <f>HYPERLINK("https://klasma.github.io/Logging_2481/tillsynsmail/A 2893-2023 tillsynsbegäran mail.docx", "A 2893-2023")</f>
        <v/>
      </c>
    </row>
    <row r="121" ht="15" customHeight="1">
      <c r="A121" t="inlineStr">
        <is>
          <t>A 6002-2023</t>
        </is>
      </c>
      <c r="B121" s="1" t="n">
        <v>44964</v>
      </c>
      <c r="C121" s="1" t="n">
        <v>45849</v>
      </c>
      <c r="D121" t="inlineStr">
        <is>
          <t>VÄSTERBOTTENS LÄN</t>
        </is>
      </c>
      <c r="E121" t="inlineStr">
        <is>
          <t>LYCKSELE</t>
        </is>
      </c>
      <c r="F121" t="inlineStr">
        <is>
          <t>Kyrkan</t>
        </is>
      </c>
      <c r="G121" t="n">
        <v>15.7</v>
      </c>
      <c r="H121" t="n">
        <v>0</v>
      </c>
      <c r="I121" t="n">
        <v>0</v>
      </c>
      <c r="J121" t="n">
        <v>2</v>
      </c>
      <c r="K121" t="n">
        <v>0</v>
      </c>
      <c r="L121" t="n">
        <v>0</v>
      </c>
      <c r="M121" t="n">
        <v>0</v>
      </c>
      <c r="N121" t="n">
        <v>0</v>
      </c>
      <c r="O121" t="n">
        <v>2</v>
      </c>
      <c r="P121" t="n">
        <v>0</v>
      </c>
      <c r="Q121" t="n">
        <v>2</v>
      </c>
      <c r="R121" s="2" t="inlineStr">
        <is>
          <t>Garnlav
Violettgrå tagellav</t>
        </is>
      </c>
      <c r="S121">
        <f>HYPERLINK("https://klasma.github.io/Logging_2481/artfynd/A 6002-2023 artfynd.xlsx", "A 6002-2023")</f>
        <v/>
      </c>
      <c r="T121">
        <f>HYPERLINK("https://klasma.github.io/Logging_2481/kartor/A 6002-2023 karta.png", "A 6002-2023")</f>
        <v/>
      </c>
      <c r="V121">
        <f>HYPERLINK("https://klasma.github.io/Logging_2481/klagomål/A 6002-2023 FSC-klagomål.docx", "A 6002-2023")</f>
        <v/>
      </c>
      <c r="W121">
        <f>HYPERLINK("https://klasma.github.io/Logging_2481/klagomålsmail/A 6002-2023 FSC-klagomål mail.docx", "A 6002-2023")</f>
        <v/>
      </c>
      <c r="X121">
        <f>HYPERLINK("https://klasma.github.io/Logging_2481/tillsyn/A 6002-2023 tillsynsbegäran.docx", "A 6002-2023")</f>
        <v/>
      </c>
      <c r="Y121">
        <f>HYPERLINK("https://klasma.github.io/Logging_2481/tillsynsmail/A 6002-2023 tillsynsbegäran mail.docx", "A 6002-2023")</f>
        <v/>
      </c>
    </row>
    <row r="122" ht="15" customHeight="1">
      <c r="A122" t="inlineStr">
        <is>
          <t>A 7670-2023</t>
        </is>
      </c>
      <c r="B122" s="1" t="n">
        <v>44972</v>
      </c>
      <c r="C122" s="1" t="n">
        <v>45849</v>
      </c>
      <c r="D122" t="inlineStr">
        <is>
          <t>VÄSTERBOTTENS LÄN</t>
        </is>
      </c>
      <c r="E122" t="inlineStr">
        <is>
          <t>LYCKSELE</t>
        </is>
      </c>
      <c r="F122" t="inlineStr">
        <is>
          <t>Sveaskog</t>
        </is>
      </c>
      <c r="G122" t="n">
        <v>0.8</v>
      </c>
      <c r="H122" t="n">
        <v>0</v>
      </c>
      <c r="I122" t="n">
        <v>1</v>
      </c>
      <c r="J122" t="n">
        <v>1</v>
      </c>
      <c r="K122" t="n">
        <v>0</v>
      </c>
      <c r="L122" t="n">
        <v>0</v>
      </c>
      <c r="M122" t="n">
        <v>0</v>
      </c>
      <c r="N122" t="n">
        <v>0</v>
      </c>
      <c r="O122" t="n">
        <v>1</v>
      </c>
      <c r="P122" t="n">
        <v>0</v>
      </c>
      <c r="Q122" t="n">
        <v>2</v>
      </c>
      <c r="R122" s="2" t="inlineStr">
        <is>
          <t>Lunglav
Dropptaggsvamp</t>
        </is>
      </c>
      <c r="S122">
        <f>HYPERLINK("https://klasma.github.io/Logging_2481/artfynd/A 7670-2023 artfynd.xlsx", "A 7670-2023")</f>
        <v/>
      </c>
      <c r="T122">
        <f>HYPERLINK("https://klasma.github.io/Logging_2481/kartor/A 7670-2023 karta.png", "A 7670-2023")</f>
        <v/>
      </c>
      <c r="V122">
        <f>HYPERLINK("https://klasma.github.io/Logging_2481/klagomål/A 7670-2023 FSC-klagomål.docx", "A 7670-2023")</f>
        <v/>
      </c>
      <c r="W122">
        <f>HYPERLINK("https://klasma.github.io/Logging_2481/klagomålsmail/A 7670-2023 FSC-klagomål mail.docx", "A 7670-2023")</f>
        <v/>
      </c>
      <c r="X122">
        <f>HYPERLINK("https://klasma.github.io/Logging_2481/tillsyn/A 7670-2023 tillsynsbegäran.docx", "A 7670-2023")</f>
        <v/>
      </c>
      <c r="Y122">
        <f>HYPERLINK("https://klasma.github.io/Logging_2481/tillsynsmail/A 7670-2023 tillsynsbegäran mail.docx", "A 7670-2023")</f>
        <v/>
      </c>
    </row>
    <row r="123" ht="15" customHeight="1">
      <c r="A123" t="inlineStr">
        <is>
          <t>A 15197-2023</t>
        </is>
      </c>
      <c r="B123" s="1" t="n">
        <v>45016</v>
      </c>
      <c r="C123" s="1" t="n">
        <v>45849</v>
      </c>
      <c r="D123" t="inlineStr">
        <is>
          <t>VÄSTERBOTTENS LÄN</t>
        </is>
      </c>
      <c r="E123" t="inlineStr">
        <is>
          <t>LYCKSELE</t>
        </is>
      </c>
      <c r="G123" t="n">
        <v>11.2</v>
      </c>
      <c r="H123" t="n">
        <v>0</v>
      </c>
      <c r="I123" t="n">
        <v>1</v>
      </c>
      <c r="J123" t="n">
        <v>1</v>
      </c>
      <c r="K123" t="n">
        <v>0</v>
      </c>
      <c r="L123" t="n">
        <v>0</v>
      </c>
      <c r="M123" t="n">
        <v>0</v>
      </c>
      <c r="N123" t="n">
        <v>0</v>
      </c>
      <c r="O123" t="n">
        <v>1</v>
      </c>
      <c r="P123" t="n">
        <v>0</v>
      </c>
      <c r="Q123" t="n">
        <v>2</v>
      </c>
      <c r="R123" s="2" t="inlineStr">
        <is>
          <t>Vaddporing
Dropptaggsvamp</t>
        </is>
      </c>
      <c r="S123">
        <f>HYPERLINK("https://klasma.github.io/Logging_2481/artfynd/A 15197-2023 artfynd.xlsx", "A 15197-2023")</f>
        <v/>
      </c>
      <c r="T123">
        <f>HYPERLINK("https://klasma.github.io/Logging_2481/kartor/A 15197-2023 karta.png", "A 15197-2023")</f>
        <v/>
      </c>
      <c r="V123">
        <f>HYPERLINK("https://klasma.github.io/Logging_2481/klagomål/A 15197-2023 FSC-klagomål.docx", "A 15197-2023")</f>
        <v/>
      </c>
      <c r="W123">
        <f>HYPERLINK("https://klasma.github.io/Logging_2481/klagomålsmail/A 15197-2023 FSC-klagomål mail.docx", "A 15197-2023")</f>
        <v/>
      </c>
      <c r="X123">
        <f>HYPERLINK("https://klasma.github.io/Logging_2481/tillsyn/A 15197-2023 tillsynsbegäran.docx", "A 15197-2023")</f>
        <v/>
      </c>
      <c r="Y123">
        <f>HYPERLINK("https://klasma.github.io/Logging_2481/tillsynsmail/A 15197-2023 tillsynsbegäran mail.docx", "A 15197-2023")</f>
        <v/>
      </c>
    </row>
    <row r="124" ht="15" customHeight="1">
      <c r="A124" t="inlineStr">
        <is>
          <t>A 28515-2023</t>
        </is>
      </c>
      <c r="B124" s="1" t="n">
        <v>45103</v>
      </c>
      <c r="C124" s="1" t="n">
        <v>45849</v>
      </c>
      <c r="D124" t="inlineStr">
        <is>
          <t>VÄSTERBOTTENS LÄN</t>
        </is>
      </c>
      <c r="E124" t="inlineStr">
        <is>
          <t>LYCKSELE</t>
        </is>
      </c>
      <c r="F124" t="inlineStr">
        <is>
          <t>Sveaskog</t>
        </is>
      </c>
      <c r="G124" t="n">
        <v>10</v>
      </c>
      <c r="H124" t="n">
        <v>0</v>
      </c>
      <c r="I124" t="n">
        <v>0</v>
      </c>
      <c r="J124" t="n">
        <v>2</v>
      </c>
      <c r="K124" t="n">
        <v>0</v>
      </c>
      <c r="L124" t="n">
        <v>0</v>
      </c>
      <c r="M124" t="n">
        <v>0</v>
      </c>
      <c r="N124" t="n">
        <v>0</v>
      </c>
      <c r="O124" t="n">
        <v>2</v>
      </c>
      <c r="P124" t="n">
        <v>0</v>
      </c>
      <c r="Q124" t="n">
        <v>2</v>
      </c>
      <c r="R124" s="2" t="inlineStr">
        <is>
          <t>Lunglav
Tallticka</t>
        </is>
      </c>
      <c r="S124">
        <f>HYPERLINK("https://klasma.github.io/Logging_2481/artfynd/A 28515-2023 artfynd.xlsx", "A 28515-2023")</f>
        <v/>
      </c>
      <c r="T124">
        <f>HYPERLINK("https://klasma.github.io/Logging_2481/kartor/A 28515-2023 karta.png", "A 28515-2023")</f>
        <v/>
      </c>
      <c r="V124">
        <f>HYPERLINK("https://klasma.github.io/Logging_2481/klagomål/A 28515-2023 FSC-klagomål.docx", "A 28515-2023")</f>
        <v/>
      </c>
      <c r="W124">
        <f>HYPERLINK("https://klasma.github.io/Logging_2481/klagomålsmail/A 28515-2023 FSC-klagomål mail.docx", "A 28515-2023")</f>
        <v/>
      </c>
      <c r="X124">
        <f>HYPERLINK("https://klasma.github.io/Logging_2481/tillsyn/A 28515-2023 tillsynsbegäran.docx", "A 28515-2023")</f>
        <v/>
      </c>
      <c r="Y124">
        <f>HYPERLINK("https://klasma.github.io/Logging_2481/tillsynsmail/A 28515-2023 tillsynsbegäran mail.docx", "A 28515-2023")</f>
        <v/>
      </c>
    </row>
    <row r="125" ht="15" customHeight="1">
      <c r="A125" t="inlineStr">
        <is>
          <t>A 34870-2023</t>
        </is>
      </c>
      <c r="B125" s="1" t="n">
        <v>45142</v>
      </c>
      <c r="C125" s="1" t="n">
        <v>45849</v>
      </c>
      <c r="D125" t="inlineStr">
        <is>
          <t>VÄSTERBOTTENS LÄN</t>
        </is>
      </c>
      <c r="E125" t="inlineStr">
        <is>
          <t>LYCKSELE</t>
        </is>
      </c>
      <c r="F125" t="inlineStr">
        <is>
          <t>Sveaskog</t>
        </is>
      </c>
      <c r="G125" t="n">
        <v>10.9</v>
      </c>
      <c r="H125" t="n">
        <v>0</v>
      </c>
      <c r="I125" t="n">
        <v>0</v>
      </c>
      <c r="J125" t="n">
        <v>2</v>
      </c>
      <c r="K125" t="n">
        <v>0</v>
      </c>
      <c r="L125" t="n">
        <v>0</v>
      </c>
      <c r="M125" t="n">
        <v>0</v>
      </c>
      <c r="N125" t="n">
        <v>0</v>
      </c>
      <c r="O125" t="n">
        <v>2</v>
      </c>
      <c r="P125" t="n">
        <v>0</v>
      </c>
      <c r="Q125" t="n">
        <v>2</v>
      </c>
      <c r="R125" s="2" t="inlineStr">
        <is>
          <t>Lunglav
Mörk kolflarnlav</t>
        </is>
      </c>
      <c r="S125">
        <f>HYPERLINK("https://klasma.github.io/Logging_2481/artfynd/A 34870-2023 artfynd.xlsx", "A 34870-2023")</f>
        <v/>
      </c>
      <c r="T125">
        <f>HYPERLINK("https://klasma.github.io/Logging_2481/kartor/A 34870-2023 karta.png", "A 34870-2023")</f>
        <v/>
      </c>
      <c r="V125">
        <f>HYPERLINK("https://klasma.github.io/Logging_2481/klagomål/A 34870-2023 FSC-klagomål.docx", "A 34870-2023")</f>
        <v/>
      </c>
      <c r="W125">
        <f>HYPERLINK("https://klasma.github.io/Logging_2481/klagomålsmail/A 34870-2023 FSC-klagomål mail.docx", "A 34870-2023")</f>
        <v/>
      </c>
      <c r="X125">
        <f>HYPERLINK("https://klasma.github.io/Logging_2481/tillsyn/A 34870-2023 tillsynsbegäran.docx", "A 34870-2023")</f>
        <v/>
      </c>
      <c r="Y125">
        <f>HYPERLINK("https://klasma.github.io/Logging_2481/tillsynsmail/A 34870-2023 tillsynsbegäran mail.docx", "A 34870-2023")</f>
        <v/>
      </c>
    </row>
    <row r="126" ht="15" customHeight="1">
      <c r="A126" t="inlineStr">
        <is>
          <t>A 38430-2023</t>
        </is>
      </c>
      <c r="B126" s="1" t="n">
        <v>45162</v>
      </c>
      <c r="C126" s="1" t="n">
        <v>45849</v>
      </c>
      <c r="D126" t="inlineStr">
        <is>
          <t>VÄSTERBOTTENS LÄN</t>
        </is>
      </c>
      <c r="E126" t="inlineStr">
        <is>
          <t>LYCKSELE</t>
        </is>
      </c>
      <c r="F126" t="inlineStr">
        <is>
          <t>Sveaskog</t>
        </is>
      </c>
      <c r="G126" t="n">
        <v>13.7</v>
      </c>
      <c r="H126" t="n">
        <v>0</v>
      </c>
      <c r="I126" t="n">
        <v>1</v>
      </c>
      <c r="J126" t="n">
        <v>1</v>
      </c>
      <c r="K126" t="n">
        <v>0</v>
      </c>
      <c r="L126" t="n">
        <v>0</v>
      </c>
      <c r="M126" t="n">
        <v>0</v>
      </c>
      <c r="N126" t="n">
        <v>0</v>
      </c>
      <c r="O126" t="n">
        <v>1</v>
      </c>
      <c r="P126" t="n">
        <v>0</v>
      </c>
      <c r="Q126" t="n">
        <v>2</v>
      </c>
      <c r="R126" s="2" t="inlineStr">
        <is>
          <t>Kolflarnlav
Dropptaggsvamp</t>
        </is>
      </c>
      <c r="S126">
        <f>HYPERLINK("https://klasma.github.io/Logging_2481/artfynd/A 38430-2023 artfynd.xlsx", "A 38430-2023")</f>
        <v/>
      </c>
      <c r="T126">
        <f>HYPERLINK("https://klasma.github.io/Logging_2481/kartor/A 38430-2023 karta.png", "A 38430-2023")</f>
        <v/>
      </c>
      <c r="V126">
        <f>HYPERLINK("https://klasma.github.io/Logging_2481/klagomål/A 38430-2023 FSC-klagomål.docx", "A 38430-2023")</f>
        <v/>
      </c>
      <c r="W126">
        <f>HYPERLINK("https://klasma.github.io/Logging_2481/klagomålsmail/A 38430-2023 FSC-klagomål mail.docx", "A 38430-2023")</f>
        <v/>
      </c>
      <c r="X126">
        <f>HYPERLINK("https://klasma.github.io/Logging_2481/tillsyn/A 38430-2023 tillsynsbegäran.docx", "A 38430-2023")</f>
        <v/>
      </c>
      <c r="Y126">
        <f>HYPERLINK("https://klasma.github.io/Logging_2481/tillsynsmail/A 38430-2023 tillsynsbegäran mail.docx", "A 38430-2023")</f>
        <v/>
      </c>
    </row>
    <row r="127" ht="15" customHeight="1">
      <c r="A127" t="inlineStr">
        <is>
          <t>A 38475-2023</t>
        </is>
      </c>
      <c r="B127" s="1" t="n">
        <v>45162</v>
      </c>
      <c r="C127" s="1" t="n">
        <v>45849</v>
      </c>
      <c r="D127" t="inlineStr">
        <is>
          <t>VÄSTERBOTTENS LÄN</t>
        </is>
      </c>
      <c r="E127" t="inlineStr">
        <is>
          <t>LYCKSELE</t>
        </is>
      </c>
      <c r="F127" t="inlineStr">
        <is>
          <t>Sveaskog</t>
        </is>
      </c>
      <c r="G127" t="n">
        <v>1.6</v>
      </c>
      <c r="H127" t="n">
        <v>0</v>
      </c>
      <c r="I127" t="n">
        <v>0</v>
      </c>
      <c r="J127" t="n">
        <v>2</v>
      </c>
      <c r="K127" t="n">
        <v>0</v>
      </c>
      <c r="L127" t="n">
        <v>0</v>
      </c>
      <c r="M127" t="n">
        <v>0</v>
      </c>
      <c r="N127" t="n">
        <v>0</v>
      </c>
      <c r="O127" t="n">
        <v>2</v>
      </c>
      <c r="P127" t="n">
        <v>0</v>
      </c>
      <c r="Q127" t="n">
        <v>2</v>
      </c>
      <c r="R127" s="2" t="inlineStr">
        <is>
          <t>Blå taggsvamp
Mörk kolflarnlav</t>
        </is>
      </c>
      <c r="S127">
        <f>HYPERLINK("https://klasma.github.io/Logging_2481/artfynd/A 38475-2023 artfynd.xlsx", "A 38475-2023")</f>
        <v/>
      </c>
      <c r="T127">
        <f>HYPERLINK("https://klasma.github.io/Logging_2481/kartor/A 38475-2023 karta.png", "A 38475-2023")</f>
        <v/>
      </c>
      <c r="V127">
        <f>HYPERLINK("https://klasma.github.io/Logging_2481/klagomål/A 38475-2023 FSC-klagomål.docx", "A 38475-2023")</f>
        <v/>
      </c>
      <c r="W127">
        <f>HYPERLINK("https://klasma.github.io/Logging_2481/klagomålsmail/A 38475-2023 FSC-klagomål mail.docx", "A 38475-2023")</f>
        <v/>
      </c>
      <c r="X127">
        <f>HYPERLINK("https://klasma.github.io/Logging_2481/tillsyn/A 38475-2023 tillsynsbegäran.docx", "A 38475-2023")</f>
        <v/>
      </c>
      <c r="Y127">
        <f>HYPERLINK("https://klasma.github.io/Logging_2481/tillsynsmail/A 38475-2023 tillsynsbegäran mail.docx", "A 38475-2023")</f>
        <v/>
      </c>
    </row>
    <row r="128" ht="15" customHeight="1">
      <c r="A128" t="inlineStr">
        <is>
          <t>A 41449-2023</t>
        </is>
      </c>
      <c r="B128" s="1" t="n">
        <v>45175</v>
      </c>
      <c r="C128" s="1" t="n">
        <v>45849</v>
      </c>
      <c r="D128" t="inlineStr">
        <is>
          <t>VÄSTERBOTTENS LÄN</t>
        </is>
      </c>
      <c r="E128" t="inlineStr">
        <is>
          <t>LYCKSELE</t>
        </is>
      </c>
      <c r="F128" t="inlineStr">
        <is>
          <t>Sveaskog</t>
        </is>
      </c>
      <c r="G128" t="n">
        <v>4.4</v>
      </c>
      <c r="H128" t="n">
        <v>0</v>
      </c>
      <c r="I128" t="n">
        <v>1</v>
      </c>
      <c r="J128" t="n">
        <v>1</v>
      </c>
      <c r="K128" t="n">
        <v>0</v>
      </c>
      <c r="L128" t="n">
        <v>0</v>
      </c>
      <c r="M128" t="n">
        <v>0</v>
      </c>
      <c r="N128" t="n">
        <v>0</v>
      </c>
      <c r="O128" t="n">
        <v>1</v>
      </c>
      <c r="P128" t="n">
        <v>0</v>
      </c>
      <c r="Q128" t="n">
        <v>2</v>
      </c>
      <c r="R128" s="2" t="inlineStr">
        <is>
          <t>Kolflarnlav
Dropptaggsvamp</t>
        </is>
      </c>
      <c r="S128">
        <f>HYPERLINK("https://klasma.github.io/Logging_2481/artfynd/A 41449-2023 artfynd.xlsx", "A 41449-2023")</f>
        <v/>
      </c>
      <c r="T128">
        <f>HYPERLINK("https://klasma.github.io/Logging_2481/kartor/A 41449-2023 karta.png", "A 41449-2023")</f>
        <v/>
      </c>
      <c r="V128">
        <f>HYPERLINK("https://klasma.github.io/Logging_2481/klagomål/A 41449-2023 FSC-klagomål.docx", "A 41449-2023")</f>
        <v/>
      </c>
      <c r="W128">
        <f>HYPERLINK("https://klasma.github.io/Logging_2481/klagomålsmail/A 41449-2023 FSC-klagomål mail.docx", "A 41449-2023")</f>
        <v/>
      </c>
      <c r="X128">
        <f>HYPERLINK("https://klasma.github.io/Logging_2481/tillsyn/A 41449-2023 tillsynsbegäran.docx", "A 41449-2023")</f>
        <v/>
      </c>
      <c r="Y128">
        <f>HYPERLINK("https://klasma.github.io/Logging_2481/tillsynsmail/A 41449-2023 tillsynsbegäran mail.docx", "A 41449-2023")</f>
        <v/>
      </c>
    </row>
    <row r="129" ht="15" customHeight="1">
      <c r="A129" t="inlineStr">
        <is>
          <t>A 47038-2023</t>
        </is>
      </c>
      <c r="B129" s="1" t="n">
        <v>45201</v>
      </c>
      <c r="C129" s="1" t="n">
        <v>45849</v>
      </c>
      <c r="D129" t="inlineStr">
        <is>
          <t>VÄSTERBOTTENS LÄN</t>
        </is>
      </c>
      <c r="E129" t="inlineStr">
        <is>
          <t>LYCKSELE</t>
        </is>
      </c>
      <c r="F129" t="inlineStr">
        <is>
          <t>Sveaskog</t>
        </is>
      </c>
      <c r="G129" t="n">
        <v>8.800000000000001</v>
      </c>
      <c r="H129" t="n">
        <v>0</v>
      </c>
      <c r="I129" t="n">
        <v>1</v>
      </c>
      <c r="J129" t="n">
        <v>1</v>
      </c>
      <c r="K129" t="n">
        <v>0</v>
      </c>
      <c r="L129" t="n">
        <v>0</v>
      </c>
      <c r="M129" t="n">
        <v>0</v>
      </c>
      <c r="N129" t="n">
        <v>0</v>
      </c>
      <c r="O129" t="n">
        <v>1</v>
      </c>
      <c r="P129" t="n">
        <v>0</v>
      </c>
      <c r="Q129" t="n">
        <v>2</v>
      </c>
      <c r="R129" s="2" t="inlineStr">
        <is>
          <t>Motaggsvamp
Dropptaggsvamp</t>
        </is>
      </c>
      <c r="S129">
        <f>HYPERLINK("https://klasma.github.io/Logging_2481/artfynd/A 47038-2023 artfynd.xlsx", "A 47038-2023")</f>
        <v/>
      </c>
      <c r="T129">
        <f>HYPERLINK("https://klasma.github.io/Logging_2481/kartor/A 47038-2023 karta.png", "A 47038-2023")</f>
        <v/>
      </c>
      <c r="V129">
        <f>HYPERLINK("https://klasma.github.io/Logging_2481/klagomål/A 47038-2023 FSC-klagomål.docx", "A 47038-2023")</f>
        <v/>
      </c>
      <c r="W129">
        <f>HYPERLINK("https://klasma.github.io/Logging_2481/klagomålsmail/A 47038-2023 FSC-klagomål mail.docx", "A 47038-2023")</f>
        <v/>
      </c>
      <c r="X129">
        <f>HYPERLINK("https://klasma.github.io/Logging_2481/tillsyn/A 47038-2023 tillsynsbegäran.docx", "A 47038-2023")</f>
        <v/>
      </c>
      <c r="Y129">
        <f>HYPERLINK("https://klasma.github.io/Logging_2481/tillsynsmail/A 47038-2023 tillsynsbegäran mail.docx", "A 47038-2023")</f>
        <v/>
      </c>
    </row>
    <row r="130" ht="15" customHeight="1">
      <c r="A130" t="inlineStr">
        <is>
          <t>A 47041-2023</t>
        </is>
      </c>
      <c r="B130" s="1" t="n">
        <v>45201</v>
      </c>
      <c r="C130" s="1" t="n">
        <v>45849</v>
      </c>
      <c r="D130" t="inlineStr">
        <is>
          <t>VÄSTERBOTTENS LÄN</t>
        </is>
      </c>
      <c r="E130" t="inlineStr">
        <is>
          <t>LYCKSELE</t>
        </is>
      </c>
      <c r="F130" t="inlineStr">
        <is>
          <t>Sveaskog</t>
        </is>
      </c>
      <c r="G130" t="n">
        <v>7.5</v>
      </c>
      <c r="H130" t="n">
        <v>0</v>
      </c>
      <c r="I130" t="n">
        <v>1</v>
      </c>
      <c r="J130" t="n">
        <v>1</v>
      </c>
      <c r="K130" t="n">
        <v>0</v>
      </c>
      <c r="L130" t="n">
        <v>0</v>
      </c>
      <c r="M130" t="n">
        <v>0</v>
      </c>
      <c r="N130" t="n">
        <v>0</v>
      </c>
      <c r="O130" t="n">
        <v>1</v>
      </c>
      <c r="P130" t="n">
        <v>0</v>
      </c>
      <c r="Q130" t="n">
        <v>2</v>
      </c>
      <c r="R130" s="2" t="inlineStr">
        <is>
          <t>Kolflarnlav
Dropptaggsvamp</t>
        </is>
      </c>
      <c r="S130">
        <f>HYPERLINK("https://klasma.github.io/Logging_2481/artfynd/A 47041-2023 artfynd.xlsx", "A 47041-2023")</f>
        <v/>
      </c>
      <c r="T130">
        <f>HYPERLINK("https://klasma.github.io/Logging_2481/kartor/A 47041-2023 karta.png", "A 47041-2023")</f>
        <v/>
      </c>
      <c r="V130">
        <f>HYPERLINK("https://klasma.github.io/Logging_2481/klagomål/A 47041-2023 FSC-klagomål.docx", "A 47041-2023")</f>
        <v/>
      </c>
      <c r="W130">
        <f>HYPERLINK("https://klasma.github.io/Logging_2481/klagomålsmail/A 47041-2023 FSC-klagomål mail.docx", "A 47041-2023")</f>
        <v/>
      </c>
      <c r="X130">
        <f>HYPERLINK("https://klasma.github.io/Logging_2481/tillsyn/A 47041-2023 tillsynsbegäran.docx", "A 47041-2023")</f>
        <v/>
      </c>
      <c r="Y130">
        <f>HYPERLINK("https://klasma.github.io/Logging_2481/tillsynsmail/A 47041-2023 tillsynsbegäran mail.docx", "A 47041-2023")</f>
        <v/>
      </c>
    </row>
    <row r="131" ht="15" customHeight="1">
      <c r="A131" t="inlineStr">
        <is>
          <t>A 53809-2023</t>
        </is>
      </c>
      <c r="B131" s="1" t="n">
        <v>45231</v>
      </c>
      <c r="C131" s="1" t="n">
        <v>45849</v>
      </c>
      <c r="D131" t="inlineStr">
        <is>
          <t>VÄSTERBOTTENS LÄN</t>
        </is>
      </c>
      <c r="E131" t="inlineStr">
        <is>
          <t>LYCKSELE</t>
        </is>
      </c>
      <c r="F131" t="inlineStr">
        <is>
          <t>Sveaskog</t>
        </is>
      </c>
      <c r="G131" t="n">
        <v>25.1</v>
      </c>
      <c r="H131" t="n">
        <v>0</v>
      </c>
      <c r="I131" t="n">
        <v>1</v>
      </c>
      <c r="J131" t="n">
        <v>1</v>
      </c>
      <c r="K131" t="n">
        <v>0</v>
      </c>
      <c r="L131" t="n">
        <v>0</v>
      </c>
      <c r="M131" t="n">
        <v>0</v>
      </c>
      <c r="N131" t="n">
        <v>0</v>
      </c>
      <c r="O131" t="n">
        <v>1</v>
      </c>
      <c r="P131" t="n">
        <v>0</v>
      </c>
      <c r="Q131" t="n">
        <v>2</v>
      </c>
      <c r="R131" s="2" t="inlineStr">
        <is>
          <t>Skrovlig taggsvamp
Stuplav</t>
        </is>
      </c>
      <c r="S131">
        <f>HYPERLINK("https://klasma.github.io/Logging_2481/artfynd/A 53809-2023 artfynd.xlsx", "A 53809-2023")</f>
        <v/>
      </c>
      <c r="T131">
        <f>HYPERLINK("https://klasma.github.io/Logging_2481/kartor/A 53809-2023 karta.png", "A 53809-2023")</f>
        <v/>
      </c>
      <c r="V131">
        <f>HYPERLINK("https://klasma.github.io/Logging_2481/klagomål/A 53809-2023 FSC-klagomål.docx", "A 53809-2023")</f>
        <v/>
      </c>
      <c r="W131">
        <f>HYPERLINK("https://klasma.github.io/Logging_2481/klagomålsmail/A 53809-2023 FSC-klagomål mail.docx", "A 53809-2023")</f>
        <v/>
      </c>
      <c r="X131">
        <f>HYPERLINK("https://klasma.github.io/Logging_2481/tillsyn/A 53809-2023 tillsynsbegäran.docx", "A 53809-2023")</f>
        <v/>
      </c>
      <c r="Y131">
        <f>HYPERLINK("https://klasma.github.io/Logging_2481/tillsynsmail/A 53809-2023 tillsynsbegäran mail.docx", "A 53809-2023")</f>
        <v/>
      </c>
    </row>
    <row r="132" ht="15" customHeight="1">
      <c r="A132" t="inlineStr">
        <is>
          <t>A 7215-2024</t>
        </is>
      </c>
      <c r="B132" s="1" t="n">
        <v>45344</v>
      </c>
      <c r="C132" s="1" t="n">
        <v>45849</v>
      </c>
      <c r="D132" t="inlineStr">
        <is>
          <t>VÄSTERBOTTENS LÄN</t>
        </is>
      </c>
      <c r="E132" t="inlineStr">
        <is>
          <t>LYCKSELE</t>
        </is>
      </c>
      <c r="F132" t="inlineStr">
        <is>
          <t>Sveaskog</t>
        </is>
      </c>
      <c r="G132" t="n">
        <v>4.3</v>
      </c>
      <c r="H132" t="n">
        <v>0</v>
      </c>
      <c r="I132" t="n">
        <v>1</v>
      </c>
      <c r="J132" t="n">
        <v>1</v>
      </c>
      <c r="K132" t="n">
        <v>0</v>
      </c>
      <c r="L132" t="n">
        <v>0</v>
      </c>
      <c r="M132" t="n">
        <v>0</v>
      </c>
      <c r="N132" t="n">
        <v>0</v>
      </c>
      <c r="O132" t="n">
        <v>1</v>
      </c>
      <c r="P132" t="n">
        <v>0</v>
      </c>
      <c r="Q132" t="n">
        <v>2</v>
      </c>
      <c r="R132" s="2" t="inlineStr">
        <is>
          <t>Gammelgransskål
Bronshjon</t>
        </is>
      </c>
      <c r="S132">
        <f>HYPERLINK("https://klasma.github.io/Logging_2481/artfynd/A 7215-2024 artfynd.xlsx", "A 7215-2024")</f>
        <v/>
      </c>
      <c r="T132">
        <f>HYPERLINK("https://klasma.github.io/Logging_2481/kartor/A 7215-2024 karta.png", "A 7215-2024")</f>
        <v/>
      </c>
      <c r="V132">
        <f>HYPERLINK("https://klasma.github.io/Logging_2481/klagomål/A 7215-2024 FSC-klagomål.docx", "A 7215-2024")</f>
        <v/>
      </c>
      <c r="W132">
        <f>HYPERLINK("https://klasma.github.io/Logging_2481/klagomålsmail/A 7215-2024 FSC-klagomål mail.docx", "A 7215-2024")</f>
        <v/>
      </c>
      <c r="X132">
        <f>HYPERLINK("https://klasma.github.io/Logging_2481/tillsyn/A 7215-2024 tillsynsbegäran.docx", "A 7215-2024")</f>
        <v/>
      </c>
      <c r="Y132">
        <f>HYPERLINK("https://klasma.github.io/Logging_2481/tillsynsmail/A 7215-2024 tillsynsbegäran mail.docx", "A 7215-2024")</f>
        <v/>
      </c>
    </row>
    <row r="133" ht="15" customHeight="1">
      <c r="A133" t="inlineStr">
        <is>
          <t>A 9924-2024</t>
        </is>
      </c>
      <c r="B133" s="1" t="n">
        <v>45363</v>
      </c>
      <c r="C133" s="1" t="n">
        <v>45849</v>
      </c>
      <c r="D133" t="inlineStr">
        <is>
          <t>VÄSTERBOTTENS LÄN</t>
        </is>
      </c>
      <c r="E133" t="inlineStr">
        <is>
          <t>LYCKSELE</t>
        </is>
      </c>
      <c r="F133" t="inlineStr">
        <is>
          <t>Sveaskog</t>
        </is>
      </c>
      <c r="G133" t="n">
        <v>5.3</v>
      </c>
      <c r="H133" t="n">
        <v>0</v>
      </c>
      <c r="I133" t="n">
        <v>0</v>
      </c>
      <c r="J133" t="n">
        <v>2</v>
      </c>
      <c r="K133" t="n">
        <v>0</v>
      </c>
      <c r="L133" t="n">
        <v>0</v>
      </c>
      <c r="M133" t="n">
        <v>0</v>
      </c>
      <c r="N133" t="n">
        <v>0</v>
      </c>
      <c r="O133" t="n">
        <v>2</v>
      </c>
      <c r="P133" t="n">
        <v>0</v>
      </c>
      <c r="Q133" t="n">
        <v>2</v>
      </c>
      <c r="R133" s="2" t="inlineStr">
        <is>
          <t>Granticka
Kolflarnlav</t>
        </is>
      </c>
      <c r="S133">
        <f>HYPERLINK("https://klasma.github.io/Logging_2481/artfynd/A 9924-2024 artfynd.xlsx", "A 9924-2024")</f>
        <v/>
      </c>
      <c r="T133">
        <f>HYPERLINK("https://klasma.github.io/Logging_2481/kartor/A 9924-2024 karta.png", "A 9924-2024")</f>
        <v/>
      </c>
      <c r="V133">
        <f>HYPERLINK("https://klasma.github.io/Logging_2481/klagomål/A 9924-2024 FSC-klagomål.docx", "A 9924-2024")</f>
        <v/>
      </c>
      <c r="W133">
        <f>HYPERLINK("https://klasma.github.io/Logging_2481/klagomålsmail/A 9924-2024 FSC-klagomål mail.docx", "A 9924-2024")</f>
        <v/>
      </c>
      <c r="X133">
        <f>HYPERLINK("https://klasma.github.io/Logging_2481/tillsyn/A 9924-2024 tillsynsbegäran.docx", "A 9924-2024")</f>
        <v/>
      </c>
      <c r="Y133">
        <f>HYPERLINK("https://klasma.github.io/Logging_2481/tillsynsmail/A 9924-2024 tillsynsbegäran mail.docx", "A 9924-2024")</f>
        <v/>
      </c>
    </row>
    <row r="134" ht="15" customHeight="1">
      <c r="A134" t="inlineStr">
        <is>
          <t>A 11443-2024</t>
        </is>
      </c>
      <c r="B134" s="1" t="n">
        <v>45372</v>
      </c>
      <c r="C134" s="1" t="n">
        <v>45849</v>
      </c>
      <c r="D134" t="inlineStr">
        <is>
          <t>VÄSTERBOTTENS LÄN</t>
        </is>
      </c>
      <c r="E134" t="inlineStr">
        <is>
          <t>LYCKSELE</t>
        </is>
      </c>
      <c r="G134" t="n">
        <v>2.2</v>
      </c>
      <c r="H134" t="n">
        <v>1</v>
      </c>
      <c r="I134" t="n">
        <v>2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2</v>
      </c>
      <c r="R134" s="2" t="inlineStr">
        <is>
          <t>Dropptaggsvamp
Plattlummer</t>
        </is>
      </c>
      <c r="S134">
        <f>HYPERLINK("https://klasma.github.io/Logging_2481/artfynd/A 11443-2024 artfynd.xlsx", "A 11443-2024")</f>
        <v/>
      </c>
      <c r="T134">
        <f>HYPERLINK("https://klasma.github.io/Logging_2481/kartor/A 11443-2024 karta.png", "A 11443-2024")</f>
        <v/>
      </c>
      <c r="V134">
        <f>HYPERLINK("https://klasma.github.io/Logging_2481/klagomål/A 11443-2024 FSC-klagomål.docx", "A 11443-2024")</f>
        <v/>
      </c>
      <c r="W134">
        <f>HYPERLINK("https://klasma.github.io/Logging_2481/klagomålsmail/A 11443-2024 FSC-klagomål mail.docx", "A 11443-2024")</f>
        <v/>
      </c>
      <c r="X134">
        <f>HYPERLINK("https://klasma.github.io/Logging_2481/tillsyn/A 11443-2024 tillsynsbegäran.docx", "A 11443-2024")</f>
        <v/>
      </c>
      <c r="Y134">
        <f>HYPERLINK("https://klasma.github.io/Logging_2481/tillsynsmail/A 11443-2024 tillsynsbegäran mail.docx", "A 11443-2024")</f>
        <v/>
      </c>
    </row>
    <row r="135" ht="15" customHeight="1">
      <c r="A135" t="inlineStr">
        <is>
          <t>A 16914-2024</t>
        </is>
      </c>
      <c r="B135" s="1" t="n">
        <v>45411</v>
      </c>
      <c r="C135" s="1" t="n">
        <v>45849</v>
      </c>
      <c r="D135" t="inlineStr">
        <is>
          <t>VÄSTERBOTTENS LÄN</t>
        </is>
      </c>
      <c r="E135" t="inlineStr">
        <is>
          <t>LYCKSELE</t>
        </is>
      </c>
      <c r="G135" t="n">
        <v>24.6</v>
      </c>
      <c r="H135" t="n">
        <v>2</v>
      </c>
      <c r="I135" t="n">
        <v>0</v>
      </c>
      <c r="J135" t="n">
        <v>1</v>
      </c>
      <c r="K135" t="n">
        <v>0</v>
      </c>
      <c r="L135" t="n">
        <v>0</v>
      </c>
      <c r="M135" t="n">
        <v>0</v>
      </c>
      <c r="N135" t="n">
        <v>0</v>
      </c>
      <c r="O135" t="n">
        <v>1</v>
      </c>
      <c r="P135" t="n">
        <v>0</v>
      </c>
      <c r="Q135" t="n">
        <v>2</v>
      </c>
      <c r="R135" s="2" t="inlineStr">
        <is>
          <t>Tretåig hackspett
Lavskrika</t>
        </is>
      </c>
      <c r="S135">
        <f>HYPERLINK("https://klasma.github.io/Logging_2481/artfynd/A 16914-2024 artfynd.xlsx", "A 16914-2024")</f>
        <v/>
      </c>
      <c r="T135">
        <f>HYPERLINK("https://klasma.github.io/Logging_2481/kartor/A 16914-2024 karta.png", "A 16914-2024")</f>
        <v/>
      </c>
      <c r="V135">
        <f>HYPERLINK("https://klasma.github.io/Logging_2481/klagomål/A 16914-2024 FSC-klagomål.docx", "A 16914-2024")</f>
        <v/>
      </c>
      <c r="W135">
        <f>HYPERLINK("https://klasma.github.io/Logging_2481/klagomålsmail/A 16914-2024 FSC-klagomål mail.docx", "A 16914-2024")</f>
        <v/>
      </c>
      <c r="X135">
        <f>HYPERLINK("https://klasma.github.io/Logging_2481/tillsyn/A 16914-2024 tillsynsbegäran.docx", "A 16914-2024")</f>
        <v/>
      </c>
      <c r="Y135">
        <f>HYPERLINK("https://klasma.github.io/Logging_2481/tillsynsmail/A 16914-2024 tillsynsbegäran mail.docx", "A 16914-2024")</f>
        <v/>
      </c>
      <c r="Z135">
        <f>HYPERLINK("https://klasma.github.io/Logging_2481/fåglar/A 16914-2024 prioriterade fågelarter.docx", "A 16914-2024")</f>
        <v/>
      </c>
    </row>
    <row r="136" ht="15" customHeight="1">
      <c r="A136" t="inlineStr">
        <is>
          <t>A 24826-2024</t>
        </is>
      </c>
      <c r="B136" s="1" t="n">
        <v>45461</v>
      </c>
      <c r="C136" s="1" t="n">
        <v>45849</v>
      </c>
      <c r="D136" t="inlineStr">
        <is>
          <t>VÄSTERBOTTENS LÄN</t>
        </is>
      </c>
      <c r="E136" t="inlineStr">
        <is>
          <t>LYCKSELE</t>
        </is>
      </c>
      <c r="F136" t="inlineStr">
        <is>
          <t>Sveaskog</t>
        </is>
      </c>
      <c r="G136" t="n">
        <v>5.7</v>
      </c>
      <c r="H136" t="n">
        <v>0</v>
      </c>
      <c r="I136" t="n">
        <v>1</v>
      </c>
      <c r="J136" t="n">
        <v>1</v>
      </c>
      <c r="K136" t="n">
        <v>0</v>
      </c>
      <c r="L136" t="n">
        <v>0</v>
      </c>
      <c r="M136" t="n">
        <v>0</v>
      </c>
      <c r="N136" t="n">
        <v>0</v>
      </c>
      <c r="O136" t="n">
        <v>1</v>
      </c>
      <c r="P136" t="n">
        <v>0</v>
      </c>
      <c r="Q136" t="n">
        <v>2</v>
      </c>
      <c r="R136" s="2" t="inlineStr">
        <is>
          <t>Lunglav
Stuplav</t>
        </is>
      </c>
      <c r="S136">
        <f>HYPERLINK("https://klasma.github.io/Logging_2481/artfynd/A 24826-2024 artfynd.xlsx", "A 24826-2024")</f>
        <v/>
      </c>
      <c r="T136">
        <f>HYPERLINK("https://klasma.github.io/Logging_2481/kartor/A 24826-2024 karta.png", "A 24826-2024")</f>
        <v/>
      </c>
      <c r="V136">
        <f>HYPERLINK("https://klasma.github.io/Logging_2481/klagomål/A 24826-2024 FSC-klagomål.docx", "A 24826-2024")</f>
        <v/>
      </c>
      <c r="W136">
        <f>HYPERLINK("https://klasma.github.io/Logging_2481/klagomålsmail/A 24826-2024 FSC-klagomål mail.docx", "A 24826-2024")</f>
        <v/>
      </c>
      <c r="X136">
        <f>HYPERLINK("https://klasma.github.io/Logging_2481/tillsyn/A 24826-2024 tillsynsbegäran.docx", "A 24826-2024")</f>
        <v/>
      </c>
      <c r="Y136">
        <f>HYPERLINK("https://klasma.github.io/Logging_2481/tillsynsmail/A 24826-2024 tillsynsbegäran mail.docx", "A 24826-2024")</f>
        <v/>
      </c>
    </row>
    <row r="137" ht="15" customHeight="1">
      <c r="A137" t="inlineStr">
        <is>
          <t>A 27698-2024</t>
        </is>
      </c>
      <c r="B137" s="1" t="n">
        <v>45475</v>
      </c>
      <c r="C137" s="1" t="n">
        <v>45849</v>
      </c>
      <c r="D137" t="inlineStr">
        <is>
          <t>VÄSTERBOTTENS LÄN</t>
        </is>
      </c>
      <c r="E137" t="inlineStr">
        <is>
          <t>LYCKSELE</t>
        </is>
      </c>
      <c r="G137" t="n">
        <v>13.8</v>
      </c>
      <c r="H137" t="n">
        <v>0</v>
      </c>
      <c r="I137" t="n">
        <v>1</v>
      </c>
      <c r="J137" t="n">
        <v>1</v>
      </c>
      <c r="K137" t="n">
        <v>0</v>
      </c>
      <c r="L137" t="n">
        <v>0</v>
      </c>
      <c r="M137" t="n">
        <v>0</v>
      </c>
      <c r="N137" t="n">
        <v>0</v>
      </c>
      <c r="O137" t="n">
        <v>1</v>
      </c>
      <c r="P137" t="n">
        <v>0</v>
      </c>
      <c r="Q137" t="n">
        <v>2</v>
      </c>
      <c r="R137" s="2" t="inlineStr">
        <is>
          <t>Blå taggsvamp
Dropptaggsvamp</t>
        </is>
      </c>
      <c r="S137">
        <f>HYPERLINK("https://klasma.github.io/Logging_2481/artfynd/A 27698-2024 artfynd.xlsx", "A 27698-2024")</f>
        <v/>
      </c>
      <c r="T137">
        <f>HYPERLINK("https://klasma.github.io/Logging_2481/kartor/A 27698-2024 karta.png", "A 27698-2024")</f>
        <v/>
      </c>
      <c r="V137">
        <f>HYPERLINK("https://klasma.github.io/Logging_2481/klagomål/A 27698-2024 FSC-klagomål.docx", "A 27698-2024")</f>
        <v/>
      </c>
      <c r="W137">
        <f>HYPERLINK("https://klasma.github.io/Logging_2481/klagomålsmail/A 27698-2024 FSC-klagomål mail.docx", "A 27698-2024")</f>
        <v/>
      </c>
      <c r="X137">
        <f>HYPERLINK("https://klasma.github.io/Logging_2481/tillsyn/A 27698-2024 tillsynsbegäran.docx", "A 27698-2024")</f>
        <v/>
      </c>
      <c r="Y137">
        <f>HYPERLINK("https://klasma.github.io/Logging_2481/tillsynsmail/A 27698-2024 tillsynsbegäran mail.docx", "A 27698-2024")</f>
        <v/>
      </c>
    </row>
    <row r="138" ht="15" customHeight="1">
      <c r="A138" t="inlineStr">
        <is>
          <t>A 32731-2024</t>
        </is>
      </c>
      <c r="B138" s="1" t="n">
        <v>45516</v>
      </c>
      <c r="C138" s="1" t="n">
        <v>45849</v>
      </c>
      <c r="D138" t="inlineStr">
        <is>
          <t>VÄSTERBOTTENS LÄN</t>
        </is>
      </c>
      <c r="E138" t="inlineStr">
        <is>
          <t>LYCKSELE</t>
        </is>
      </c>
      <c r="F138" t="inlineStr">
        <is>
          <t>Sveaskog</t>
        </is>
      </c>
      <c r="G138" t="n">
        <v>4.8</v>
      </c>
      <c r="H138" t="n">
        <v>0</v>
      </c>
      <c r="I138" t="n">
        <v>0</v>
      </c>
      <c r="J138" t="n">
        <v>2</v>
      </c>
      <c r="K138" t="n">
        <v>0</v>
      </c>
      <c r="L138" t="n">
        <v>0</v>
      </c>
      <c r="M138" t="n">
        <v>0</v>
      </c>
      <c r="N138" t="n">
        <v>0</v>
      </c>
      <c r="O138" t="n">
        <v>2</v>
      </c>
      <c r="P138" t="n">
        <v>0</v>
      </c>
      <c r="Q138" t="n">
        <v>2</v>
      </c>
      <c r="R138" s="2" t="inlineStr">
        <is>
          <t>Blå taggsvamp
Kolflarnlav</t>
        </is>
      </c>
      <c r="S138">
        <f>HYPERLINK("https://klasma.github.io/Logging_2481/artfynd/A 32731-2024 artfynd.xlsx", "A 32731-2024")</f>
        <v/>
      </c>
      <c r="T138">
        <f>HYPERLINK("https://klasma.github.io/Logging_2481/kartor/A 32731-2024 karta.png", "A 32731-2024")</f>
        <v/>
      </c>
      <c r="V138">
        <f>HYPERLINK("https://klasma.github.io/Logging_2481/klagomål/A 32731-2024 FSC-klagomål.docx", "A 32731-2024")</f>
        <v/>
      </c>
      <c r="W138">
        <f>HYPERLINK("https://klasma.github.io/Logging_2481/klagomålsmail/A 32731-2024 FSC-klagomål mail.docx", "A 32731-2024")</f>
        <v/>
      </c>
      <c r="X138">
        <f>HYPERLINK("https://klasma.github.io/Logging_2481/tillsyn/A 32731-2024 tillsynsbegäran.docx", "A 32731-2024")</f>
        <v/>
      </c>
      <c r="Y138">
        <f>HYPERLINK("https://klasma.github.io/Logging_2481/tillsynsmail/A 32731-2024 tillsynsbegäran mail.docx", "A 32731-2024")</f>
        <v/>
      </c>
    </row>
    <row r="139" ht="15" customHeight="1">
      <c r="A139" t="inlineStr">
        <is>
          <t>A 33748-2024</t>
        </is>
      </c>
      <c r="B139" s="1" t="n">
        <v>45520</v>
      </c>
      <c r="C139" s="1" t="n">
        <v>45849</v>
      </c>
      <c r="D139" t="inlineStr">
        <is>
          <t>VÄSTERBOTTENS LÄN</t>
        </is>
      </c>
      <c r="E139" t="inlineStr">
        <is>
          <t>LYCKSELE</t>
        </is>
      </c>
      <c r="F139" t="inlineStr">
        <is>
          <t>Sveaskog</t>
        </is>
      </c>
      <c r="G139" t="n">
        <v>4.5</v>
      </c>
      <c r="H139" t="n">
        <v>0</v>
      </c>
      <c r="I139" t="n">
        <v>1</v>
      </c>
      <c r="J139" t="n">
        <v>1</v>
      </c>
      <c r="K139" t="n">
        <v>0</v>
      </c>
      <c r="L139" t="n">
        <v>0</v>
      </c>
      <c r="M139" t="n">
        <v>0</v>
      </c>
      <c r="N139" t="n">
        <v>0</v>
      </c>
      <c r="O139" t="n">
        <v>1</v>
      </c>
      <c r="P139" t="n">
        <v>0</v>
      </c>
      <c r="Q139" t="n">
        <v>2</v>
      </c>
      <c r="R139" s="2" t="inlineStr">
        <is>
          <t>Blå taggsvamp
Skarp dropptaggsvamp</t>
        </is>
      </c>
      <c r="S139">
        <f>HYPERLINK("https://klasma.github.io/Logging_2481/artfynd/A 33748-2024 artfynd.xlsx", "A 33748-2024")</f>
        <v/>
      </c>
      <c r="T139">
        <f>HYPERLINK("https://klasma.github.io/Logging_2481/kartor/A 33748-2024 karta.png", "A 33748-2024")</f>
        <v/>
      </c>
      <c r="V139">
        <f>HYPERLINK("https://klasma.github.io/Logging_2481/klagomål/A 33748-2024 FSC-klagomål.docx", "A 33748-2024")</f>
        <v/>
      </c>
      <c r="W139">
        <f>HYPERLINK("https://klasma.github.io/Logging_2481/klagomålsmail/A 33748-2024 FSC-klagomål mail.docx", "A 33748-2024")</f>
        <v/>
      </c>
      <c r="X139">
        <f>HYPERLINK("https://klasma.github.io/Logging_2481/tillsyn/A 33748-2024 tillsynsbegäran.docx", "A 33748-2024")</f>
        <v/>
      </c>
      <c r="Y139">
        <f>HYPERLINK("https://klasma.github.io/Logging_2481/tillsynsmail/A 33748-2024 tillsynsbegäran mail.docx", "A 33748-2024")</f>
        <v/>
      </c>
    </row>
    <row r="140" ht="15" customHeight="1">
      <c r="A140" t="inlineStr">
        <is>
          <t>A 37548-2024</t>
        </is>
      </c>
      <c r="B140" s="1" t="n">
        <v>45541</v>
      </c>
      <c r="C140" s="1" t="n">
        <v>45849</v>
      </c>
      <c r="D140" t="inlineStr">
        <is>
          <t>VÄSTERBOTTENS LÄN</t>
        </is>
      </c>
      <c r="E140" t="inlineStr">
        <is>
          <t>LYCKSELE</t>
        </is>
      </c>
      <c r="F140" t="inlineStr">
        <is>
          <t>Sveaskog</t>
        </is>
      </c>
      <c r="G140" t="n">
        <v>13.5</v>
      </c>
      <c r="H140" t="n">
        <v>0</v>
      </c>
      <c r="I140" t="n">
        <v>1</v>
      </c>
      <c r="J140" t="n">
        <v>1</v>
      </c>
      <c r="K140" t="n">
        <v>0</v>
      </c>
      <c r="L140" t="n">
        <v>0</v>
      </c>
      <c r="M140" t="n">
        <v>0</v>
      </c>
      <c r="N140" t="n">
        <v>0</v>
      </c>
      <c r="O140" t="n">
        <v>1</v>
      </c>
      <c r="P140" t="n">
        <v>0</v>
      </c>
      <c r="Q140" t="n">
        <v>2</v>
      </c>
      <c r="R140" s="2" t="inlineStr">
        <is>
          <t>Kolflarnlav
Skarp dropptaggsvamp</t>
        </is>
      </c>
      <c r="S140">
        <f>HYPERLINK("https://klasma.github.io/Logging_2481/artfynd/A 37548-2024 artfynd.xlsx", "A 37548-2024")</f>
        <v/>
      </c>
      <c r="T140">
        <f>HYPERLINK("https://klasma.github.io/Logging_2481/kartor/A 37548-2024 karta.png", "A 37548-2024")</f>
        <v/>
      </c>
      <c r="V140">
        <f>HYPERLINK("https://klasma.github.io/Logging_2481/klagomål/A 37548-2024 FSC-klagomål.docx", "A 37548-2024")</f>
        <v/>
      </c>
      <c r="W140">
        <f>HYPERLINK("https://klasma.github.io/Logging_2481/klagomålsmail/A 37548-2024 FSC-klagomål mail.docx", "A 37548-2024")</f>
        <v/>
      </c>
      <c r="X140">
        <f>HYPERLINK("https://klasma.github.io/Logging_2481/tillsyn/A 37548-2024 tillsynsbegäran.docx", "A 37548-2024")</f>
        <v/>
      </c>
      <c r="Y140">
        <f>HYPERLINK("https://klasma.github.io/Logging_2481/tillsynsmail/A 37548-2024 tillsynsbegäran mail.docx", "A 37548-2024")</f>
        <v/>
      </c>
    </row>
    <row r="141" ht="15" customHeight="1">
      <c r="A141" t="inlineStr">
        <is>
          <t>A 41223-2024</t>
        </is>
      </c>
      <c r="B141" s="1" t="n">
        <v>45559</v>
      </c>
      <c r="C141" s="1" t="n">
        <v>45849</v>
      </c>
      <c r="D141" t="inlineStr">
        <is>
          <t>VÄSTERBOTTENS LÄN</t>
        </is>
      </c>
      <c r="E141" t="inlineStr">
        <is>
          <t>LYCKSELE</t>
        </is>
      </c>
      <c r="F141" t="inlineStr">
        <is>
          <t>Sveaskog</t>
        </is>
      </c>
      <c r="G141" t="n">
        <v>5.4</v>
      </c>
      <c r="H141" t="n">
        <v>0</v>
      </c>
      <c r="I141" t="n">
        <v>0</v>
      </c>
      <c r="J141" t="n">
        <v>2</v>
      </c>
      <c r="K141" t="n">
        <v>0</v>
      </c>
      <c r="L141" t="n">
        <v>0</v>
      </c>
      <c r="M141" t="n">
        <v>0</v>
      </c>
      <c r="N141" t="n">
        <v>0</v>
      </c>
      <c r="O141" t="n">
        <v>2</v>
      </c>
      <c r="P141" t="n">
        <v>0</v>
      </c>
      <c r="Q141" t="n">
        <v>2</v>
      </c>
      <c r="R141" s="2" t="inlineStr">
        <is>
          <t>Garnlav
Violettgrå tagellav</t>
        </is>
      </c>
      <c r="S141">
        <f>HYPERLINK("https://klasma.github.io/Logging_2481/artfynd/A 41223-2024 artfynd.xlsx", "A 41223-2024")</f>
        <v/>
      </c>
      <c r="T141">
        <f>HYPERLINK("https://klasma.github.io/Logging_2481/kartor/A 41223-2024 karta.png", "A 41223-2024")</f>
        <v/>
      </c>
      <c r="V141">
        <f>HYPERLINK("https://klasma.github.io/Logging_2481/klagomål/A 41223-2024 FSC-klagomål.docx", "A 41223-2024")</f>
        <v/>
      </c>
      <c r="W141">
        <f>HYPERLINK("https://klasma.github.io/Logging_2481/klagomålsmail/A 41223-2024 FSC-klagomål mail.docx", "A 41223-2024")</f>
        <v/>
      </c>
      <c r="X141">
        <f>HYPERLINK("https://klasma.github.io/Logging_2481/tillsyn/A 41223-2024 tillsynsbegäran.docx", "A 41223-2024")</f>
        <v/>
      </c>
      <c r="Y141">
        <f>HYPERLINK("https://klasma.github.io/Logging_2481/tillsynsmail/A 41223-2024 tillsynsbegäran mail.docx", "A 41223-2024")</f>
        <v/>
      </c>
    </row>
    <row r="142" ht="15" customHeight="1">
      <c r="A142" t="inlineStr">
        <is>
          <t>A 41471-2024</t>
        </is>
      </c>
      <c r="B142" s="1" t="n">
        <v>45560</v>
      </c>
      <c r="C142" s="1" t="n">
        <v>45849</v>
      </c>
      <c r="D142" t="inlineStr">
        <is>
          <t>VÄSTERBOTTENS LÄN</t>
        </is>
      </c>
      <c r="E142" t="inlineStr">
        <is>
          <t>LYCKSELE</t>
        </is>
      </c>
      <c r="F142" t="inlineStr">
        <is>
          <t>Sveaskog</t>
        </is>
      </c>
      <c r="G142" t="n">
        <v>24.5</v>
      </c>
      <c r="H142" t="n">
        <v>0</v>
      </c>
      <c r="I142" t="n">
        <v>0</v>
      </c>
      <c r="J142" t="n">
        <v>2</v>
      </c>
      <c r="K142" t="n">
        <v>0</v>
      </c>
      <c r="L142" t="n">
        <v>0</v>
      </c>
      <c r="M142" t="n">
        <v>0</v>
      </c>
      <c r="N142" t="n">
        <v>0</v>
      </c>
      <c r="O142" t="n">
        <v>2</v>
      </c>
      <c r="P142" t="n">
        <v>0</v>
      </c>
      <c r="Q142" t="n">
        <v>2</v>
      </c>
      <c r="R142" s="2" t="inlineStr">
        <is>
          <t>Blå taggsvamp
Orange taggsvamp</t>
        </is>
      </c>
      <c r="S142">
        <f>HYPERLINK("https://klasma.github.io/Logging_2481/artfynd/A 41471-2024 artfynd.xlsx", "A 41471-2024")</f>
        <v/>
      </c>
      <c r="T142">
        <f>HYPERLINK("https://klasma.github.io/Logging_2481/kartor/A 41471-2024 karta.png", "A 41471-2024")</f>
        <v/>
      </c>
      <c r="V142">
        <f>HYPERLINK("https://klasma.github.io/Logging_2481/klagomål/A 41471-2024 FSC-klagomål.docx", "A 41471-2024")</f>
        <v/>
      </c>
      <c r="W142">
        <f>HYPERLINK("https://klasma.github.io/Logging_2481/klagomålsmail/A 41471-2024 FSC-klagomål mail.docx", "A 41471-2024")</f>
        <v/>
      </c>
      <c r="X142">
        <f>HYPERLINK("https://klasma.github.io/Logging_2481/tillsyn/A 41471-2024 tillsynsbegäran.docx", "A 41471-2024")</f>
        <v/>
      </c>
      <c r="Y142">
        <f>HYPERLINK("https://klasma.github.io/Logging_2481/tillsynsmail/A 41471-2024 tillsynsbegäran mail.docx", "A 41471-2024")</f>
        <v/>
      </c>
    </row>
    <row r="143" ht="15" customHeight="1">
      <c r="A143" t="inlineStr">
        <is>
          <t>A 43154-2024</t>
        </is>
      </c>
      <c r="B143" s="1" t="n">
        <v>45567</v>
      </c>
      <c r="C143" s="1" t="n">
        <v>45849</v>
      </c>
      <c r="D143" t="inlineStr">
        <is>
          <t>VÄSTERBOTTENS LÄN</t>
        </is>
      </c>
      <c r="E143" t="inlineStr">
        <is>
          <t>LYCKSELE</t>
        </is>
      </c>
      <c r="F143" t="inlineStr">
        <is>
          <t>Sveaskog</t>
        </is>
      </c>
      <c r="G143" t="n">
        <v>8.199999999999999</v>
      </c>
      <c r="H143" t="n">
        <v>0</v>
      </c>
      <c r="I143" t="n">
        <v>1</v>
      </c>
      <c r="J143" t="n">
        <v>1</v>
      </c>
      <c r="K143" t="n">
        <v>0</v>
      </c>
      <c r="L143" t="n">
        <v>0</v>
      </c>
      <c r="M143" t="n">
        <v>0</v>
      </c>
      <c r="N143" t="n">
        <v>0</v>
      </c>
      <c r="O143" t="n">
        <v>1</v>
      </c>
      <c r="P143" t="n">
        <v>0</v>
      </c>
      <c r="Q143" t="n">
        <v>2</v>
      </c>
      <c r="R143" s="2" t="inlineStr">
        <is>
          <t>Blanksvart spiklav
Dropptaggsvamp</t>
        </is>
      </c>
      <c r="S143">
        <f>HYPERLINK("https://klasma.github.io/Logging_2481/artfynd/A 43154-2024 artfynd.xlsx", "A 43154-2024")</f>
        <v/>
      </c>
      <c r="T143">
        <f>HYPERLINK("https://klasma.github.io/Logging_2481/kartor/A 43154-2024 karta.png", "A 43154-2024")</f>
        <v/>
      </c>
      <c r="V143">
        <f>HYPERLINK("https://klasma.github.io/Logging_2481/klagomål/A 43154-2024 FSC-klagomål.docx", "A 43154-2024")</f>
        <v/>
      </c>
      <c r="W143">
        <f>HYPERLINK("https://klasma.github.io/Logging_2481/klagomålsmail/A 43154-2024 FSC-klagomål mail.docx", "A 43154-2024")</f>
        <v/>
      </c>
      <c r="X143">
        <f>HYPERLINK("https://klasma.github.io/Logging_2481/tillsyn/A 43154-2024 tillsynsbegäran.docx", "A 43154-2024")</f>
        <v/>
      </c>
      <c r="Y143">
        <f>HYPERLINK("https://klasma.github.io/Logging_2481/tillsynsmail/A 43154-2024 tillsynsbegäran mail.docx", "A 43154-2024")</f>
        <v/>
      </c>
    </row>
    <row r="144" ht="15" customHeight="1">
      <c r="A144" t="inlineStr">
        <is>
          <t>A 43905-2024</t>
        </is>
      </c>
      <c r="B144" s="1" t="n">
        <v>45572</v>
      </c>
      <c r="C144" s="1" t="n">
        <v>45849</v>
      </c>
      <c r="D144" t="inlineStr">
        <is>
          <t>VÄSTERBOTTENS LÄN</t>
        </is>
      </c>
      <c r="E144" t="inlineStr">
        <is>
          <t>LYCKSELE</t>
        </is>
      </c>
      <c r="F144" t="inlineStr">
        <is>
          <t>Sveaskog</t>
        </is>
      </c>
      <c r="G144" t="n">
        <v>9.199999999999999</v>
      </c>
      <c r="H144" t="n">
        <v>0</v>
      </c>
      <c r="I144" t="n">
        <v>0</v>
      </c>
      <c r="J144" t="n">
        <v>2</v>
      </c>
      <c r="K144" t="n">
        <v>0</v>
      </c>
      <c r="L144" t="n">
        <v>0</v>
      </c>
      <c r="M144" t="n">
        <v>0</v>
      </c>
      <c r="N144" t="n">
        <v>0</v>
      </c>
      <c r="O144" t="n">
        <v>2</v>
      </c>
      <c r="P144" t="n">
        <v>0</v>
      </c>
      <c r="Q144" t="n">
        <v>2</v>
      </c>
      <c r="R144" s="2" t="inlineStr">
        <is>
          <t>Lunglav
Skrovellav</t>
        </is>
      </c>
      <c r="S144">
        <f>HYPERLINK("https://klasma.github.io/Logging_2481/artfynd/A 43905-2024 artfynd.xlsx", "A 43905-2024")</f>
        <v/>
      </c>
      <c r="T144">
        <f>HYPERLINK("https://klasma.github.io/Logging_2481/kartor/A 43905-2024 karta.png", "A 43905-2024")</f>
        <v/>
      </c>
      <c r="V144">
        <f>HYPERLINK("https://klasma.github.io/Logging_2481/klagomål/A 43905-2024 FSC-klagomål.docx", "A 43905-2024")</f>
        <v/>
      </c>
      <c r="W144">
        <f>HYPERLINK("https://klasma.github.io/Logging_2481/klagomålsmail/A 43905-2024 FSC-klagomål mail.docx", "A 43905-2024")</f>
        <v/>
      </c>
      <c r="X144">
        <f>HYPERLINK("https://klasma.github.io/Logging_2481/tillsyn/A 43905-2024 tillsynsbegäran.docx", "A 43905-2024")</f>
        <v/>
      </c>
      <c r="Y144">
        <f>HYPERLINK("https://klasma.github.io/Logging_2481/tillsynsmail/A 43905-2024 tillsynsbegäran mail.docx", "A 43905-2024")</f>
        <v/>
      </c>
    </row>
    <row r="145" ht="15" customHeight="1">
      <c r="A145" t="inlineStr">
        <is>
          <t>A 44230-2024</t>
        </is>
      </c>
      <c r="B145" s="1" t="n">
        <v>45573</v>
      </c>
      <c r="C145" s="1" t="n">
        <v>45849</v>
      </c>
      <c r="D145" t="inlineStr">
        <is>
          <t>VÄSTERBOTTENS LÄN</t>
        </is>
      </c>
      <c r="E145" t="inlineStr">
        <is>
          <t>LYCKSELE</t>
        </is>
      </c>
      <c r="F145" t="inlineStr">
        <is>
          <t>Sveaskog</t>
        </is>
      </c>
      <c r="G145" t="n">
        <v>19.8</v>
      </c>
      <c r="H145" t="n">
        <v>0</v>
      </c>
      <c r="I145" t="n">
        <v>0</v>
      </c>
      <c r="J145" t="n">
        <v>2</v>
      </c>
      <c r="K145" t="n">
        <v>0</v>
      </c>
      <c r="L145" t="n">
        <v>0</v>
      </c>
      <c r="M145" t="n">
        <v>0</v>
      </c>
      <c r="N145" t="n">
        <v>0</v>
      </c>
      <c r="O145" t="n">
        <v>2</v>
      </c>
      <c r="P145" t="n">
        <v>0</v>
      </c>
      <c r="Q145" t="n">
        <v>2</v>
      </c>
      <c r="R145" s="2" t="inlineStr">
        <is>
          <t>Kolflarnlav
Mörk kolflarnlav</t>
        </is>
      </c>
      <c r="S145">
        <f>HYPERLINK("https://klasma.github.io/Logging_2481/artfynd/A 44230-2024 artfynd.xlsx", "A 44230-2024")</f>
        <v/>
      </c>
      <c r="T145">
        <f>HYPERLINK("https://klasma.github.io/Logging_2481/kartor/A 44230-2024 karta.png", "A 44230-2024")</f>
        <v/>
      </c>
      <c r="V145">
        <f>HYPERLINK("https://klasma.github.io/Logging_2481/klagomål/A 44230-2024 FSC-klagomål.docx", "A 44230-2024")</f>
        <v/>
      </c>
      <c r="W145">
        <f>HYPERLINK("https://klasma.github.io/Logging_2481/klagomålsmail/A 44230-2024 FSC-klagomål mail.docx", "A 44230-2024")</f>
        <v/>
      </c>
      <c r="X145">
        <f>HYPERLINK("https://klasma.github.io/Logging_2481/tillsyn/A 44230-2024 tillsynsbegäran.docx", "A 44230-2024")</f>
        <v/>
      </c>
      <c r="Y145">
        <f>HYPERLINK("https://klasma.github.io/Logging_2481/tillsynsmail/A 44230-2024 tillsynsbegäran mail.docx", "A 44230-2024")</f>
        <v/>
      </c>
    </row>
    <row r="146" ht="15" customHeight="1">
      <c r="A146" t="inlineStr">
        <is>
          <t>A 45935-2024</t>
        </is>
      </c>
      <c r="B146" s="1" t="n">
        <v>45580</v>
      </c>
      <c r="C146" s="1" t="n">
        <v>45849</v>
      </c>
      <c r="D146" t="inlineStr">
        <is>
          <t>VÄSTERBOTTENS LÄN</t>
        </is>
      </c>
      <c r="E146" t="inlineStr">
        <is>
          <t>LYCKSELE</t>
        </is>
      </c>
      <c r="F146" t="inlineStr">
        <is>
          <t>Sveaskog</t>
        </is>
      </c>
      <c r="G146" t="n">
        <v>2.4</v>
      </c>
      <c r="H146" t="n">
        <v>0</v>
      </c>
      <c r="I146" t="n">
        <v>0</v>
      </c>
      <c r="J146" t="n">
        <v>2</v>
      </c>
      <c r="K146" t="n">
        <v>0</v>
      </c>
      <c r="L146" t="n">
        <v>0</v>
      </c>
      <c r="M146" t="n">
        <v>0</v>
      </c>
      <c r="N146" t="n">
        <v>0</v>
      </c>
      <c r="O146" t="n">
        <v>2</v>
      </c>
      <c r="P146" t="n">
        <v>0</v>
      </c>
      <c r="Q146" t="n">
        <v>2</v>
      </c>
      <c r="R146" s="2" t="inlineStr">
        <is>
          <t>Lunglav
Orange taggsvamp</t>
        </is>
      </c>
      <c r="S146">
        <f>HYPERLINK("https://klasma.github.io/Logging_2481/artfynd/A 45935-2024 artfynd.xlsx", "A 45935-2024")</f>
        <v/>
      </c>
      <c r="T146">
        <f>HYPERLINK("https://klasma.github.io/Logging_2481/kartor/A 45935-2024 karta.png", "A 45935-2024")</f>
        <v/>
      </c>
      <c r="V146">
        <f>HYPERLINK("https://klasma.github.io/Logging_2481/klagomål/A 45935-2024 FSC-klagomål.docx", "A 45935-2024")</f>
        <v/>
      </c>
      <c r="W146">
        <f>HYPERLINK("https://klasma.github.io/Logging_2481/klagomålsmail/A 45935-2024 FSC-klagomål mail.docx", "A 45935-2024")</f>
        <v/>
      </c>
      <c r="X146">
        <f>HYPERLINK("https://klasma.github.io/Logging_2481/tillsyn/A 45935-2024 tillsynsbegäran.docx", "A 45935-2024")</f>
        <v/>
      </c>
      <c r="Y146">
        <f>HYPERLINK("https://klasma.github.io/Logging_2481/tillsynsmail/A 45935-2024 tillsynsbegäran mail.docx", "A 45935-2024")</f>
        <v/>
      </c>
    </row>
    <row r="147" ht="15" customHeight="1">
      <c r="A147" t="inlineStr">
        <is>
          <t>A 47126-2024</t>
        </is>
      </c>
      <c r="B147" s="1" t="n">
        <v>45586</v>
      </c>
      <c r="C147" s="1" t="n">
        <v>45849</v>
      </c>
      <c r="D147" t="inlineStr">
        <is>
          <t>VÄSTERBOTTENS LÄN</t>
        </is>
      </c>
      <c r="E147" t="inlineStr">
        <is>
          <t>LYCKSELE</t>
        </is>
      </c>
      <c r="F147" t="inlineStr">
        <is>
          <t>Sveaskog</t>
        </is>
      </c>
      <c r="G147" t="n">
        <v>16.2</v>
      </c>
      <c r="H147" t="n">
        <v>0</v>
      </c>
      <c r="I147" t="n">
        <v>1</v>
      </c>
      <c r="J147" t="n">
        <v>1</v>
      </c>
      <c r="K147" t="n">
        <v>0</v>
      </c>
      <c r="L147" t="n">
        <v>0</v>
      </c>
      <c r="M147" t="n">
        <v>0</v>
      </c>
      <c r="N147" t="n">
        <v>0</v>
      </c>
      <c r="O147" t="n">
        <v>1</v>
      </c>
      <c r="P147" t="n">
        <v>0</v>
      </c>
      <c r="Q147" t="n">
        <v>2</v>
      </c>
      <c r="R147" s="2" t="inlineStr">
        <is>
          <t>Motaggsvamp
Dropptaggsvamp</t>
        </is>
      </c>
      <c r="S147">
        <f>HYPERLINK("https://klasma.github.io/Logging_2481/artfynd/A 47126-2024 artfynd.xlsx", "A 47126-2024")</f>
        <v/>
      </c>
      <c r="T147">
        <f>HYPERLINK("https://klasma.github.io/Logging_2481/kartor/A 47126-2024 karta.png", "A 47126-2024")</f>
        <v/>
      </c>
      <c r="V147">
        <f>HYPERLINK("https://klasma.github.io/Logging_2481/klagomål/A 47126-2024 FSC-klagomål.docx", "A 47126-2024")</f>
        <v/>
      </c>
      <c r="W147">
        <f>HYPERLINK("https://klasma.github.io/Logging_2481/klagomålsmail/A 47126-2024 FSC-klagomål mail.docx", "A 47126-2024")</f>
        <v/>
      </c>
      <c r="X147">
        <f>HYPERLINK("https://klasma.github.io/Logging_2481/tillsyn/A 47126-2024 tillsynsbegäran.docx", "A 47126-2024")</f>
        <v/>
      </c>
      <c r="Y147">
        <f>HYPERLINK("https://klasma.github.io/Logging_2481/tillsynsmail/A 47126-2024 tillsynsbegäran mail.docx", "A 47126-2024")</f>
        <v/>
      </c>
    </row>
    <row r="148" ht="15" customHeight="1">
      <c r="A148" t="inlineStr">
        <is>
          <t>A 48222-2024</t>
        </is>
      </c>
      <c r="B148" s="1" t="n">
        <v>45590</v>
      </c>
      <c r="C148" s="1" t="n">
        <v>45849</v>
      </c>
      <c r="D148" t="inlineStr">
        <is>
          <t>VÄSTERBOTTENS LÄN</t>
        </is>
      </c>
      <c r="E148" t="inlineStr">
        <is>
          <t>LYCKSELE</t>
        </is>
      </c>
      <c r="F148" t="inlineStr">
        <is>
          <t>Sveaskog</t>
        </is>
      </c>
      <c r="G148" t="n">
        <v>4.2</v>
      </c>
      <c r="H148" t="n">
        <v>0</v>
      </c>
      <c r="I148" t="n">
        <v>0</v>
      </c>
      <c r="J148" t="n">
        <v>1</v>
      </c>
      <c r="K148" t="n">
        <v>1</v>
      </c>
      <c r="L148" t="n">
        <v>0</v>
      </c>
      <c r="M148" t="n">
        <v>0</v>
      </c>
      <c r="N148" t="n">
        <v>0</v>
      </c>
      <c r="O148" t="n">
        <v>2</v>
      </c>
      <c r="P148" t="n">
        <v>1</v>
      </c>
      <c r="Q148" t="n">
        <v>2</v>
      </c>
      <c r="R148" s="2" t="inlineStr">
        <is>
          <t>Gräddporing
Lunglav</t>
        </is>
      </c>
      <c r="S148">
        <f>HYPERLINK("https://klasma.github.io/Logging_2481/artfynd/A 48222-2024 artfynd.xlsx", "A 48222-2024")</f>
        <v/>
      </c>
      <c r="T148">
        <f>HYPERLINK("https://klasma.github.io/Logging_2481/kartor/A 48222-2024 karta.png", "A 48222-2024")</f>
        <v/>
      </c>
      <c r="V148">
        <f>HYPERLINK("https://klasma.github.io/Logging_2481/klagomål/A 48222-2024 FSC-klagomål.docx", "A 48222-2024")</f>
        <v/>
      </c>
      <c r="W148">
        <f>HYPERLINK("https://klasma.github.io/Logging_2481/klagomålsmail/A 48222-2024 FSC-klagomål mail.docx", "A 48222-2024")</f>
        <v/>
      </c>
      <c r="X148">
        <f>HYPERLINK("https://klasma.github.io/Logging_2481/tillsyn/A 48222-2024 tillsynsbegäran.docx", "A 48222-2024")</f>
        <v/>
      </c>
      <c r="Y148">
        <f>HYPERLINK("https://klasma.github.io/Logging_2481/tillsynsmail/A 48222-2024 tillsynsbegäran mail.docx", "A 48222-2024")</f>
        <v/>
      </c>
    </row>
    <row r="149" ht="15" customHeight="1">
      <c r="A149" t="inlineStr">
        <is>
          <t>A 50687-2024</t>
        </is>
      </c>
      <c r="B149" s="1" t="n">
        <v>45602</v>
      </c>
      <c r="C149" s="1" t="n">
        <v>45849</v>
      </c>
      <c r="D149" t="inlineStr">
        <is>
          <t>VÄSTERBOTTENS LÄN</t>
        </is>
      </c>
      <c r="E149" t="inlineStr">
        <is>
          <t>LYCKSELE</t>
        </is>
      </c>
      <c r="F149" t="inlineStr">
        <is>
          <t>Sveaskog</t>
        </is>
      </c>
      <c r="G149" t="n">
        <v>17.4</v>
      </c>
      <c r="H149" t="n">
        <v>0</v>
      </c>
      <c r="I149" t="n">
        <v>1</v>
      </c>
      <c r="J149" t="n">
        <v>1</v>
      </c>
      <c r="K149" t="n">
        <v>0</v>
      </c>
      <c r="L149" t="n">
        <v>0</v>
      </c>
      <c r="M149" t="n">
        <v>0</v>
      </c>
      <c r="N149" t="n">
        <v>0</v>
      </c>
      <c r="O149" t="n">
        <v>1</v>
      </c>
      <c r="P149" t="n">
        <v>0</v>
      </c>
      <c r="Q149" t="n">
        <v>2</v>
      </c>
      <c r="R149" s="2" t="inlineStr">
        <is>
          <t>Motaggsvamp
Dropptaggsvamp</t>
        </is>
      </c>
      <c r="S149">
        <f>HYPERLINK("https://klasma.github.io/Logging_2481/artfynd/A 50687-2024 artfynd.xlsx", "A 50687-2024")</f>
        <v/>
      </c>
      <c r="T149">
        <f>HYPERLINK("https://klasma.github.io/Logging_2481/kartor/A 50687-2024 karta.png", "A 50687-2024")</f>
        <v/>
      </c>
      <c r="V149">
        <f>HYPERLINK("https://klasma.github.io/Logging_2481/klagomål/A 50687-2024 FSC-klagomål.docx", "A 50687-2024")</f>
        <v/>
      </c>
      <c r="W149">
        <f>HYPERLINK("https://klasma.github.io/Logging_2481/klagomålsmail/A 50687-2024 FSC-klagomål mail.docx", "A 50687-2024")</f>
        <v/>
      </c>
      <c r="X149">
        <f>HYPERLINK("https://klasma.github.io/Logging_2481/tillsyn/A 50687-2024 tillsynsbegäran.docx", "A 50687-2024")</f>
        <v/>
      </c>
      <c r="Y149">
        <f>HYPERLINK("https://klasma.github.io/Logging_2481/tillsynsmail/A 50687-2024 tillsynsbegäran mail.docx", "A 50687-2024")</f>
        <v/>
      </c>
    </row>
    <row r="150" ht="15" customHeight="1">
      <c r="A150" t="inlineStr">
        <is>
          <t>A 50741-2024</t>
        </is>
      </c>
      <c r="B150" s="1" t="n">
        <v>45602</v>
      </c>
      <c r="C150" s="1" t="n">
        <v>45849</v>
      </c>
      <c r="D150" t="inlineStr">
        <is>
          <t>VÄSTERBOTTENS LÄN</t>
        </is>
      </c>
      <c r="E150" t="inlineStr">
        <is>
          <t>LYCKSELE</t>
        </is>
      </c>
      <c r="F150" t="inlineStr">
        <is>
          <t>Sveaskog</t>
        </is>
      </c>
      <c r="G150" t="n">
        <v>6.2</v>
      </c>
      <c r="H150" t="n">
        <v>0</v>
      </c>
      <c r="I150" t="n">
        <v>1</v>
      </c>
      <c r="J150" t="n">
        <v>1</v>
      </c>
      <c r="K150" t="n">
        <v>0</v>
      </c>
      <c r="L150" t="n">
        <v>0</v>
      </c>
      <c r="M150" t="n">
        <v>0</v>
      </c>
      <c r="N150" t="n">
        <v>0</v>
      </c>
      <c r="O150" t="n">
        <v>1</v>
      </c>
      <c r="P150" t="n">
        <v>0</v>
      </c>
      <c r="Q150" t="n">
        <v>2</v>
      </c>
      <c r="R150" s="2" t="inlineStr">
        <is>
          <t>Mörk kolflarnlav
Skarp dropptaggsvamp</t>
        </is>
      </c>
      <c r="S150">
        <f>HYPERLINK("https://klasma.github.io/Logging_2481/artfynd/A 50741-2024 artfynd.xlsx", "A 50741-2024")</f>
        <v/>
      </c>
      <c r="T150">
        <f>HYPERLINK("https://klasma.github.io/Logging_2481/kartor/A 50741-2024 karta.png", "A 50741-2024")</f>
        <v/>
      </c>
      <c r="V150">
        <f>HYPERLINK("https://klasma.github.io/Logging_2481/klagomål/A 50741-2024 FSC-klagomål.docx", "A 50741-2024")</f>
        <v/>
      </c>
      <c r="W150">
        <f>HYPERLINK("https://klasma.github.io/Logging_2481/klagomålsmail/A 50741-2024 FSC-klagomål mail.docx", "A 50741-2024")</f>
        <v/>
      </c>
      <c r="X150">
        <f>HYPERLINK("https://klasma.github.io/Logging_2481/tillsyn/A 50741-2024 tillsynsbegäran.docx", "A 50741-2024")</f>
        <v/>
      </c>
      <c r="Y150">
        <f>HYPERLINK("https://klasma.github.io/Logging_2481/tillsynsmail/A 50741-2024 tillsynsbegäran mail.docx", "A 50741-2024")</f>
        <v/>
      </c>
    </row>
    <row r="151" ht="15" customHeight="1">
      <c r="A151" t="inlineStr">
        <is>
          <t>A 52234-2024</t>
        </is>
      </c>
      <c r="B151" s="1" t="n">
        <v>45608</v>
      </c>
      <c r="C151" s="1" t="n">
        <v>45849</v>
      </c>
      <c r="D151" t="inlineStr">
        <is>
          <t>VÄSTERBOTTENS LÄN</t>
        </is>
      </c>
      <c r="E151" t="inlineStr">
        <is>
          <t>LYCKSELE</t>
        </is>
      </c>
      <c r="F151" t="inlineStr">
        <is>
          <t>Sveaskog</t>
        </is>
      </c>
      <c r="G151" t="n">
        <v>2.7</v>
      </c>
      <c r="H151" t="n">
        <v>1</v>
      </c>
      <c r="I151" t="n">
        <v>1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2</v>
      </c>
      <c r="R151" s="2" t="inlineStr">
        <is>
          <t>Dropptaggsvamp
Lavskrika</t>
        </is>
      </c>
      <c r="S151">
        <f>HYPERLINK("https://klasma.github.io/Logging_2481/artfynd/A 52234-2024 artfynd.xlsx", "A 52234-2024")</f>
        <v/>
      </c>
      <c r="T151">
        <f>HYPERLINK("https://klasma.github.io/Logging_2481/kartor/A 52234-2024 karta.png", "A 52234-2024")</f>
        <v/>
      </c>
      <c r="V151">
        <f>HYPERLINK("https://klasma.github.io/Logging_2481/klagomål/A 52234-2024 FSC-klagomål.docx", "A 52234-2024")</f>
        <v/>
      </c>
      <c r="W151">
        <f>HYPERLINK("https://klasma.github.io/Logging_2481/klagomålsmail/A 52234-2024 FSC-klagomål mail.docx", "A 52234-2024")</f>
        <v/>
      </c>
      <c r="X151">
        <f>HYPERLINK("https://klasma.github.io/Logging_2481/tillsyn/A 52234-2024 tillsynsbegäran.docx", "A 52234-2024")</f>
        <v/>
      </c>
      <c r="Y151">
        <f>HYPERLINK("https://klasma.github.io/Logging_2481/tillsynsmail/A 52234-2024 tillsynsbegäran mail.docx", "A 52234-2024")</f>
        <v/>
      </c>
      <c r="Z151">
        <f>HYPERLINK("https://klasma.github.io/Logging_2481/fåglar/A 52234-2024 prioriterade fågelarter.docx", "A 52234-2024")</f>
        <v/>
      </c>
    </row>
    <row r="152" ht="15" customHeight="1">
      <c r="A152" t="inlineStr">
        <is>
          <t>A 56045-2024</t>
        </is>
      </c>
      <c r="B152" s="1" t="n">
        <v>45624</v>
      </c>
      <c r="C152" s="1" t="n">
        <v>45849</v>
      </c>
      <c r="D152" t="inlineStr">
        <is>
          <t>VÄSTERBOTTENS LÄN</t>
        </is>
      </c>
      <c r="E152" t="inlineStr">
        <is>
          <t>LYCKSELE</t>
        </is>
      </c>
      <c r="F152" t="inlineStr">
        <is>
          <t>Sveaskog</t>
        </is>
      </c>
      <c r="G152" t="n">
        <v>11.6</v>
      </c>
      <c r="H152" t="n">
        <v>0</v>
      </c>
      <c r="I152" t="n">
        <v>1</v>
      </c>
      <c r="J152" t="n">
        <v>1</v>
      </c>
      <c r="K152" t="n">
        <v>0</v>
      </c>
      <c r="L152" t="n">
        <v>0</v>
      </c>
      <c r="M152" t="n">
        <v>0</v>
      </c>
      <c r="N152" t="n">
        <v>0</v>
      </c>
      <c r="O152" t="n">
        <v>1</v>
      </c>
      <c r="P152" t="n">
        <v>0</v>
      </c>
      <c r="Q152" t="n">
        <v>2</v>
      </c>
      <c r="R152" s="2" t="inlineStr">
        <is>
          <t>Kolflarnlav
Dropptaggsvamp</t>
        </is>
      </c>
      <c r="S152">
        <f>HYPERLINK("https://klasma.github.io/Logging_2481/artfynd/A 56045-2024 artfynd.xlsx", "A 56045-2024")</f>
        <v/>
      </c>
      <c r="T152">
        <f>HYPERLINK("https://klasma.github.io/Logging_2481/kartor/A 56045-2024 karta.png", "A 56045-2024")</f>
        <v/>
      </c>
      <c r="V152">
        <f>HYPERLINK("https://klasma.github.io/Logging_2481/klagomål/A 56045-2024 FSC-klagomål.docx", "A 56045-2024")</f>
        <v/>
      </c>
      <c r="W152">
        <f>HYPERLINK("https://klasma.github.io/Logging_2481/klagomålsmail/A 56045-2024 FSC-klagomål mail.docx", "A 56045-2024")</f>
        <v/>
      </c>
      <c r="X152">
        <f>HYPERLINK("https://klasma.github.io/Logging_2481/tillsyn/A 56045-2024 tillsynsbegäran.docx", "A 56045-2024")</f>
        <v/>
      </c>
      <c r="Y152">
        <f>HYPERLINK("https://klasma.github.io/Logging_2481/tillsynsmail/A 56045-2024 tillsynsbegäran mail.docx", "A 56045-2024")</f>
        <v/>
      </c>
    </row>
    <row r="153" ht="15" customHeight="1">
      <c r="A153" t="inlineStr">
        <is>
          <t>A 6031-2025</t>
        </is>
      </c>
      <c r="B153" s="1" t="n">
        <v>45695</v>
      </c>
      <c r="C153" s="1" t="n">
        <v>45849</v>
      </c>
      <c r="D153" t="inlineStr">
        <is>
          <t>VÄSTERBOTTENS LÄN</t>
        </is>
      </c>
      <c r="E153" t="inlineStr">
        <is>
          <t>LYCKSELE</t>
        </is>
      </c>
      <c r="F153" t="inlineStr">
        <is>
          <t>SCA</t>
        </is>
      </c>
      <c r="G153" t="n">
        <v>25.8</v>
      </c>
      <c r="H153" t="n">
        <v>0</v>
      </c>
      <c r="I153" t="n">
        <v>1</v>
      </c>
      <c r="J153" t="n">
        <v>1</v>
      </c>
      <c r="K153" t="n">
        <v>0</v>
      </c>
      <c r="L153" t="n">
        <v>0</v>
      </c>
      <c r="M153" t="n">
        <v>0</v>
      </c>
      <c r="N153" t="n">
        <v>0</v>
      </c>
      <c r="O153" t="n">
        <v>1</v>
      </c>
      <c r="P153" t="n">
        <v>0</v>
      </c>
      <c r="Q153" t="n">
        <v>2</v>
      </c>
      <c r="R153" s="2" t="inlineStr">
        <is>
          <t>Skrovellav
Stuplav</t>
        </is>
      </c>
      <c r="S153">
        <f>HYPERLINK("https://klasma.github.io/Logging_2481/artfynd/A 6031-2025 artfynd.xlsx", "A 6031-2025")</f>
        <v/>
      </c>
      <c r="T153">
        <f>HYPERLINK("https://klasma.github.io/Logging_2481/kartor/A 6031-2025 karta.png", "A 6031-2025")</f>
        <v/>
      </c>
      <c r="V153">
        <f>HYPERLINK("https://klasma.github.io/Logging_2481/klagomål/A 6031-2025 FSC-klagomål.docx", "A 6031-2025")</f>
        <v/>
      </c>
      <c r="W153">
        <f>HYPERLINK("https://klasma.github.io/Logging_2481/klagomålsmail/A 6031-2025 FSC-klagomål mail.docx", "A 6031-2025")</f>
        <v/>
      </c>
      <c r="X153">
        <f>HYPERLINK("https://klasma.github.io/Logging_2481/tillsyn/A 6031-2025 tillsynsbegäran.docx", "A 6031-2025")</f>
        <v/>
      </c>
      <c r="Y153">
        <f>HYPERLINK("https://klasma.github.io/Logging_2481/tillsynsmail/A 6031-2025 tillsynsbegäran mail.docx", "A 6031-2025")</f>
        <v/>
      </c>
    </row>
    <row r="154" ht="15" customHeight="1">
      <c r="A154" t="inlineStr">
        <is>
          <t>A 7702-2025</t>
        </is>
      </c>
      <c r="B154" s="1" t="n">
        <v>45706</v>
      </c>
      <c r="C154" s="1" t="n">
        <v>45849</v>
      </c>
      <c r="D154" t="inlineStr">
        <is>
          <t>VÄSTERBOTTENS LÄN</t>
        </is>
      </c>
      <c r="E154" t="inlineStr">
        <is>
          <t>LYCKSELE</t>
        </is>
      </c>
      <c r="G154" t="n">
        <v>3.5</v>
      </c>
      <c r="H154" t="n">
        <v>1</v>
      </c>
      <c r="I154" t="n">
        <v>0</v>
      </c>
      <c r="J154" t="n">
        <v>1</v>
      </c>
      <c r="K154" t="n">
        <v>0</v>
      </c>
      <c r="L154" t="n">
        <v>0</v>
      </c>
      <c r="M154" t="n">
        <v>0</v>
      </c>
      <c r="N154" t="n">
        <v>0</v>
      </c>
      <c r="O154" t="n">
        <v>1</v>
      </c>
      <c r="P154" t="n">
        <v>0</v>
      </c>
      <c r="Q154" t="n">
        <v>2</v>
      </c>
      <c r="R154" s="2" t="inlineStr">
        <is>
          <t>Garnlav
Kungsfågel</t>
        </is>
      </c>
      <c r="S154">
        <f>HYPERLINK("https://klasma.github.io/Logging_2481/artfynd/A 7702-2025 artfynd.xlsx", "A 7702-2025")</f>
        <v/>
      </c>
      <c r="T154">
        <f>HYPERLINK("https://klasma.github.io/Logging_2481/kartor/A 7702-2025 karta.png", "A 7702-2025")</f>
        <v/>
      </c>
      <c r="V154">
        <f>HYPERLINK("https://klasma.github.io/Logging_2481/klagomål/A 7702-2025 FSC-klagomål.docx", "A 7702-2025")</f>
        <v/>
      </c>
      <c r="W154">
        <f>HYPERLINK("https://klasma.github.io/Logging_2481/klagomålsmail/A 7702-2025 FSC-klagomål mail.docx", "A 7702-2025")</f>
        <v/>
      </c>
      <c r="X154">
        <f>HYPERLINK("https://klasma.github.io/Logging_2481/tillsyn/A 7702-2025 tillsynsbegäran.docx", "A 7702-2025")</f>
        <v/>
      </c>
      <c r="Y154">
        <f>HYPERLINK("https://klasma.github.io/Logging_2481/tillsynsmail/A 7702-2025 tillsynsbegäran mail.docx", "A 7702-2025")</f>
        <v/>
      </c>
      <c r="Z154">
        <f>HYPERLINK("https://klasma.github.io/Logging_2481/fåglar/A 7702-2025 prioriterade fågelarter.docx", "A 7702-2025")</f>
        <v/>
      </c>
    </row>
    <row r="155" ht="15" customHeight="1">
      <c r="A155" t="inlineStr">
        <is>
          <t>A 13645-2025</t>
        </is>
      </c>
      <c r="B155" s="1" t="n">
        <v>45736</v>
      </c>
      <c r="C155" s="1" t="n">
        <v>45849</v>
      </c>
      <c r="D155" t="inlineStr">
        <is>
          <t>VÄSTERBOTTENS LÄN</t>
        </is>
      </c>
      <c r="E155" t="inlineStr">
        <is>
          <t>LYCKSELE</t>
        </is>
      </c>
      <c r="F155" t="inlineStr">
        <is>
          <t>SCA</t>
        </is>
      </c>
      <c r="G155" t="n">
        <v>19.6</v>
      </c>
      <c r="H155" t="n">
        <v>1</v>
      </c>
      <c r="I155" t="n">
        <v>1</v>
      </c>
      <c r="J155" t="n">
        <v>1</v>
      </c>
      <c r="K155" t="n">
        <v>0</v>
      </c>
      <c r="L155" t="n">
        <v>0</v>
      </c>
      <c r="M155" t="n">
        <v>0</v>
      </c>
      <c r="N155" t="n">
        <v>0</v>
      </c>
      <c r="O155" t="n">
        <v>1</v>
      </c>
      <c r="P155" t="n">
        <v>0</v>
      </c>
      <c r="Q155" t="n">
        <v>2</v>
      </c>
      <c r="R155" s="2" t="inlineStr">
        <is>
          <t>Talltita
Dropptaggsvamp</t>
        </is>
      </c>
      <c r="S155">
        <f>HYPERLINK("https://klasma.github.io/Logging_242481/artfynd/A 13645-2025 artfynd.xlsx", "A 13645-2025")</f>
        <v/>
      </c>
      <c r="T155">
        <f>HYPERLINK("https://klasma.github.io/Logging_242481/kartor/A 13645-2025 karta.png", "A 13645-2025")</f>
        <v/>
      </c>
      <c r="V155">
        <f>HYPERLINK("https://klasma.github.io/Logging_242481/klagomål/A 13645-2025 FSC-klagomål.docx", "A 13645-2025")</f>
        <v/>
      </c>
      <c r="W155">
        <f>HYPERLINK("https://klasma.github.io/Logging_242481/klagomålsmail/A 13645-2025 FSC-klagomål mail.docx", "A 13645-2025")</f>
        <v/>
      </c>
      <c r="X155">
        <f>HYPERLINK("https://klasma.github.io/Logging_242481/tillsyn/A 13645-2025 tillsynsbegäran.docx", "A 13645-2025")</f>
        <v/>
      </c>
      <c r="Y155">
        <f>HYPERLINK("https://klasma.github.io/Logging_242481/tillsynsmail/A 13645-2025 tillsynsbegäran mail.docx", "A 13645-2025")</f>
        <v/>
      </c>
      <c r="Z155">
        <f>HYPERLINK("https://klasma.github.io/Logging_242481/fåglar/A 13645-2025 prioriterade fågelarter.docx", "A 13645-2025")</f>
        <v/>
      </c>
    </row>
    <row r="156" ht="15" customHeight="1">
      <c r="A156" t="inlineStr">
        <is>
          <t>A 19492-2025</t>
        </is>
      </c>
      <c r="B156" s="1" t="n">
        <v>45770</v>
      </c>
      <c r="C156" s="1" t="n">
        <v>45849</v>
      </c>
      <c r="D156" t="inlineStr">
        <is>
          <t>VÄSTERBOTTENS LÄN</t>
        </is>
      </c>
      <c r="E156" t="inlineStr">
        <is>
          <t>LYCKSELE</t>
        </is>
      </c>
      <c r="F156" t="inlineStr">
        <is>
          <t>SCA</t>
        </is>
      </c>
      <c r="G156" t="n">
        <v>14.2</v>
      </c>
      <c r="H156" t="n">
        <v>0</v>
      </c>
      <c r="I156" t="n">
        <v>1</v>
      </c>
      <c r="J156" t="n">
        <v>1</v>
      </c>
      <c r="K156" t="n">
        <v>0</v>
      </c>
      <c r="L156" t="n">
        <v>0</v>
      </c>
      <c r="M156" t="n">
        <v>0</v>
      </c>
      <c r="N156" t="n">
        <v>0</v>
      </c>
      <c r="O156" t="n">
        <v>1</v>
      </c>
      <c r="P156" t="n">
        <v>0</v>
      </c>
      <c r="Q156" t="n">
        <v>2</v>
      </c>
      <c r="R156" s="2" t="inlineStr">
        <is>
          <t>Lunglav
Stuplav</t>
        </is>
      </c>
      <c r="S156">
        <f>HYPERLINK("https://klasma.github.io/Logging_242481/artfynd/A 19492-2025 artfynd.xlsx", "A 19492-2025")</f>
        <v/>
      </c>
      <c r="T156">
        <f>HYPERLINK("https://klasma.github.io/Logging_242481/kartor/A 19492-2025 karta.png", "A 19492-2025")</f>
        <v/>
      </c>
      <c r="V156">
        <f>HYPERLINK("https://klasma.github.io/Logging_242481/klagomål/A 19492-2025 FSC-klagomål.docx", "A 19492-2025")</f>
        <v/>
      </c>
      <c r="W156">
        <f>HYPERLINK("https://klasma.github.io/Logging_242481/klagomålsmail/A 19492-2025 FSC-klagomål mail.docx", "A 19492-2025")</f>
        <v/>
      </c>
      <c r="X156">
        <f>HYPERLINK("https://klasma.github.io/Logging_242481/tillsyn/A 19492-2025 tillsynsbegäran.docx", "A 19492-2025")</f>
        <v/>
      </c>
      <c r="Y156">
        <f>HYPERLINK("https://klasma.github.io/Logging_242481/tillsynsmail/A 19492-2025 tillsynsbegäran mail.docx", "A 19492-2025")</f>
        <v/>
      </c>
    </row>
    <row r="157" ht="15" customHeight="1">
      <c r="A157" t="inlineStr">
        <is>
          <t>A 20111-2025</t>
        </is>
      </c>
      <c r="B157" s="1" t="n">
        <v>45772</v>
      </c>
      <c r="C157" s="1" t="n">
        <v>45849</v>
      </c>
      <c r="D157" t="inlineStr">
        <is>
          <t>VÄSTERBOTTENS LÄN</t>
        </is>
      </c>
      <c r="E157" t="inlineStr">
        <is>
          <t>LYCKSELE</t>
        </is>
      </c>
      <c r="F157" t="inlineStr">
        <is>
          <t>Sveaskog</t>
        </is>
      </c>
      <c r="G157" t="n">
        <v>6.9</v>
      </c>
      <c r="H157" t="n">
        <v>0</v>
      </c>
      <c r="I157" t="n">
        <v>0</v>
      </c>
      <c r="J157" t="n">
        <v>2</v>
      </c>
      <c r="K157" t="n">
        <v>0</v>
      </c>
      <c r="L157" t="n">
        <v>0</v>
      </c>
      <c r="M157" t="n">
        <v>0</v>
      </c>
      <c r="N157" t="n">
        <v>0</v>
      </c>
      <c r="O157" t="n">
        <v>2</v>
      </c>
      <c r="P157" t="n">
        <v>0</v>
      </c>
      <c r="Q157" t="n">
        <v>2</v>
      </c>
      <c r="R157" s="2" t="inlineStr">
        <is>
          <t>Blå taggsvamp
Orange taggsvamp</t>
        </is>
      </c>
      <c r="S157">
        <f>HYPERLINK("https://klasma.github.io/Logging_242481/artfynd/A 20111-2025 artfynd.xlsx", "A 20111-2025")</f>
        <v/>
      </c>
      <c r="T157">
        <f>HYPERLINK("https://klasma.github.io/Logging_242481/kartor/A 20111-2025 karta.png", "A 20111-2025")</f>
        <v/>
      </c>
      <c r="V157">
        <f>HYPERLINK("https://klasma.github.io/Logging_242481/klagomål/A 20111-2025 FSC-klagomål.docx", "A 20111-2025")</f>
        <v/>
      </c>
      <c r="W157">
        <f>HYPERLINK("https://klasma.github.io/Logging_242481/klagomålsmail/A 20111-2025 FSC-klagomål mail.docx", "A 20111-2025")</f>
        <v/>
      </c>
      <c r="X157">
        <f>HYPERLINK("https://klasma.github.io/Logging_242481/tillsyn/A 20111-2025 tillsynsbegäran.docx", "A 20111-2025")</f>
        <v/>
      </c>
      <c r="Y157">
        <f>HYPERLINK("https://klasma.github.io/Logging_242481/tillsynsmail/A 20111-2025 tillsynsbegäran mail.docx", "A 20111-2025")</f>
        <v/>
      </c>
    </row>
    <row r="158" ht="15" customHeight="1">
      <c r="A158" t="inlineStr">
        <is>
          <t>A 22360-2025</t>
        </is>
      </c>
      <c r="B158" s="1" t="n">
        <v>45786</v>
      </c>
      <c r="C158" s="1" t="n">
        <v>45849</v>
      </c>
      <c r="D158" t="inlineStr">
        <is>
          <t>VÄSTERBOTTENS LÄN</t>
        </is>
      </c>
      <c r="E158" t="inlineStr">
        <is>
          <t>LYCKSELE</t>
        </is>
      </c>
      <c r="F158" t="inlineStr">
        <is>
          <t>Sveaskog</t>
        </is>
      </c>
      <c r="G158" t="n">
        <v>2.2</v>
      </c>
      <c r="H158" t="n">
        <v>0</v>
      </c>
      <c r="I158" t="n">
        <v>0</v>
      </c>
      <c r="J158" t="n">
        <v>2</v>
      </c>
      <c r="K158" t="n">
        <v>0</v>
      </c>
      <c r="L158" t="n">
        <v>0</v>
      </c>
      <c r="M158" t="n">
        <v>0</v>
      </c>
      <c r="N158" t="n">
        <v>0</v>
      </c>
      <c r="O158" t="n">
        <v>2</v>
      </c>
      <c r="P158" t="n">
        <v>0</v>
      </c>
      <c r="Q158" t="n">
        <v>2</v>
      </c>
      <c r="R158" s="2" t="inlineStr">
        <is>
          <t>Blå taggsvamp
Orange taggsvamp</t>
        </is>
      </c>
      <c r="S158">
        <f>HYPERLINK("https://klasma.github.io/Logging_242481/artfynd/A 22360-2025 artfynd.xlsx", "A 22360-2025")</f>
        <v/>
      </c>
      <c r="T158">
        <f>HYPERLINK("https://klasma.github.io/Logging_242481/kartor/A 22360-2025 karta.png", "A 22360-2025")</f>
        <v/>
      </c>
      <c r="V158">
        <f>HYPERLINK("https://klasma.github.io/Logging_242481/klagomål/A 22360-2025 FSC-klagomål.docx", "A 22360-2025")</f>
        <v/>
      </c>
      <c r="W158">
        <f>HYPERLINK("https://klasma.github.io/Logging_242481/klagomålsmail/A 22360-2025 FSC-klagomål mail.docx", "A 22360-2025")</f>
        <v/>
      </c>
      <c r="X158">
        <f>HYPERLINK("https://klasma.github.io/Logging_242481/tillsyn/A 22360-2025 tillsynsbegäran.docx", "A 22360-2025")</f>
        <v/>
      </c>
      <c r="Y158">
        <f>HYPERLINK("https://klasma.github.io/Logging_242481/tillsynsmail/A 22360-2025 tillsynsbegäran mail.docx", "A 22360-2025")</f>
        <v/>
      </c>
    </row>
    <row r="159" ht="15" customHeight="1">
      <c r="A159" t="inlineStr">
        <is>
          <t>A 22363-2025</t>
        </is>
      </c>
      <c r="B159" s="1" t="n">
        <v>45786</v>
      </c>
      <c r="C159" s="1" t="n">
        <v>45849</v>
      </c>
      <c r="D159" t="inlineStr">
        <is>
          <t>VÄSTERBOTTENS LÄN</t>
        </is>
      </c>
      <c r="E159" t="inlineStr">
        <is>
          <t>LYCKSELE</t>
        </is>
      </c>
      <c r="F159" t="inlineStr">
        <is>
          <t>Sveaskog</t>
        </is>
      </c>
      <c r="G159" t="n">
        <v>2.2</v>
      </c>
      <c r="H159" t="n">
        <v>0</v>
      </c>
      <c r="I159" t="n">
        <v>0</v>
      </c>
      <c r="J159" t="n">
        <v>2</v>
      </c>
      <c r="K159" t="n">
        <v>0</v>
      </c>
      <c r="L159" t="n">
        <v>0</v>
      </c>
      <c r="M159" t="n">
        <v>0</v>
      </c>
      <c r="N159" t="n">
        <v>0</v>
      </c>
      <c r="O159" t="n">
        <v>2</v>
      </c>
      <c r="P159" t="n">
        <v>0</v>
      </c>
      <c r="Q159" t="n">
        <v>2</v>
      </c>
      <c r="R159" s="2" t="inlineStr">
        <is>
          <t>Blå taggsvamp
Orange taggsvamp</t>
        </is>
      </c>
      <c r="S159">
        <f>HYPERLINK("https://klasma.github.io/Logging_242481/artfynd/A 22363-2025 artfynd.xlsx", "A 22363-2025")</f>
        <v/>
      </c>
      <c r="T159">
        <f>HYPERLINK("https://klasma.github.io/Logging_242481/kartor/A 22363-2025 karta.png", "A 22363-2025")</f>
        <v/>
      </c>
      <c r="V159">
        <f>HYPERLINK("https://klasma.github.io/Logging_242481/klagomål/A 22363-2025 FSC-klagomål.docx", "A 22363-2025")</f>
        <v/>
      </c>
      <c r="W159">
        <f>HYPERLINK("https://klasma.github.io/Logging_242481/klagomålsmail/A 22363-2025 FSC-klagomål mail.docx", "A 22363-2025")</f>
        <v/>
      </c>
      <c r="X159">
        <f>HYPERLINK("https://klasma.github.io/Logging_242481/tillsyn/A 22363-2025 tillsynsbegäran.docx", "A 22363-2025")</f>
        <v/>
      </c>
      <c r="Y159">
        <f>HYPERLINK("https://klasma.github.io/Logging_242481/tillsynsmail/A 22363-2025 tillsynsbegäran mail.docx", "A 22363-2025")</f>
        <v/>
      </c>
    </row>
    <row r="160" ht="15" customHeight="1">
      <c r="A160" t="inlineStr">
        <is>
          <t>A 22629-2025</t>
        </is>
      </c>
      <c r="B160" s="1" t="n">
        <v>45789</v>
      </c>
      <c r="C160" s="1" t="n">
        <v>45849</v>
      </c>
      <c r="D160" t="inlineStr">
        <is>
          <t>VÄSTERBOTTENS LÄN</t>
        </is>
      </c>
      <c r="E160" t="inlineStr">
        <is>
          <t>LYCKSELE</t>
        </is>
      </c>
      <c r="F160" t="inlineStr">
        <is>
          <t>Sveaskog</t>
        </is>
      </c>
      <c r="G160" t="n">
        <v>11.3</v>
      </c>
      <c r="H160" t="n">
        <v>0</v>
      </c>
      <c r="I160" t="n">
        <v>0</v>
      </c>
      <c r="J160" t="n">
        <v>2</v>
      </c>
      <c r="K160" t="n">
        <v>0</v>
      </c>
      <c r="L160" t="n">
        <v>0</v>
      </c>
      <c r="M160" t="n">
        <v>0</v>
      </c>
      <c r="N160" t="n">
        <v>0</v>
      </c>
      <c r="O160" t="n">
        <v>2</v>
      </c>
      <c r="P160" t="n">
        <v>0</v>
      </c>
      <c r="Q160" t="n">
        <v>2</v>
      </c>
      <c r="R160" s="2" t="inlineStr">
        <is>
          <t>Kolflarnlav
Mörk kolflarnlav</t>
        </is>
      </c>
      <c r="S160">
        <f>HYPERLINK("https://klasma.github.io/Logging_242481/artfynd/A 22629-2025 artfynd.xlsx", "A 22629-2025")</f>
        <v/>
      </c>
      <c r="T160">
        <f>HYPERLINK("https://klasma.github.io/Logging_242481/kartor/A 22629-2025 karta.png", "A 22629-2025")</f>
        <v/>
      </c>
      <c r="V160">
        <f>HYPERLINK("https://klasma.github.io/Logging_242481/klagomål/A 22629-2025 FSC-klagomål.docx", "A 22629-2025")</f>
        <v/>
      </c>
      <c r="W160">
        <f>HYPERLINK("https://klasma.github.io/Logging_242481/klagomålsmail/A 22629-2025 FSC-klagomål mail.docx", "A 22629-2025")</f>
        <v/>
      </c>
      <c r="X160">
        <f>HYPERLINK("https://klasma.github.io/Logging_242481/tillsyn/A 22629-2025 tillsynsbegäran.docx", "A 22629-2025")</f>
        <v/>
      </c>
      <c r="Y160">
        <f>HYPERLINK("https://klasma.github.io/Logging_242481/tillsynsmail/A 22629-2025 tillsynsbegäran mail.docx", "A 22629-2025")</f>
        <v/>
      </c>
    </row>
    <row r="161" ht="15" customHeight="1">
      <c r="A161" t="inlineStr">
        <is>
          <t>A 23341-2025</t>
        </is>
      </c>
      <c r="B161" s="1" t="n">
        <v>45791</v>
      </c>
      <c r="C161" s="1" t="n">
        <v>45849</v>
      </c>
      <c r="D161" t="inlineStr">
        <is>
          <t>VÄSTERBOTTENS LÄN</t>
        </is>
      </c>
      <c r="E161" t="inlineStr">
        <is>
          <t>LYCKSELE</t>
        </is>
      </c>
      <c r="F161" t="inlineStr">
        <is>
          <t>Sveaskog</t>
        </is>
      </c>
      <c r="G161" t="n">
        <v>2.2</v>
      </c>
      <c r="H161" t="n">
        <v>0</v>
      </c>
      <c r="I161" t="n">
        <v>0</v>
      </c>
      <c r="J161" t="n">
        <v>2</v>
      </c>
      <c r="K161" t="n">
        <v>0</v>
      </c>
      <c r="L161" t="n">
        <v>0</v>
      </c>
      <c r="M161" t="n">
        <v>0</v>
      </c>
      <c r="N161" t="n">
        <v>0</v>
      </c>
      <c r="O161" t="n">
        <v>2</v>
      </c>
      <c r="P161" t="n">
        <v>0</v>
      </c>
      <c r="Q161" t="n">
        <v>2</v>
      </c>
      <c r="R161" s="2" t="inlineStr">
        <is>
          <t>Blå taggsvamp
Orange taggsvamp</t>
        </is>
      </c>
      <c r="S161">
        <f>HYPERLINK("https://klasma.github.io/Logging_242481/artfynd/A 23341-2025 artfynd.xlsx", "A 23341-2025")</f>
        <v/>
      </c>
      <c r="T161">
        <f>HYPERLINK("https://klasma.github.io/Logging_242481/kartor/A 23341-2025 karta.png", "A 23341-2025")</f>
        <v/>
      </c>
      <c r="V161">
        <f>HYPERLINK("https://klasma.github.io/Logging_242481/klagomål/A 23341-2025 FSC-klagomål.docx", "A 23341-2025")</f>
        <v/>
      </c>
      <c r="W161">
        <f>HYPERLINK("https://klasma.github.io/Logging_242481/klagomålsmail/A 23341-2025 FSC-klagomål mail.docx", "A 23341-2025")</f>
        <v/>
      </c>
      <c r="X161">
        <f>HYPERLINK("https://klasma.github.io/Logging_242481/tillsyn/A 23341-2025 tillsynsbegäran.docx", "A 23341-2025")</f>
        <v/>
      </c>
      <c r="Y161">
        <f>HYPERLINK("https://klasma.github.io/Logging_242481/tillsynsmail/A 23341-2025 tillsynsbegäran mail.docx", "A 23341-2025")</f>
        <v/>
      </c>
    </row>
    <row r="162" ht="15" customHeight="1">
      <c r="A162" t="inlineStr">
        <is>
          <t>A 23328-2025</t>
        </is>
      </c>
      <c r="B162" s="1" t="n">
        <v>45791</v>
      </c>
      <c r="C162" s="1" t="n">
        <v>45849</v>
      </c>
      <c r="D162" t="inlineStr">
        <is>
          <t>VÄSTERBOTTENS LÄN</t>
        </is>
      </c>
      <c r="E162" t="inlineStr">
        <is>
          <t>LYCKSELE</t>
        </is>
      </c>
      <c r="F162" t="inlineStr">
        <is>
          <t>Sveaskog</t>
        </is>
      </c>
      <c r="G162" t="n">
        <v>2.2</v>
      </c>
      <c r="H162" t="n">
        <v>0</v>
      </c>
      <c r="I162" t="n">
        <v>0</v>
      </c>
      <c r="J162" t="n">
        <v>2</v>
      </c>
      <c r="K162" t="n">
        <v>0</v>
      </c>
      <c r="L162" t="n">
        <v>0</v>
      </c>
      <c r="M162" t="n">
        <v>0</v>
      </c>
      <c r="N162" t="n">
        <v>0</v>
      </c>
      <c r="O162" t="n">
        <v>2</v>
      </c>
      <c r="P162" t="n">
        <v>0</v>
      </c>
      <c r="Q162" t="n">
        <v>2</v>
      </c>
      <c r="R162" s="2" t="inlineStr">
        <is>
          <t>Blå taggsvamp
Orange taggsvamp</t>
        </is>
      </c>
      <c r="S162">
        <f>HYPERLINK("https://klasma.github.io/Logging_242481/artfynd/A 23328-2025 artfynd.xlsx", "A 23328-2025")</f>
        <v/>
      </c>
      <c r="T162">
        <f>HYPERLINK("https://klasma.github.io/Logging_242481/kartor/A 23328-2025 karta.png", "A 23328-2025")</f>
        <v/>
      </c>
      <c r="V162">
        <f>HYPERLINK("https://klasma.github.io/Logging_242481/klagomål/A 23328-2025 FSC-klagomål.docx", "A 23328-2025")</f>
        <v/>
      </c>
      <c r="W162">
        <f>HYPERLINK("https://klasma.github.io/Logging_242481/klagomålsmail/A 23328-2025 FSC-klagomål mail.docx", "A 23328-2025")</f>
        <v/>
      </c>
      <c r="X162">
        <f>HYPERLINK("https://klasma.github.io/Logging_242481/tillsyn/A 23328-2025 tillsynsbegäran.docx", "A 23328-2025")</f>
        <v/>
      </c>
      <c r="Y162">
        <f>HYPERLINK("https://klasma.github.io/Logging_242481/tillsynsmail/A 23328-2025 tillsynsbegäran mail.docx", "A 23328-2025")</f>
        <v/>
      </c>
    </row>
    <row r="163" ht="15" customHeight="1">
      <c r="A163" t="inlineStr">
        <is>
          <t>A 23862-2025</t>
        </is>
      </c>
      <c r="B163" s="1" t="n">
        <v>45793</v>
      </c>
      <c r="C163" s="1" t="n">
        <v>45849</v>
      </c>
      <c r="D163" t="inlineStr">
        <is>
          <t>VÄSTERBOTTENS LÄN</t>
        </is>
      </c>
      <c r="E163" t="inlineStr">
        <is>
          <t>LYCKSELE</t>
        </is>
      </c>
      <c r="F163" t="inlineStr">
        <is>
          <t>Sveaskog</t>
        </is>
      </c>
      <c r="G163" t="n">
        <v>4.7</v>
      </c>
      <c r="H163" t="n">
        <v>2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2</v>
      </c>
      <c r="R163" s="2" t="inlineStr">
        <is>
          <t>Fläcknycklar
Revlummer</t>
        </is>
      </c>
      <c r="S163">
        <f>HYPERLINK("https://klasma.github.io/Logging_242481/artfynd/A 23862-2025 artfynd.xlsx", "A 23862-2025")</f>
        <v/>
      </c>
      <c r="T163">
        <f>HYPERLINK("https://klasma.github.io/Logging_242481/kartor/A 23862-2025 karta.png", "A 23862-2025")</f>
        <v/>
      </c>
      <c r="V163">
        <f>HYPERLINK("https://klasma.github.io/Logging_242481/klagomål/A 23862-2025 FSC-klagomål.docx", "A 23862-2025")</f>
        <v/>
      </c>
      <c r="W163">
        <f>HYPERLINK("https://klasma.github.io/Logging_242481/klagomålsmail/A 23862-2025 FSC-klagomål mail.docx", "A 23862-2025")</f>
        <v/>
      </c>
      <c r="X163">
        <f>HYPERLINK("https://klasma.github.io/Logging_242481/tillsyn/A 23862-2025 tillsynsbegäran.docx", "A 23862-2025")</f>
        <v/>
      </c>
      <c r="Y163">
        <f>HYPERLINK("https://klasma.github.io/Logging_242481/tillsynsmail/A 23862-2025 tillsynsbegäran mail.docx", "A 23862-2025")</f>
        <v/>
      </c>
    </row>
    <row r="164" ht="15" customHeight="1">
      <c r="A164" t="inlineStr">
        <is>
          <t>A 25259-2025</t>
        </is>
      </c>
      <c r="B164" s="1" t="n">
        <v>45800</v>
      </c>
      <c r="C164" s="1" t="n">
        <v>45849</v>
      </c>
      <c r="D164" t="inlineStr">
        <is>
          <t>VÄSTERBOTTENS LÄN</t>
        </is>
      </c>
      <c r="E164" t="inlineStr">
        <is>
          <t>LYCKSELE</t>
        </is>
      </c>
      <c r="F164" t="inlineStr">
        <is>
          <t>Sveaskog</t>
        </is>
      </c>
      <c r="G164" t="n">
        <v>1.6</v>
      </c>
      <c r="H164" t="n">
        <v>0</v>
      </c>
      <c r="I164" t="n">
        <v>0</v>
      </c>
      <c r="J164" t="n">
        <v>2</v>
      </c>
      <c r="K164" t="n">
        <v>0</v>
      </c>
      <c r="L164" t="n">
        <v>0</v>
      </c>
      <c r="M164" t="n">
        <v>0</v>
      </c>
      <c r="N164" t="n">
        <v>0</v>
      </c>
      <c r="O164" t="n">
        <v>2</v>
      </c>
      <c r="P164" t="n">
        <v>0</v>
      </c>
      <c r="Q164" t="n">
        <v>2</v>
      </c>
      <c r="R164" s="2" t="inlineStr">
        <is>
          <t>Kolflarnlav
Mörk kolflarnlav</t>
        </is>
      </c>
      <c r="S164">
        <f>HYPERLINK("https://klasma.github.io/Logging_242481/artfynd/A 25259-2025 artfynd.xlsx", "A 25259-2025")</f>
        <v/>
      </c>
      <c r="T164">
        <f>HYPERLINK("https://klasma.github.io/Logging_242481/kartor/A 25259-2025 karta.png", "A 25259-2025")</f>
        <v/>
      </c>
      <c r="V164">
        <f>HYPERLINK("https://klasma.github.io/Logging_242481/klagomål/A 25259-2025 FSC-klagomål.docx", "A 25259-2025")</f>
        <v/>
      </c>
      <c r="W164">
        <f>HYPERLINK("https://klasma.github.io/Logging_242481/klagomålsmail/A 25259-2025 FSC-klagomål mail.docx", "A 25259-2025")</f>
        <v/>
      </c>
      <c r="X164">
        <f>HYPERLINK("https://klasma.github.io/Logging_242481/tillsyn/A 25259-2025 tillsynsbegäran.docx", "A 25259-2025")</f>
        <v/>
      </c>
      <c r="Y164">
        <f>HYPERLINK("https://klasma.github.io/Logging_242481/tillsynsmail/A 25259-2025 tillsynsbegäran mail.docx", "A 25259-2025")</f>
        <v/>
      </c>
    </row>
    <row r="165" ht="15" customHeight="1">
      <c r="A165" t="inlineStr">
        <is>
          <t>A 26271-2025</t>
        </is>
      </c>
      <c r="B165" s="1" t="n">
        <v>45805</v>
      </c>
      <c r="C165" s="1" t="n">
        <v>45849</v>
      </c>
      <c r="D165" t="inlineStr">
        <is>
          <t>VÄSTERBOTTENS LÄN</t>
        </is>
      </c>
      <c r="E165" t="inlineStr">
        <is>
          <t>LYCKSELE</t>
        </is>
      </c>
      <c r="F165" t="inlineStr">
        <is>
          <t>Sveaskog</t>
        </is>
      </c>
      <c r="G165" t="n">
        <v>1.7</v>
      </c>
      <c r="H165" t="n">
        <v>0</v>
      </c>
      <c r="I165" t="n">
        <v>0</v>
      </c>
      <c r="J165" t="n">
        <v>2</v>
      </c>
      <c r="K165" t="n">
        <v>0</v>
      </c>
      <c r="L165" t="n">
        <v>0</v>
      </c>
      <c r="M165" t="n">
        <v>0</v>
      </c>
      <c r="N165" t="n">
        <v>0</v>
      </c>
      <c r="O165" t="n">
        <v>2</v>
      </c>
      <c r="P165" t="n">
        <v>0</v>
      </c>
      <c r="Q165" t="n">
        <v>2</v>
      </c>
      <c r="R165" s="2" t="inlineStr">
        <is>
          <t>Gammelgransskål
Lunglav</t>
        </is>
      </c>
      <c r="S165">
        <f>HYPERLINK("https://klasma.github.io/Logging_242481/artfynd/A 26271-2025 artfynd.xlsx", "A 26271-2025")</f>
        <v/>
      </c>
      <c r="T165">
        <f>HYPERLINK("https://klasma.github.io/Logging_242481/kartor/A 26271-2025 karta.png", "A 26271-2025")</f>
        <v/>
      </c>
      <c r="V165">
        <f>HYPERLINK("https://klasma.github.io/Logging_242481/klagomål/A 26271-2025 FSC-klagomål.docx", "A 26271-2025")</f>
        <v/>
      </c>
      <c r="W165">
        <f>HYPERLINK("https://klasma.github.io/Logging_242481/klagomålsmail/A 26271-2025 FSC-klagomål mail.docx", "A 26271-2025")</f>
        <v/>
      </c>
      <c r="X165">
        <f>HYPERLINK("https://klasma.github.io/Logging_242481/tillsyn/A 26271-2025 tillsynsbegäran.docx", "A 26271-2025")</f>
        <v/>
      </c>
      <c r="Y165">
        <f>HYPERLINK("https://klasma.github.io/Logging_242481/tillsynsmail/A 26271-2025 tillsynsbegäran mail.docx", "A 26271-2025")</f>
        <v/>
      </c>
    </row>
    <row r="166" ht="15" customHeight="1">
      <c r="A166" t="inlineStr">
        <is>
          <t>A 28167-2025</t>
        </is>
      </c>
      <c r="B166" s="1" t="n">
        <v>45818</v>
      </c>
      <c r="C166" s="1" t="n">
        <v>45849</v>
      </c>
      <c r="D166" t="inlineStr">
        <is>
          <t>VÄSTERBOTTENS LÄN</t>
        </is>
      </c>
      <c r="E166" t="inlineStr">
        <is>
          <t>LYCKSELE</t>
        </is>
      </c>
      <c r="F166" t="inlineStr">
        <is>
          <t>Sveaskog</t>
        </is>
      </c>
      <c r="G166" t="n">
        <v>13.1</v>
      </c>
      <c r="H166" t="n">
        <v>1</v>
      </c>
      <c r="I166" t="n">
        <v>0</v>
      </c>
      <c r="J166" t="n">
        <v>1</v>
      </c>
      <c r="K166" t="n">
        <v>1</v>
      </c>
      <c r="L166" t="n">
        <v>0</v>
      </c>
      <c r="M166" t="n">
        <v>0</v>
      </c>
      <c r="N166" t="n">
        <v>0</v>
      </c>
      <c r="O166" t="n">
        <v>2</v>
      </c>
      <c r="P166" t="n">
        <v>1</v>
      </c>
      <c r="Q166" t="n">
        <v>2</v>
      </c>
      <c r="R166" s="2" t="inlineStr">
        <is>
          <t>Doftticka
Blå taggsvamp</t>
        </is>
      </c>
      <c r="S166">
        <f>HYPERLINK("https://klasma.github.io/Logging_242481/artfynd/A 28167-2025 artfynd.xlsx", "A 28167-2025")</f>
        <v/>
      </c>
      <c r="T166">
        <f>HYPERLINK("https://klasma.github.io/Logging_242481/kartor/A 28167-2025 karta.png", "A 28167-2025")</f>
        <v/>
      </c>
      <c r="V166">
        <f>HYPERLINK("https://klasma.github.io/Logging_242481/klagomål/A 28167-2025 FSC-klagomål.docx", "A 28167-2025")</f>
        <v/>
      </c>
      <c r="W166">
        <f>HYPERLINK("https://klasma.github.io/Logging_242481/klagomålsmail/A 28167-2025 FSC-klagomål mail.docx", "A 28167-2025")</f>
        <v/>
      </c>
      <c r="X166">
        <f>HYPERLINK("https://klasma.github.io/Logging_242481/tillsyn/A 28167-2025 tillsynsbegäran.docx", "A 28167-2025")</f>
        <v/>
      </c>
      <c r="Y166">
        <f>HYPERLINK("https://klasma.github.io/Logging_242481/tillsynsmail/A 28167-2025 tillsynsbegäran mail.docx", "A 28167-2025")</f>
        <v/>
      </c>
    </row>
    <row r="167" ht="15" customHeight="1">
      <c r="A167" t="inlineStr">
        <is>
          <t>A 30515-2025</t>
        </is>
      </c>
      <c r="B167" s="1" t="n">
        <v>45831</v>
      </c>
      <c r="C167" s="1" t="n">
        <v>45849</v>
      </c>
      <c r="D167" t="inlineStr">
        <is>
          <t>VÄSTERBOTTENS LÄN</t>
        </is>
      </c>
      <c r="E167" t="inlineStr">
        <is>
          <t>LYCKSELE</t>
        </is>
      </c>
      <c r="F167" t="inlineStr">
        <is>
          <t>Sveaskog</t>
        </is>
      </c>
      <c r="G167" t="n">
        <v>8.1</v>
      </c>
      <c r="H167" t="n">
        <v>0</v>
      </c>
      <c r="I167" t="n">
        <v>0</v>
      </c>
      <c r="J167" t="n">
        <v>2</v>
      </c>
      <c r="K167" t="n">
        <v>0</v>
      </c>
      <c r="L167" t="n">
        <v>0</v>
      </c>
      <c r="M167" t="n">
        <v>0</v>
      </c>
      <c r="N167" t="n">
        <v>0</v>
      </c>
      <c r="O167" t="n">
        <v>2</v>
      </c>
      <c r="P167" t="n">
        <v>0</v>
      </c>
      <c r="Q167" t="n">
        <v>2</v>
      </c>
      <c r="R167" s="2" t="inlineStr">
        <is>
          <t>Granticka
Ullticka</t>
        </is>
      </c>
      <c r="S167">
        <f>HYPERLINK("https://klasma.github.io/Logging_242481/artfynd/A 30515-2025 artfynd.xlsx", "A 30515-2025")</f>
        <v/>
      </c>
      <c r="T167">
        <f>HYPERLINK("https://klasma.github.io/Logging_242481/kartor/A 30515-2025 karta.png", "A 30515-2025")</f>
        <v/>
      </c>
      <c r="V167">
        <f>HYPERLINK("https://klasma.github.io/Logging_242481/klagomål/A 30515-2025 FSC-klagomål.docx", "A 30515-2025")</f>
        <v/>
      </c>
      <c r="W167">
        <f>HYPERLINK("https://klasma.github.io/Logging_242481/klagomålsmail/A 30515-2025 FSC-klagomål mail.docx", "A 30515-2025")</f>
        <v/>
      </c>
      <c r="X167">
        <f>HYPERLINK("https://klasma.github.io/Logging_242481/tillsyn/A 30515-2025 tillsynsbegäran.docx", "A 30515-2025")</f>
        <v/>
      </c>
      <c r="Y167">
        <f>HYPERLINK("https://klasma.github.io/Logging_242481/tillsynsmail/A 30515-2025 tillsynsbegäran mail.docx", "A 30515-2025")</f>
        <v/>
      </c>
    </row>
    <row r="168" ht="15" customHeight="1">
      <c r="A168" t="inlineStr">
        <is>
          <t>A 30670-2025</t>
        </is>
      </c>
      <c r="B168" s="1" t="n">
        <v>45831</v>
      </c>
      <c r="C168" s="1" t="n">
        <v>45849</v>
      </c>
      <c r="D168" t="inlineStr">
        <is>
          <t>VÄSTERBOTTENS LÄN</t>
        </is>
      </c>
      <c r="E168" t="inlineStr">
        <is>
          <t>LYCKSELE</t>
        </is>
      </c>
      <c r="F168" t="inlineStr">
        <is>
          <t>Sveaskog</t>
        </is>
      </c>
      <c r="G168" t="n">
        <v>12.8</v>
      </c>
      <c r="H168" t="n">
        <v>0</v>
      </c>
      <c r="I168" t="n">
        <v>1</v>
      </c>
      <c r="J168" t="n">
        <v>1</v>
      </c>
      <c r="K168" t="n">
        <v>0</v>
      </c>
      <c r="L168" t="n">
        <v>0</v>
      </c>
      <c r="M168" t="n">
        <v>0</v>
      </c>
      <c r="N168" t="n">
        <v>0</v>
      </c>
      <c r="O168" t="n">
        <v>1</v>
      </c>
      <c r="P168" t="n">
        <v>0</v>
      </c>
      <c r="Q168" t="n">
        <v>2</v>
      </c>
      <c r="R168" s="2" t="inlineStr">
        <is>
          <t>Orange taggsvamp
Skarp dropptaggsvamp</t>
        </is>
      </c>
      <c r="S168">
        <f>HYPERLINK("https://klasma.github.io/Logging_242481/artfynd/A 30670-2025 artfynd.xlsx", "A 30670-2025")</f>
        <v/>
      </c>
      <c r="T168">
        <f>HYPERLINK("https://klasma.github.io/Logging_242481/kartor/A 30670-2025 karta.png", "A 30670-2025")</f>
        <v/>
      </c>
      <c r="V168">
        <f>HYPERLINK("https://klasma.github.io/Logging_242481/klagomål/A 30670-2025 FSC-klagomål.docx", "A 30670-2025")</f>
        <v/>
      </c>
      <c r="W168">
        <f>HYPERLINK("https://klasma.github.io/Logging_242481/klagomålsmail/A 30670-2025 FSC-klagomål mail.docx", "A 30670-2025")</f>
        <v/>
      </c>
      <c r="X168">
        <f>HYPERLINK("https://klasma.github.io/Logging_242481/tillsyn/A 30670-2025 tillsynsbegäran.docx", "A 30670-2025")</f>
        <v/>
      </c>
      <c r="Y168">
        <f>HYPERLINK("https://klasma.github.io/Logging_242481/tillsynsmail/A 30670-2025 tillsynsbegäran mail.docx", "A 30670-2025")</f>
        <v/>
      </c>
    </row>
    <row r="169" ht="15" customHeight="1">
      <c r="A169" t="inlineStr">
        <is>
          <t>A 34032-2025</t>
        </is>
      </c>
      <c r="B169" s="1" t="n">
        <v>45845</v>
      </c>
      <c r="C169" s="1" t="n">
        <v>45849</v>
      </c>
      <c r="D169" t="inlineStr">
        <is>
          <t>VÄSTERBOTTENS LÄN</t>
        </is>
      </c>
      <c r="E169" t="inlineStr">
        <is>
          <t>LYCKSELE</t>
        </is>
      </c>
      <c r="F169" t="inlineStr">
        <is>
          <t>Sveaskog</t>
        </is>
      </c>
      <c r="G169" t="n">
        <v>3.7</v>
      </c>
      <c r="H169" t="n">
        <v>0</v>
      </c>
      <c r="I169" t="n">
        <v>0</v>
      </c>
      <c r="J169" t="n">
        <v>2</v>
      </c>
      <c r="K169" t="n">
        <v>0</v>
      </c>
      <c r="L169" t="n">
        <v>0</v>
      </c>
      <c r="M169" t="n">
        <v>0</v>
      </c>
      <c r="N169" t="n">
        <v>0</v>
      </c>
      <c r="O169" t="n">
        <v>2</v>
      </c>
      <c r="P169" t="n">
        <v>0</v>
      </c>
      <c r="Q169" t="n">
        <v>2</v>
      </c>
      <c r="R169" s="2" t="inlineStr">
        <is>
          <t>Granticka
Lunglav</t>
        </is>
      </c>
      <c r="S169">
        <f>HYPERLINK("https://klasma.github.io/Logging_242481/artfynd/A 34032-2025 artfynd.xlsx", "A 34032-2025")</f>
        <v/>
      </c>
      <c r="T169">
        <f>HYPERLINK("https://klasma.github.io/Logging_242481/kartor/A 34032-2025 karta.png", "A 34032-2025")</f>
        <v/>
      </c>
      <c r="V169">
        <f>HYPERLINK("https://klasma.github.io/Logging_242481/klagomål/A 34032-2025 FSC-klagomål.docx", "A 34032-2025")</f>
        <v/>
      </c>
      <c r="W169">
        <f>HYPERLINK("https://klasma.github.io/Logging_242481/klagomålsmail/A 34032-2025 FSC-klagomål mail.docx", "A 34032-2025")</f>
        <v/>
      </c>
      <c r="X169">
        <f>HYPERLINK("https://klasma.github.io/Logging_242481/tillsyn/A 34032-2025 tillsynsbegäran.docx", "A 34032-2025")</f>
        <v/>
      </c>
      <c r="Y169">
        <f>HYPERLINK("https://klasma.github.io/Logging_242481/tillsynsmail/A 34032-2025 tillsynsbegäran mail.docx", "A 34032-2025")</f>
        <v/>
      </c>
    </row>
    <row r="170" ht="15" customHeight="1">
      <c r="A170" t="inlineStr">
        <is>
          <t>A 36373-2019</t>
        </is>
      </c>
      <c r="B170" s="1" t="n">
        <v>43670</v>
      </c>
      <c r="C170" s="1" t="n">
        <v>45849</v>
      </c>
      <c r="D170" t="inlineStr">
        <is>
          <t>VÄSTERBOTTENS LÄN</t>
        </is>
      </c>
      <c r="E170" t="inlineStr">
        <is>
          <t>LYCKSELE</t>
        </is>
      </c>
      <c r="F170" t="inlineStr">
        <is>
          <t>Sveaskog</t>
        </is>
      </c>
      <c r="G170" t="n">
        <v>2</v>
      </c>
      <c r="H170" t="n">
        <v>0</v>
      </c>
      <c r="I170" t="n">
        <v>1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1</v>
      </c>
      <c r="R170" s="2" t="inlineStr">
        <is>
          <t>Stor aspticka</t>
        </is>
      </c>
      <c r="S170">
        <f>HYPERLINK("https://klasma.github.io/Logging_2481/artfynd/A 36373-2019 artfynd.xlsx", "A 36373-2019")</f>
        <v/>
      </c>
      <c r="T170">
        <f>HYPERLINK("https://klasma.github.io/Logging_2481/kartor/A 36373-2019 karta.png", "A 36373-2019")</f>
        <v/>
      </c>
      <c r="U170">
        <f>HYPERLINK("https://klasma.github.io/Logging_2481/knärot/A 36373-2019 karta knärot.png", "A 36373-2019")</f>
        <v/>
      </c>
      <c r="V170">
        <f>HYPERLINK("https://klasma.github.io/Logging_2481/klagomål/A 36373-2019 FSC-klagomål.docx", "A 36373-2019")</f>
        <v/>
      </c>
      <c r="W170">
        <f>HYPERLINK("https://klasma.github.io/Logging_2481/klagomålsmail/A 36373-2019 FSC-klagomål mail.docx", "A 36373-2019")</f>
        <v/>
      </c>
      <c r="X170">
        <f>HYPERLINK("https://klasma.github.io/Logging_2481/tillsyn/A 36373-2019 tillsynsbegäran.docx", "A 36373-2019")</f>
        <v/>
      </c>
      <c r="Y170">
        <f>HYPERLINK("https://klasma.github.io/Logging_2481/tillsynsmail/A 36373-2019 tillsynsbegäran mail.docx", "A 36373-2019")</f>
        <v/>
      </c>
    </row>
    <row r="171" ht="15" customHeight="1">
      <c r="A171" t="inlineStr">
        <is>
          <t>A 39373-2019</t>
        </is>
      </c>
      <c r="B171" s="1" t="n">
        <v>43690</v>
      </c>
      <c r="C171" s="1" t="n">
        <v>45849</v>
      </c>
      <c r="D171" t="inlineStr">
        <is>
          <t>VÄSTERBOTTENS LÄN</t>
        </is>
      </c>
      <c r="E171" t="inlineStr">
        <is>
          <t>LYCKSELE</t>
        </is>
      </c>
      <c r="F171" t="inlineStr">
        <is>
          <t>Holmen skog AB</t>
        </is>
      </c>
      <c r="G171" t="n">
        <v>11.5</v>
      </c>
      <c r="H171" t="n">
        <v>1</v>
      </c>
      <c r="I171" t="n">
        <v>0</v>
      </c>
      <c r="J171" t="n">
        <v>1</v>
      </c>
      <c r="K171" t="n">
        <v>0</v>
      </c>
      <c r="L171" t="n">
        <v>0</v>
      </c>
      <c r="M171" t="n">
        <v>0</v>
      </c>
      <c r="N171" t="n">
        <v>0</v>
      </c>
      <c r="O171" t="n">
        <v>1</v>
      </c>
      <c r="P171" t="n">
        <v>0</v>
      </c>
      <c r="Q171" t="n">
        <v>1</v>
      </c>
      <c r="R171" s="2" t="inlineStr">
        <is>
          <t>Drillsnäppa</t>
        </is>
      </c>
      <c r="S171">
        <f>HYPERLINK("https://klasma.github.io/Logging_2481/artfynd/A 39373-2019 artfynd.xlsx", "A 39373-2019")</f>
        <v/>
      </c>
      <c r="T171">
        <f>HYPERLINK("https://klasma.github.io/Logging_2481/kartor/A 39373-2019 karta.png", "A 39373-2019")</f>
        <v/>
      </c>
      <c r="V171">
        <f>HYPERLINK("https://klasma.github.io/Logging_2481/klagomål/A 39373-2019 FSC-klagomål.docx", "A 39373-2019")</f>
        <v/>
      </c>
      <c r="W171">
        <f>HYPERLINK("https://klasma.github.io/Logging_2481/klagomålsmail/A 39373-2019 FSC-klagomål mail.docx", "A 39373-2019")</f>
        <v/>
      </c>
      <c r="X171">
        <f>HYPERLINK("https://klasma.github.io/Logging_2481/tillsyn/A 39373-2019 tillsynsbegäran.docx", "A 39373-2019")</f>
        <v/>
      </c>
      <c r="Y171">
        <f>HYPERLINK("https://klasma.github.io/Logging_2481/tillsynsmail/A 39373-2019 tillsynsbegäran mail.docx", "A 39373-2019")</f>
        <v/>
      </c>
    </row>
    <row r="172" ht="15" customHeight="1">
      <c r="A172" t="inlineStr">
        <is>
          <t>A 51211-2019</t>
        </is>
      </c>
      <c r="B172" s="1" t="n">
        <v>43739</v>
      </c>
      <c r="C172" s="1" t="n">
        <v>45849</v>
      </c>
      <c r="D172" t="inlineStr">
        <is>
          <t>VÄSTERBOTTENS LÄN</t>
        </is>
      </c>
      <c r="E172" t="inlineStr">
        <is>
          <t>LYCKSELE</t>
        </is>
      </c>
      <c r="F172" t="inlineStr">
        <is>
          <t>Kyrkan</t>
        </is>
      </c>
      <c r="G172" t="n">
        <v>4.1</v>
      </c>
      <c r="H172" t="n">
        <v>0</v>
      </c>
      <c r="I172" t="n">
        <v>1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1</v>
      </c>
      <c r="R172" s="2" t="inlineStr">
        <is>
          <t>Skarp dropptaggsvamp</t>
        </is>
      </c>
      <c r="S172">
        <f>HYPERLINK("https://klasma.github.io/Logging_2481/artfynd/A 51211-2019 artfynd.xlsx", "A 51211-2019")</f>
        <v/>
      </c>
      <c r="T172">
        <f>HYPERLINK("https://klasma.github.io/Logging_2481/kartor/A 51211-2019 karta.png", "A 51211-2019")</f>
        <v/>
      </c>
      <c r="V172">
        <f>HYPERLINK("https://klasma.github.io/Logging_2481/klagomål/A 51211-2019 FSC-klagomål.docx", "A 51211-2019")</f>
        <v/>
      </c>
      <c r="W172">
        <f>HYPERLINK("https://klasma.github.io/Logging_2481/klagomålsmail/A 51211-2019 FSC-klagomål mail.docx", "A 51211-2019")</f>
        <v/>
      </c>
      <c r="X172">
        <f>HYPERLINK("https://klasma.github.io/Logging_2481/tillsyn/A 51211-2019 tillsynsbegäran.docx", "A 51211-2019")</f>
        <v/>
      </c>
      <c r="Y172">
        <f>HYPERLINK("https://klasma.github.io/Logging_2481/tillsynsmail/A 51211-2019 tillsynsbegäran mail.docx", "A 51211-2019")</f>
        <v/>
      </c>
    </row>
    <row r="173" ht="15" customHeight="1">
      <c r="A173" t="inlineStr">
        <is>
          <t>A 60563-2019</t>
        </is>
      </c>
      <c r="B173" s="1" t="n">
        <v>43781</v>
      </c>
      <c r="C173" s="1" t="n">
        <v>45849</v>
      </c>
      <c r="D173" t="inlineStr">
        <is>
          <t>VÄSTERBOTTENS LÄN</t>
        </is>
      </c>
      <c r="E173" t="inlineStr">
        <is>
          <t>LYCKSELE</t>
        </is>
      </c>
      <c r="F173" t="inlineStr">
        <is>
          <t>Sveaskog</t>
        </is>
      </c>
      <c r="G173" t="n">
        <v>25.1</v>
      </c>
      <c r="H173" t="n">
        <v>0</v>
      </c>
      <c r="I173" t="n">
        <v>0</v>
      </c>
      <c r="J173" t="n">
        <v>1</v>
      </c>
      <c r="K173" t="n">
        <v>0</v>
      </c>
      <c r="L173" t="n">
        <v>0</v>
      </c>
      <c r="M173" t="n">
        <v>0</v>
      </c>
      <c r="N173" t="n">
        <v>0</v>
      </c>
      <c r="O173" t="n">
        <v>1</v>
      </c>
      <c r="P173" t="n">
        <v>0</v>
      </c>
      <c r="Q173" t="n">
        <v>1</v>
      </c>
      <c r="R173" s="2" t="inlineStr">
        <is>
          <t>Lunglav</t>
        </is>
      </c>
      <c r="S173">
        <f>HYPERLINK("https://klasma.github.io/Logging_2481/artfynd/A 60563-2019 artfynd.xlsx", "A 60563-2019")</f>
        <v/>
      </c>
      <c r="T173">
        <f>HYPERLINK("https://klasma.github.io/Logging_2481/kartor/A 60563-2019 karta.png", "A 60563-2019")</f>
        <v/>
      </c>
      <c r="V173">
        <f>HYPERLINK("https://klasma.github.io/Logging_2481/klagomål/A 60563-2019 FSC-klagomål.docx", "A 60563-2019")</f>
        <v/>
      </c>
      <c r="W173">
        <f>HYPERLINK("https://klasma.github.io/Logging_2481/klagomålsmail/A 60563-2019 FSC-klagomål mail.docx", "A 60563-2019")</f>
        <v/>
      </c>
      <c r="X173">
        <f>HYPERLINK("https://klasma.github.io/Logging_2481/tillsyn/A 60563-2019 tillsynsbegäran.docx", "A 60563-2019")</f>
        <v/>
      </c>
      <c r="Y173">
        <f>HYPERLINK("https://klasma.github.io/Logging_2481/tillsynsmail/A 60563-2019 tillsynsbegäran mail.docx", "A 60563-2019")</f>
        <v/>
      </c>
    </row>
    <row r="174" ht="15" customHeight="1">
      <c r="A174" t="inlineStr">
        <is>
          <t>A 67975-2019</t>
        </is>
      </c>
      <c r="B174" s="1" t="n">
        <v>43816</v>
      </c>
      <c r="C174" s="1" t="n">
        <v>45849</v>
      </c>
      <c r="D174" t="inlineStr">
        <is>
          <t>VÄSTERBOTTENS LÄN</t>
        </is>
      </c>
      <c r="E174" t="inlineStr">
        <is>
          <t>LYCKSELE</t>
        </is>
      </c>
      <c r="F174" t="inlineStr">
        <is>
          <t>Sveaskog</t>
        </is>
      </c>
      <c r="G174" t="n">
        <v>11.5</v>
      </c>
      <c r="H174" t="n">
        <v>0</v>
      </c>
      <c r="I174" t="n">
        <v>0</v>
      </c>
      <c r="J174" t="n">
        <v>1</v>
      </c>
      <c r="K174" t="n">
        <v>0</v>
      </c>
      <c r="L174" t="n">
        <v>0</v>
      </c>
      <c r="M174" t="n">
        <v>0</v>
      </c>
      <c r="N174" t="n">
        <v>0</v>
      </c>
      <c r="O174" t="n">
        <v>1</v>
      </c>
      <c r="P174" t="n">
        <v>0</v>
      </c>
      <c r="Q174" t="n">
        <v>1</v>
      </c>
      <c r="R174" s="2" t="inlineStr">
        <is>
          <t>Lunglav</t>
        </is>
      </c>
      <c r="S174">
        <f>HYPERLINK("https://klasma.github.io/Logging_2481/artfynd/A 67975-2019 artfynd.xlsx", "A 67975-2019")</f>
        <v/>
      </c>
      <c r="T174">
        <f>HYPERLINK("https://klasma.github.io/Logging_2481/kartor/A 67975-2019 karta.png", "A 67975-2019")</f>
        <v/>
      </c>
      <c r="V174">
        <f>HYPERLINK("https://klasma.github.io/Logging_2481/klagomål/A 67975-2019 FSC-klagomål.docx", "A 67975-2019")</f>
        <v/>
      </c>
      <c r="W174">
        <f>HYPERLINK("https://klasma.github.io/Logging_2481/klagomålsmail/A 67975-2019 FSC-klagomål mail.docx", "A 67975-2019")</f>
        <v/>
      </c>
      <c r="X174">
        <f>HYPERLINK("https://klasma.github.io/Logging_2481/tillsyn/A 67975-2019 tillsynsbegäran.docx", "A 67975-2019")</f>
        <v/>
      </c>
      <c r="Y174">
        <f>HYPERLINK("https://klasma.github.io/Logging_2481/tillsynsmail/A 67975-2019 tillsynsbegäran mail.docx", "A 67975-2019")</f>
        <v/>
      </c>
    </row>
    <row r="175" ht="15" customHeight="1">
      <c r="A175" t="inlineStr">
        <is>
          <t>A 68098-2019</t>
        </is>
      </c>
      <c r="B175" s="1" t="n">
        <v>43817</v>
      </c>
      <c r="C175" s="1" t="n">
        <v>45849</v>
      </c>
      <c r="D175" t="inlineStr">
        <is>
          <t>VÄSTERBOTTENS LÄN</t>
        </is>
      </c>
      <c r="E175" t="inlineStr">
        <is>
          <t>LYCKSELE</t>
        </is>
      </c>
      <c r="F175" t="inlineStr">
        <is>
          <t>Sveaskog</t>
        </is>
      </c>
      <c r="G175" t="n">
        <v>5.1</v>
      </c>
      <c r="H175" t="n">
        <v>0</v>
      </c>
      <c r="I175" t="n">
        <v>0</v>
      </c>
      <c r="J175" t="n">
        <v>1</v>
      </c>
      <c r="K175" t="n">
        <v>0</v>
      </c>
      <c r="L175" t="n">
        <v>0</v>
      </c>
      <c r="M175" t="n">
        <v>0</v>
      </c>
      <c r="N175" t="n">
        <v>0</v>
      </c>
      <c r="O175" t="n">
        <v>1</v>
      </c>
      <c r="P175" t="n">
        <v>0</v>
      </c>
      <c r="Q175" t="n">
        <v>1</v>
      </c>
      <c r="R175" s="2" t="inlineStr">
        <is>
          <t>Harticka</t>
        </is>
      </c>
      <c r="S175">
        <f>HYPERLINK("https://klasma.github.io/Logging_2481/artfynd/A 68098-2019 artfynd.xlsx", "A 68098-2019")</f>
        <v/>
      </c>
      <c r="T175">
        <f>HYPERLINK("https://klasma.github.io/Logging_2481/kartor/A 68098-2019 karta.png", "A 68098-2019")</f>
        <v/>
      </c>
      <c r="V175">
        <f>HYPERLINK("https://klasma.github.io/Logging_2481/klagomål/A 68098-2019 FSC-klagomål.docx", "A 68098-2019")</f>
        <v/>
      </c>
      <c r="W175">
        <f>HYPERLINK("https://klasma.github.io/Logging_2481/klagomålsmail/A 68098-2019 FSC-klagomål mail.docx", "A 68098-2019")</f>
        <v/>
      </c>
      <c r="X175">
        <f>HYPERLINK("https://klasma.github.io/Logging_2481/tillsyn/A 68098-2019 tillsynsbegäran.docx", "A 68098-2019")</f>
        <v/>
      </c>
      <c r="Y175">
        <f>HYPERLINK("https://klasma.github.io/Logging_2481/tillsynsmail/A 68098-2019 tillsynsbegäran mail.docx", "A 68098-2019")</f>
        <v/>
      </c>
    </row>
    <row r="176" ht="15" customHeight="1">
      <c r="A176" t="inlineStr">
        <is>
          <t>A 28098-2020</t>
        </is>
      </c>
      <c r="B176" s="1" t="n">
        <v>43997</v>
      </c>
      <c r="C176" s="1" t="n">
        <v>45849</v>
      </c>
      <c r="D176" t="inlineStr">
        <is>
          <t>VÄSTERBOTTENS LÄN</t>
        </is>
      </c>
      <c r="E176" t="inlineStr">
        <is>
          <t>LYCKSELE</t>
        </is>
      </c>
      <c r="F176" t="inlineStr">
        <is>
          <t>Kyrkan</t>
        </is>
      </c>
      <c r="G176" t="n">
        <v>6.4</v>
      </c>
      <c r="H176" t="n">
        <v>0</v>
      </c>
      <c r="I176" t="n">
        <v>1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1</v>
      </c>
      <c r="R176" s="2" t="inlineStr">
        <is>
          <t>Mindre märgborre</t>
        </is>
      </c>
      <c r="S176">
        <f>HYPERLINK("https://klasma.github.io/Logging_2481/artfynd/A 28098-2020 artfynd.xlsx", "A 28098-2020")</f>
        <v/>
      </c>
      <c r="T176">
        <f>HYPERLINK("https://klasma.github.io/Logging_2481/kartor/A 28098-2020 karta.png", "A 28098-2020")</f>
        <v/>
      </c>
      <c r="V176">
        <f>HYPERLINK("https://klasma.github.io/Logging_2481/klagomål/A 28098-2020 FSC-klagomål.docx", "A 28098-2020")</f>
        <v/>
      </c>
      <c r="W176">
        <f>HYPERLINK("https://klasma.github.io/Logging_2481/klagomålsmail/A 28098-2020 FSC-klagomål mail.docx", "A 28098-2020")</f>
        <v/>
      </c>
      <c r="X176">
        <f>HYPERLINK("https://klasma.github.io/Logging_2481/tillsyn/A 28098-2020 tillsynsbegäran.docx", "A 28098-2020")</f>
        <v/>
      </c>
      <c r="Y176">
        <f>HYPERLINK("https://klasma.github.io/Logging_2481/tillsynsmail/A 28098-2020 tillsynsbegäran mail.docx", "A 28098-2020")</f>
        <v/>
      </c>
    </row>
    <row r="177" ht="15" customHeight="1">
      <c r="A177" t="inlineStr">
        <is>
          <t>A 31460-2021</t>
        </is>
      </c>
      <c r="B177" s="1" t="n">
        <v>44369</v>
      </c>
      <c r="C177" s="1" t="n">
        <v>45849</v>
      </c>
      <c r="D177" t="inlineStr">
        <is>
          <t>VÄSTERBOTTENS LÄN</t>
        </is>
      </c>
      <c r="E177" t="inlineStr">
        <is>
          <t>LYCKSELE</t>
        </is>
      </c>
      <c r="F177" t="inlineStr">
        <is>
          <t>Sveaskog</t>
        </is>
      </c>
      <c r="G177" t="n">
        <v>6.3</v>
      </c>
      <c r="H177" t="n">
        <v>0</v>
      </c>
      <c r="I177" t="n">
        <v>0</v>
      </c>
      <c r="J177" t="n">
        <v>1</v>
      </c>
      <c r="K177" t="n">
        <v>0</v>
      </c>
      <c r="L177" t="n">
        <v>0</v>
      </c>
      <c r="M177" t="n">
        <v>0</v>
      </c>
      <c r="N177" t="n">
        <v>0</v>
      </c>
      <c r="O177" t="n">
        <v>1</v>
      </c>
      <c r="P177" t="n">
        <v>0</v>
      </c>
      <c r="Q177" t="n">
        <v>1</v>
      </c>
      <c r="R177" s="2" t="inlineStr">
        <is>
          <t>Nordtagging</t>
        </is>
      </c>
      <c r="S177">
        <f>HYPERLINK("https://klasma.github.io/Logging_2481/artfynd/A 31460-2021 artfynd.xlsx", "A 31460-2021")</f>
        <v/>
      </c>
      <c r="T177">
        <f>HYPERLINK("https://klasma.github.io/Logging_2481/kartor/A 31460-2021 karta.png", "A 31460-2021")</f>
        <v/>
      </c>
      <c r="V177">
        <f>HYPERLINK("https://klasma.github.io/Logging_2481/klagomål/A 31460-2021 FSC-klagomål.docx", "A 31460-2021")</f>
        <v/>
      </c>
      <c r="W177">
        <f>HYPERLINK("https://klasma.github.io/Logging_2481/klagomålsmail/A 31460-2021 FSC-klagomål mail.docx", "A 31460-2021")</f>
        <v/>
      </c>
      <c r="X177">
        <f>HYPERLINK("https://klasma.github.io/Logging_2481/tillsyn/A 31460-2021 tillsynsbegäran.docx", "A 31460-2021")</f>
        <v/>
      </c>
      <c r="Y177">
        <f>HYPERLINK("https://klasma.github.io/Logging_2481/tillsynsmail/A 31460-2021 tillsynsbegäran mail.docx", "A 31460-2021")</f>
        <v/>
      </c>
    </row>
    <row r="178" ht="15" customHeight="1">
      <c r="A178" t="inlineStr">
        <is>
          <t>A 37583-2021</t>
        </is>
      </c>
      <c r="B178" s="1" t="n">
        <v>44399</v>
      </c>
      <c r="C178" s="1" t="n">
        <v>45849</v>
      </c>
      <c r="D178" t="inlineStr">
        <is>
          <t>VÄSTERBOTTENS LÄN</t>
        </is>
      </c>
      <c r="E178" t="inlineStr">
        <is>
          <t>LYCKSELE</t>
        </is>
      </c>
      <c r="F178" t="inlineStr">
        <is>
          <t>Holmen skog AB</t>
        </is>
      </c>
      <c r="G178" t="n">
        <v>10.9</v>
      </c>
      <c r="H178" t="n">
        <v>1</v>
      </c>
      <c r="I178" t="n">
        <v>0</v>
      </c>
      <c r="J178" t="n">
        <v>1</v>
      </c>
      <c r="K178" t="n">
        <v>0</v>
      </c>
      <c r="L178" t="n">
        <v>0</v>
      </c>
      <c r="M178" t="n">
        <v>0</v>
      </c>
      <c r="N178" t="n">
        <v>0</v>
      </c>
      <c r="O178" t="n">
        <v>1</v>
      </c>
      <c r="P178" t="n">
        <v>0</v>
      </c>
      <c r="Q178" t="n">
        <v>1</v>
      </c>
      <c r="R178" s="2" t="inlineStr">
        <is>
          <t>Tretåig hackspett</t>
        </is>
      </c>
      <c r="S178">
        <f>HYPERLINK("https://klasma.github.io/Logging_2481/artfynd/A 37583-2021 artfynd.xlsx", "A 37583-2021")</f>
        <v/>
      </c>
      <c r="T178">
        <f>HYPERLINK("https://klasma.github.io/Logging_2481/kartor/A 37583-2021 karta.png", "A 37583-2021")</f>
        <v/>
      </c>
      <c r="V178">
        <f>HYPERLINK("https://klasma.github.io/Logging_2481/klagomål/A 37583-2021 FSC-klagomål.docx", "A 37583-2021")</f>
        <v/>
      </c>
      <c r="W178">
        <f>HYPERLINK("https://klasma.github.io/Logging_2481/klagomålsmail/A 37583-2021 FSC-klagomål mail.docx", "A 37583-2021")</f>
        <v/>
      </c>
      <c r="X178">
        <f>HYPERLINK("https://klasma.github.io/Logging_2481/tillsyn/A 37583-2021 tillsynsbegäran.docx", "A 37583-2021")</f>
        <v/>
      </c>
      <c r="Y178">
        <f>HYPERLINK("https://klasma.github.io/Logging_2481/tillsynsmail/A 37583-2021 tillsynsbegäran mail.docx", "A 37583-2021")</f>
        <v/>
      </c>
      <c r="Z178">
        <f>HYPERLINK("https://klasma.github.io/Logging_2481/fåglar/A 37583-2021 prioriterade fågelarter.docx", "A 37583-2021")</f>
        <v/>
      </c>
    </row>
    <row r="179" ht="15" customHeight="1">
      <c r="A179" t="inlineStr">
        <is>
          <t>A 54142-2021</t>
        </is>
      </c>
      <c r="B179" s="1" t="n">
        <v>44470</v>
      </c>
      <c r="C179" s="1" t="n">
        <v>45849</v>
      </c>
      <c r="D179" t="inlineStr">
        <is>
          <t>VÄSTERBOTTENS LÄN</t>
        </is>
      </c>
      <c r="E179" t="inlineStr">
        <is>
          <t>LYCKSELE</t>
        </is>
      </c>
      <c r="F179" t="inlineStr">
        <is>
          <t>Sveaskog</t>
        </is>
      </c>
      <c r="G179" t="n">
        <v>15.5</v>
      </c>
      <c r="H179" t="n">
        <v>0</v>
      </c>
      <c r="I179" t="n">
        <v>0</v>
      </c>
      <c r="J179" t="n">
        <v>1</v>
      </c>
      <c r="K179" t="n">
        <v>0</v>
      </c>
      <c r="L179" t="n">
        <v>0</v>
      </c>
      <c r="M179" t="n">
        <v>0</v>
      </c>
      <c r="N179" t="n">
        <v>0</v>
      </c>
      <c r="O179" t="n">
        <v>1</v>
      </c>
      <c r="P179" t="n">
        <v>0</v>
      </c>
      <c r="Q179" t="n">
        <v>1</v>
      </c>
      <c r="R179" s="2" t="inlineStr">
        <is>
          <t>Garnlav</t>
        </is>
      </c>
      <c r="S179">
        <f>HYPERLINK("https://klasma.github.io/Logging_2481/artfynd/A 54142-2021 artfynd.xlsx", "A 54142-2021")</f>
        <v/>
      </c>
      <c r="T179">
        <f>HYPERLINK("https://klasma.github.io/Logging_2481/kartor/A 54142-2021 karta.png", "A 54142-2021")</f>
        <v/>
      </c>
      <c r="U179">
        <f>HYPERLINK("https://klasma.github.io/Logging_2481/knärot/A 54142-2021 karta knärot.png", "A 54142-2021")</f>
        <v/>
      </c>
      <c r="V179">
        <f>HYPERLINK("https://klasma.github.io/Logging_2481/klagomål/A 54142-2021 FSC-klagomål.docx", "A 54142-2021")</f>
        <v/>
      </c>
      <c r="W179">
        <f>HYPERLINK("https://klasma.github.io/Logging_2481/klagomålsmail/A 54142-2021 FSC-klagomål mail.docx", "A 54142-2021")</f>
        <v/>
      </c>
      <c r="X179">
        <f>HYPERLINK("https://klasma.github.io/Logging_2481/tillsyn/A 54142-2021 tillsynsbegäran.docx", "A 54142-2021")</f>
        <v/>
      </c>
      <c r="Y179">
        <f>HYPERLINK("https://klasma.github.io/Logging_2481/tillsynsmail/A 54142-2021 tillsynsbegäran mail.docx", "A 54142-2021")</f>
        <v/>
      </c>
    </row>
    <row r="180" ht="15" customHeight="1">
      <c r="A180" t="inlineStr">
        <is>
          <t>A 59780-2021</t>
        </is>
      </c>
      <c r="B180" s="1" t="n">
        <v>44494</v>
      </c>
      <c r="C180" s="1" t="n">
        <v>45849</v>
      </c>
      <c r="D180" t="inlineStr">
        <is>
          <t>VÄSTERBOTTENS LÄN</t>
        </is>
      </c>
      <c r="E180" t="inlineStr">
        <is>
          <t>LYCKSELE</t>
        </is>
      </c>
      <c r="F180" t="inlineStr">
        <is>
          <t>Sveaskog</t>
        </is>
      </c>
      <c r="G180" t="n">
        <v>5</v>
      </c>
      <c r="H180" t="n">
        <v>0</v>
      </c>
      <c r="I180" t="n">
        <v>0</v>
      </c>
      <c r="J180" t="n">
        <v>1</v>
      </c>
      <c r="K180" t="n">
        <v>0</v>
      </c>
      <c r="L180" t="n">
        <v>0</v>
      </c>
      <c r="M180" t="n">
        <v>0</v>
      </c>
      <c r="N180" t="n">
        <v>0</v>
      </c>
      <c r="O180" t="n">
        <v>1</v>
      </c>
      <c r="P180" t="n">
        <v>0</v>
      </c>
      <c r="Q180" t="n">
        <v>1</v>
      </c>
      <c r="R180" s="2" t="inlineStr">
        <is>
          <t>Lunglav</t>
        </is>
      </c>
      <c r="S180">
        <f>HYPERLINK("https://klasma.github.io/Logging_2481/artfynd/A 59780-2021 artfynd.xlsx", "A 59780-2021")</f>
        <v/>
      </c>
      <c r="T180">
        <f>HYPERLINK("https://klasma.github.io/Logging_2481/kartor/A 59780-2021 karta.png", "A 59780-2021")</f>
        <v/>
      </c>
      <c r="V180">
        <f>HYPERLINK("https://klasma.github.io/Logging_2481/klagomål/A 59780-2021 FSC-klagomål.docx", "A 59780-2021")</f>
        <v/>
      </c>
      <c r="W180">
        <f>HYPERLINK("https://klasma.github.io/Logging_2481/klagomålsmail/A 59780-2021 FSC-klagomål mail.docx", "A 59780-2021")</f>
        <v/>
      </c>
      <c r="X180">
        <f>HYPERLINK("https://klasma.github.io/Logging_2481/tillsyn/A 59780-2021 tillsynsbegäran.docx", "A 59780-2021")</f>
        <v/>
      </c>
      <c r="Y180">
        <f>HYPERLINK("https://klasma.github.io/Logging_2481/tillsynsmail/A 59780-2021 tillsynsbegäran mail.docx", "A 59780-2021")</f>
        <v/>
      </c>
    </row>
    <row r="181" ht="15" customHeight="1">
      <c r="A181" t="inlineStr">
        <is>
          <t>A 60045-2021</t>
        </is>
      </c>
      <c r="B181" s="1" t="n">
        <v>44495</v>
      </c>
      <c r="C181" s="1" t="n">
        <v>45849</v>
      </c>
      <c r="D181" t="inlineStr">
        <is>
          <t>VÄSTERBOTTENS LÄN</t>
        </is>
      </c>
      <c r="E181" t="inlineStr">
        <is>
          <t>LYCKSELE</t>
        </is>
      </c>
      <c r="F181" t="inlineStr">
        <is>
          <t>Sveaskog</t>
        </is>
      </c>
      <c r="G181" t="n">
        <v>0.6</v>
      </c>
      <c r="H181" t="n">
        <v>0</v>
      </c>
      <c r="I181" t="n">
        <v>0</v>
      </c>
      <c r="J181" t="n">
        <v>1</v>
      </c>
      <c r="K181" t="n">
        <v>0</v>
      </c>
      <c r="L181" t="n">
        <v>0</v>
      </c>
      <c r="M181" t="n">
        <v>0</v>
      </c>
      <c r="N181" t="n">
        <v>0</v>
      </c>
      <c r="O181" t="n">
        <v>1</v>
      </c>
      <c r="P181" t="n">
        <v>0</v>
      </c>
      <c r="Q181" t="n">
        <v>1</v>
      </c>
      <c r="R181" s="2" t="inlineStr">
        <is>
          <t>Lunglav</t>
        </is>
      </c>
      <c r="S181">
        <f>HYPERLINK("https://klasma.github.io/Logging_2481/artfynd/A 60045-2021 artfynd.xlsx", "A 60045-2021")</f>
        <v/>
      </c>
      <c r="T181">
        <f>HYPERLINK("https://klasma.github.io/Logging_2481/kartor/A 60045-2021 karta.png", "A 60045-2021")</f>
        <v/>
      </c>
      <c r="V181">
        <f>HYPERLINK("https://klasma.github.io/Logging_2481/klagomål/A 60045-2021 FSC-klagomål.docx", "A 60045-2021")</f>
        <v/>
      </c>
      <c r="W181">
        <f>HYPERLINK("https://klasma.github.io/Logging_2481/klagomålsmail/A 60045-2021 FSC-klagomål mail.docx", "A 60045-2021")</f>
        <v/>
      </c>
      <c r="X181">
        <f>HYPERLINK("https://klasma.github.io/Logging_2481/tillsyn/A 60045-2021 tillsynsbegäran.docx", "A 60045-2021")</f>
        <v/>
      </c>
      <c r="Y181">
        <f>HYPERLINK("https://klasma.github.io/Logging_2481/tillsynsmail/A 60045-2021 tillsynsbegäran mail.docx", "A 60045-2021")</f>
        <v/>
      </c>
    </row>
    <row r="182" ht="15" customHeight="1">
      <c r="A182" t="inlineStr">
        <is>
          <t>A 72131-2021</t>
        </is>
      </c>
      <c r="B182" s="1" t="n">
        <v>44543</v>
      </c>
      <c r="C182" s="1" t="n">
        <v>45849</v>
      </c>
      <c r="D182" t="inlineStr">
        <is>
          <t>VÄSTERBOTTENS LÄN</t>
        </is>
      </c>
      <c r="E182" t="inlineStr">
        <is>
          <t>LYCKSELE</t>
        </is>
      </c>
      <c r="G182" t="n">
        <v>19.1</v>
      </c>
      <c r="H182" t="n">
        <v>1</v>
      </c>
      <c r="I182" t="n">
        <v>0</v>
      </c>
      <c r="J182" t="n">
        <v>1</v>
      </c>
      <c r="K182" t="n">
        <v>0</v>
      </c>
      <c r="L182" t="n">
        <v>0</v>
      </c>
      <c r="M182" t="n">
        <v>0</v>
      </c>
      <c r="N182" t="n">
        <v>0</v>
      </c>
      <c r="O182" t="n">
        <v>1</v>
      </c>
      <c r="P182" t="n">
        <v>0</v>
      </c>
      <c r="Q182" t="n">
        <v>1</v>
      </c>
      <c r="R182" s="2" t="inlineStr">
        <is>
          <t>Tretåig hackspett</t>
        </is>
      </c>
      <c r="S182">
        <f>HYPERLINK("https://klasma.github.io/Logging_2481/artfynd/A 72131-2021 artfynd.xlsx", "A 72131-2021")</f>
        <v/>
      </c>
      <c r="T182">
        <f>HYPERLINK("https://klasma.github.io/Logging_2481/kartor/A 72131-2021 karta.png", "A 72131-2021")</f>
        <v/>
      </c>
      <c r="V182">
        <f>HYPERLINK("https://klasma.github.io/Logging_2481/klagomål/A 72131-2021 FSC-klagomål.docx", "A 72131-2021")</f>
        <v/>
      </c>
      <c r="W182">
        <f>HYPERLINK("https://klasma.github.io/Logging_2481/klagomålsmail/A 72131-2021 FSC-klagomål mail.docx", "A 72131-2021")</f>
        <v/>
      </c>
      <c r="X182">
        <f>HYPERLINK("https://klasma.github.io/Logging_2481/tillsyn/A 72131-2021 tillsynsbegäran.docx", "A 72131-2021")</f>
        <v/>
      </c>
      <c r="Y182">
        <f>HYPERLINK("https://klasma.github.io/Logging_2481/tillsynsmail/A 72131-2021 tillsynsbegäran mail.docx", "A 72131-2021")</f>
        <v/>
      </c>
      <c r="Z182">
        <f>HYPERLINK("https://klasma.github.io/Logging_2481/fåglar/A 72131-2021 prioriterade fågelarter.docx", "A 72131-2021")</f>
        <v/>
      </c>
    </row>
    <row r="183" ht="15" customHeight="1">
      <c r="A183" t="inlineStr">
        <is>
          <t>A 73357-2021</t>
        </is>
      </c>
      <c r="B183" s="1" t="n">
        <v>44551</v>
      </c>
      <c r="C183" s="1" t="n">
        <v>45849</v>
      </c>
      <c r="D183" t="inlineStr">
        <is>
          <t>VÄSTERBOTTENS LÄN</t>
        </is>
      </c>
      <c r="E183" t="inlineStr">
        <is>
          <t>LYCKSELE</t>
        </is>
      </c>
      <c r="G183" t="n">
        <v>11.3</v>
      </c>
      <c r="H183" t="n">
        <v>0</v>
      </c>
      <c r="I183" t="n">
        <v>0</v>
      </c>
      <c r="J183" t="n">
        <v>1</v>
      </c>
      <c r="K183" t="n">
        <v>0</v>
      </c>
      <c r="L183" t="n">
        <v>0</v>
      </c>
      <c r="M183" t="n">
        <v>0</v>
      </c>
      <c r="N183" t="n">
        <v>0</v>
      </c>
      <c r="O183" t="n">
        <v>1</v>
      </c>
      <c r="P183" t="n">
        <v>0</v>
      </c>
      <c r="Q183" t="n">
        <v>1</v>
      </c>
      <c r="R183" s="2" t="inlineStr">
        <is>
          <t>Garnlav</t>
        </is>
      </c>
      <c r="S183">
        <f>HYPERLINK("https://klasma.github.io/Logging_2481/artfynd/A 73357-2021 artfynd.xlsx", "A 73357-2021")</f>
        <v/>
      </c>
      <c r="T183">
        <f>HYPERLINK("https://klasma.github.io/Logging_2481/kartor/A 73357-2021 karta.png", "A 73357-2021")</f>
        <v/>
      </c>
      <c r="V183">
        <f>HYPERLINK("https://klasma.github.io/Logging_2481/klagomål/A 73357-2021 FSC-klagomål.docx", "A 73357-2021")</f>
        <v/>
      </c>
      <c r="W183">
        <f>HYPERLINK("https://klasma.github.io/Logging_2481/klagomålsmail/A 73357-2021 FSC-klagomål mail.docx", "A 73357-2021")</f>
        <v/>
      </c>
      <c r="X183">
        <f>HYPERLINK("https://klasma.github.io/Logging_2481/tillsyn/A 73357-2021 tillsynsbegäran.docx", "A 73357-2021")</f>
        <v/>
      </c>
      <c r="Y183">
        <f>HYPERLINK("https://klasma.github.io/Logging_2481/tillsynsmail/A 73357-2021 tillsynsbegäran mail.docx", "A 73357-2021")</f>
        <v/>
      </c>
    </row>
    <row r="184" ht="15" customHeight="1">
      <c r="A184" t="inlineStr">
        <is>
          <t>A 3929-2022</t>
        </is>
      </c>
      <c r="B184" s="1" t="n">
        <v>44587</v>
      </c>
      <c r="C184" s="1" t="n">
        <v>45849</v>
      </c>
      <c r="D184" t="inlineStr">
        <is>
          <t>VÄSTERBOTTENS LÄN</t>
        </is>
      </c>
      <c r="E184" t="inlineStr">
        <is>
          <t>LYCKSELE</t>
        </is>
      </c>
      <c r="F184" t="inlineStr">
        <is>
          <t>Sveaskog</t>
        </is>
      </c>
      <c r="G184" t="n">
        <v>6.7</v>
      </c>
      <c r="H184" t="n">
        <v>0</v>
      </c>
      <c r="I184" t="n">
        <v>0</v>
      </c>
      <c r="J184" t="n">
        <v>1</v>
      </c>
      <c r="K184" t="n">
        <v>0</v>
      </c>
      <c r="L184" t="n">
        <v>0</v>
      </c>
      <c r="M184" t="n">
        <v>0</v>
      </c>
      <c r="N184" t="n">
        <v>0</v>
      </c>
      <c r="O184" t="n">
        <v>1</v>
      </c>
      <c r="P184" t="n">
        <v>0</v>
      </c>
      <c r="Q184" t="n">
        <v>1</v>
      </c>
      <c r="R184" s="2" t="inlineStr">
        <is>
          <t>Kolflarnlav</t>
        </is>
      </c>
      <c r="S184">
        <f>HYPERLINK("https://klasma.github.io/Logging_2481/artfynd/A 3929-2022 artfynd.xlsx", "A 3929-2022")</f>
        <v/>
      </c>
      <c r="T184">
        <f>HYPERLINK("https://klasma.github.io/Logging_2481/kartor/A 3929-2022 karta.png", "A 3929-2022")</f>
        <v/>
      </c>
      <c r="V184">
        <f>HYPERLINK("https://klasma.github.io/Logging_2481/klagomål/A 3929-2022 FSC-klagomål.docx", "A 3929-2022")</f>
        <v/>
      </c>
      <c r="W184">
        <f>HYPERLINK("https://klasma.github.io/Logging_2481/klagomålsmail/A 3929-2022 FSC-klagomål mail.docx", "A 3929-2022")</f>
        <v/>
      </c>
      <c r="X184">
        <f>HYPERLINK("https://klasma.github.io/Logging_2481/tillsyn/A 3929-2022 tillsynsbegäran.docx", "A 3929-2022")</f>
        <v/>
      </c>
      <c r="Y184">
        <f>HYPERLINK("https://klasma.github.io/Logging_2481/tillsynsmail/A 3929-2022 tillsynsbegäran mail.docx", "A 3929-2022")</f>
        <v/>
      </c>
    </row>
    <row r="185" ht="15" customHeight="1">
      <c r="A185" t="inlineStr">
        <is>
          <t>A 9073-2022</t>
        </is>
      </c>
      <c r="B185" s="1" t="n">
        <v>44615</v>
      </c>
      <c r="C185" s="1" t="n">
        <v>45849</v>
      </c>
      <c r="D185" t="inlineStr">
        <is>
          <t>VÄSTERBOTTENS LÄN</t>
        </is>
      </c>
      <c r="E185" t="inlineStr">
        <is>
          <t>LYCKSELE</t>
        </is>
      </c>
      <c r="G185" t="n">
        <v>3</v>
      </c>
      <c r="H185" t="n">
        <v>1</v>
      </c>
      <c r="I185" t="n">
        <v>0</v>
      </c>
      <c r="J185" t="n">
        <v>1</v>
      </c>
      <c r="K185" t="n">
        <v>0</v>
      </c>
      <c r="L185" t="n">
        <v>0</v>
      </c>
      <c r="M185" t="n">
        <v>0</v>
      </c>
      <c r="N185" t="n">
        <v>0</v>
      </c>
      <c r="O185" t="n">
        <v>1</v>
      </c>
      <c r="P185" t="n">
        <v>0</v>
      </c>
      <c r="Q185" t="n">
        <v>1</v>
      </c>
      <c r="R185" s="2" t="inlineStr">
        <is>
          <t>Utter</t>
        </is>
      </c>
      <c r="S185">
        <f>HYPERLINK("https://klasma.github.io/Logging_2481/artfynd/A 9073-2022 artfynd.xlsx", "A 9073-2022")</f>
        <v/>
      </c>
      <c r="T185">
        <f>HYPERLINK("https://klasma.github.io/Logging_2481/kartor/A 9073-2022 karta.png", "A 9073-2022")</f>
        <v/>
      </c>
      <c r="V185">
        <f>HYPERLINK("https://klasma.github.io/Logging_2481/klagomål/A 9073-2022 FSC-klagomål.docx", "A 9073-2022")</f>
        <v/>
      </c>
      <c r="W185">
        <f>HYPERLINK("https://klasma.github.io/Logging_2481/klagomålsmail/A 9073-2022 FSC-klagomål mail.docx", "A 9073-2022")</f>
        <v/>
      </c>
      <c r="X185">
        <f>HYPERLINK("https://klasma.github.io/Logging_2481/tillsyn/A 9073-2022 tillsynsbegäran.docx", "A 9073-2022")</f>
        <v/>
      </c>
      <c r="Y185">
        <f>HYPERLINK("https://klasma.github.io/Logging_2481/tillsynsmail/A 9073-2022 tillsynsbegäran mail.docx", "A 9073-2022")</f>
        <v/>
      </c>
    </row>
    <row r="186" ht="15" customHeight="1">
      <c r="A186" t="inlineStr">
        <is>
          <t>A 9341-2022</t>
        </is>
      </c>
      <c r="B186" s="1" t="n">
        <v>44616</v>
      </c>
      <c r="C186" s="1" t="n">
        <v>45849</v>
      </c>
      <c r="D186" t="inlineStr">
        <is>
          <t>VÄSTERBOTTENS LÄN</t>
        </is>
      </c>
      <c r="E186" t="inlineStr">
        <is>
          <t>LYCKSELE</t>
        </is>
      </c>
      <c r="G186" t="n">
        <v>6.9</v>
      </c>
      <c r="H186" t="n">
        <v>0</v>
      </c>
      <c r="I186" t="n">
        <v>0</v>
      </c>
      <c r="J186" t="n">
        <v>1</v>
      </c>
      <c r="K186" t="n">
        <v>0</v>
      </c>
      <c r="L186" t="n">
        <v>0</v>
      </c>
      <c r="M186" t="n">
        <v>0</v>
      </c>
      <c r="N186" t="n">
        <v>0</v>
      </c>
      <c r="O186" t="n">
        <v>1</v>
      </c>
      <c r="P186" t="n">
        <v>0</v>
      </c>
      <c r="Q186" t="n">
        <v>1</v>
      </c>
      <c r="R186" s="2" t="inlineStr">
        <is>
          <t>Ullticka</t>
        </is>
      </c>
      <c r="S186">
        <f>HYPERLINK("https://klasma.github.io/Logging_2481/artfynd/A 9341-2022 artfynd.xlsx", "A 9341-2022")</f>
        <v/>
      </c>
      <c r="T186">
        <f>HYPERLINK("https://klasma.github.io/Logging_2481/kartor/A 9341-2022 karta.png", "A 9341-2022")</f>
        <v/>
      </c>
      <c r="V186">
        <f>HYPERLINK("https://klasma.github.io/Logging_2481/klagomål/A 9341-2022 FSC-klagomål.docx", "A 9341-2022")</f>
        <v/>
      </c>
      <c r="W186">
        <f>HYPERLINK("https://klasma.github.io/Logging_2481/klagomålsmail/A 9341-2022 FSC-klagomål mail.docx", "A 9341-2022")</f>
        <v/>
      </c>
      <c r="X186">
        <f>HYPERLINK("https://klasma.github.io/Logging_2481/tillsyn/A 9341-2022 tillsynsbegäran.docx", "A 9341-2022")</f>
        <v/>
      </c>
      <c r="Y186">
        <f>HYPERLINK("https://klasma.github.io/Logging_2481/tillsynsmail/A 9341-2022 tillsynsbegäran mail.docx", "A 9341-2022")</f>
        <v/>
      </c>
    </row>
    <row r="187" ht="15" customHeight="1">
      <c r="A187" t="inlineStr">
        <is>
          <t>A 23308-2022</t>
        </is>
      </c>
      <c r="B187" s="1" t="n">
        <v>44720</v>
      </c>
      <c r="C187" s="1" t="n">
        <v>45849</v>
      </c>
      <c r="D187" t="inlineStr">
        <is>
          <t>VÄSTERBOTTENS LÄN</t>
        </is>
      </c>
      <c r="E187" t="inlineStr">
        <is>
          <t>LYCKSELE</t>
        </is>
      </c>
      <c r="G187" t="n">
        <v>2.4</v>
      </c>
      <c r="H187" t="n">
        <v>0</v>
      </c>
      <c r="I187" t="n">
        <v>1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1</v>
      </c>
      <c r="R187" s="2" t="inlineStr">
        <is>
          <t>Dropptaggsvamp</t>
        </is>
      </c>
      <c r="S187">
        <f>HYPERLINK("https://klasma.github.io/Logging_2481/artfynd/A 23308-2022 artfynd.xlsx", "A 23308-2022")</f>
        <v/>
      </c>
      <c r="T187">
        <f>HYPERLINK("https://klasma.github.io/Logging_2481/kartor/A 23308-2022 karta.png", "A 23308-2022")</f>
        <v/>
      </c>
      <c r="V187">
        <f>HYPERLINK("https://klasma.github.io/Logging_2481/klagomål/A 23308-2022 FSC-klagomål.docx", "A 23308-2022")</f>
        <v/>
      </c>
      <c r="W187">
        <f>HYPERLINK("https://klasma.github.io/Logging_2481/klagomålsmail/A 23308-2022 FSC-klagomål mail.docx", "A 23308-2022")</f>
        <v/>
      </c>
      <c r="X187">
        <f>HYPERLINK("https://klasma.github.io/Logging_2481/tillsyn/A 23308-2022 tillsynsbegäran.docx", "A 23308-2022")</f>
        <v/>
      </c>
      <c r="Y187">
        <f>HYPERLINK("https://klasma.github.io/Logging_2481/tillsynsmail/A 23308-2022 tillsynsbegäran mail.docx", "A 23308-2022")</f>
        <v/>
      </c>
    </row>
    <row r="188" ht="15" customHeight="1">
      <c r="A188" t="inlineStr">
        <is>
          <t>A 32638-2022</t>
        </is>
      </c>
      <c r="B188" s="1" t="n">
        <v>44783</v>
      </c>
      <c r="C188" s="1" t="n">
        <v>45849</v>
      </c>
      <c r="D188" t="inlineStr">
        <is>
          <t>VÄSTERBOTTENS LÄN</t>
        </is>
      </c>
      <c r="E188" t="inlineStr">
        <is>
          <t>LYCKSELE</t>
        </is>
      </c>
      <c r="F188" t="inlineStr">
        <is>
          <t>Holmen skog AB</t>
        </is>
      </c>
      <c r="G188" t="n">
        <v>4.2</v>
      </c>
      <c r="H188" t="n">
        <v>0</v>
      </c>
      <c r="I188" t="n">
        <v>1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1</v>
      </c>
      <c r="R188" s="2" t="inlineStr">
        <is>
          <t>Dropptaggsvamp</t>
        </is>
      </c>
      <c r="S188">
        <f>HYPERLINK("https://klasma.github.io/Logging_2481/artfynd/A 32638-2022 artfynd.xlsx", "A 32638-2022")</f>
        <v/>
      </c>
      <c r="T188">
        <f>HYPERLINK("https://klasma.github.io/Logging_2481/kartor/A 32638-2022 karta.png", "A 32638-2022")</f>
        <v/>
      </c>
      <c r="V188">
        <f>HYPERLINK("https://klasma.github.io/Logging_2481/klagomål/A 32638-2022 FSC-klagomål.docx", "A 32638-2022")</f>
        <v/>
      </c>
      <c r="W188">
        <f>HYPERLINK("https://klasma.github.io/Logging_2481/klagomålsmail/A 32638-2022 FSC-klagomål mail.docx", "A 32638-2022")</f>
        <v/>
      </c>
      <c r="X188">
        <f>HYPERLINK("https://klasma.github.io/Logging_2481/tillsyn/A 32638-2022 tillsynsbegäran.docx", "A 32638-2022")</f>
        <v/>
      </c>
      <c r="Y188">
        <f>HYPERLINK("https://klasma.github.io/Logging_2481/tillsynsmail/A 32638-2022 tillsynsbegäran mail.docx", "A 32638-2022")</f>
        <v/>
      </c>
    </row>
    <row r="189" ht="15" customHeight="1">
      <c r="A189" t="inlineStr">
        <is>
          <t>A 34810-2022</t>
        </is>
      </c>
      <c r="B189" s="1" t="n">
        <v>44795</v>
      </c>
      <c r="C189" s="1" t="n">
        <v>45849</v>
      </c>
      <c r="D189" t="inlineStr">
        <is>
          <t>VÄSTERBOTTENS LÄN</t>
        </is>
      </c>
      <c r="E189" t="inlineStr">
        <is>
          <t>LYCKSELE</t>
        </is>
      </c>
      <c r="F189" t="inlineStr">
        <is>
          <t>SCA</t>
        </is>
      </c>
      <c r="G189" t="n">
        <v>2.3</v>
      </c>
      <c r="H189" t="n">
        <v>0</v>
      </c>
      <c r="I189" t="n">
        <v>0</v>
      </c>
      <c r="J189" t="n">
        <v>1</v>
      </c>
      <c r="K189" t="n">
        <v>0</v>
      </c>
      <c r="L189" t="n">
        <v>0</v>
      </c>
      <c r="M189" t="n">
        <v>0</v>
      </c>
      <c r="N189" t="n">
        <v>0</v>
      </c>
      <c r="O189" t="n">
        <v>1</v>
      </c>
      <c r="P189" t="n">
        <v>0</v>
      </c>
      <c r="Q189" t="n">
        <v>1</v>
      </c>
      <c r="R189" s="2" t="inlineStr">
        <is>
          <t>Lunglav</t>
        </is>
      </c>
      <c r="S189">
        <f>HYPERLINK("https://klasma.github.io/Logging_2481/artfynd/A 34810-2022 artfynd.xlsx", "A 34810-2022")</f>
        <v/>
      </c>
      <c r="T189">
        <f>HYPERLINK("https://klasma.github.io/Logging_2481/kartor/A 34810-2022 karta.png", "A 34810-2022")</f>
        <v/>
      </c>
      <c r="V189">
        <f>HYPERLINK("https://klasma.github.io/Logging_2481/klagomål/A 34810-2022 FSC-klagomål.docx", "A 34810-2022")</f>
        <v/>
      </c>
      <c r="W189">
        <f>HYPERLINK("https://klasma.github.io/Logging_2481/klagomålsmail/A 34810-2022 FSC-klagomål mail.docx", "A 34810-2022")</f>
        <v/>
      </c>
      <c r="X189">
        <f>HYPERLINK("https://klasma.github.io/Logging_2481/tillsyn/A 34810-2022 tillsynsbegäran.docx", "A 34810-2022")</f>
        <v/>
      </c>
      <c r="Y189">
        <f>HYPERLINK("https://klasma.github.io/Logging_2481/tillsynsmail/A 34810-2022 tillsynsbegäran mail.docx", "A 34810-2022")</f>
        <v/>
      </c>
    </row>
    <row r="190" ht="15" customHeight="1">
      <c r="A190" t="inlineStr">
        <is>
          <t>A 34809-2022</t>
        </is>
      </c>
      <c r="B190" s="1" t="n">
        <v>44795</v>
      </c>
      <c r="C190" s="1" t="n">
        <v>45849</v>
      </c>
      <c r="D190" t="inlineStr">
        <is>
          <t>VÄSTERBOTTENS LÄN</t>
        </is>
      </c>
      <c r="E190" t="inlineStr">
        <is>
          <t>LYCKSELE</t>
        </is>
      </c>
      <c r="F190" t="inlineStr">
        <is>
          <t>SCA</t>
        </is>
      </c>
      <c r="G190" t="n">
        <v>1</v>
      </c>
      <c r="H190" t="n">
        <v>0</v>
      </c>
      <c r="I190" t="n">
        <v>0</v>
      </c>
      <c r="J190" t="n">
        <v>1</v>
      </c>
      <c r="K190" t="n">
        <v>0</v>
      </c>
      <c r="L190" t="n">
        <v>0</v>
      </c>
      <c r="M190" t="n">
        <v>0</v>
      </c>
      <c r="N190" t="n">
        <v>0</v>
      </c>
      <c r="O190" t="n">
        <v>1</v>
      </c>
      <c r="P190" t="n">
        <v>0</v>
      </c>
      <c r="Q190" t="n">
        <v>1</v>
      </c>
      <c r="R190" s="2" t="inlineStr">
        <is>
          <t>Gammelgransskål</t>
        </is>
      </c>
      <c r="S190">
        <f>HYPERLINK("https://klasma.github.io/Logging_2481/artfynd/A 34809-2022 artfynd.xlsx", "A 34809-2022")</f>
        <v/>
      </c>
      <c r="T190">
        <f>HYPERLINK("https://klasma.github.io/Logging_2481/kartor/A 34809-2022 karta.png", "A 34809-2022")</f>
        <v/>
      </c>
      <c r="V190">
        <f>HYPERLINK("https://klasma.github.io/Logging_2481/klagomål/A 34809-2022 FSC-klagomål.docx", "A 34809-2022")</f>
        <v/>
      </c>
      <c r="W190">
        <f>HYPERLINK("https://klasma.github.io/Logging_2481/klagomålsmail/A 34809-2022 FSC-klagomål mail.docx", "A 34809-2022")</f>
        <v/>
      </c>
      <c r="X190">
        <f>HYPERLINK("https://klasma.github.io/Logging_2481/tillsyn/A 34809-2022 tillsynsbegäran.docx", "A 34809-2022")</f>
        <v/>
      </c>
      <c r="Y190">
        <f>HYPERLINK("https://klasma.github.io/Logging_2481/tillsynsmail/A 34809-2022 tillsynsbegäran mail.docx", "A 34809-2022")</f>
        <v/>
      </c>
    </row>
    <row r="191" ht="15" customHeight="1">
      <c r="A191" t="inlineStr">
        <is>
          <t>A 40133-2022</t>
        </is>
      </c>
      <c r="B191" s="1" t="n">
        <v>44820</v>
      </c>
      <c r="C191" s="1" t="n">
        <v>45849</v>
      </c>
      <c r="D191" t="inlineStr">
        <is>
          <t>VÄSTERBOTTENS LÄN</t>
        </is>
      </c>
      <c r="E191" t="inlineStr">
        <is>
          <t>LYCKSELE</t>
        </is>
      </c>
      <c r="F191" t="inlineStr">
        <is>
          <t>Sveaskog</t>
        </is>
      </c>
      <c r="G191" t="n">
        <v>15.3</v>
      </c>
      <c r="H191" t="n">
        <v>0</v>
      </c>
      <c r="I191" t="n">
        <v>0</v>
      </c>
      <c r="J191" t="n">
        <v>0</v>
      </c>
      <c r="K191" t="n">
        <v>1</v>
      </c>
      <c r="L191" t="n">
        <v>0</v>
      </c>
      <c r="M191" t="n">
        <v>0</v>
      </c>
      <c r="N191" t="n">
        <v>0</v>
      </c>
      <c r="O191" t="n">
        <v>1</v>
      </c>
      <c r="P191" t="n">
        <v>1</v>
      </c>
      <c r="Q191" t="n">
        <v>1</v>
      </c>
      <c r="R191" s="2" t="inlineStr">
        <is>
          <t>Gräddporing</t>
        </is>
      </c>
      <c r="S191">
        <f>HYPERLINK("https://klasma.github.io/Logging_2481/artfynd/A 40133-2022 artfynd.xlsx", "A 40133-2022")</f>
        <v/>
      </c>
      <c r="T191">
        <f>HYPERLINK("https://klasma.github.io/Logging_2481/kartor/A 40133-2022 karta.png", "A 40133-2022")</f>
        <v/>
      </c>
      <c r="V191">
        <f>HYPERLINK("https://klasma.github.io/Logging_2481/klagomål/A 40133-2022 FSC-klagomål.docx", "A 40133-2022")</f>
        <v/>
      </c>
      <c r="W191">
        <f>HYPERLINK("https://klasma.github.io/Logging_2481/klagomålsmail/A 40133-2022 FSC-klagomål mail.docx", "A 40133-2022")</f>
        <v/>
      </c>
      <c r="X191">
        <f>HYPERLINK("https://klasma.github.io/Logging_2481/tillsyn/A 40133-2022 tillsynsbegäran.docx", "A 40133-2022")</f>
        <v/>
      </c>
      <c r="Y191">
        <f>HYPERLINK("https://klasma.github.io/Logging_2481/tillsynsmail/A 40133-2022 tillsynsbegäran mail.docx", "A 40133-2022")</f>
        <v/>
      </c>
    </row>
    <row r="192" ht="15" customHeight="1">
      <c r="A192" t="inlineStr">
        <is>
          <t>A 43418-2022</t>
        </is>
      </c>
      <c r="B192" s="1" t="n">
        <v>44834</v>
      </c>
      <c r="C192" s="1" t="n">
        <v>45849</v>
      </c>
      <c r="D192" t="inlineStr">
        <is>
          <t>VÄSTERBOTTENS LÄN</t>
        </is>
      </c>
      <c r="E192" t="inlineStr">
        <is>
          <t>LYCKSELE</t>
        </is>
      </c>
      <c r="F192" t="inlineStr">
        <is>
          <t>SCA</t>
        </is>
      </c>
      <c r="G192" t="n">
        <v>8.4</v>
      </c>
      <c r="H192" t="n">
        <v>0</v>
      </c>
      <c r="I192" t="n">
        <v>1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1</v>
      </c>
      <c r="R192" s="2" t="inlineStr">
        <is>
          <t>Skarp dropptaggsvamp</t>
        </is>
      </c>
      <c r="S192">
        <f>HYPERLINK("https://klasma.github.io/Logging_2481/artfynd/A 43418-2022 artfynd.xlsx", "A 43418-2022")</f>
        <v/>
      </c>
      <c r="T192">
        <f>HYPERLINK("https://klasma.github.io/Logging_2481/kartor/A 43418-2022 karta.png", "A 43418-2022")</f>
        <v/>
      </c>
      <c r="V192">
        <f>HYPERLINK("https://klasma.github.io/Logging_2481/klagomål/A 43418-2022 FSC-klagomål.docx", "A 43418-2022")</f>
        <v/>
      </c>
      <c r="W192">
        <f>HYPERLINK("https://klasma.github.io/Logging_2481/klagomålsmail/A 43418-2022 FSC-klagomål mail.docx", "A 43418-2022")</f>
        <v/>
      </c>
      <c r="X192">
        <f>HYPERLINK("https://klasma.github.io/Logging_2481/tillsyn/A 43418-2022 tillsynsbegäran.docx", "A 43418-2022")</f>
        <v/>
      </c>
      <c r="Y192">
        <f>HYPERLINK("https://klasma.github.io/Logging_2481/tillsynsmail/A 43418-2022 tillsynsbegäran mail.docx", "A 43418-2022")</f>
        <v/>
      </c>
    </row>
    <row r="193" ht="15" customHeight="1">
      <c r="A193" t="inlineStr">
        <is>
          <t>A 51554-2022</t>
        </is>
      </c>
      <c r="B193" s="1" t="n">
        <v>44869</v>
      </c>
      <c r="C193" s="1" t="n">
        <v>45849</v>
      </c>
      <c r="D193" t="inlineStr">
        <is>
          <t>VÄSTERBOTTENS LÄN</t>
        </is>
      </c>
      <c r="E193" t="inlineStr">
        <is>
          <t>LYCKSELE</t>
        </is>
      </c>
      <c r="F193" t="inlineStr">
        <is>
          <t>SCA</t>
        </is>
      </c>
      <c r="G193" t="n">
        <v>4.2</v>
      </c>
      <c r="H193" t="n">
        <v>1</v>
      </c>
      <c r="I193" t="n">
        <v>0</v>
      </c>
      <c r="J193" t="n">
        <v>1</v>
      </c>
      <c r="K193" t="n">
        <v>0</v>
      </c>
      <c r="L193" t="n">
        <v>0</v>
      </c>
      <c r="M193" t="n">
        <v>0</v>
      </c>
      <c r="N193" t="n">
        <v>0</v>
      </c>
      <c r="O193" t="n">
        <v>1</v>
      </c>
      <c r="P193" t="n">
        <v>0</v>
      </c>
      <c r="Q193" t="n">
        <v>1</v>
      </c>
      <c r="R193" s="2" t="inlineStr">
        <is>
          <t>Kungsörn</t>
        </is>
      </c>
      <c r="S193">
        <f>HYPERLINK("https://klasma.github.io/Logging_2481/artfynd/A 51554-2022 artfynd.xlsx", "A 51554-2022")</f>
        <v/>
      </c>
      <c r="T193">
        <f>HYPERLINK("https://klasma.github.io/Logging_2481/kartor/A 51554-2022 karta.png", "A 51554-2022")</f>
        <v/>
      </c>
      <c r="V193">
        <f>HYPERLINK("https://klasma.github.io/Logging_2481/klagomål/A 51554-2022 FSC-klagomål.docx", "A 51554-2022")</f>
        <v/>
      </c>
      <c r="W193">
        <f>HYPERLINK("https://klasma.github.io/Logging_2481/klagomålsmail/A 51554-2022 FSC-klagomål mail.docx", "A 51554-2022")</f>
        <v/>
      </c>
      <c r="X193">
        <f>HYPERLINK("https://klasma.github.io/Logging_2481/tillsyn/A 51554-2022 tillsynsbegäran.docx", "A 51554-2022")</f>
        <v/>
      </c>
      <c r="Y193">
        <f>HYPERLINK("https://klasma.github.io/Logging_2481/tillsynsmail/A 51554-2022 tillsynsbegäran mail.docx", "A 51554-2022")</f>
        <v/>
      </c>
      <c r="Z193">
        <f>HYPERLINK("https://klasma.github.io/Logging_2481/fåglar/A 51554-2022 prioriterade fågelarter.docx", "A 51554-2022")</f>
        <v/>
      </c>
    </row>
    <row r="194" ht="15" customHeight="1">
      <c r="A194" t="inlineStr">
        <is>
          <t>A 54135-2022</t>
        </is>
      </c>
      <c r="B194" s="1" t="n">
        <v>44881</v>
      </c>
      <c r="C194" s="1" t="n">
        <v>45849</v>
      </c>
      <c r="D194" t="inlineStr">
        <is>
          <t>VÄSTERBOTTENS LÄN</t>
        </is>
      </c>
      <c r="E194" t="inlineStr">
        <is>
          <t>LYCKSELE</t>
        </is>
      </c>
      <c r="F194" t="inlineStr">
        <is>
          <t>Holmen skog AB</t>
        </is>
      </c>
      <c r="G194" t="n">
        <v>4</v>
      </c>
      <c r="H194" t="n">
        <v>1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1</v>
      </c>
      <c r="R194" s="2" t="inlineStr">
        <is>
          <t>Revlummer</t>
        </is>
      </c>
      <c r="S194">
        <f>HYPERLINK("https://klasma.github.io/Logging_2481/artfynd/A 54135-2022 artfynd.xlsx", "A 54135-2022")</f>
        <v/>
      </c>
      <c r="T194">
        <f>HYPERLINK("https://klasma.github.io/Logging_2481/kartor/A 54135-2022 karta.png", "A 54135-2022")</f>
        <v/>
      </c>
      <c r="U194">
        <f>HYPERLINK("https://klasma.github.io/Logging_2481/knärot/A 54135-2022 karta knärot.png", "A 54135-2022")</f>
        <v/>
      </c>
      <c r="V194">
        <f>HYPERLINK("https://klasma.github.io/Logging_2481/klagomål/A 54135-2022 FSC-klagomål.docx", "A 54135-2022")</f>
        <v/>
      </c>
      <c r="W194">
        <f>HYPERLINK("https://klasma.github.io/Logging_2481/klagomålsmail/A 54135-2022 FSC-klagomål mail.docx", "A 54135-2022")</f>
        <v/>
      </c>
      <c r="X194">
        <f>HYPERLINK("https://klasma.github.io/Logging_2481/tillsyn/A 54135-2022 tillsynsbegäran.docx", "A 54135-2022")</f>
        <v/>
      </c>
      <c r="Y194">
        <f>HYPERLINK("https://klasma.github.io/Logging_2481/tillsynsmail/A 54135-2022 tillsynsbegäran mail.docx", "A 54135-2022")</f>
        <v/>
      </c>
    </row>
    <row r="195" ht="15" customHeight="1">
      <c r="A195" t="inlineStr">
        <is>
          <t>A 55503-2022</t>
        </is>
      </c>
      <c r="B195" s="1" t="n">
        <v>44887</v>
      </c>
      <c r="C195" s="1" t="n">
        <v>45849</v>
      </c>
      <c r="D195" t="inlineStr">
        <is>
          <t>VÄSTERBOTTENS LÄN</t>
        </is>
      </c>
      <c r="E195" t="inlineStr">
        <is>
          <t>LYCKSELE</t>
        </is>
      </c>
      <c r="F195" t="inlineStr">
        <is>
          <t>Sveaskog</t>
        </is>
      </c>
      <c r="G195" t="n">
        <v>4.5</v>
      </c>
      <c r="H195" t="n">
        <v>1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1</v>
      </c>
      <c r="R195" s="2" t="inlineStr">
        <is>
          <t>Fläcknycklar</t>
        </is>
      </c>
      <c r="S195">
        <f>HYPERLINK("https://klasma.github.io/Logging_2481/artfynd/A 55503-2022 artfynd.xlsx", "A 55503-2022")</f>
        <v/>
      </c>
      <c r="T195">
        <f>HYPERLINK("https://klasma.github.io/Logging_2481/kartor/A 55503-2022 karta.png", "A 55503-2022")</f>
        <v/>
      </c>
      <c r="V195">
        <f>HYPERLINK("https://klasma.github.io/Logging_2481/klagomål/A 55503-2022 FSC-klagomål.docx", "A 55503-2022")</f>
        <v/>
      </c>
      <c r="W195">
        <f>HYPERLINK("https://klasma.github.io/Logging_2481/klagomålsmail/A 55503-2022 FSC-klagomål mail.docx", "A 55503-2022")</f>
        <v/>
      </c>
      <c r="X195">
        <f>HYPERLINK("https://klasma.github.io/Logging_2481/tillsyn/A 55503-2022 tillsynsbegäran.docx", "A 55503-2022")</f>
        <v/>
      </c>
      <c r="Y195">
        <f>HYPERLINK("https://klasma.github.io/Logging_2481/tillsynsmail/A 55503-2022 tillsynsbegäran mail.docx", "A 55503-2022")</f>
        <v/>
      </c>
    </row>
    <row r="196" ht="15" customHeight="1">
      <c r="A196" t="inlineStr">
        <is>
          <t>A 57618-2022</t>
        </is>
      </c>
      <c r="B196" s="1" t="n">
        <v>44897</v>
      </c>
      <c r="C196" s="1" t="n">
        <v>45849</v>
      </c>
      <c r="D196" t="inlineStr">
        <is>
          <t>VÄSTERBOTTENS LÄN</t>
        </is>
      </c>
      <c r="E196" t="inlineStr">
        <is>
          <t>LYCKSELE</t>
        </is>
      </c>
      <c r="F196" t="inlineStr">
        <is>
          <t>Holmen skog AB</t>
        </is>
      </c>
      <c r="G196" t="n">
        <v>3.4</v>
      </c>
      <c r="H196" t="n">
        <v>0</v>
      </c>
      <c r="I196" t="n">
        <v>0</v>
      </c>
      <c r="J196" t="n">
        <v>0</v>
      </c>
      <c r="K196" t="n">
        <v>0</v>
      </c>
      <c r="L196" t="n">
        <v>1</v>
      </c>
      <c r="M196" t="n">
        <v>0</v>
      </c>
      <c r="N196" t="n">
        <v>0</v>
      </c>
      <c r="O196" t="n">
        <v>1</v>
      </c>
      <c r="P196" t="n">
        <v>1</v>
      </c>
      <c r="Q196" t="n">
        <v>1</v>
      </c>
      <c r="R196" s="2" t="inlineStr">
        <is>
          <t>Flodpärlmussla</t>
        </is>
      </c>
      <c r="S196">
        <f>HYPERLINK("https://klasma.github.io/Logging_2481/artfynd/A 57618-2022 artfynd.xlsx", "A 57618-2022")</f>
        <v/>
      </c>
      <c r="T196">
        <f>HYPERLINK("https://klasma.github.io/Logging_2481/kartor/A 57618-2022 karta.png", "A 57618-2022")</f>
        <v/>
      </c>
      <c r="V196">
        <f>HYPERLINK("https://klasma.github.io/Logging_2481/klagomål/A 57618-2022 FSC-klagomål.docx", "A 57618-2022")</f>
        <v/>
      </c>
      <c r="W196">
        <f>HYPERLINK("https://klasma.github.io/Logging_2481/klagomålsmail/A 57618-2022 FSC-klagomål mail.docx", "A 57618-2022")</f>
        <v/>
      </c>
      <c r="X196">
        <f>HYPERLINK("https://klasma.github.io/Logging_2481/tillsyn/A 57618-2022 tillsynsbegäran.docx", "A 57618-2022")</f>
        <v/>
      </c>
      <c r="Y196">
        <f>HYPERLINK("https://klasma.github.io/Logging_2481/tillsynsmail/A 57618-2022 tillsynsbegäran mail.docx", "A 57618-2022")</f>
        <v/>
      </c>
    </row>
    <row r="197" ht="15" customHeight="1">
      <c r="A197" t="inlineStr">
        <is>
          <t>A 11552-2023</t>
        </is>
      </c>
      <c r="B197" s="1" t="n">
        <v>44993</v>
      </c>
      <c r="C197" s="1" t="n">
        <v>45849</v>
      </c>
      <c r="D197" t="inlineStr">
        <is>
          <t>VÄSTERBOTTENS LÄN</t>
        </is>
      </c>
      <c r="E197" t="inlineStr">
        <is>
          <t>LYCKSELE</t>
        </is>
      </c>
      <c r="F197" t="inlineStr">
        <is>
          <t>SCA</t>
        </is>
      </c>
      <c r="G197" t="n">
        <v>11</v>
      </c>
      <c r="H197" t="n">
        <v>1</v>
      </c>
      <c r="I197" t="n">
        <v>0</v>
      </c>
      <c r="J197" t="n">
        <v>0</v>
      </c>
      <c r="K197" t="n">
        <v>0</v>
      </c>
      <c r="L197" t="n">
        <v>1</v>
      </c>
      <c r="M197" t="n">
        <v>0</v>
      </c>
      <c r="N197" t="n">
        <v>0</v>
      </c>
      <c r="O197" t="n">
        <v>1</v>
      </c>
      <c r="P197" t="n">
        <v>1</v>
      </c>
      <c r="Q197" t="n">
        <v>1</v>
      </c>
      <c r="R197" s="2" t="inlineStr">
        <is>
          <t>Tornseglare</t>
        </is>
      </c>
      <c r="S197">
        <f>HYPERLINK("https://klasma.github.io/Logging_2481/artfynd/A 11552-2023 artfynd.xlsx", "A 11552-2023")</f>
        <v/>
      </c>
      <c r="T197">
        <f>HYPERLINK("https://klasma.github.io/Logging_2481/kartor/A 11552-2023 karta.png", "A 11552-2023")</f>
        <v/>
      </c>
      <c r="V197">
        <f>HYPERLINK("https://klasma.github.io/Logging_2481/klagomål/A 11552-2023 FSC-klagomål.docx", "A 11552-2023")</f>
        <v/>
      </c>
      <c r="W197">
        <f>HYPERLINK("https://klasma.github.io/Logging_2481/klagomålsmail/A 11552-2023 FSC-klagomål mail.docx", "A 11552-2023")</f>
        <v/>
      </c>
      <c r="X197">
        <f>HYPERLINK("https://klasma.github.io/Logging_2481/tillsyn/A 11552-2023 tillsynsbegäran.docx", "A 11552-2023")</f>
        <v/>
      </c>
      <c r="Y197">
        <f>HYPERLINK("https://klasma.github.io/Logging_2481/tillsynsmail/A 11552-2023 tillsynsbegäran mail.docx", "A 11552-2023")</f>
        <v/>
      </c>
      <c r="Z197">
        <f>HYPERLINK("https://klasma.github.io/Logging_2481/fåglar/A 11552-2023 prioriterade fågelarter.docx", "A 11552-2023")</f>
        <v/>
      </c>
    </row>
    <row r="198" ht="15" customHeight="1">
      <c r="A198" t="inlineStr">
        <is>
          <t>A 15114-2023</t>
        </is>
      </c>
      <c r="B198" s="1" t="n">
        <v>45015</v>
      </c>
      <c r="C198" s="1" t="n">
        <v>45849</v>
      </c>
      <c r="D198" t="inlineStr">
        <is>
          <t>VÄSTERBOTTENS LÄN</t>
        </is>
      </c>
      <c r="E198" t="inlineStr">
        <is>
          <t>LYCKSELE</t>
        </is>
      </c>
      <c r="G198" t="n">
        <v>8.5</v>
      </c>
      <c r="H198" t="n">
        <v>0</v>
      </c>
      <c r="I198" t="n">
        <v>0</v>
      </c>
      <c r="J198" t="n">
        <v>1</v>
      </c>
      <c r="K198" t="n">
        <v>0</v>
      </c>
      <c r="L198" t="n">
        <v>0</v>
      </c>
      <c r="M198" t="n">
        <v>0</v>
      </c>
      <c r="N198" t="n">
        <v>0</v>
      </c>
      <c r="O198" t="n">
        <v>1</v>
      </c>
      <c r="P198" t="n">
        <v>0</v>
      </c>
      <c r="Q198" t="n">
        <v>1</v>
      </c>
      <c r="R198" s="2" t="inlineStr">
        <is>
          <t>Gammelgransskål</t>
        </is>
      </c>
      <c r="S198">
        <f>HYPERLINK("https://klasma.github.io/Logging_2481/artfynd/A 15114-2023 artfynd.xlsx", "A 15114-2023")</f>
        <v/>
      </c>
      <c r="T198">
        <f>HYPERLINK("https://klasma.github.io/Logging_2481/kartor/A 15114-2023 karta.png", "A 15114-2023")</f>
        <v/>
      </c>
      <c r="V198">
        <f>HYPERLINK("https://klasma.github.io/Logging_2481/klagomål/A 15114-2023 FSC-klagomål.docx", "A 15114-2023")</f>
        <v/>
      </c>
      <c r="W198">
        <f>HYPERLINK("https://klasma.github.io/Logging_2481/klagomålsmail/A 15114-2023 FSC-klagomål mail.docx", "A 15114-2023")</f>
        <v/>
      </c>
      <c r="X198">
        <f>HYPERLINK("https://klasma.github.io/Logging_2481/tillsyn/A 15114-2023 tillsynsbegäran.docx", "A 15114-2023")</f>
        <v/>
      </c>
      <c r="Y198">
        <f>HYPERLINK("https://klasma.github.io/Logging_2481/tillsynsmail/A 15114-2023 tillsynsbegäran mail.docx", "A 15114-2023")</f>
        <v/>
      </c>
    </row>
    <row r="199" ht="15" customHeight="1">
      <c r="A199" t="inlineStr">
        <is>
          <t>A 20940-2023</t>
        </is>
      </c>
      <c r="B199" s="1" t="n">
        <v>45061</v>
      </c>
      <c r="C199" s="1" t="n">
        <v>45849</v>
      </c>
      <c r="D199" t="inlineStr">
        <is>
          <t>VÄSTERBOTTENS LÄN</t>
        </is>
      </c>
      <c r="E199" t="inlineStr">
        <is>
          <t>LYCKSELE</t>
        </is>
      </c>
      <c r="G199" t="n">
        <v>4.6</v>
      </c>
      <c r="H199" t="n">
        <v>0</v>
      </c>
      <c r="I199" t="n">
        <v>1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1</v>
      </c>
      <c r="R199" s="2" t="inlineStr">
        <is>
          <t>Dropptaggsvamp</t>
        </is>
      </c>
      <c r="S199">
        <f>HYPERLINK("https://klasma.github.io/Logging_2481/artfynd/A 20940-2023 artfynd.xlsx", "A 20940-2023")</f>
        <v/>
      </c>
      <c r="T199">
        <f>HYPERLINK("https://klasma.github.io/Logging_2481/kartor/A 20940-2023 karta.png", "A 20940-2023")</f>
        <v/>
      </c>
      <c r="V199">
        <f>HYPERLINK("https://klasma.github.io/Logging_2481/klagomål/A 20940-2023 FSC-klagomål.docx", "A 20940-2023")</f>
        <v/>
      </c>
      <c r="W199">
        <f>HYPERLINK("https://klasma.github.io/Logging_2481/klagomålsmail/A 20940-2023 FSC-klagomål mail.docx", "A 20940-2023")</f>
        <v/>
      </c>
      <c r="X199">
        <f>HYPERLINK("https://klasma.github.io/Logging_2481/tillsyn/A 20940-2023 tillsynsbegäran.docx", "A 20940-2023")</f>
        <v/>
      </c>
      <c r="Y199">
        <f>HYPERLINK("https://klasma.github.io/Logging_2481/tillsynsmail/A 20940-2023 tillsynsbegäran mail.docx", "A 20940-2023")</f>
        <v/>
      </c>
    </row>
    <row r="200" ht="15" customHeight="1">
      <c r="A200" t="inlineStr">
        <is>
          <t>A 27447-2023</t>
        </is>
      </c>
      <c r="B200" s="1" t="n">
        <v>45097</v>
      </c>
      <c r="C200" s="1" t="n">
        <v>45849</v>
      </c>
      <c r="D200" t="inlineStr">
        <is>
          <t>VÄSTERBOTTENS LÄN</t>
        </is>
      </c>
      <c r="E200" t="inlineStr">
        <is>
          <t>LYCKSELE</t>
        </is>
      </c>
      <c r="F200" t="inlineStr">
        <is>
          <t>Sveaskog</t>
        </is>
      </c>
      <c r="G200" t="n">
        <v>13.8</v>
      </c>
      <c r="H200" t="n">
        <v>0</v>
      </c>
      <c r="I200" t="n">
        <v>0</v>
      </c>
      <c r="J200" t="n">
        <v>0</v>
      </c>
      <c r="K200" t="n">
        <v>1</v>
      </c>
      <c r="L200" t="n">
        <v>0</v>
      </c>
      <c r="M200" t="n">
        <v>0</v>
      </c>
      <c r="N200" t="n">
        <v>0</v>
      </c>
      <c r="O200" t="n">
        <v>1</v>
      </c>
      <c r="P200" t="n">
        <v>1</v>
      </c>
      <c r="Q200" t="n">
        <v>1</v>
      </c>
      <c r="R200" s="2" t="inlineStr">
        <is>
          <t>Gräddticka</t>
        </is>
      </c>
      <c r="S200">
        <f>HYPERLINK("https://klasma.github.io/Logging_2481/artfynd/A 27447-2023 artfynd.xlsx", "A 27447-2023")</f>
        <v/>
      </c>
      <c r="T200">
        <f>HYPERLINK("https://klasma.github.io/Logging_2481/kartor/A 27447-2023 karta.png", "A 27447-2023")</f>
        <v/>
      </c>
      <c r="V200">
        <f>HYPERLINK("https://klasma.github.io/Logging_2481/klagomål/A 27447-2023 FSC-klagomål.docx", "A 27447-2023")</f>
        <v/>
      </c>
      <c r="W200">
        <f>HYPERLINK("https://klasma.github.io/Logging_2481/klagomålsmail/A 27447-2023 FSC-klagomål mail.docx", "A 27447-2023")</f>
        <v/>
      </c>
      <c r="X200">
        <f>HYPERLINK("https://klasma.github.io/Logging_2481/tillsyn/A 27447-2023 tillsynsbegäran.docx", "A 27447-2023")</f>
        <v/>
      </c>
      <c r="Y200">
        <f>HYPERLINK("https://klasma.github.io/Logging_2481/tillsynsmail/A 27447-2023 tillsynsbegäran mail.docx", "A 27447-2023")</f>
        <v/>
      </c>
    </row>
    <row r="201" ht="15" customHeight="1">
      <c r="A201" t="inlineStr">
        <is>
          <t>A 29561-2023</t>
        </is>
      </c>
      <c r="B201" s="1" t="n">
        <v>45106</v>
      </c>
      <c r="C201" s="1" t="n">
        <v>45849</v>
      </c>
      <c r="D201" t="inlineStr">
        <is>
          <t>VÄSTERBOTTENS LÄN</t>
        </is>
      </c>
      <c r="E201" t="inlineStr">
        <is>
          <t>LYCKSELE</t>
        </is>
      </c>
      <c r="F201" t="inlineStr">
        <is>
          <t>Sveaskog</t>
        </is>
      </c>
      <c r="G201" t="n">
        <v>26.7</v>
      </c>
      <c r="H201" t="n">
        <v>0</v>
      </c>
      <c r="I201" t="n">
        <v>0</v>
      </c>
      <c r="J201" t="n">
        <v>1</v>
      </c>
      <c r="K201" t="n">
        <v>0</v>
      </c>
      <c r="L201" t="n">
        <v>0</v>
      </c>
      <c r="M201" t="n">
        <v>0</v>
      </c>
      <c r="N201" t="n">
        <v>0</v>
      </c>
      <c r="O201" t="n">
        <v>1</v>
      </c>
      <c r="P201" t="n">
        <v>0</v>
      </c>
      <c r="Q201" t="n">
        <v>1</v>
      </c>
      <c r="R201" s="2" t="inlineStr">
        <is>
          <t>Lunglav</t>
        </is>
      </c>
      <c r="S201">
        <f>HYPERLINK("https://klasma.github.io/Logging_2481/artfynd/A 29561-2023 artfynd.xlsx", "A 29561-2023")</f>
        <v/>
      </c>
      <c r="T201">
        <f>HYPERLINK("https://klasma.github.io/Logging_2481/kartor/A 29561-2023 karta.png", "A 29561-2023")</f>
        <v/>
      </c>
      <c r="V201">
        <f>HYPERLINK("https://klasma.github.io/Logging_2481/klagomål/A 29561-2023 FSC-klagomål.docx", "A 29561-2023")</f>
        <v/>
      </c>
      <c r="W201">
        <f>HYPERLINK("https://klasma.github.io/Logging_2481/klagomålsmail/A 29561-2023 FSC-klagomål mail.docx", "A 29561-2023")</f>
        <v/>
      </c>
      <c r="X201">
        <f>HYPERLINK("https://klasma.github.io/Logging_2481/tillsyn/A 29561-2023 tillsynsbegäran.docx", "A 29561-2023")</f>
        <v/>
      </c>
      <c r="Y201">
        <f>HYPERLINK("https://klasma.github.io/Logging_2481/tillsynsmail/A 29561-2023 tillsynsbegäran mail.docx", "A 29561-2023")</f>
        <v/>
      </c>
    </row>
    <row r="202" ht="15" customHeight="1">
      <c r="A202" t="inlineStr">
        <is>
          <t>A 32661-2023</t>
        </is>
      </c>
      <c r="B202" s="1" t="n">
        <v>45121</v>
      </c>
      <c r="C202" s="1" t="n">
        <v>45849</v>
      </c>
      <c r="D202" t="inlineStr">
        <is>
          <t>VÄSTERBOTTENS LÄN</t>
        </is>
      </c>
      <c r="E202" t="inlineStr">
        <is>
          <t>LYCKSELE</t>
        </is>
      </c>
      <c r="F202" t="inlineStr">
        <is>
          <t>Sveaskog</t>
        </is>
      </c>
      <c r="G202" t="n">
        <v>14.2</v>
      </c>
      <c r="H202" t="n">
        <v>0</v>
      </c>
      <c r="I202" t="n">
        <v>0</v>
      </c>
      <c r="J202" t="n">
        <v>1</v>
      </c>
      <c r="K202" t="n">
        <v>0</v>
      </c>
      <c r="L202" t="n">
        <v>0</v>
      </c>
      <c r="M202" t="n">
        <v>0</v>
      </c>
      <c r="N202" t="n">
        <v>0</v>
      </c>
      <c r="O202" t="n">
        <v>1</v>
      </c>
      <c r="P202" t="n">
        <v>0</v>
      </c>
      <c r="Q202" t="n">
        <v>1</v>
      </c>
      <c r="R202" s="2" t="inlineStr">
        <is>
          <t>Lunglav</t>
        </is>
      </c>
      <c r="S202">
        <f>HYPERLINK("https://klasma.github.io/Logging_2481/artfynd/A 32661-2023 artfynd.xlsx", "A 32661-2023")</f>
        <v/>
      </c>
      <c r="T202">
        <f>HYPERLINK("https://klasma.github.io/Logging_2481/kartor/A 32661-2023 karta.png", "A 32661-2023")</f>
        <v/>
      </c>
      <c r="V202">
        <f>HYPERLINK("https://klasma.github.io/Logging_2481/klagomål/A 32661-2023 FSC-klagomål.docx", "A 32661-2023")</f>
        <v/>
      </c>
      <c r="W202">
        <f>HYPERLINK("https://klasma.github.io/Logging_2481/klagomålsmail/A 32661-2023 FSC-klagomål mail.docx", "A 32661-2023")</f>
        <v/>
      </c>
      <c r="X202">
        <f>HYPERLINK("https://klasma.github.io/Logging_2481/tillsyn/A 32661-2023 tillsynsbegäran.docx", "A 32661-2023")</f>
        <v/>
      </c>
      <c r="Y202">
        <f>HYPERLINK("https://klasma.github.io/Logging_2481/tillsynsmail/A 32661-2023 tillsynsbegäran mail.docx", "A 32661-2023")</f>
        <v/>
      </c>
    </row>
    <row r="203" ht="15" customHeight="1">
      <c r="A203" t="inlineStr">
        <is>
          <t>A 34781-2023</t>
        </is>
      </c>
      <c r="B203" s="1" t="n">
        <v>45141</v>
      </c>
      <c r="C203" s="1" t="n">
        <v>45849</v>
      </c>
      <c r="D203" t="inlineStr">
        <is>
          <t>VÄSTERBOTTENS LÄN</t>
        </is>
      </c>
      <c r="E203" t="inlineStr">
        <is>
          <t>LYCKSELE</t>
        </is>
      </c>
      <c r="F203" t="inlineStr">
        <is>
          <t>Sveaskog</t>
        </is>
      </c>
      <c r="G203" t="n">
        <v>6.8</v>
      </c>
      <c r="H203" t="n">
        <v>0</v>
      </c>
      <c r="I203" t="n">
        <v>1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1</v>
      </c>
      <c r="R203" s="2" t="inlineStr">
        <is>
          <t>Dropptaggsvamp</t>
        </is>
      </c>
      <c r="S203">
        <f>HYPERLINK("https://klasma.github.io/Logging_2481/artfynd/A 34781-2023 artfynd.xlsx", "A 34781-2023")</f>
        <v/>
      </c>
      <c r="T203">
        <f>HYPERLINK("https://klasma.github.io/Logging_2481/kartor/A 34781-2023 karta.png", "A 34781-2023")</f>
        <v/>
      </c>
      <c r="V203">
        <f>HYPERLINK("https://klasma.github.io/Logging_2481/klagomål/A 34781-2023 FSC-klagomål.docx", "A 34781-2023")</f>
        <v/>
      </c>
      <c r="W203">
        <f>HYPERLINK("https://klasma.github.io/Logging_2481/klagomålsmail/A 34781-2023 FSC-klagomål mail.docx", "A 34781-2023")</f>
        <v/>
      </c>
      <c r="X203">
        <f>HYPERLINK("https://klasma.github.io/Logging_2481/tillsyn/A 34781-2023 tillsynsbegäran.docx", "A 34781-2023")</f>
        <v/>
      </c>
      <c r="Y203">
        <f>HYPERLINK("https://klasma.github.io/Logging_2481/tillsynsmail/A 34781-2023 tillsynsbegäran mail.docx", "A 34781-2023")</f>
        <v/>
      </c>
    </row>
    <row r="204" ht="15" customHeight="1">
      <c r="A204" t="inlineStr">
        <is>
          <t>A 34871-2023</t>
        </is>
      </c>
      <c r="B204" s="1" t="n">
        <v>45142</v>
      </c>
      <c r="C204" s="1" t="n">
        <v>45849</v>
      </c>
      <c r="D204" t="inlineStr">
        <is>
          <t>VÄSTERBOTTENS LÄN</t>
        </is>
      </c>
      <c r="E204" t="inlineStr">
        <is>
          <t>LYCKSELE</t>
        </is>
      </c>
      <c r="F204" t="inlineStr">
        <is>
          <t>Sveaskog</t>
        </is>
      </c>
      <c r="G204" t="n">
        <v>11.1</v>
      </c>
      <c r="H204" t="n">
        <v>0</v>
      </c>
      <c r="I204" t="n">
        <v>0</v>
      </c>
      <c r="J204" t="n">
        <v>1</v>
      </c>
      <c r="K204" t="n">
        <v>0</v>
      </c>
      <c r="L204" t="n">
        <v>0</v>
      </c>
      <c r="M204" t="n">
        <v>0</v>
      </c>
      <c r="N204" t="n">
        <v>0</v>
      </c>
      <c r="O204" t="n">
        <v>1</v>
      </c>
      <c r="P204" t="n">
        <v>0</v>
      </c>
      <c r="Q204" t="n">
        <v>1</v>
      </c>
      <c r="R204" s="2" t="inlineStr">
        <is>
          <t>Mörk kolflarnlav</t>
        </is>
      </c>
      <c r="S204">
        <f>HYPERLINK("https://klasma.github.io/Logging_2481/artfynd/A 34871-2023 artfynd.xlsx", "A 34871-2023")</f>
        <v/>
      </c>
      <c r="T204">
        <f>HYPERLINK("https://klasma.github.io/Logging_2481/kartor/A 34871-2023 karta.png", "A 34871-2023")</f>
        <v/>
      </c>
      <c r="V204">
        <f>HYPERLINK("https://klasma.github.io/Logging_2481/klagomål/A 34871-2023 FSC-klagomål.docx", "A 34871-2023")</f>
        <v/>
      </c>
      <c r="W204">
        <f>HYPERLINK("https://klasma.github.io/Logging_2481/klagomålsmail/A 34871-2023 FSC-klagomål mail.docx", "A 34871-2023")</f>
        <v/>
      </c>
      <c r="X204">
        <f>HYPERLINK("https://klasma.github.io/Logging_2481/tillsyn/A 34871-2023 tillsynsbegäran.docx", "A 34871-2023")</f>
        <v/>
      </c>
      <c r="Y204">
        <f>HYPERLINK("https://klasma.github.io/Logging_2481/tillsynsmail/A 34871-2023 tillsynsbegäran mail.docx", "A 34871-2023")</f>
        <v/>
      </c>
    </row>
    <row r="205" ht="15" customHeight="1">
      <c r="A205" t="inlineStr">
        <is>
          <t>A 37612-2023</t>
        </is>
      </c>
      <c r="B205" s="1" t="n">
        <v>45159</v>
      </c>
      <c r="C205" s="1" t="n">
        <v>45849</v>
      </c>
      <c r="D205" t="inlineStr">
        <is>
          <t>VÄSTERBOTTENS LÄN</t>
        </is>
      </c>
      <c r="E205" t="inlineStr">
        <is>
          <t>LYCKSELE</t>
        </is>
      </c>
      <c r="F205" t="inlineStr">
        <is>
          <t>Sveaskog</t>
        </is>
      </c>
      <c r="G205" t="n">
        <v>3.6</v>
      </c>
      <c r="H205" t="n">
        <v>0</v>
      </c>
      <c r="I205" t="n">
        <v>1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1</v>
      </c>
      <c r="R205" s="2" t="inlineStr">
        <is>
          <t>Dropptaggsvamp</t>
        </is>
      </c>
      <c r="S205">
        <f>HYPERLINK("https://klasma.github.io/Logging_2481/artfynd/A 37612-2023 artfynd.xlsx", "A 37612-2023")</f>
        <v/>
      </c>
      <c r="T205">
        <f>HYPERLINK("https://klasma.github.io/Logging_2481/kartor/A 37612-2023 karta.png", "A 37612-2023")</f>
        <v/>
      </c>
      <c r="V205">
        <f>HYPERLINK("https://klasma.github.io/Logging_2481/klagomål/A 37612-2023 FSC-klagomål.docx", "A 37612-2023")</f>
        <v/>
      </c>
      <c r="W205">
        <f>HYPERLINK("https://klasma.github.io/Logging_2481/klagomålsmail/A 37612-2023 FSC-klagomål mail.docx", "A 37612-2023")</f>
        <v/>
      </c>
      <c r="X205">
        <f>HYPERLINK("https://klasma.github.io/Logging_2481/tillsyn/A 37612-2023 tillsynsbegäran.docx", "A 37612-2023")</f>
        <v/>
      </c>
      <c r="Y205">
        <f>HYPERLINK("https://klasma.github.io/Logging_2481/tillsynsmail/A 37612-2023 tillsynsbegäran mail.docx", "A 37612-2023")</f>
        <v/>
      </c>
    </row>
    <row r="206" ht="15" customHeight="1">
      <c r="A206" t="inlineStr">
        <is>
          <t>A 38507-2023</t>
        </is>
      </c>
      <c r="B206" s="1" t="n">
        <v>45162</v>
      </c>
      <c r="C206" s="1" t="n">
        <v>45849</v>
      </c>
      <c r="D206" t="inlineStr">
        <is>
          <t>VÄSTERBOTTENS LÄN</t>
        </is>
      </c>
      <c r="E206" t="inlineStr">
        <is>
          <t>LYCKSELE</t>
        </is>
      </c>
      <c r="F206" t="inlineStr">
        <is>
          <t>Sveaskog</t>
        </is>
      </c>
      <c r="G206" t="n">
        <v>2.5</v>
      </c>
      <c r="H206" t="n">
        <v>0</v>
      </c>
      <c r="I206" t="n">
        <v>0</v>
      </c>
      <c r="J206" t="n">
        <v>1</v>
      </c>
      <c r="K206" t="n">
        <v>0</v>
      </c>
      <c r="L206" t="n">
        <v>0</v>
      </c>
      <c r="M206" t="n">
        <v>0</v>
      </c>
      <c r="N206" t="n">
        <v>0</v>
      </c>
      <c r="O206" t="n">
        <v>1</v>
      </c>
      <c r="P206" t="n">
        <v>0</v>
      </c>
      <c r="Q206" t="n">
        <v>1</v>
      </c>
      <c r="R206" s="2" t="inlineStr">
        <is>
          <t>Blå taggsvamp</t>
        </is>
      </c>
      <c r="S206">
        <f>HYPERLINK("https://klasma.github.io/Logging_2481/artfynd/A 38507-2023 artfynd.xlsx", "A 38507-2023")</f>
        <v/>
      </c>
      <c r="T206">
        <f>HYPERLINK("https://klasma.github.io/Logging_2481/kartor/A 38507-2023 karta.png", "A 38507-2023")</f>
        <v/>
      </c>
      <c r="V206">
        <f>HYPERLINK("https://klasma.github.io/Logging_2481/klagomål/A 38507-2023 FSC-klagomål.docx", "A 38507-2023")</f>
        <v/>
      </c>
      <c r="W206">
        <f>HYPERLINK("https://klasma.github.io/Logging_2481/klagomålsmail/A 38507-2023 FSC-klagomål mail.docx", "A 38507-2023")</f>
        <v/>
      </c>
      <c r="X206">
        <f>HYPERLINK("https://klasma.github.io/Logging_2481/tillsyn/A 38507-2023 tillsynsbegäran.docx", "A 38507-2023")</f>
        <v/>
      </c>
      <c r="Y206">
        <f>HYPERLINK("https://klasma.github.io/Logging_2481/tillsynsmail/A 38507-2023 tillsynsbegäran mail.docx", "A 38507-2023")</f>
        <v/>
      </c>
    </row>
    <row r="207" ht="15" customHeight="1">
      <c r="A207" t="inlineStr">
        <is>
          <t>A 40526-2023</t>
        </is>
      </c>
      <c r="B207" s="1" t="n">
        <v>45170</v>
      </c>
      <c r="C207" s="1" t="n">
        <v>45849</v>
      </c>
      <c r="D207" t="inlineStr">
        <is>
          <t>VÄSTERBOTTENS LÄN</t>
        </is>
      </c>
      <c r="E207" t="inlineStr">
        <is>
          <t>LYCKSELE</t>
        </is>
      </c>
      <c r="F207" t="inlineStr">
        <is>
          <t>Sveaskog</t>
        </is>
      </c>
      <c r="G207" t="n">
        <v>27</v>
      </c>
      <c r="H207" t="n">
        <v>0</v>
      </c>
      <c r="I207" t="n">
        <v>1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1</v>
      </c>
      <c r="R207" s="2" t="inlineStr">
        <is>
          <t>Dropptaggsvamp</t>
        </is>
      </c>
      <c r="S207">
        <f>HYPERLINK("https://klasma.github.io/Logging_2481/artfynd/A 40526-2023 artfynd.xlsx", "A 40526-2023")</f>
        <v/>
      </c>
      <c r="T207">
        <f>HYPERLINK("https://klasma.github.io/Logging_2481/kartor/A 40526-2023 karta.png", "A 40526-2023")</f>
        <v/>
      </c>
      <c r="V207">
        <f>HYPERLINK("https://klasma.github.io/Logging_2481/klagomål/A 40526-2023 FSC-klagomål.docx", "A 40526-2023")</f>
        <v/>
      </c>
      <c r="W207">
        <f>HYPERLINK("https://klasma.github.io/Logging_2481/klagomålsmail/A 40526-2023 FSC-klagomål mail.docx", "A 40526-2023")</f>
        <v/>
      </c>
      <c r="X207">
        <f>HYPERLINK("https://klasma.github.io/Logging_2481/tillsyn/A 40526-2023 tillsynsbegäran.docx", "A 40526-2023")</f>
        <v/>
      </c>
      <c r="Y207">
        <f>HYPERLINK("https://klasma.github.io/Logging_2481/tillsynsmail/A 40526-2023 tillsynsbegäran mail.docx", "A 40526-2023")</f>
        <v/>
      </c>
    </row>
    <row r="208" ht="15" customHeight="1">
      <c r="A208" t="inlineStr">
        <is>
          <t>A 41432-2023</t>
        </is>
      </c>
      <c r="B208" s="1" t="n">
        <v>45175</v>
      </c>
      <c r="C208" s="1" t="n">
        <v>45849</v>
      </c>
      <c r="D208" t="inlineStr">
        <is>
          <t>VÄSTERBOTTENS LÄN</t>
        </is>
      </c>
      <c r="E208" t="inlineStr">
        <is>
          <t>LYCKSELE</t>
        </is>
      </c>
      <c r="F208" t="inlineStr">
        <is>
          <t>Sveaskog</t>
        </is>
      </c>
      <c r="G208" t="n">
        <v>3.4</v>
      </c>
      <c r="H208" t="n">
        <v>0</v>
      </c>
      <c r="I208" t="n">
        <v>1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1</v>
      </c>
      <c r="R208" s="2" t="inlineStr">
        <is>
          <t>Dropptaggsvamp</t>
        </is>
      </c>
      <c r="S208">
        <f>HYPERLINK("https://klasma.github.io/Logging_2481/artfynd/A 41432-2023 artfynd.xlsx", "A 41432-2023")</f>
        <v/>
      </c>
      <c r="T208">
        <f>HYPERLINK("https://klasma.github.io/Logging_2481/kartor/A 41432-2023 karta.png", "A 41432-2023")</f>
        <v/>
      </c>
      <c r="V208">
        <f>HYPERLINK("https://klasma.github.io/Logging_2481/klagomål/A 41432-2023 FSC-klagomål.docx", "A 41432-2023")</f>
        <v/>
      </c>
      <c r="W208">
        <f>HYPERLINK("https://klasma.github.io/Logging_2481/klagomålsmail/A 41432-2023 FSC-klagomål mail.docx", "A 41432-2023")</f>
        <v/>
      </c>
      <c r="X208">
        <f>HYPERLINK("https://klasma.github.io/Logging_2481/tillsyn/A 41432-2023 tillsynsbegäran.docx", "A 41432-2023")</f>
        <v/>
      </c>
      <c r="Y208">
        <f>HYPERLINK("https://klasma.github.io/Logging_2481/tillsynsmail/A 41432-2023 tillsynsbegäran mail.docx", "A 41432-2023")</f>
        <v/>
      </c>
    </row>
    <row r="209" ht="15" customHeight="1">
      <c r="A209" t="inlineStr">
        <is>
          <t>A 43619-2023</t>
        </is>
      </c>
      <c r="B209" s="1" t="n">
        <v>45184</v>
      </c>
      <c r="C209" s="1" t="n">
        <v>45849</v>
      </c>
      <c r="D209" t="inlineStr">
        <is>
          <t>VÄSTERBOTTENS LÄN</t>
        </is>
      </c>
      <c r="E209" t="inlineStr">
        <is>
          <t>LYCKSELE</t>
        </is>
      </c>
      <c r="F209" t="inlineStr">
        <is>
          <t>Sveaskog</t>
        </is>
      </c>
      <c r="G209" t="n">
        <v>6.6</v>
      </c>
      <c r="H209" t="n">
        <v>0</v>
      </c>
      <c r="I209" t="n">
        <v>0</v>
      </c>
      <c r="J209" t="n">
        <v>1</v>
      </c>
      <c r="K209" t="n">
        <v>0</v>
      </c>
      <c r="L209" t="n">
        <v>0</v>
      </c>
      <c r="M209" t="n">
        <v>0</v>
      </c>
      <c r="N209" t="n">
        <v>0</v>
      </c>
      <c r="O209" t="n">
        <v>1</v>
      </c>
      <c r="P209" t="n">
        <v>0</v>
      </c>
      <c r="Q209" t="n">
        <v>1</v>
      </c>
      <c r="R209" s="2" t="inlineStr">
        <is>
          <t>Lunglav</t>
        </is>
      </c>
      <c r="S209">
        <f>HYPERLINK("https://klasma.github.io/Logging_2481/artfynd/A 43619-2023 artfynd.xlsx", "A 43619-2023")</f>
        <v/>
      </c>
      <c r="T209">
        <f>HYPERLINK("https://klasma.github.io/Logging_2481/kartor/A 43619-2023 karta.png", "A 43619-2023")</f>
        <v/>
      </c>
      <c r="V209">
        <f>HYPERLINK("https://klasma.github.io/Logging_2481/klagomål/A 43619-2023 FSC-klagomål.docx", "A 43619-2023")</f>
        <v/>
      </c>
      <c r="W209">
        <f>HYPERLINK("https://klasma.github.io/Logging_2481/klagomålsmail/A 43619-2023 FSC-klagomål mail.docx", "A 43619-2023")</f>
        <v/>
      </c>
      <c r="X209">
        <f>HYPERLINK("https://klasma.github.io/Logging_2481/tillsyn/A 43619-2023 tillsynsbegäran.docx", "A 43619-2023")</f>
        <v/>
      </c>
      <c r="Y209">
        <f>HYPERLINK("https://klasma.github.io/Logging_2481/tillsynsmail/A 43619-2023 tillsynsbegäran mail.docx", "A 43619-2023")</f>
        <v/>
      </c>
    </row>
    <row r="210" ht="15" customHeight="1">
      <c r="A210" t="inlineStr">
        <is>
          <t>A 43616-2023</t>
        </is>
      </c>
      <c r="B210" s="1" t="n">
        <v>45184</v>
      </c>
      <c r="C210" s="1" t="n">
        <v>45849</v>
      </c>
      <c r="D210" t="inlineStr">
        <is>
          <t>VÄSTERBOTTENS LÄN</t>
        </is>
      </c>
      <c r="E210" t="inlineStr">
        <is>
          <t>LYCKSELE</t>
        </is>
      </c>
      <c r="F210" t="inlineStr">
        <is>
          <t>Sveaskog</t>
        </is>
      </c>
      <c r="G210" t="n">
        <v>10.2</v>
      </c>
      <c r="H210" t="n">
        <v>0</v>
      </c>
      <c r="I210" t="n">
        <v>0</v>
      </c>
      <c r="J210" t="n">
        <v>1</v>
      </c>
      <c r="K210" t="n">
        <v>0</v>
      </c>
      <c r="L210" t="n">
        <v>0</v>
      </c>
      <c r="M210" t="n">
        <v>0</v>
      </c>
      <c r="N210" t="n">
        <v>0</v>
      </c>
      <c r="O210" t="n">
        <v>1</v>
      </c>
      <c r="P210" t="n">
        <v>0</v>
      </c>
      <c r="Q210" t="n">
        <v>1</v>
      </c>
      <c r="R210" s="2" t="inlineStr">
        <is>
          <t>Kolflarnlav</t>
        </is>
      </c>
      <c r="S210">
        <f>HYPERLINK("https://klasma.github.io/Logging_2481/artfynd/A 43616-2023 artfynd.xlsx", "A 43616-2023")</f>
        <v/>
      </c>
      <c r="T210">
        <f>HYPERLINK("https://klasma.github.io/Logging_2481/kartor/A 43616-2023 karta.png", "A 43616-2023")</f>
        <v/>
      </c>
      <c r="V210">
        <f>HYPERLINK("https://klasma.github.io/Logging_2481/klagomål/A 43616-2023 FSC-klagomål.docx", "A 43616-2023")</f>
        <v/>
      </c>
      <c r="W210">
        <f>HYPERLINK("https://klasma.github.io/Logging_2481/klagomålsmail/A 43616-2023 FSC-klagomål mail.docx", "A 43616-2023")</f>
        <v/>
      </c>
      <c r="X210">
        <f>HYPERLINK("https://klasma.github.io/Logging_2481/tillsyn/A 43616-2023 tillsynsbegäran.docx", "A 43616-2023")</f>
        <v/>
      </c>
      <c r="Y210">
        <f>HYPERLINK("https://klasma.github.io/Logging_2481/tillsynsmail/A 43616-2023 tillsynsbegäran mail.docx", "A 43616-2023")</f>
        <v/>
      </c>
    </row>
    <row r="211" ht="15" customHeight="1">
      <c r="A211" t="inlineStr">
        <is>
          <t>A 44194-2023</t>
        </is>
      </c>
      <c r="B211" s="1" t="n">
        <v>45188</v>
      </c>
      <c r="C211" s="1" t="n">
        <v>45849</v>
      </c>
      <c r="D211" t="inlineStr">
        <is>
          <t>VÄSTERBOTTENS LÄN</t>
        </is>
      </c>
      <c r="E211" t="inlineStr">
        <is>
          <t>LYCKSELE</t>
        </is>
      </c>
      <c r="F211" t="inlineStr">
        <is>
          <t>Sveaskog</t>
        </is>
      </c>
      <c r="G211" t="n">
        <v>12.5</v>
      </c>
      <c r="H211" t="n">
        <v>0</v>
      </c>
      <c r="I211" t="n">
        <v>0</v>
      </c>
      <c r="J211" t="n">
        <v>1</v>
      </c>
      <c r="K211" t="n">
        <v>0</v>
      </c>
      <c r="L211" t="n">
        <v>0</v>
      </c>
      <c r="M211" t="n">
        <v>0</v>
      </c>
      <c r="N211" t="n">
        <v>0</v>
      </c>
      <c r="O211" t="n">
        <v>1</v>
      </c>
      <c r="P211" t="n">
        <v>0</v>
      </c>
      <c r="Q211" t="n">
        <v>1</v>
      </c>
      <c r="R211" s="2" t="inlineStr">
        <is>
          <t>Kolflarnlav</t>
        </is>
      </c>
      <c r="S211">
        <f>HYPERLINK("https://klasma.github.io/Logging_2481/artfynd/A 44194-2023 artfynd.xlsx", "A 44194-2023")</f>
        <v/>
      </c>
      <c r="T211">
        <f>HYPERLINK("https://klasma.github.io/Logging_2481/kartor/A 44194-2023 karta.png", "A 44194-2023")</f>
        <v/>
      </c>
      <c r="V211">
        <f>HYPERLINK("https://klasma.github.io/Logging_2481/klagomål/A 44194-2023 FSC-klagomål.docx", "A 44194-2023")</f>
        <v/>
      </c>
      <c r="W211">
        <f>HYPERLINK("https://klasma.github.io/Logging_2481/klagomålsmail/A 44194-2023 FSC-klagomål mail.docx", "A 44194-2023")</f>
        <v/>
      </c>
      <c r="X211">
        <f>HYPERLINK("https://klasma.github.io/Logging_2481/tillsyn/A 44194-2023 tillsynsbegäran.docx", "A 44194-2023")</f>
        <v/>
      </c>
      <c r="Y211">
        <f>HYPERLINK("https://klasma.github.io/Logging_2481/tillsynsmail/A 44194-2023 tillsynsbegäran mail.docx", "A 44194-2023")</f>
        <v/>
      </c>
    </row>
    <row r="212" ht="15" customHeight="1">
      <c r="A212" t="inlineStr">
        <is>
          <t>A 46114-2023</t>
        </is>
      </c>
      <c r="B212" s="1" t="n">
        <v>45196</v>
      </c>
      <c r="C212" s="1" t="n">
        <v>45849</v>
      </c>
      <c r="D212" t="inlineStr">
        <is>
          <t>VÄSTERBOTTENS LÄN</t>
        </is>
      </c>
      <c r="E212" t="inlineStr">
        <is>
          <t>LYCKSELE</t>
        </is>
      </c>
      <c r="F212" t="inlineStr">
        <is>
          <t>Sveaskog</t>
        </is>
      </c>
      <c r="G212" t="n">
        <v>15</v>
      </c>
      <c r="H212" t="n">
        <v>0</v>
      </c>
      <c r="I212" t="n">
        <v>1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1</v>
      </c>
      <c r="R212" s="2" t="inlineStr">
        <is>
          <t>Dropptaggsvamp</t>
        </is>
      </c>
      <c r="S212">
        <f>HYPERLINK("https://klasma.github.io/Logging_2481/artfynd/A 46114-2023 artfynd.xlsx", "A 46114-2023")</f>
        <v/>
      </c>
      <c r="T212">
        <f>HYPERLINK("https://klasma.github.io/Logging_2481/kartor/A 46114-2023 karta.png", "A 46114-2023")</f>
        <v/>
      </c>
      <c r="V212">
        <f>HYPERLINK("https://klasma.github.io/Logging_2481/klagomål/A 46114-2023 FSC-klagomål.docx", "A 46114-2023")</f>
        <v/>
      </c>
      <c r="W212">
        <f>HYPERLINK("https://klasma.github.io/Logging_2481/klagomålsmail/A 46114-2023 FSC-klagomål mail.docx", "A 46114-2023")</f>
        <v/>
      </c>
      <c r="X212">
        <f>HYPERLINK("https://klasma.github.io/Logging_2481/tillsyn/A 46114-2023 tillsynsbegäran.docx", "A 46114-2023")</f>
        <v/>
      </c>
      <c r="Y212">
        <f>HYPERLINK("https://klasma.github.io/Logging_2481/tillsynsmail/A 46114-2023 tillsynsbegäran mail.docx", "A 46114-2023")</f>
        <v/>
      </c>
    </row>
    <row r="213" ht="15" customHeight="1">
      <c r="A213" t="inlineStr">
        <is>
          <t>A 50997-2023</t>
        </is>
      </c>
      <c r="B213" s="1" t="n">
        <v>45218</v>
      </c>
      <c r="C213" s="1" t="n">
        <v>45849</v>
      </c>
      <c r="D213" t="inlineStr">
        <is>
          <t>VÄSTERBOTTENS LÄN</t>
        </is>
      </c>
      <c r="E213" t="inlineStr">
        <is>
          <t>LYCKSELE</t>
        </is>
      </c>
      <c r="F213" t="inlineStr">
        <is>
          <t>Sveaskog</t>
        </is>
      </c>
      <c r="G213" t="n">
        <v>12.7</v>
      </c>
      <c r="H213" t="n">
        <v>0</v>
      </c>
      <c r="I213" t="n">
        <v>0</v>
      </c>
      <c r="J213" t="n">
        <v>1</v>
      </c>
      <c r="K213" t="n">
        <v>0</v>
      </c>
      <c r="L213" t="n">
        <v>0</v>
      </c>
      <c r="M213" t="n">
        <v>0</v>
      </c>
      <c r="N213" t="n">
        <v>0</v>
      </c>
      <c r="O213" t="n">
        <v>1</v>
      </c>
      <c r="P213" t="n">
        <v>0</v>
      </c>
      <c r="Q213" t="n">
        <v>1</v>
      </c>
      <c r="R213" s="2" t="inlineStr">
        <is>
          <t>Kolflarnlav</t>
        </is>
      </c>
      <c r="S213">
        <f>HYPERLINK("https://klasma.github.io/Logging_2481/artfynd/A 50997-2023 artfynd.xlsx", "A 50997-2023")</f>
        <v/>
      </c>
      <c r="T213">
        <f>HYPERLINK("https://klasma.github.io/Logging_2481/kartor/A 50997-2023 karta.png", "A 50997-2023")</f>
        <v/>
      </c>
      <c r="V213">
        <f>HYPERLINK("https://klasma.github.io/Logging_2481/klagomål/A 50997-2023 FSC-klagomål.docx", "A 50997-2023")</f>
        <v/>
      </c>
      <c r="W213">
        <f>HYPERLINK("https://klasma.github.io/Logging_2481/klagomålsmail/A 50997-2023 FSC-klagomål mail.docx", "A 50997-2023")</f>
        <v/>
      </c>
      <c r="X213">
        <f>HYPERLINK("https://klasma.github.io/Logging_2481/tillsyn/A 50997-2023 tillsynsbegäran.docx", "A 50997-2023")</f>
        <v/>
      </c>
      <c r="Y213">
        <f>HYPERLINK("https://klasma.github.io/Logging_2481/tillsynsmail/A 50997-2023 tillsynsbegäran mail.docx", "A 50997-2023")</f>
        <v/>
      </c>
    </row>
    <row r="214" ht="15" customHeight="1">
      <c r="A214" t="inlineStr">
        <is>
          <t>A 52929-2023</t>
        </is>
      </c>
      <c r="B214" s="1" t="n">
        <v>45226</v>
      </c>
      <c r="C214" s="1" t="n">
        <v>45849</v>
      </c>
      <c r="D214" t="inlineStr">
        <is>
          <t>VÄSTERBOTTENS LÄN</t>
        </is>
      </c>
      <c r="E214" t="inlineStr">
        <is>
          <t>LYCKSELE</t>
        </is>
      </c>
      <c r="F214" t="inlineStr">
        <is>
          <t>Sveaskog</t>
        </is>
      </c>
      <c r="G214" t="n">
        <v>8.4</v>
      </c>
      <c r="H214" t="n">
        <v>0</v>
      </c>
      <c r="I214" t="n">
        <v>0</v>
      </c>
      <c r="J214" t="n">
        <v>1</v>
      </c>
      <c r="K214" t="n">
        <v>0</v>
      </c>
      <c r="L214" t="n">
        <v>0</v>
      </c>
      <c r="M214" t="n">
        <v>0</v>
      </c>
      <c r="N214" t="n">
        <v>0</v>
      </c>
      <c r="O214" t="n">
        <v>1</v>
      </c>
      <c r="P214" t="n">
        <v>0</v>
      </c>
      <c r="Q214" t="n">
        <v>1</v>
      </c>
      <c r="R214" s="2" t="inlineStr">
        <is>
          <t>Lunglav</t>
        </is>
      </c>
      <c r="S214">
        <f>HYPERLINK("https://klasma.github.io/Logging_2481/artfynd/A 52929-2023 artfynd.xlsx", "A 52929-2023")</f>
        <v/>
      </c>
      <c r="T214">
        <f>HYPERLINK("https://klasma.github.io/Logging_2481/kartor/A 52929-2023 karta.png", "A 52929-2023")</f>
        <v/>
      </c>
      <c r="V214">
        <f>HYPERLINK("https://klasma.github.io/Logging_2481/klagomål/A 52929-2023 FSC-klagomål.docx", "A 52929-2023")</f>
        <v/>
      </c>
      <c r="W214">
        <f>HYPERLINK("https://klasma.github.io/Logging_2481/klagomålsmail/A 52929-2023 FSC-klagomål mail.docx", "A 52929-2023")</f>
        <v/>
      </c>
      <c r="X214">
        <f>HYPERLINK("https://klasma.github.io/Logging_2481/tillsyn/A 52929-2023 tillsynsbegäran.docx", "A 52929-2023")</f>
        <v/>
      </c>
      <c r="Y214">
        <f>HYPERLINK("https://klasma.github.io/Logging_2481/tillsynsmail/A 52929-2023 tillsynsbegäran mail.docx", "A 52929-2023")</f>
        <v/>
      </c>
    </row>
    <row r="215" ht="15" customHeight="1">
      <c r="A215" t="inlineStr">
        <is>
          <t>A 53869-2023</t>
        </is>
      </c>
      <c r="B215" s="1" t="n">
        <v>45231</v>
      </c>
      <c r="C215" s="1" t="n">
        <v>45849</v>
      </c>
      <c r="D215" t="inlineStr">
        <is>
          <t>VÄSTERBOTTENS LÄN</t>
        </is>
      </c>
      <c r="E215" t="inlineStr">
        <is>
          <t>LYCKSELE</t>
        </is>
      </c>
      <c r="F215" t="inlineStr">
        <is>
          <t>Sveaskog</t>
        </is>
      </c>
      <c r="G215" t="n">
        <v>5.6</v>
      </c>
      <c r="H215" t="n">
        <v>0</v>
      </c>
      <c r="I215" t="n">
        <v>1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1</v>
      </c>
      <c r="R215" s="2" t="inlineStr">
        <is>
          <t>Dropptaggsvamp</t>
        </is>
      </c>
      <c r="S215">
        <f>HYPERLINK("https://klasma.github.io/Logging_2481/artfynd/A 53869-2023 artfynd.xlsx", "A 53869-2023")</f>
        <v/>
      </c>
      <c r="T215">
        <f>HYPERLINK("https://klasma.github.io/Logging_2481/kartor/A 53869-2023 karta.png", "A 53869-2023")</f>
        <v/>
      </c>
      <c r="V215">
        <f>HYPERLINK("https://klasma.github.io/Logging_2481/klagomål/A 53869-2023 FSC-klagomål.docx", "A 53869-2023")</f>
        <v/>
      </c>
      <c r="W215">
        <f>HYPERLINK("https://klasma.github.io/Logging_2481/klagomålsmail/A 53869-2023 FSC-klagomål mail.docx", "A 53869-2023")</f>
        <v/>
      </c>
      <c r="X215">
        <f>HYPERLINK("https://klasma.github.io/Logging_2481/tillsyn/A 53869-2023 tillsynsbegäran.docx", "A 53869-2023")</f>
        <v/>
      </c>
      <c r="Y215">
        <f>HYPERLINK("https://klasma.github.io/Logging_2481/tillsynsmail/A 53869-2023 tillsynsbegäran mail.docx", "A 53869-2023")</f>
        <v/>
      </c>
    </row>
    <row r="216" ht="15" customHeight="1">
      <c r="A216" t="inlineStr">
        <is>
          <t>A 57462-2023</t>
        </is>
      </c>
      <c r="B216" s="1" t="n">
        <v>45246</v>
      </c>
      <c r="C216" s="1" t="n">
        <v>45849</v>
      </c>
      <c r="D216" t="inlineStr">
        <is>
          <t>VÄSTERBOTTENS LÄN</t>
        </is>
      </c>
      <c r="E216" t="inlineStr">
        <is>
          <t>LYCKSELE</t>
        </is>
      </c>
      <c r="F216" t="inlineStr">
        <is>
          <t>Sveaskog</t>
        </is>
      </c>
      <c r="G216" t="n">
        <v>8.800000000000001</v>
      </c>
      <c r="H216" t="n">
        <v>0</v>
      </c>
      <c r="I216" t="n">
        <v>0</v>
      </c>
      <c r="J216" t="n">
        <v>1</v>
      </c>
      <c r="K216" t="n">
        <v>0</v>
      </c>
      <c r="L216" t="n">
        <v>0</v>
      </c>
      <c r="M216" t="n">
        <v>0</v>
      </c>
      <c r="N216" t="n">
        <v>0</v>
      </c>
      <c r="O216" t="n">
        <v>1</v>
      </c>
      <c r="P216" t="n">
        <v>0</v>
      </c>
      <c r="Q216" t="n">
        <v>1</v>
      </c>
      <c r="R216" s="2" t="inlineStr">
        <is>
          <t>Mörk kolflarnlav</t>
        </is>
      </c>
      <c r="S216">
        <f>HYPERLINK("https://klasma.github.io/Logging_2481/artfynd/A 57462-2023 artfynd.xlsx", "A 57462-2023")</f>
        <v/>
      </c>
      <c r="T216">
        <f>HYPERLINK("https://klasma.github.io/Logging_2481/kartor/A 57462-2023 karta.png", "A 57462-2023")</f>
        <v/>
      </c>
      <c r="V216">
        <f>HYPERLINK("https://klasma.github.io/Logging_2481/klagomål/A 57462-2023 FSC-klagomål.docx", "A 57462-2023")</f>
        <v/>
      </c>
      <c r="W216">
        <f>HYPERLINK("https://klasma.github.io/Logging_2481/klagomålsmail/A 57462-2023 FSC-klagomål mail.docx", "A 57462-2023")</f>
        <v/>
      </c>
      <c r="X216">
        <f>HYPERLINK("https://klasma.github.io/Logging_2481/tillsyn/A 57462-2023 tillsynsbegäran.docx", "A 57462-2023")</f>
        <v/>
      </c>
      <c r="Y216">
        <f>HYPERLINK("https://klasma.github.io/Logging_2481/tillsynsmail/A 57462-2023 tillsynsbegäran mail.docx", "A 57462-2023")</f>
        <v/>
      </c>
    </row>
    <row r="217" ht="15" customHeight="1">
      <c r="A217" t="inlineStr">
        <is>
          <t>A 58657-2023</t>
        </is>
      </c>
      <c r="B217" s="1" t="n">
        <v>45251</v>
      </c>
      <c r="C217" s="1" t="n">
        <v>45849</v>
      </c>
      <c r="D217" t="inlineStr">
        <is>
          <t>VÄSTERBOTTENS LÄN</t>
        </is>
      </c>
      <c r="E217" t="inlineStr">
        <is>
          <t>LYCKSELE</t>
        </is>
      </c>
      <c r="F217" t="inlineStr">
        <is>
          <t>Sveaskog</t>
        </is>
      </c>
      <c r="G217" t="n">
        <v>14.4</v>
      </c>
      <c r="H217" t="n">
        <v>0</v>
      </c>
      <c r="I217" t="n">
        <v>1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1</v>
      </c>
      <c r="R217" s="2" t="inlineStr">
        <is>
          <t>Bollvitmossa</t>
        </is>
      </c>
      <c r="S217">
        <f>HYPERLINK("https://klasma.github.io/Logging_2481/artfynd/A 58657-2023 artfynd.xlsx", "A 58657-2023")</f>
        <v/>
      </c>
      <c r="T217">
        <f>HYPERLINK("https://klasma.github.io/Logging_2481/kartor/A 58657-2023 karta.png", "A 58657-2023")</f>
        <v/>
      </c>
      <c r="V217">
        <f>HYPERLINK("https://klasma.github.io/Logging_2481/klagomål/A 58657-2023 FSC-klagomål.docx", "A 58657-2023")</f>
        <v/>
      </c>
      <c r="W217">
        <f>HYPERLINK("https://klasma.github.io/Logging_2481/klagomålsmail/A 58657-2023 FSC-klagomål mail.docx", "A 58657-2023")</f>
        <v/>
      </c>
      <c r="X217">
        <f>HYPERLINK("https://klasma.github.io/Logging_2481/tillsyn/A 58657-2023 tillsynsbegäran.docx", "A 58657-2023")</f>
        <v/>
      </c>
      <c r="Y217">
        <f>HYPERLINK("https://klasma.github.io/Logging_2481/tillsynsmail/A 58657-2023 tillsynsbegäran mail.docx", "A 58657-2023")</f>
        <v/>
      </c>
    </row>
    <row r="218" ht="15" customHeight="1">
      <c r="A218" t="inlineStr">
        <is>
          <t>A 59300-2023</t>
        </is>
      </c>
      <c r="B218" s="1" t="n">
        <v>45253</v>
      </c>
      <c r="C218" s="1" t="n">
        <v>45849</v>
      </c>
      <c r="D218" t="inlineStr">
        <is>
          <t>VÄSTERBOTTENS LÄN</t>
        </is>
      </c>
      <c r="E218" t="inlineStr">
        <is>
          <t>LYCKSELE</t>
        </is>
      </c>
      <c r="G218" t="n">
        <v>22.1</v>
      </c>
      <c r="H218" t="n">
        <v>1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1</v>
      </c>
      <c r="R218" s="2" t="inlineStr">
        <is>
          <t>Fläcknycklar</t>
        </is>
      </c>
      <c r="S218">
        <f>HYPERLINK("https://klasma.github.io/Logging_2481/artfynd/A 59300-2023 artfynd.xlsx", "A 59300-2023")</f>
        <v/>
      </c>
      <c r="T218">
        <f>HYPERLINK("https://klasma.github.io/Logging_2481/kartor/A 59300-2023 karta.png", "A 59300-2023")</f>
        <v/>
      </c>
      <c r="V218">
        <f>HYPERLINK("https://klasma.github.io/Logging_2481/klagomål/A 59300-2023 FSC-klagomål.docx", "A 59300-2023")</f>
        <v/>
      </c>
      <c r="W218">
        <f>HYPERLINK("https://klasma.github.io/Logging_2481/klagomålsmail/A 59300-2023 FSC-klagomål mail.docx", "A 59300-2023")</f>
        <v/>
      </c>
      <c r="X218">
        <f>HYPERLINK("https://klasma.github.io/Logging_2481/tillsyn/A 59300-2023 tillsynsbegäran.docx", "A 59300-2023")</f>
        <v/>
      </c>
      <c r="Y218">
        <f>HYPERLINK("https://klasma.github.io/Logging_2481/tillsynsmail/A 59300-2023 tillsynsbegäran mail.docx", "A 59300-2023")</f>
        <v/>
      </c>
    </row>
    <row r="219" ht="15" customHeight="1">
      <c r="A219" t="inlineStr">
        <is>
          <t>A 61590-2023</t>
        </is>
      </c>
      <c r="B219" s="1" t="n">
        <v>45265</v>
      </c>
      <c r="C219" s="1" t="n">
        <v>45849</v>
      </c>
      <c r="D219" t="inlineStr">
        <is>
          <t>VÄSTERBOTTENS LÄN</t>
        </is>
      </c>
      <c r="E219" t="inlineStr">
        <is>
          <t>LYCKSELE</t>
        </is>
      </c>
      <c r="G219" t="n">
        <v>8.800000000000001</v>
      </c>
      <c r="H219" t="n">
        <v>1</v>
      </c>
      <c r="I219" t="n">
        <v>1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1</v>
      </c>
      <c r="R219" s="2" t="inlineStr">
        <is>
          <t>Plattlummer</t>
        </is>
      </c>
      <c r="S219">
        <f>HYPERLINK("https://klasma.github.io/Logging_2481/artfynd/A 61590-2023 artfynd.xlsx", "A 61590-2023")</f>
        <v/>
      </c>
      <c r="T219">
        <f>HYPERLINK("https://klasma.github.io/Logging_2481/kartor/A 61590-2023 karta.png", "A 61590-2023")</f>
        <v/>
      </c>
      <c r="V219">
        <f>HYPERLINK("https://klasma.github.io/Logging_2481/klagomål/A 61590-2023 FSC-klagomål.docx", "A 61590-2023")</f>
        <v/>
      </c>
      <c r="W219">
        <f>HYPERLINK("https://klasma.github.io/Logging_2481/klagomålsmail/A 61590-2023 FSC-klagomål mail.docx", "A 61590-2023")</f>
        <v/>
      </c>
      <c r="X219">
        <f>HYPERLINK("https://klasma.github.io/Logging_2481/tillsyn/A 61590-2023 tillsynsbegäran.docx", "A 61590-2023")</f>
        <v/>
      </c>
      <c r="Y219">
        <f>HYPERLINK("https://klasma.github.io/Logging_2481/tillsynsmail/A 61590-2023 tillsynsbegäran mail.docx", "A 61590-2023")</f>
        <v/>
      </c>
    </row>
    <row r="220" ht="15" customHeight="1">
      <c r="A220" t="inlineStr">
        <is>
          <t>A 496-2024</t>
        </is>
      </c>
      <c r="B220" s="1" t="n">
        <v>45299</v>
      </c>
      <c r="C220" s="1" t="n">
        <v>45849</v>
      </c>
      <c r="D220" t="inlineStr">
        <is>
          <t>VÄSTERBOTTENS LÄN</t>
        </is>
      </c>
      <c r="E220" t="inlineStr">
        <is>
          <t>LYCKSELE</t>
        </is>
      </c>
      <c r="G220" t="n">
        <v>5.2</v>
      </c>
      <c r="H220" t="n">
        <v>1</v>
      </c>
      <c r="I220" t="n">
        <v>0</v>
      </c>
      <c r="J220" t="n">
        <v>1</v>
      </c>
      <c r="K220" t="n">
        <v>0</v>
      </c>
      <c r="L220" t="n">
        <v>0</v>
      </c>
      <c r="M220" t="n">
        <v>0</v>
      </c>
      <c r="N220" t="n">
        <v>0</v>
      </c>
      <c r="O220" t="n">
        <v>1</v>
      </c>
      <c r="P220" t="n">
        <v>0</v>
      </c>
      <c r="Q220" t="n">
        <v>1</v>
      </c>
      <c r="R220" s="2" t="inlineStr">
        <is>
          <t>Tretåig hackspett</t>
        </is>
      </c>
      <c r="S220">
        <f>HYPERLINK("https://klasma.github.io/Logging_2481/artfynd/A 496-2024 artfynd.xlsx", "A 496-2024")</f>
        <v/>
      </c>
      <c r="T220">
        <f>HYPERLINK("https://klasma.github.io/Logging_2481/kartor/A 496-2024 karta.png", "A 496-2024")</f>
        <v/>
      </c>
      <c r="V220">
        <f>HYPERLINK("https://klasma.github.io/Logging_2481/klagomål/A 496-2024 FSC-klagomål.docx", "A 496-2024")</f>
        <v/>
      </c>
      <c r="W220">
        <f>HYPERLINK("https://klasma.github.io/Logging_2481/klagomålsmail/A 496-2024 FSC-klagomål mail.docx", "A 496-2024")</f>
        <v/>
      </c>
      <c r="X220">
        <f>HYPERLINK("https://klasma.github.io/Logging_2481/tillsyn/A 496-2024 tillsynsbegäran.docx", "A 496-2024")</f>
        <v/>
      </c>
      <c r="Y220">
        <f>HYPERLINK("https://klasma.github.io/Logging_2481/tillsynsmail/A 496-2024 tillsynsbegäran mail.docx", "A 496-2024")</f>
        <v/>
      </c>
      <c r="Z220">
        <f>HYPERLINK("https://klasma.github.io/Logging_2481/fåglar/A 496-2024 prioriterade fågelarter.docx", "A 496-2024")</f>
        <v/>
      </c>
    </row>
    <row r="221" ht="15" customHeight="1">
      <c r="A221" t="inlineStr">
        <is>
          <t>A 1778-2024</t>
        </is>
      </c>
      <c r="B221" s="1" t="n">
        <v>45307</v>
      </c>
      <c r="C221" s="1" t="n">
        <v>45849</v>
      </c>
      <c r="D221" t="inlineStr">
        <is>
          <t>VÄSTERBOTTENS LÄN</t>
        </is>
      </c>
      <c r="E221" t="inlineStr">
        <is>
          <t>LYCKSELE</t>
        </is>
      </c>
      <c r="F221" t="inlineStr">
        <is>
          <t>Sveaskog</t>
        </is>
      </c>
      <c r="G221" t="n">
        <v>9.800000000000001</v>
      </c>
      <c r="H221" t="n">
        <v>0</v>
      </c>
      <c r="I221" t="n">
        <v>0</v>
      </c>
      <c r="J221" t="n">
        <v>1</v>
      </c>
      <c r="K221" t="n">
        <v>0</v>
      </c>
      <c r="L221" t="n">
        <v>0</v>
      </c>
      <c r="M221" t="n">
        <v>0</v>
      </c>
      <c r="N221" t="n">
        <v>0</v>
      </c>
      <c r="O221" t="n">
        <v>1</v>
      </c>
      <c r="P221" t="n">
        <v>0</v>
      </c>
      <c r="Q221" t="n">
        <v>1</v>
      </c>
      <c r="R221" s="2" t="inlineStr">
        <is>
          <t>Lunglav</t>
        </is>
      </c>
      <c r="S221">
        <f>HYPERLINK("https://klasma.github.io/Logging_2481/artfynd/A 1778-2024 artfynd.xlsx", "A 1778-2024")</f>
        <v/>
      </c>
      <c r="T221">
        <f>HYPERLINK("https://klasma.github.io/Logging_2481/kartor/A 1778-2024 karta.png", "A 1778-2024")</f>
        <v/>
      </c>
      <c r="V221">
        <f>HYPERLINK("https://klasma.github.io/Logging_2481/klagomål/A 1778-2024 FSC-klagomål.docx", "A 1778-2024")</f>
        <v/>
      </c>
      <c r="W221">
        <f>HYPERLINK("https://klasma.github.io/Logging_2481/klagomålsmail/A 1778-2024 FSC-klagomål mail.docx", "A 1778-2024")</f>
        <v/>
      </c>
      <c r="X221">
        <f>HYPERLINK("https://klasma.github.io/Logging_2481/tillsyn/A 1778-2024 tillsynsbegäran.docx", "A 1778-2024")</f>
        <v/>
      </c>
      <c r="Y221">
        <f>HYPERLINK("https://klasma.github.io/Logging_2481/tillsynsmail/A 1778-2024 tillsynsbegäran mail.docx", "A 1778-2024")</f>
        <v/>
      </c>
    </row>
    <row r="222" ht="15" customHeight="1">
      <c r="A222" t="inlineStr">
        <is>
          <t>A 1973-2024</t>
        </is>
      </c>
      <c r="B222" s="1" t="n">
        <v>45308</v>
      </c>
      <c r="C222" s="1" t="n">
        <v>45849</v>
      </c>
      <c r="D222" t="inlineStr">
        <is>
          <t>VÄSTERBOTTENS LÄN</t>
        </is>
      </c>
      <c r="E222" t="inlineStr">
        <is>
          <t>LYCKSELE</t>
        </is>
      </c>
      <c r="F222" t="inlineStr">
        <is>
          <t>Sveaskog</t>
        </is>
      </c>
      <c r="G222" t="n">
        <v>1.7</v>
      </c>
      <c r="H222" t="n">
        <v>0</v>
      </c>
      <c r="I222" t="n">
        <v>0</v>
      </c>
      <c r="J222" t="n">
        <v>1</v>
      </c>
      <c r="K222" t="n">
        <v>0</v>
      </c>
      <c r="L222" t="n">
        <v>0</v>
      </c>
      <c r="M222" t="n">
        <v>0</v>
      </c>
      <c r="N222" t="n">
        <v>0</v>
      </c>
      <c r="O222" t="n">
        <v>1</v>
      </c>
      <c r="P222" t="n">
        <v>0</v>
      </c>
      <c r="Q222" t="n">
        <v>1</v>
      </c>
      <c r="R222" s="2" t="inlineStr">
        <is>
          <t>Kolflarnlav</t>
        </is>
      </c>
      <c r="S222">
        <f>HYPERLINK("https://klasma.github.io/Logging_2481/artfynd/A 1973-2024 artfynd.xlsx", "A 1973-2024")</f>
        <v/>
      </c>
      <c r="T222">
        <f>HYPERLINK("https://klasma.github.io/Logging_2481/kartor/A 1973-2024 karta.png", "A 1973-2024")</f>
        <v/>
      </c>
      <c r="V222">
        <f>HYPERLINK("https://klasma.github.io/Logging_2481/klagomål/A 1973-2024 FSC-klagomål.docx", "A 1973-2024")</f>
        <v/>
      </c>
      <c r="W222">
        <f>HYPERLINK("https://klasma.github.io/Logging_2481/klagomålsmail/A 1973-2024 FSC-klagomål mail.docx", "A 1973-2024")</f>
        <v/>
      </c>
      <c r="X222">
        <f>HYPERLINK("https://klasma.github.io/Logging_2481/tillsyn/A 1973-2024 tillsynsbegäran.docx", "A 1973-2024")</f>
        <v/>
      </c>
      <c r="Y222">
        <f>HYPERLINK("https://klasma.github.io/Logging_2481/tillsynsmail/A 1973-2024 tillsynsbegäran mail.docx", "A 1973-2024")</f>
        <v/>
      </c>
    </row>
    <row r="223" ht="15" customHeight="1">
      <c r="A223" t="inlineStr">
        <is>
          <t>A 1936-2024</t>
        </is>
      </c>
      <c r="B223" s="1" t="n">
        <v>45308</v>
      </c>
      <c r="C223" s="1" t="n">
        <v>45849</v>
      </c>
      <c r="D223" t="inlineStr">
        <is>
          <t>VÄSTERBOTTENS LÄN</t>
        </is>
      </c>
      <c r="E223" t="inlineStr">
        <is>
          <t>LYCKSELE</t>
        </is>
      </c>
      <c r="F223" t="inlineStr">
        <is>
          <t>Sveaskog</t>
        </is>
      </c>
      <c r="G223" t="n">
        <v>6.4</v>
      </c>
      <c r="H223" t="n">
        <v>0</v>
      </c>
      <c r="I223" t="n">
        <v>0</v>
      </c>
      <c r="J223" t="n">
        <v>1</v>
      </c>
      <c r="K223" t="n">
        <v>0</v>
      </c>
      <c r="L223" t="n">
        <v>0</v>
      </c>
      <c r="M223" t="n">
        <v>0</v>
      </c>
      <c r="N223" t="n">
        <v>0</v>
      </c>
      <c r="O223" t="n">
        <v>1</v>
      </c>
      <c r="P223" t="n">
        <v>0</v>
      </c>
      <c r="Q223" t="n">
        <v>1</v>
      </c>
      <c r="R223" s="2" t="inlineStr">
        <is>
          <t>Orange taggsvamp</t>
        </is>
      </c>
      <c r="S223">
        <f>HYPERLINK("https://klasma.github.io/Logging_2481/artfynd/A 1936-2024 artfynd.xlsx", "A 1936-2024")</f>
        <v/>
      </c>
      <c r="T223">
        <f>HYPERLINK("https://klasma.github.io/Logging_2481/kartor/A 1936-2024 karta.png", "A 1936-2024")</f>
        <v/>
      </c>
      <c r="V223">
        <f>HYPERLINK("https://klasma.github.io/Logging_2481/klagomål/A 1936-2024 FSC-klagomål.docx", "A 1936-2024")</f>
        <v/>
      </c>
      <c r="W223">
        <f>HYPERLINK("https://klasma.github.io/Logging_2481/klagomålsmail/A 1936-2024 FSC-klagomål mail.docx", "A 1936-2024")</f>
        <v/>
      </c>
      <c r="X223">
        <f>HYPERLINK("https://klasma.github.io/Logging_2481/tillsyn/A 1936-2024 tillsynsbegäran.docx", "A 1936-2024")</f>
        <v/>
      </c>
      <c r="Y223">
        <f>HYPERLINK("https://klasma.github.io/Logging_2481/tillsynsmail/A 1936-2024 tillsynsbegäran mail.docx", "A 1936-2024")</f>
        <v/>
      </c>
    </row>
    <row r="224" ht="15" customHeight="1">
      <c r="A224" t="inlineStr">
        <is>
          <t>A 17415-2024</t>
        </is>
      </c>
      <c r="B224" s="1" t="n">
        <v>45414</v>
      </c>
      <c r="C224" s="1" t="n">
        <v>45849</v>
      </c>
      <c r="D224" t="inlineStr">
        <is>
          <t>VÄSTERBOTTENS LÄN</t>
        </is>
      </c>
      <c r="E224" t="inlineStr">
        <is>
          <t>LYCKSELE</t>
        </is>
      </c>
      <c r="F224" t="inlineStr">
        <is>
          <t>SCA</t>
        </is>
      </c>
      <c r="G224" t="n">
        <v>9.6</v>
      </c>
      <c r="H224" t="n">
        <v>0</v>
      </c>
      <c r="I224" t="n">
        <v>0</v>
      </c>
      <c r="J224" t="n">
        <v>1</v>
      </c>
      <c r="K224" t="n">
        <v>0</v>
      </c>
      <c r="L224" t="n">
        <v>0</v>
      </c>
      <c r="M224" t="n">
        <v>0</v>
      </c>
      <c r="N224" t="n">
        <v>0</v>
      </c>
      <c r="O224" t="n">
        <v>1</v>
      </c>
      <c r="P224" t="n">
        <v>0</v>
      </c>
      <c r="Q224" t="n">
        <v>1</v>
      </c>
      <c r="R224" s="2" t="inlineStr">
        <is>
          <t>Reliktbock</t>
        </is>
      </c>
      <c r="S224">
        <f>HYPERLINK("https://klasma.github.io/Logging_2481/artfynd/A 17415-2024 artfynd.xlsx", "A 17415-2024")</f>
        <v/>
      </c>
      <c r="T224">
        <f>HYPERLINK("https://klasma.github.io/Logging_2481/kartor/A 17415-2024 karta.png", "A 17415-2024")</f>
        <v/>
      </c>
      <c r="V224">
        <f>HYPERLINK("https://klasma.github.io/Logging_2481/klagomål/A 17415-2024 FSC-klagomål.docx", "A 17415-2024")</f>
        <v/>
      </c>
      <c r="W224">
        <f>HYPERLINK("https://klasma.github.io/Logging_2481/klagomålsmail/A 17415-2024 FSC-klagomål mail.docx", "A 17415-2024")</f>
        <v/>
      </c>
      <c r="X224">
        <f>HYPERLINK("https://klasma.github.io/Logging_2481/tillsyn/A 17415-2024 tillsynsbegäran.docx", "A 17415-2024")</f>
        <v/>
      </c>
      <c r="Y224">
        <f>HYPERLINK("https://klasma.github.io/Logging_2481/tillsynsmail/A 17415-2024 tillsynsbegäran mail.docx", "A 17415-2024")</f>
        <v/>
      </c>
    </row>
    <row r="225" ht="15" customHeight="1">
      <c r="A225" t="inlineStr">
        <is>
          <t>A 24824-2024</t>
        </is>
      </c>
      <c r="B225" s="1" t="n">
        <v>45461</v>
      </c>
      <c r="C225" s="1" t="n">
        <v>45849</v>
      </c>
      <c r="D225" t="inlineStr">
        <is>
          <t>VÄSTERBOTTENS LÄN</t>
        </is>
      </c>
      <c r="E225" t="inlineStr">
        <is>
          <t>LYCKSELE</t>
        </is>
      </c>
      <c r="F225" t="inlineStr">
        <is>
          <t>Sveaskog</t>
        </is>
      </c>
      <c r="G225" t="n">
        <v>6.1</v>
      </c>
      <c r="H225" t="n">
        <v>1</v>
      </c>
      <c r="I225" t="n">
        <v>0</v>
      </c>
      <c r="J225" t="n">
        <v>1</v>
      </c>
      <c r="K225" t="n">
        <v>0</v>
      </c>
      <c r="L225" t="n">
        <v>0</v>
      </c>
      <c r="M225" t="n">
        <v>0</v>
      </c>
      <c r="N225" t="n">
        <v>0</v>
      </c>
      <c r="O225" t="n">
        <v>1</v>
      </c>
      <c r="P225" t="n">
        <v>0</v>
      </c>
      <c r="Q225" t="n">
        <v>1</v>
      </c>
      <c r="R225" s="2" t="inlineStr">
        <is>
          <t>Kungsörn</t>
        </is>
      </c>
      <c r="S225">
        <f>HYPERLINK("https://klasma.github.io/Logging_2481/artfynd/A 24824-2024 artfynd.xlsx", "A 24824-2024")</f>
        <v/>
      </c>
      <c r="T225">
        <f>HYPERLINK("https://klasma.github.io/Logging_2481/kartor/A 24824-2024 karta.png", "A 24824-2024")</f>
        <v/>
      </c>
      <c r="V225">
        <f>HYPERLINK("https://klasma.github.io/Logging_2481/klagomål/A 24824-2024 FSC-klagomål.docx", "A 24824-2024")</f>
        <v/>
      </c>
      <c r="W225">
        <f>HYPERLINK("https://klasma.github.io/Logging_2481/klagomålsmail/A 24824-2024 FSC-klagomål mail.docx", "A 24824-2024")</f>
        <v/>
      </c>
      <c r="X225">
        <f>HYPERLINK("https://klasma.github.io/Logging_2481/tillsyn/A 24824-2024 tillsynsbegäran.docx", "A 24824-2024")</f>
        <v/>
      </c>
      <c r="Y225">
        <f>HYPERLINK("https://klasma.github.io/Logging_2481/tillsynsmail/A 24824-2024 tillsynsbegäran mail.docx", "A 24824-2024")</f>
        <v/>
      </c>
      <c r="Z225">
        <f>HYPERLINK("https://klasma.github.io/Logging_2481/fåglar/A 24824-2024 prioriterade fågelarter.docx", "A 24824-2024")</f>
        <v/>
      </c>
    </row>
    <row r="226" ht="15" customHeight="1">
      <c r="A226" t="inlineStr">
        <is>
          <t>A 25667-2024</t>
        </is>
      </c>
      <c r="B226" s="1" t="n">
        <v>45463</v>
      </c>
      <c r="C226" s="1" t="n">
        <v>45849</v>
      </c>
      <c r="D226" t="inlineStr">
        <is>
          <t>VÄSTERBOTTENS LÄN</t>
        </is>
      </c>
      <c r="E226" t="inlineStr">
        <is>
          <t>LYCKSELE</t>
        </is>
      </c>
      <c r="F226" t="inlineStr">
        <is>
          <t>Sveaskog</t>
        </is>
      </c>
      <c r="G226" t="n">
        <v>10.8</v>
      </c>
      <c r="H226" t="n">
        <v>0</v>
      </c>
      <c r="I226" t="n">
        <v>0</v>
      </c>
      <c r="J226" t="n">
        <v>1</v>
      </c>
      <c r="K226" t="n">
        <v>0</v>
      </c>
      <c r="L226" t="n">
        <v>0</v>
      </c>
      <c r="M226" t="n">
        <v>0</v>
      </c>
      <c r="N226" t="n">
        <v>0</v>
      </c>
      <c r="O226" t="n">
        <v>1</v>
      </c>
      <c r="P226" t="n">
        <v>0</v>
      </c>
      <c r="Q226" t="n">
        <v>1</v>
      </c>
      <c r="R226" s="2" t="inlineStr">
        <is>
          <t>Kolflarnlav</t>
        </is>
      </c>
      <c r="S226">
        <f>HYPERLINK("https://klasma.github.io/Logging_2481/artfynd/A 25667-2024 artfynd.xlsx", "A 25667-2024")</f>
        <v/>
      </c>
      <c r="T226">
        <f>HYPERLINK("https://klasma.github.io/Logging_2481/kartor/A 25667-2024 karta.png", "A 25667-2024")</f>
        <v/>
      </c>
      <c r="V226">
        <f>HYPERLINK("https://klasma.github.io/Logging_2481/klagomål/A 25667-2024 FSC-klagomål.docx", "A 25667-2024")</f>
        <v/>
      </c>
      <c r="W226">
        <f>HYPERLINK("https://klasma.github.io/Logging_2481/klagomålsmail/A 25667-2024 FSC-klagomål mail.docx", "A 25667-2024")</f>
        <v/>
      </c>
      <c r="X226">
        <f>HYPERLINK("https://klasma.github.io/Logging_2481/tillsyn/A 25667-2024 tillsynsbegäran.docx", "A 25667-2024")</f>
        <v/>
      </c>
      <c r="Y226">
        <f>HYPERLINK("https://klasma.github.io/Logging_2481/tillsynsmail/A 25667-2024 tillsynsbegäran mail.docx", "A 25667-2024")</f>
        <v/>
      </c>
    </row>
    <row r="227" ht="15" customHeight="1">
      <c r="A227" t="inlineStr">
        <is>
          <t>A 26539-2024</t>
        </is>
      </c>
      <c r="B227" s="1" t="n">
        <v>45469</v>
      </c>
      <c r="C227" s="1" t="n">
        <v>45849</v>
      </c>
      <c r="D227" t="inlineStr">
        <is>
          <t>VÄSTERBOTTENS LÄN</t>
        </is>
      </c>
      <c r="E227" t="inlineStr">
        <is>
          <t>LYCKSELE</t>
        </is>
      </c>
      <c r="F227" t="inlineStr">
        <is>
          <t>Sveaskog</t>
        </is>
      </c>
      <c r="G227" t="n">
        <v>15.2</v>
      </c>
      <c r="H227" t="n">
        <v>0</v>
      </c>
      <c r="I227" t="n">
        <v>0</v>
      </c>
      <c r="J227" t="n">
        <v>1</v>
      </c>
      <c r="K227" t="n">
        <v>0</v>
      </c>
      <c r="L227" t="n">
        <v>0</v>
      </c>
      <c r="M227" t="n">
        <v>0</v>
      </c>
      <c r="N227" t="n">
        <v>0</v>
      </c>
      <c r="O227" t="n">
        <v>1</v>
      </c>
      <c r="P227" t="n">
        <v>0</v>
      </c>
      <c r="Q227" t="n">
        <v>1</v>
      </c>
      <c r="R227" s="2" t="inlineStr">
        <is>
          <t>Kolflarnlav</t>
        </is>
      </c>
      <c r="S227">
        <f>HYPERLINK("https://klasma.github.io/Logging_2481/artfynd/A 26539-2024 artfynd.xlsx", "A 26539-2024")</f>
        <v/>
      </c>
      <c r="T227">
        <f>HYPERLINK("https://klasma.github.io/Logging_2481/kartor/A 26539-2024 karta.png", "A 26539-2024")</f>
        <v/>
      </c>
      <c r="V227">
        <f>HYPERLINK("https://klasma.github.io/Logging_2481/klagomål/A 26539-2024 FSC-klagomål.docx", "A 26539-2024")</f>
        <v/>
      </c>
      <c r="W227">
        <f>HYPERLINK("https://klasma.github.io/Logging_2481/klagomålsmail/A 26539-2024 FSC-klagomål mail.docx", "A 26539-2024")</f>
        <v/>
      </c>
      <c r="X227">
        <f>HYPERLINK("https://klasma.github.io/Logging_2481/tillsyn/A 26539-2024 tillsynsbegäran.docx", "A 26539-2024")</f>
        <v/>
      </c>
      <c r="Y227">
        <f>HYPERLINK("https://klasma.github.io/Logging_2481/tillsynsmail/A 26539-2024 tillsynsbegäran mail.docx", "A 26539-2024")</f>
        <v/>
      </c>
    </row>
    <row r="228" ht="15" customHeight="1">
      <c r="A228" t="inlineStr">
        <is>
          <t>A 26857-2024</t>
        </is>
      </c>
      <c r="B228" s="1" t="n">
        <v>45470</v>
      </c>
      <c r="C228" s="1" t="n">
        <v>45849</v>
      </c>
      <c r="D228" t="inlineStr">
        <is>
          <t>VÄSTERBOTTENS LÄN</t>
        </is>
      </c>
      <c r="E228" t="inlineStr">
        <is>
          <t>LYCKSELE</t>
        </is>
      </c>
      <c r="F228" t="inlineStr">
        <is>
          <t>Sveaskog</t>
        </is>
      </c>
      <c r="G228" t="n">
        <v>24.2</v>
      </c>
      <c r="H228" t="n">
        <v>0</v>
      </c>
      <c r="I228" t="n">
        <v>0</v>
      </c>
      <c r="J228" t="n">
        <v>1</v>
      </c>
      <c r="K228" t="n">
        <v>0</v>
      </c>
      <c r="L228" t="n">
        <v>0</v>
      </c>
      <c r="M228" t="n">
        <v>0</v>
      </c>
      <c r="N228" t="n">
        <v>0</v>
      </c>
      <c r="O228" t="n">
        <v>1</v>
      </c>
      <c r="P228" t="n">
        <v>0</v>
      </c>
      <c r="Q228" t="n">
        <v>1</v>
      </c>
      <c r="R228" s="2" t="inlineStr">
        <is>
          <t>Kolflarnlav</t>
        </is>
      </c>
      <c r="S228">
        <f>HYPERLINK("https://klasma.github.io/Logging_2481/artfynd/A 26857-2024 artfynd.xlsx", "A 26857-2024")</f>
        <v/>
      </c>
      <c r="T228">
        <f>HYPERLINK("https://klasma.github.io/Logging_2481/kartor/A 26857-2024 karta.png", "A 26857-2024")</f>
        <v/>
      </c>
      <c r="V228">
        <f>HYPERLINK("https://klasma.github.io/Logging_2481/klagomål/A 26857-2024 FSC-klagomål.docx", "A 26857-2024")</f>
        <v/>
      </c>
      <c r="W228">
        <f>HYPERLINK("https://klasma.github.io/Logging_2481/klagomålsmail/A 26857-2024 FSC-klagomål mail.docx", "A 26857-2024")</f>
        <v/>
      </c>
      <c r="X228">
        <f>HYPERLINK("https://klasma.github.io/Logging_2481/tillsyn/A 26857-2024 tillsynsbegäran.docx", "A 26857-2024")</f>
        <v/>
      </c>
      <c r="Y228">
        <f>HYPERLINK("https://klasma.github.io/Logging_2481/tillsynsmail/A 26857-2024 tillsynsbegäran mail.docx", "A 26857-2024")</f>
        <v/>
      </c>
    </row>
    <row r="229" ht="15" customHeight="1">
      <c r="A229" t="inlineStr">
        <is>
          <t>A 27669-2024</t>
        </is>
      </c>
      <c r="B229" s="1" t="n">
        <v>45475</v>
      </c>
      <c r="C229" s="1" t="n">
        <v>45849</v>
      </c>
      <c r="D229" t="inlineStr">
        <is>
          <t>VÄSTERBOTTENS LÄN</t>
        </is>
      </c>
      <c r="E229" t="inlineStr">
        <is>
          <t>LYCKSELE</t>
        </is>
      </c>
      <c r="F229" t="inlineStr">
        <is>
          <t>Naturvårdsverket</t>
        </is>
      </c>
      <c r="G229" t="n">
        <v>4.8</v>
      </c>
      <c r="H229" t="n">
        <v>0</v>
      </c>
      <c r="I229" t="n">
        <v>1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1</v>
      </c>
      <c r="R229" s="2" t="inlineStr">
        <is>
          <t>Bårdlav</t>
        </is>
      </c>
      <c r="S229">
        <f>HYPERLINK("https://klasma.github.io/Logging_2481/artfynd/A 27669-2024 artfynd.xlsx", "A 27669-2024")</f>
        <v/>
      </c>
      <c r="T229">
        <f>HYPERLINK("https://klasma.github.io/Logging_2481/kartor/A 27669-2024 karta.png", "A 27669-2024")</f>
        <v/>
      </c>
      <c r="V229">
        <f>HYPERLINK("https://klasma.github.io/Logging_2481/klagomål/A 27669-2024 FSC-klagomål.docx", "A 27669-2024")</f>
        <v/>
      </c>
      <c r="W229">
        <f>HYPERLINK("https://klasma.github.io/Logging_2481/klagomålsmail/A 27669-2024 FSC-klagomål mail.docx", "A 27669-2024")</f>
        <v/>
      </c>
      <c r="X229">
        <f>HYPERLINK("https://klasma.github.io/Logging_2481/tillsyn/A 27669-2024 tillsynsbegäran.docx", "A 27669-2024")</f>
        <v/>
      </c>
      <c r="Y229">
        <f>HYPERLINK("https://klasma.github.io/Logging_2481/tillsynsmail/A 27669-2024 tillsynsbegäran mail.docx", "A 27669-2024")</f>
        <v/>
      </c>
    </row>
    <row r="230" ht="15" customHeight="1">
      <c r="A230" t="inlineStr">
        <is>
          <t>A 27930-2024</t>
        </is>
      </c>
      <c r="B230" s="1" t="n">
        <v>45475</v>
      </c>
      <c r="C230" s="1" t="n">
        <v>45849</v>
      </c>
      <c r="D230" t="inlineStr">
        <is>
          <t>VÄSTERBOTTENS LÄN</t>
        </is>
      </c>
      <c r="E230" t="inlineStr">
        <is>
          <t>LYCKSELE</t>
        </is>
      </c>
      <c r="F230" t="inlineStr">
        <is>
          <t>Naturvårdsverket</t>
        </is>
      </c>
      <c r="G230" t="n">
        <v>2.5</v>
      </c>
      <c r="H230" t="n">
        <v>0</v>
      </c>
      <c r="I230" t="n">
        <v>0</v>
      </c>
      <c r="J230" t="n">
        <v>1</v>
      </c>
      <c r="K230" t="n">
        <v>0</v>
      </c>
      <c r="L230" t="n">
        <v>0</v>
      </c>
      <c r="M230" t="n">
        <v>0</v>
      </c>
      <c r="N230" t="n">
        <v>0</v>
      </c>
      <c r="O230" t="n">
        <v>1</v>
      </c>
      <c r="P230" t="n">
        <v>0</v>
      </c>
      <c r="Q230" t="n">
        <v>1</v>
      </c>
      <c r="R230" s="2" t="inlineStr">
        <is>
          <t>Granticka</t>
        </is>
      </c>
      <c r="S230">
        <f>HYPERLINK("https://klasma.github.io/Logging_2481/artfynd/A 27930-2024 artfynd.xlsx", "A 27930-2024")</f>
        <v/>
      </c>
      <c r="T230">
        <f>HYPERLINK("https://klasma.github.io/Logging_2481/kartor/A 27930-2024 karta.png", "A 27930-2024")</f>
        <v/>
      </c>
      <c r="V230">
        <f>HYPERLINK("https://klasma.github.io/Logging_2481/klagomål/A 27930-2024 FSC-klagomål.docx", "A 27930-2024")</f>
        <v/>
      </c>
      <c r="W230">
        <f>HYPERLINK("https://klasma.github.io/Logging_2481/klagomålsmail/A 27930-2024 FSC-klagomål mail.docx", "A 27930-2024")</f>
        <v/>
      </c>
      <c r="X230">
        <f>HYPERLINK("https://klasma.github.io/Logging_2481/tillsyn/A 27930-2024 tillsynsbegäran.docx", "A 27930-2024")</f>
        <v/>
      </c>
      <c r="Y230">
        <f>HYPERLINK("https://klasma.github.io/Logging_2481/tillsynsmail/A 27930-2024 tillsynsbegäran mail.docx", "A 27930-2024")</f>
        <v/>
      </c>
    </row>
    <row r="231" ht="15" customHeight="1">
      <c r="A231" t="inlineStr">
        <is>
          <t>A 28012-2024</t>
        </is>
      </c>
      <c r="B231" s="1" t="n">
        <v>45476</v>
      </c>
      <c r="C231" s="1" t="n">
        <v>45849</v>
      </c>
      <c r="D231" t="inlineStr">
        <is>
          <t>VÄSTERBOTTENS LÄN</t>
        </is>
      </c>
      <c r="E231" t="inlineStr">
        <is>
          <t>LYCKSELE</t>
        </is>
      </c>
      <c r="F231" t="inlineStr">
        <is>
          <t>Sveaskog</t>
        </is>
      </c>
      <c r="G231" t="n">
        <v>30.9</v>
      </c>
      <c r="H231" t="n">
        <v>0</v>
      </c>
      <c r="I231" t="n">
        <v>0</v>
      </c>
      <c r="J231" t="n">
        <v>1</v>
      </c>
      <c r="K231" t="n">
        <v>0</v>
      </c>
      <c r="L231" t="n">
        <v>0</v>
      </c>
      <c r="M231" t="n">
        <v>0</v>
      </c>
      <c r="N231" t="n">
        <v>0</v>
      </c>
      <c r="O231" t="n">
        <v>1</v>
      </c>
      <c r="P231" t="n">
        <v>0</v>
      </c>
      <c r="Q231" t="n">
        <v>1</v>
      </c>
      <c r="R231" s="2" t="inlineStr">
        <is>
          <t>Kolflarnlav</t>
        </is>
      </c>
      <c r="S231">
        <f>HYPERLINK("https://klasma.github.io/Logging_2481/artfynd/A 28012-2024 artfynd.xlsx", "A 28012-2024")</f>
        <v/>
      </c>
      <c r="T231">
        <f>HYPERLINK("https://klasma.github.io/Logging_2481/kartor/A 28012-2024 karta.png", "A 28012-2024")</f>
        <v/>
      </c>
      <c r="V231">
        <f>HYPERLINK("https://klasma.github.io/Logging_2481/klagomål/A 28012-2024 FSC-klagomål.docx", "A 28012-2024")</f>
        <v/>
      </c>
      <c r="W231">
        <f>HYPERLINK("https://klasma.github.io/Logging_2481/klagomålsmail/A 28012-2024 FSC-klagomål mail.docx", "A 28012-2024")</f>
        <v/>
      </c>
      <c r="X231">
        <f>HYPERLINK("https://klasma.github.io/Logging_2481/tillsyn/A 28012-2024 tillsynsbegäran.docx", "A 28012-2024")</f>
        <v/>
      </c>
      <c r="Y231">
        <f>HYPERLINK("https://klasma.github.io/Logging_2481/tillsynsmail/A 28012-2024 tillsynsbegäran mail.docx", "A 28012-2024")</f>
        <v/>
      </c>
    </row>
    <row r="232" ht="15" customHeight="1">
      <c r="A232" t="inlineStr">
        <is>
          <t>A 28841-2024</t>
        </is>
      </c>
      <c r="B232" s="1" t="n">
        <v>45478</v>
      </c>
      <c r="C232" s="1" t="n">
        <v>45849</v>
      </c>
      <c r="D232" t="inlineStr">
        <is>
          <t>VÄSTERBOTTENS LÄN</t>
        </is>
      </c>
      <c r="E232" t="inlineStr">
        <is>
          <t>LYCKSELE</t>
        </is>
      </c>
      <c r="F232" t="inlineStr">
        <is>
          <t>Sveaskog</t>
        </is>
      </c>
      <c r="G232" t="n">
        <v>6</v>
      </c>
      <c r="H232" t="n">
        <v>0</v>
      </c>
      <c r="I232" t="n">
        <v>0</v>
      </c>
      <c r="J232" t="n">
        <v>1</v>
      </c>
      <c r="K232" t="n">
        <v>0</v>
      </c>
      <c r="L232" t="n">
        <v>0</v>
      </c>
      <c r="M232" t="n">
        <v>0</v>
      </c>
      <c r="N232" t="n">
        <v>0</v>
      </c>
      <c r="O232" t="n">
        <v>1</v>
      </c>
      <c r="P232" t="n">
        <v>0</v>
      </c>
      <c r="Q232" t="n">
        <v>1</v>
      </c>
      <c r="R232" s="2" t="inlineStr">
        <is>
          <t>Kolflarnlav</t>
        </is>
      </c>
      <c r="S232">
        <f>HYPERLINK("https://klasma.github.io/Logging_2481/artfynd/A 28841-2024 artfynd.xlsx", "A 28841-2024")</f>
        <v/>
      </c>
      <c r="T232">
        <f>HYPERLINK("https://klasma.github.io/Logging_2481/kartor/A 28841-2024 karta.png", "A 28841-2024")</f>
        <v/>
      </c>
      <c r="V232">
        <f>HYPERLINK("https://klasma.github.io/Logging_2481/klagomål/A 28841-2024 FSC-klagomål.docx", "A 28841-2024")</f>
        <v/>
      </c>
      <c r="W232">
        <f>HYPERLINK("https://klasma.github.io/Logging_2481/klagomålsmail/A 28841-2024 FSC-klagomål mail.docx", "A 28841-2024")</f>
        <v/>
      </c>
      <c r="X232">
        <f>HYPERLINK("https://klasma.github.io/Logging_2481/tillsyn/A 28841-2024 tillsynsbegäran.docx", "A 28841-2024")</f>
        <v/>
      </c>
      <c r="Y232">
        <f>HYPERLINK("https://klasma.github.io/Logging_2481/tillsynsmail/A 28841-2024 tillsynsbegäran mail.docx", "A 28841-2024")</f>
        <v/>
      </c>
    </row>
    <row r="233" ht="15" customHeight="1">
      <c r="A233" t="inlineStr">
        <is>
          <t>A 28838-2024</t>
        </is>
      </c>
      <c r="B233" s="1" t="n">
        <v>45478</v>
      </c>
      <c r="C233" s="1" t="n">
        <v>45849</v>
      </c>
      <c r="D233" t="inlineStr">
        <is>
          <t>VÄSTERBOTTENS LÄN</t>
        </is>
      </c>
      <c r="E233" t="inlineStr">
        <is>
          <t>LYCKSELE</t>
        </is>
      </c>
      <c r="F233" t="inlineStr">
        <is>
          <t>Sveaskog</t>
        </is>
      </c>
      <c r="G233" t="n">
        <v>1.6</v>
      </c>
      <c r="H233" t="n">
        <v>0</v>
      </c>
      <c r="I233" t="n">
        <v>0</v>
      </c>
      <c r="J233" t="n">
        <v>1</v>
      </c>
      <c r="K233" t="n">
        <v>0</v>
      </c>
      <c r="L233" t="n">
        <v>0</v>
      </c>
      <c r="M233" t="n">
        <v>0</v>
      </c>
      <c r="N233" t="n">
        <v>0</v>
      </c>
      <c r="O233" t="n">
        <v>1</v>
      </c>
      <c r="P233" t="n">
        <v>0</v>
      </c>
      <c r="Q233" t="n">
        <v>1</v>
      </c>
      <c r="R233" s="2" t="inlineStr">
        <is>
          <t>Kolflarnlav</t>
        </is>
      </c>
      <c r="S233">
        <f>HYPERLINK("https://klasma.github.io/Logging_2481/artfynd/A 28838-2024 artfynd.xlsx", "A 28838-2024")</f>
        <v/>
      </c>
      <c r="T233">
        <f>HYPERLINK("https://klasma.github.io/Logging_2481/kartor/A 28838-2024 karta.png", "A 28838-2024")</f>
        <v/>
      </c>
      <c r="V233">
        <f>HYPERLINK("https://klasma.github.io/Logging_2481/klagomål/A 28838-2024 FSC-klagomål.docx", "A 28838-2024")</f>
        <v/>
      </c>
      <c r="W233">
        <f>HYPERLINK("https://klasma.github.io/Logging_2481/klagomålsmail/A 28838-2024 FSC-klagomål mail.docx", "A 28838-2024")</f>
        <v/>
      </c>
      <c r="X233">
        <f>HYPERLINK("https://klasma.github.io/Logging_2481/tillsyn/A 28838-2024 tillsynsbegäran.docx", "A 28838-2024")</f>
        <v/>
      </c>
      <c r="Y233">
        <f>HYPERLINK("https://klasma.github.io/Logging_2481/tillsynsmail/A 28838-2024 tillsynsbegäran mail.docx", "A 28838-2024")</f>
        <v/>
      </c>
    </row>
    <row r="234" ht="15" customHeight="1">
      <c r="A234" t="inlineStr">
        <is>
          <t>A 28828-2024</t>
        </is>
      </c>
      <c r="B234" s="1" t="n">
        <v>45478</v>
      </c>
      <c r="C234" s="1" t="n">
        <v>45849</v>
      </c>
      <c r="D234" t="inlineStr">
        <is>
          <t>VÄSTERBOTTENS LÄN</t>
        </is>
      </c>
      <c r="E234" t="inlineStr">
        <is>
          <t>LYCKSELE</t>
        </is>
      </c>
      <c r="F234" t="inlineStr">
        <is>
          <t>Sveaskog</t>
        </is>
      </c>
      <c r="G234" t="n">
        <v>6.4</v>
      </c>
      <c r="H234" t="n">
        <v>0</v>
      </c>
      <c r="I234" t="n">
        <v>0</v>
      </c>
      <c r="J234" t="n">
        <v>1</v>
      </c>
      <c r="K234" t="n">
        <v>0</v>
      </c>
      <c r="L234" t="n">
        <v>0</v>
      </c>
      <c r="M234" t="n">
        <v>0</v>
      </c>
      <c r="N234" t="n">
        <v>0</v>
      </c>
      <c r="O234" t="n">
        <v>1</v>
      </c>
      <c r="P234" t="n">
        <v>0</v>
      </c>
      <c r="Q234" t="n">
        <v>1</v>
      </c>
      <c r="R234" s="2" t="inlineStr">
        <is>
          <t>Kolflarnlav</t>
        </is>
      </c>
      <c r="S234">
        <f>HYPERLINK("https://klasma.github.io/Logging_2481/artfynd/A 28828-2024 artfynd.xlsx", "A 28828-2024")</f>
        <v/>
      </c>
      <c r="T234">
        <f>HYPERLINK("https://klasma.github.io/Logging_2481/kartor/A 28828-2024 karta.png", "A 28828-2024")</f>
        <v/>
      </c>
      <c r="V234">
        <f>HYPERLINK("https://klasma.github.io/Logging_2481/klagomål/A 28828-2024 FSC-klagomål.docx", "A 28828-2024")</f>
        <v/>
      </c>
      <c r="W234">
        <f>HYPERLINK("https://klasma.github.io/Logging_2481/klagomålsmail/A 28828-2024 FSC-klagomål mail.docx", "A 28828-2024")</f>
        <v/>
      </c>
      <c r="X234">
        <f>HYPERLINK("https://klasma.github.io/Logging_2481/tillsyn/A 28828-2024 tillsynsbegäran.docx", "A 28828-2024")</f>
        <v/>
      </c>
      <c r="Y234">
        <f>HYPERLINK("https://klasma.github.io/Logging_2481/tillsynsmail/A 28828-2024 tillsynsbegäran mail.docx", "A 28828-2024")</f>
        <v/>
      </c>
    </row>
    <row r="235" ht="15" customHeight="1">
      <c r="A235" t="inlineStr">
        <is>
          <t>A 29471-2024</t>
        </is>
      </c>
      <c r="B235" s="1" t="n">
        <v>45484</v>
      </c>
      <c r="C235" s="1" t="n">
        <v>45849</v>
      </c>
      <c r="D235" t="inlineStr">
        <is>
          <t>VÄSTERBOTTENS LÄN</t>
        </is>
      </c>
      <c r="E235" t="inlineStr">
        <is>
          <t>LYCKSELE</t>
        </is>
      </c>
      <c r="F235" t="inlineStr">
        <is>
          <t>SCA</t>
        </is>
      </c>
      <c r="G235" t="n">
        <v>10.3</v>
      </c>
      <c r="H235" t="n">
        <v>1</v>
      </c>
      <c r="I235" t="n">
        <v>0</v>
      </c>
      <c r="J235" t="n">
        <v>0</v>
      </c>
      <c r="K235" t="n">
        <v>1</v>
      </c>
      <c r="L235" t="n">
        <v>0</v>
      </c>
      <c r="M235" t="n">
        <v>0</v>
      </c>
      <c r="N235" t="n">
        <v>0</v>
      </c>
      <c r="O235" t="n">
        <v>1</v>
      </c>
      <c r="P235" t="n">
        <v>1</v>
      </c>
      <c r="Q235" t="n">
        <v>1</v>
      </c>
      <c r="R235" s="2" t="inlineStr">
        <is>
          <t>Knärot</t>
        </is>
      </c>
      <c r="S235">
        <f>HYPERLINK("https://klasma.github.io/Logging_2481/artfynd/A 29471-2024 artfynd.xlsx", "A 29471-2024")</f>
        <v/>
      </c>
      <c r="T235">
        <f>HYPERLINK("https://klasma.github.io/Logging_2481/kartor/A 29471-2024 karta.png", "A 29471-2024")</f>
        <v/>
      </c>
      <c r="U235">
        <f>HYPERLINK("https://klasma.github.io/Logging_2481/knärot/A 29471-2024 karta knärot.png", "A 29471-2024")</f>
        <v/>
      </c>
      <c r="V235">
        <f>HYPERLINK("https://klasma.github.io/Logging_2481/klagomål/A 29471-2024 FSC-klagomål.docx", "A 29471-2024")</f>
        <v/>
      </c>
      <c r="W235">
        <f>HYPERLINK("https://klasma.github.io/Logging_2481/klagomålsmail/A 29471-2024 FSC-klagomål mail.docx", "A 29471-2024")</f>
        <v/>
      </c>
      <c r="X235">
        <f>HYPERLINK("https://klasma.github.io/Logging_2481/tillsyn/A 29471-2024 tillsynsbegäran.docx", "A 29471-2024")</f>
        <v/>
      </c>
      <c r="Y235">
        <f>HYPERLINK("https://klasma.github.io/Logging_2481/tillsynsmail/A 29471-2024 tillsynsbegäran mail.docx", "A 29471-2024")</f>
        <v/>
      </c>
    </row>
    <row r="236" ht="15" customHeight="1">
      <c r="A236" t="inlineStr">
        <is>
          <t>A 29623-2024</t>
        </is>
      </c>
      <c r="B236" s="1" t="n">
        <v>45484</v>
      </c>
      <c r="C236" s="1" t="n">
        <v>45849</v>
      </c>
      <c r="D236" t="inlineStr">
        <is>
          <t>VÄSTERBOTTENS LÄN</t>
        </is>
      </c>
      <c r="E236" t="inlineStr">
        <is>
          <t>LYCKSELE</t>
        </is>
      </c>
      <c r="F236" t="inlineStr">
        <is>
          <t>Sveaskog</t>
        </is>
      </c>
      <c r="G236" t="n">
        <v>23.2</v>
      </c>
      <c r="H236" t="n">
        <v>0</v>
      </c>
      <c r="I236" t="n">
        <v>0</v>
      </c>
      <c r="J236" t="n">
        <v>1</v>
      </c>
      <c r="K236" t="n">
        <v>0</v>
      </c>
      <c r="L236" t="n">
        <v>0</v>
      </c>
      <c r="M236" t="n">
        <v>0</v>
      </c>
      <c r="N236" t="n">
        <v>0</v>
      </c>
      <c r="O236" t="n">
        <v>1</v>
      </c>
      <c r="P236" t="n">
        <v>0</v>
      </c>
      <c r="Q236" t="n">
        <v>1</v>
      </c>
      <c r="R236" s="2" t="inlineStr">
        <is>
          <t>Kolflarnlav</t>
        </is>
      </c>
      <c r="S236">
        <f>HYPERLINK("https://klasma.github.io/Logging_2481/artfynd/A 29623-2024 artfynd.xlsx", "A 29623-2024")</f>
        <v/>
      </c>
      <c r="T236">
        <f>HYPERLINK("https://klasma.github.io/Logging_2481/kartor/A 29623-2024 karta.png", "A 29623-2024")</f>
        <v/>
      </c>
      <c r="V236">
        <f>HYPERLINK("https://klasma.github.io/Logging_2481/klagomål/A 29623-2024 FSC-klagomål.docx", "A 29623-2024")</f>
        <v/>
      </c>
      <c r="W236">
        <f>HYPERLINK("https://klasma.github.io/Logging_2481/klagomålsmail/A 29623-2024 FSC-klagomål mail.docx", "A 29623-2024")</f>
        <v/>
      </c>
      <c r="X236">
        <f>HYPERLINK("https://klasma.github.io/Logging_2481/tillsyn/A 29623-2024 tillsynsbegäran.docx", "A 29623-2024")</f>
        <v/>
      </c>
      <c r="Y236">
        <f>HYPERLINK("https://klasma.github.io/Logging_2481/tillsynsmail/A 29623-2024 tillsynsbegäran mail.docx", "A 29623-2024")</f>
        <v/>
      </c>
    </row>
    <row r="237" ht="15" customHeight="1">
      <c r="A237" t="inlineStr">
        <is>
          <t>A 30025-2024</t>
        </is>
      </c>
      <c r="B237" s="1" t="n">
        <v>45488</v>
      </c>
      <c r="C237" s="1" t="n">
        <v>45849</v>
      </c>
      <c r="D237" t="inlineStr">
        <is>
          <t>VÄSTERBOTTENS LÄN</t>
        </is>
      </c>
      <c r="E237" t="inlineStr">
        <is>
          <t>LYCKSELE</t>
        </is>
      </c>
      <c r="F237" t="inlineStr">
        <is>
          <t>Holmen skog AB</t>
        </is>
      </c>
      <c r="G237" t="n">
        <v>11.2</v>
      </c>
      <c r="H237" t="n">
        <v>0</v>
      </c>
      <c r="I237" t="n">
        <v>0</v>
      </c>
      <c r="J237" t="n">
        <v>1</v>
      </c>
      <c r="K237" t="n">
        <v>0</v>
      </c>
      <c r="L237" t="n">
        <v>0</v>
      </c>
      <c r="M237" t="n">
        <v>0</v>
      </c>
      <c r="N237" t="n">
        <v>0</v>
      </c>
      <c r="O237" t="n">
        <v>1</v>
      </c>
      <c r="P237" t="n">
        <v>0</v>
      </c>
      <c r="Q237" t="n">
        <v>1</v>
      </c>
      <c r="R237" s="2" t="inlineStr">
        <is>
          <t>Lunglav</t>
        </is>
      </c>
      <c r="S237">
        <f>HYPERLINK("https://klasma.github.io/Logging_2481/artfynd/A 30025-2024 artfynd.xlsx", "A 30025-2024")</f>
        <v/>
      </c>
      <c r="T237">
        <f>HYPERLINK("https://klasma.github.io/Logging_2481/kartor/A 30025-2024 karta.png", "A 30025-2024")</f>
        <v/>
      </c>
      <c r="V237">
        <f>HYPERLINK("https://klasma.github.io/Logging_2481/klagomål/A 30025-2024 FSC-klagomål.docx", "A 30025-2024")</f>
        <v/>
      </c>
      <c r="W237">
        <f>HYPERLINK("https://klasma.github.io/Logging_2481/klagomålsmail/A 30025-2024 FSC-klagomål mail.docx", "A 30025-2024")</f>
        <v/>
      </c>
      <c r="X237">
        <f>HYPERLINK("https://klasma.github.io/Logging_2481/tillsyn/A 30025-2024 tillsynsbegäran.docx", "A 30025-2024")</f>
        <v/>
      </c>
      <c r="Y237">
        <f>HYPERLINK("https://klasma.github.io/Logging_2481/tillsynsmail/A 30025-2024 tillsynsbegäran mail.docx", "A 30025-2024")</f>
        <v/>
      </c>
    </row>
    <row r="238" ht="15" customHeight="1">
      <c r="A238" t="inlineStr">
        <is>
          <t>A 33633-2024</t>
        </is>
      </c>
      <c r="B238" s="1" t="n">
        <v>45520</v>
      </c>
      <c r="C238" s="1" t="n">
        <v>45849</v>
      </c>
      <c r="D238" t="inlineStr">
        <is>
          <t>VÄSTERBOTTENS LÄN</t>
        </is>
      </c>
      <c r="E238" t="inlineStr">
        <is>
          <t>LYCKSELE</t>
        </is>
      </c>
      <c r="F238" t="inlineStr">
        <is>
          <t>Sveaskog</t>
        </is>
      </c>
      <c r="G238" t="n">
        <v>2</v>
      </c>
      <c r="H238" t="n">
        <v>0</v>
      </c>
      <c r="I238" t="n">
        <v>1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1</v>
      </c>
      <c r="R238" s="2" t="inlineStr">
        <is>
          <t>Ögonpyrola</t>
        </is>
      </c>
      <c r="S238">
        <f>HYPERLINK("https://klasma.github.io/Logging_2481/artfynd/A 33633-2024 artfynd.xlsx", "A 33633-2024")</f>
        <v/>
      </c>
      <c r="T238">
        <f>HYPERLINK("https://klasma.github.io/Logging_2481/kartor/A 33633-2024 karta.png", "A 33633-2024")</f>
        <v/>
      </c>
      <c r="V238">
        <f>HYPERLINK("https://klasma.github.io/Logging_2481/klagomål/A 33633-2024 FSC-klagomål.docx", "A 33633-2024")</f>
        <v/>
      </c>
      <c r="W238">
        <f>HYPERLINK("https://klasma.github.io/Logging_2481/klagomålsmail/A 33633-2024 FSC-klagomål mail.docx", "A 33633-2024")</f>
        <v/>
      </c>
      <c r="X238">
        <f>HYPERLINK("https://klasma.github.io/Logging_2481/tillsyn/A 33633-2024 tillsynsbegäran.docx", "A 33633-2024")</f>
        <v/>
      </c>
      <c r="Y238">
        <f>HYPERLINK("https://klasma.github.io/Logging_2481/tillsynsmail/A 33633-2024 tillsynsbegäran mail.docx", "A 33633-2024")</f>
        <v/>
      </c>
    </row>
    <row r="239" ht="15" customHeight="1">
      <c r="A239" t="inlineStr">
        <is>
          <t>A 33700-2024</t>
        </is>
      </c>
      <c r="B239" s="1" t="n">
        <v>45520</v>
      </c>
      <c r="C239" s="1" t="n">
        <v>45849</v>
      </c>
      <c r="D239" t="inlineStr">
        <is>
          <t>VÄSTERBOTTENS LÄN</t>
        </is>
      </c>
      <c r="E239" t="inlineStr">
        <is>
          <t>LYCKSELE</t>
        </is>
      </c>
      <c r="F239" t="inlineStr">
        <is>
          <t>Sveaskog</t>
        </is>
      </c>
      <c r="G239" t="n">
        <v>3.4</v>
      </c>
      <c r="H239" t="n">
        <v>0</v>
      </c>
      <c r="I239" t="n">
        <v>0</v>
      </c>
      <c r="J239" t="n">
        <v>1</v>
      </c>
      <c r="K239" t="n">
        <v>0</v>
      </c>
      <c r="L239" t="n">
        <v>0</v>
      </c>
      <c r="M239" t="n">
        <v>0</v>
      </c>
      <c r="N239" t="n">
        <v>0</v>
      </c>
      <c r="O239" t="n">
        <v>1</v>
      </c>
      <c r="P239" t="n">
        <v>0</v>
      </c>
      <c r="Q239" t="n">
        <v>1</v>
      </c>
      <c r="R239" s="2" t="inlineStr">
        <is>
          <t>Blå taggsvamp</t>
        </is>
      </c>
      <c r="S239">
        <f>HYPERLINK("https://klasma.github.io/Logging_2481/artfynd/A 33700-2024 artfynd.xlsx", "A 33700-2024")</f>
        <v/>
      </c>
      <c r="T239">
        <f>HYPERLINK("https://klasma.github.io/Logging_2481/kartor/A 33700-2024 karta.png", "A 33700-2024")</f>
        <v/>
      </c>
      <c r="V239">
        <f>HYPERLINK("https://klasma.github.io/Logging_2481/klagomål/A 33700-2024 FSC-klagomål.docx", "A 33700-2024")</f>
        <v/>
      </c>
      <c r="W239">
        <f>HYPERLINK("https://klasma.github.io/Logging_2481/klagomålsmail/A 33700-2024 FSC-klagomål mail.docx", "A 33700-2024")</f>
        <v/>
      </c>
      <c r="X239">
        <f>HYPERLINK("https://klasma.github.io/Logging_2481/tillsyn/A 33700-2024 tillsynsbegäran.docx", "A 33700-2024")</f>
        <v/>
      </c>
      <c r="Y239">
        <f>HYPERLINK("https://klasma.github.io/Logging_2481/tillsynsmail/A 33700-2024 tillsynsbegäran mail.docx", "A 33700-2024")</f>
        <v/>
      </c>
    </row>
    <row r="240" ht="15" customHeight="1">
      <c r="A240" t="inlineStr">
        <is>
          <t>A 35600-2024</t>
        </is>
      </c>
      <c r="B240" s="1" t="n">
        <v>45531</v>
      </c>
      <c r="C240" s="1" t="n">
        <v>45849</v>
      </c>
      <c r="D240" t="inlineStr">
        <is>
          <t>VÄSTERBOTTENS LÄN</t>
        </is>
      </c>
      <c r="E240" t="inlineStr">
        <is>
          <t>LYCKSELE</t>
        </is>
      </c>
      <c r="F240" t="inlineStr">
        <is>
          <t>Sveaskog</t>
        </is>
      </c>
      <c r="G240" t="n">
        <v>5.1</v>
      </c>
      <c r="H240" t="n">
        <v>0</v>
      </c>
      <c r="I240" t="n">
        <v>0</v>
      </c>
      <c r="J240" t="n">
        <v>1</v>
      </c>
      <c r="K240" t="n">
        <v>0</v>
      </c>
      <c r="L240" t="n">
        <v>0</v>
      </c>
      <c r="M240" t="n">
        <v>0</v>
      </c>
      <c r="N240" t="n">
        <v>0</v>
      </c>
      <c r="O240" t="n">
        <v>1</v>
      </c>
      <c r="P240" t="n">
        <v>0</v>
      </c>
      <c r="Q240" t="n">
        <v>1</v>
      </c>
      <c r="R240" s="2" t="inlineStr">
        <is>
          <t>Granticka</t>
        </is>
      </c>
      <c r="S240">
        <f>HYPERLINK("https://klasma.github.io/Logging_2481/artfynd/A 35600-2024 artfynd.xlsx", "A 35600-2024")</f>
        <v/>
      </c>
      <c r="T240">
        <f>HYPERLINK("https://klasma.github.io/Logging_2481/kartor/A 35600-2024 karta.png", "A 35600-2024")</f>
        <v/>
      </c>
      <c r="V240">
        <f>HYPERLINK("https://klasma.github.io/Logging_2481/klagomål/A 35600-2024 FSC-klagomål.docx", "A 35600-2024")</f>
        <v/>
      </c>
      <c r="W240">
        <f>HYPERLINK("https://klasma.github.io/Logging_2481/klagomålsmail/A 35600-2024 FSC-klagomål mail.docx", "A 35600-2024")</f>
        <v/>
      </c>
      <c r="X240">
        <f>HYPERLINK("https://klasma.github.io/Logging_2481/tillsyn/A 35600-2024 tillsynsbegäran.docx", "A 35600-2024")</f>
        <v/>
      </c>
      <c r="Y240">
        <f>HYPERLINK("https://klasma.github.io/Logging_2481/tillsynsmail/A 35600-2024 tillsynsbegäran mail.docx", "A 35600-2024")</f>
        <v/>
      </c>
    </row>
    <row r="241" ht="15" customHeight="1">
      <c r="A241" t="inlineStr">
        <is>
          <t>A 35931-2024</t>
        </is>
      </c>
      <c r="B241" s="1" t="n">
        <v>45533</v>
      </c>
      <c r="C241" s="1" t="n">
        <v>45849</v>
      </c>
      <c r="D241" t="inlineStr">
        <is>
          <t>VÄSTERBOTTENS LÄN</t>
        </is>
      </c>
      <c r="E241" t="inlineStr">
        <is>
          <t>LYCKSELE</t>
        </is>
      </c>
      <c r="F241" t="inlineStr">
        <is>
          <t>Sveaskog</t>
        </is>
      </c>
      <c r="G241" t="n">
        <v>57.3</v>
      </c>
      <c r="H241" t="n">
        <v>0</v>
      </c>
      <c r="I241" t="n">
        <v>0</v>
      </c>
      <c r="J241" t="n">
        <v>1</v>
      </c>
      <c r="K241" t="n">
        <v>0</v>
      </c>
      <c r="L241" t="n">
        <v>0</v>
      </c>
      <c r="M241" t="n">
        <v>0</v>
      </c>
      <c r="N241" t="n">
        <v>0</v>
      </c>
      <c r="O241" t="n">
        <v>1</v>
      </c>
      <c r="P241" t="n">
        <v>0</v>
      </c>
      <c r="Q241" t="n">
        <v>1</v>
      </c>
      <c r="R241" s="2" t="inlineStr">
        <is>
          <t>Kolflarnlav</t>
        </is>
      </c>
      <c r="S241">
        <f>HYPERLINK("https://klasma.github.io/Logging_2481/artfynd/A 35931-2024 artfynd.xlsx", "A 35931-2024")</f>
        <v/>
      </c>
      <c r="T241">
        <f>HYPERLINK("https://klasma.github.io/Logging_2481/kartor/A 35931-2024 karta.png", "A 35931-2024")</f>
        <v/>
      </c>
      <c r="V241">
        <f>HYPERLINK("https://klasma.github.io/Logging_2481/klagomål/A 35931-2024 FSC-klagomål.docx", "A 35931-2024")</f>
        <v/>
      </c>
      <c r="W241">
        <f>HYPERLINK("https://klasma.github.io/Logging_2481/klagomålsmail/A 35931-2024 FSC-klagomål mail.docx", "A 35931-2024")</f>
        <v/>
      </c>
      <c r="X241">
        <f>HYPERLINK("https://klasma.github.io/Logging_2481/tillsyn/A 35931-2024 tillsynsbegäran.docx", "A 35931-2024")</f>
        <v/>
      </c>
      <c r="Y241">
        <f>HYPERLINK("https://klasma.github.io/Logging_2481/tillsynsmail/A 35931-2024 tillsynsbegäran mail.docx", "A 35931-2024")</f>
        <v/>
      </c>
    </row>
    <row r="242" ht="15" customHeight="1">
      <c r="A242" t="inlineStr">
        <is>
          <t>A 36307-2024</t>
        </is>
      </c>
      <c r="B242" s="1" t="n">
        <v>45534</v>
      </c>
      <c r="C242" s="1" t="n">
        <v>45849</v>
      </c>
      <c r="D242" t="inlineStr">
        <is>
          <t>VÄSTERBOTTENS LÄN</t>
        </is>
      </c>
      <c r="E242" t="inlineStr">
        <is>
          <t>LYCKSELE</t>
        </is>
      </c>
      <c r="F242" t="inlineStr">
        <is>
          <t>Sveaskog</t>
        </is>
      </c>
      <c r="G242" t="n">
        <v>6.9</v>
      </c>
      <c r="H242" t="n">
        <v>0</v>
      </c>
      <c r="I242" t="n">
        <v>0</v>
      </c>
      <c r="J242" t="n">
        <v>1</v>
      </c>
      <c r="K242" t="n">
        <v>0</v>
      </c>
      <c r="L242" t="n">
        <v>0</v>
      </c>
      <c r="M242" t="n">
        <v>0</v>
      </c>
      <c r="N242" t="n">
        <v>0</v>
      </c>
      <c r="O242" t="n">
        <v>1</v>
      </c>
      <c r="P242" t="n">
        <v>0</v>
      </c>
      <c r="Q242" t="n">
        <v>1</v>
      </c>
      <c r="R242" s="2" t="inlineStr">
        <is>
          <t>Blå taggsvamp</t>
        </is>
      </c>
      <c r="S242">
        <f>HYPERLINK("https://klasma.github.io/Logging_2481/artfynd/A 36307-2024 artfynd.xlsx", "A 36307-2024")</f>
        <v/>
      </c>
      <c r="T242">
        <f>HYPERLINK("https://klasma.github.io/Logging_2481/kartor/A 36307-2024 karta.png", "A 36307-2024")</f>
        <v/>
      </c>
      <c r="V242">
        <f>HYPERLINK("https://klasma.github.io/Logging_2481/klagomål/A 36307-2024 FSC-klagomål.docx", "A 36307-2024")</f>
        <v/>
      </c>
      <c r="W242">
        <f>HYPERLINK("https://klasma.github.io/Logging_2481/klagomålsmail/A 36307-2024 FSC-klagomål mail.docx", "A 36307-2024")</f>
        <v/>
      </c>
      <c r="X242">
        <f>HYPERLINK("https://klasma.github.io/Logging_2481/tillsyn/A 36307-2024 tillsynsbegäran.docx", "A 36307-2024")</f>
        <v/>
      </c>
      <c r="Y242">
        <f>HYPERLINK("https://klasma.github.io/Logging_2481/tillsynsmail/A 36307-2024 tillsynsbegäran mail.docx", "A 36307-2024")</f>
        <v/>
      </c>
    </row>
    <row r="243" ht="15" customHeight="1">
      <c r="A243" t="inlineStr">
        <is>
          <t>A 37633-2024</t>
        </is>
      </c>
      <c r="B243" s="1" t="n">
        <v>45541</v>
      </c>
      <c r="C243" s="1" t="n">
        <v>45849</v>
      </c>
      <c r="D243" t="inlineStr">
        <is>
          <t>VÄSTERBOTTENS LÄN</t>
        </is>
      </c>
      <c r="E243" t="inlineStr">
        <is>
          <t>LYCKSELE</t>
        </is>
      </c>
      <c r="F243" t="inlineStr">
        <is>
          <t>Sveaskog</t>
        </is>
      </c>
      <c r="G243" t="n">
        <v>8.300000000000001</v>
      </c>
      <c r="H243" t="n">
        <v>0</v>
      </c>
      <c r="I243" t="n">
        <v>0</v>
      </c>
      <c r="J243" t="n">
        <v>1</v>
      </c>
      <c r="K243" t="n">
        <v>0</v>
      </c>
      <c r="L243" t="n">
        <v>0</v>
      </c>
      <c r="M243" t="n">
        <v>0</v>
      </c>
      <c r="N243" t="n">
        <v>0</v>
      </c>
      <c r="O243" t="n">
        <v>1</v>
      </c>
      <c r="P243" t="n">
        <v>0</v>
      </c>
      <c r="Q243" t="n">
        <v>1</v>
      </c>
      <c r="R243" s="2" t="inlineStr">
        <is>
          <t>Kolflarnlav</t>
        </is>
      </c>
      <c r="S243">
        <f>HYPERLINK("https://klasma.github.io/Logging_2481/artfynd/A 37633-2024 artfynd.xlsx", "A 37633-2024")</f>
        <v/>
      </c>
      <c r="T243">
        <f>HYPERLINK("https://klasma.github.io/Logging_2481/kartor/A 37633-2024 karta.png", "A 37633-2024")</f>
        <v/>
      </c>
      <c r="V243">
        <f>HYPERLINK("https://klasma.github.io/Logging_2481/klagomål/A 37633-2024 FSC-klagomål.docx", "A 37633-2024")</f>
        <v/>
      </c>
      <c r="W243">
        <f>HYPERLINK("https://klasma.github.io/Logging_2481/klagomålsmail/A 37633-2024 FSC-klagomål mail.docx", "A 37633-2024")</f>
        <v/>
      </c>
      <c r="X243">
        <f>HYPERLINK("https://klasma.github.io/Logging_2481/tillsyn/A 37633-2024 tillsynsbegäran.docx", "A 37633-2024")</f>
        <v/>
      </c>
      <c r="Y243">
        <f>HYPERLINK("https://klasma.github.io/Logging_2481/tillsynsmail/A 37633-2024 tillsynsbegäran mail.docx", "A 37633-2024")</f>
        <v/>
      </c>
    </row>
    <row r="244" ht="15" customHeight="1">
      <c r="A244" t="inlineStr">
        <is>
          <t>A 37669-2024</t>
        </is>
      </c>
      <c r="B244" s="1" t="n">
        <v>45541</v>
      </c>
      <c r="C244" s="1" t="n">
        <v>45849</v>
      </c>
      <c r="D244" t="inlineStr">
        <is>
          <t>VÄSTERBOTTENS LÄN</t>
        </is>
      </c>
      <c r="E244" t="inlineStr">
        <is>
          <t>LYCKSELE</t>
        </is>
      </c>
      <c r="F244" t="inlineStr">
        <is>
          <t>Sveaskog</t>
        </is>
      </c>
      <c r="G244" t="n">
        <v>5.5</v>
      </c>
      <c r="H244" t="n">
        <v>0</v>
      </c>
      <c r="I244" t="n">
        <v>1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1</v>
      </c>
      <c r="R244" s="2" t="inlineStr">
        <is>
          <t>Dropptaggsvamp</t>
        </is>
      </c>
      <c r="S244">
        <f>HYPERLINK("https://klasma.github.io/Logging_2481/artfynd/A 37669-2024 artfynd.xlsx", "A 37669-2024")</f>
        <v/>
      </c>
      <c r="T244">
        <f>HYPERLINK("https://klasma.github.io/Logging_2481/kartor/A 37669-2024 karta.png", "A 37669-2024")</f>
        <v/>
      </c>
      <c r="V244">
        <f>HYPERLINK("https://klasma.github.io/Logging_2481/klagomål/A 37669-2024 FSC-klagomål.docx", "A 37669-2024")</f>
        <v/>
      </c>
      <c r="W244">
        <f>HYPERLINK("https://klasma.github.io/Logging_2481/klagomålsmail/A 37669-2024 FSC-klagomål mail.docx", "A 37669-2024")</f>
        <v/>
      </c>
      <c r="X244">
        <f>HYPERLINK("https://klasma.github.io/Logging_2481/tillsyn/A 37669-2024 tillsynsbegäran.docx", "A 37669-2024")</f>
        <v/>
      </c>
      <c r="Y244">
        <f>HYPERLINK("https://klasma.github.io/Logging_2481/tillsynsmail/A 37669-2024 tillsynsbegäran mail.docx", "A 37669-2024")</f>
        <v/>
      </c>
    </row>
    <row r="245" ht="15" customHeight="1">
      <c r="A245" t="inlineStr">
        <is>
          <t>A 38490-2024</t>
        </is>
      </c>
      <c r="B245" s="1" t="n">
        <v>45546</v>
      </c>
      <c r="C245" s="1" t="n">
        <v>45849</v>
      </c>
      <c r="D245" t="inlineStr">
        <is>
          <t>VÄSTERBOTTENS LÄN</t>
        </is>
      </c>
      <c r="E245" t="inlineStr">
        <is>
          <t>LYCKSELE</t>
        </is>
      </c>
      <c r="F245" t="inlineStr">
        <is>
          <t>Sveaskog</t>
        </is>
      </c>
      <c r="G245" t="n">
        <v>14.2</v>
      </c>
      <c r="H245" t="n">
        <v>0</v>
      </c>
      <c r="I245" t="n">
        <v>1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1</v>
      </c>
      <c r="R245" s="2" t="inlineStr">
        <is>
          <t>Dropptaggsvamp</t>
        </is>
      </c>
      <c r="S245">
        <f>HYPERLINK("https://klasma.github.io/Logging_2481/artfynd/A 38490-2024 artfynd.xlsx", "A 38490-2024")</f>
        <v/>
      </c>
      <c r="T245">
        <f>HYPERLINK("https://klasma.github.io/Logging_2481/kartor/A 38490-2024 karta.png", "A 38490-2024")</f>
        <v/>
      </c>
      <c r="V245">
        <f>HYPERLINK("https://klasma.github.io/Logging_2481/klagomål/A 38490-2024 FSC-klagomål.docx", "A 38490-2024")</f>
        <v/>
      </c>
      <c r="W245">
        <f>HYPERLINK("https://klasma.github.io/Logging_2481/klagomålsmail/A 38490-2024 FSC-klagomål mail.docx", "A 38490-2024")</f>
        <v/>
      </c>
      <c r="X245">
        <f>HYPERLINK("https://klasma.github.io/Logging_2481/tillsyn/A 38490-2024 tillsynsbegäran.docx", "A 38490-2024")</f>
        <v/>
      </c>
      <c r="Y245">
        <f>HYPERLINK("https://klasma.github.io/Logging_2481/tillsynsmail/A 38490-2024 tillsynsbegäran mail.docx", "A 38490-2024")</f>
        <v/>
      </c>
    </row>
    <row r="246" ht="15" customHeight="1">
      <c r="A246" t="inlineStr">
        <is>
          <t>A 39572-2024</t>
        </is>
      </c>
      <c r="B246" s="1" t="n">
        <v>45552</v>
      </c>
      <c r="C246" s="1" t="n">
        <v>45849</v>
      </c>
      <c r="D246" t="inlineStr">
        <is>
          <t>VÄSTERBOTTENS LÄN</t>
        </is>
      </c>
      <c r="E246" t="inlineStr">
        <is>
          <t>LYCKSELE</t>
        </is>
      </c>
      <c r="F246" t="inlineStr">
        <is>
          <t>Sveaskog</t>
        </is>
      </c>
      <c r="G246" t="n">
        <v>39.2</v>
      </c>
      <c r="H246" t="n">
        <v>0</v>
      </c>
      <c r="I246" t="n">
        <v>0</v>
      </c>
      <c r="J246" t="n">
        <v>1</v>
      </c>
      <c r="K246" t="n">
        <v>0</v>
      </c>
      <c r="L246" t="n">
        <v>0</v>
      </c>
      <c r="M246" t="n">
        <v>0</v>
      </c>
      <c r="N246" t="n">
        <v>0</v>
      </c>
      <c r="O246" t="n">
        <v>1</v>
      </c>
      <c r="P246" t="n">
        <v>0</v>
      </c>
      <c r="Q246" t="n">
        <v>1</v>
      </c>
      <c r="R246" s="2" t="inlineStr">
        <is>
          <t>Grynig filtlav</t>
        </is>
      </c>
      <c r="S246">
        <f>HYPERLINK("https://klasma.github.io/Logging_2481/artfynd/A 39572-2024 artfynd.xlsx", "A 39572-2024")</f>
        <v/>
      </c>
      <c r="T246">
        <f>HYPERLINK("https://klasma.github.io/Logging_2481/kartor/A 39572-2024 karta.png", "A 39572-2024")</f>
        <v/>
      </c>
      <c r="V246">
        <f>HYPERLINK("https://klasma.github.io/Logging_2481/klagomål/A 39572-2024 FSC-klagomål.docx", "A 39572-2024")</f>
        <v/>
      </c>
      <c r="W246">
        <f>HYPERLINK("https://klasma.github.io/Logging_2481/klagomålsmail/A 39572-2024 FSC-klagomål mail.docx", "A 39572-2024")</f>
        <v/>
      </c>
      <c r="X246">
        <f>HYPERLINK("https://klasma.github.io/Logging_2481/tillsyn/A 39572-2024 tillsynsbegäran.docx", "A 39572-2024")</f>
        <v/>
      </c>
      <c r="Y246">
        <f>HYPERLINK("https://klasma.github.io/Logging_2481/tillsynsmail/A 39572-2024 tillsynsbegäran mail.docx", "A 39572-2024")</f>
        <v/>
      </c>
    </row>
    <row r="247" ht="15" customHeight="1">
      <c r="A247" t="inlineStr">
        <is>
          <t>A 40512-2024</t>
        </is>
      </c>
      <c r="B247" s="1" t="n">
        <v>45555</v>
      </c>
      <c r="C247" s="1" t="n">
        <v>45849</v>
      </c>
      <c r="D247" t="inlineStr">
        <is>
          <t>VÄSTERBOTTENS LÄN</t>
        </is>
      </c>
      <c r="E247" t="inlineStr">
        <is>
          <t>LYCKSELE</t>
        </is>
      </c>
      <c r="F247" t="inlineStr">
        <is>
          <t>Sveaskog</t>
        </is>
      </c>
      <c r="G247" t="n">
        <v>4.6</v>
      </c>
      <c r="H247" t="n">
        <v>0</v>
      </c>
      <c r="I247" t="n">
        <v>0</v>
      </c>
      <c r="J247" t="n">
        <v>1</v>
      </c>
      <c r="K247" t="n">
        <v>0</v>
      </c>
      <c r="L247" t="n">
        <v>0</v>
      </c>
      <c r="M247" t="n">
        <v>0</v>
      </c>
      <c r="N247" t="n">
        <v>0</v>
      </c>
      <c r="O247" t="n">
        <v>1</v>
      </c>
      <c r="P247" t="n">
        <v>0</v>
      </c>
      <c r="Q247" t="n">
        <v>1</v>
      </c>
      <c r="R247" s="2" t="inlineStr">
        <is>
          <t>Kolflarnlav</t>
        </is>
      </c>
      <c r="S247">
        <f>HYPERLINK("https://klasma.github.io/Logging_2481/artfynd/A 40512-2024 artfynd.xlsx", "A 40512-2024")</f>
        <v/>
      </c>
      <c r="T247">
        <f>HYPERLINK("https://klasma.github.io/Logging_2481/kartor/A 40512-2024 karta.png", "A 40512-2024")</f>
        <v/>
      </c>
      <c r="V247">
        <f>HYPERLINK("https://klasma.github.io/Logging_2481/klagomål/A 40512-2024 FSC-klagomål.docx", "A 40512-2024")</f>
        <v/>
      </c>
      <c r="W247">
        <f>HYPERLINK("https://klasma.github.io/Logging_2481/klagomålsmail/A 40512-2024 FSC-klagomål mail.docx", "A 40512-2024")</f>
        <v/>
      </c>
      <c r="X247">
        <f>HYPERLINK("https://klasma.github.io/Logging_2481/tillsyn/A 40512-2024 tillsynsbegäran.docx", "A 40512-2024")</f>
        <v/>
      </c>
      <c r="Y247">
        <f>HYPERLINK("https://klasma.github.io/Logging_2481/tillsynsmail/A 40512-2024 tillsynsbegäran mail.docx", "A 40512-2024")</f>
        <v/>
      </c>
    </row>
    <row r="248" ht="15" customHeight="1">
      <c r="A248" t="inlineStr">
        <is>
          <t>A 40543-2024</t>
        </is>
      </c>
      <c r="B248" s="1" t="n">
        <v>45555</v>
      </c>
      <c r="C248" s="1" t="n">
        <v>45849</v>
      </c>
      <c r="D248" t="inlineStr">
        <is>
          <t>VÄSTERBOTTENS LÄN</t>
        </is>
      </c>
      <c r="E248" t="inlineStr">
        <is>
          <t>LYCKSELE</t>
        </is>
      </c>
      <c r="F248" t="inlineStr">
        <is>
          <t>Sveaskog</t>
        </is>
      </c>
      <c r="G248" t="n">
        <v>12.8</v>
      </c>
      <c r="H248" t="n">
        <v>0</v>
      </c>
      <c r="I248" t="n">
        <v>0</v>
      </c>
      <c r="J248" t="n">
        <v>1</v>
      </c>
      <c r="K248" t="n">
        <v>0</v>
      </c>
      <c r="L248" t="n">
        <v>0</v>
      </c>
      <c r="M248" t="n">
        <v>0</v>
      </c>
      <c r="N248" t="n">
        <v>0</v>
      </c>
      <c r="O248" t="n">
        <v>1</v>
      </c>
      <c r="P248" t="n">
        <v>0</v>
      </c>
      <c r="Q248" t="n">
        <v>1</v>
      </c>
      <c r="R248" s="2" t="inlineStr">
        <is>
          <t>Svartvit taggsvamp</t>
        </is>
      </c>
      <c r="S248">
        <f>HYPERLINK("https://klasma.github.io/Logging_2481/artfynd/A 40543-2024 artfynd.xlsx", "A 40543-2024")</f>
        <v/>
      </c>
      <c r="T248">
        <f>HYPERLINK("https://klasma.github.io/Logging_2481/kartor/A 40543-2024 karta.png", "A 40543-2024")</f>
        <v/>
      </c>
      <c r="V248">
        <f>HYPERLINK("https://klasma.github.io/Logging_2481/klagomål/A 40543-2024 FSC-klagomål.docx", "A 40543-2024")</f>
        <v/>
      </c>
      <c r="W248">
        <f>HYPERLINK("https://klasma.github.io/Logging_2481/klagomålsmail/A 40543-2024 FSC-klagomål mail.docx", "A 40543-2024")</f>
        <v/>
      </c>
      <c r="X248">
        <f>HYPERLINK("https://klasma.github.io/Logging_2481/tillsyn/A 40543-2024 tillsynsbegäran.docx", "A 40543-2024")</f>
        <v/>
      </c>
      <c r="Y248">
        <f>HYPERLINK("https://klasma.github.io/Logging_2481/tillsynsmail/A 40543-2024 tillsynsbegäran mail.docx", "A 40543-2024")</f>
        <v/>
      </c>
    </row>
    <row r="249" ht="15" customHeight="1">
      <c r="A249" t="inlineStr">
        <is>
          <t>A 41637-2024</t>
        </is>
      </c>
      <c r="B249" s="1" t="n">
        <v>45560</v>
      </c>
      <c r="C249" s="1" t="n">
        <v>45849</v>
      </c>
      <c r="D249" t="inlineStr">
        <is>
          <t>VÄSTERBOTTENS LÄN</t>
        </is>
      </c>
      <c r="E249" t="inlineStr">
        <is>
          <t>LYCKSELE</t>
        </is>
      </c>
      <c r="F249" t="inlineStr">
        <is>
          <t>Sveaskog</t>
        </is>
      </c>
      <c r="G249" t="n">
        <v>5.5</v>
      </c>
      <c r="H249" t="n">
        <v>0</v>
      </c>
      <c r="I249" t="n">
        <v>0</v>
      </c>
      <c r="J249" t="n">
        <v>1</v>
      </c>
      <c r="K249" t="n">
        <v>0</v>
      </c>
      <c r="L249" t="n">
        <v>0</v>
      </c>
      <c r="M249" t="n">
        <v>0</v>
      </c>
      <c r="N249" t="n">
        <v>0</v>
      </c>
      <c r="O249" t="n">
        <v>1</v>
      </c>
      <c r="P249" t="n">
        <v>0</v>
      </c>
      <c r="Q249" t="n">
        <v>1</v>
      </c>
      <c r="R249" s="2" t="inlineStr">
        <is>
          <t>Lunglav</t>
        </is>
      </c>
      <c r="S249">
        <f>HYPERLINK("https://klasma.github.io/Logging_2481/artfynd/A 41637-2024 artfynd.xlsx", "A 41637-2024")</f>
        <v/>
      </c>
      <c r="T249">
        <f>HYPERLINK("https://klasma.github.io/Logging_2481/kartor/A 41637-2024 karta.png", "A 41637-2024")</f>
        <v/>
      </c>
      <c r="V249">
        <f>HYPERLINK("https://klasma.github.io/Logging_2481/klagomål/A 41637-2024 FSC-klagomål.docx", "A 41637-2024")</f>
        <v/>
      </c>
      <c r="W249">
        <f>HYPERLINK("https://klasma.github.io/Logging_2481/klagomålsmail/A 41637-2024 FSC-klagomål mail.docx", "A 41637-2024")</f>
        <v/>
      </c>
      <c r="X249">
        <f>HYPERLINK("https://klasma.github.io/Logging_2481/tillsyn/A 41637-2024 tillsynsbegäran.docx", "A 41637-2024")</f>
        <v/>
      </c>
      <c r="Y249">
        <f>HYPERLINK("https://klasma.github.io/Logging_2481/tillsynsmail/A 41637-2024 tillsynsbegäran mail.docx", "A 41637-2024")</f>
        <v/>
      </c>
    </row>
    <row r="250" ht="15" customHeight="1">
      <c r="A250" t="inlineStr">
        <is>
          <t>A 41776-2024</t>
        </is>
      </c>
      <c r="B250" s="1" t="n">
        <v>45561</v>
      </c>
      <c r="C250" s="1" t="n">
        <v>45849</v>
      </c>
      <c r="D250" t="inlineStr">
        <is>
          <t>VÄSTERBOTTENS LÄN</t>
        </is>
      </c>
      <c r="E250" t="inlineStr">
        <is>
          <t>LYCKSELE</t>
        </is>
      </c>
      <c r="F250" t="inlineStr">
        <is>
          <t>Sveaskog</t>
        </is>
      </c>
      <c r="G250" t="n">
        <v>1.1</v>
      </c>
      <c r="H250" t="n">
        <v>0</v>
      </c>
      <c r="I250" t="n">
        <v>0</v>
      </c>
      <c r="J250" t="n">
        <v>1</v>
      </c>
      <c r="K250" t="n">
        <v>0</v>
      </c>
      <c r="L250" t="n">
        <v>0</v>
      </c>
      <c r="M250" t="n">
        <v>0</v>
      </c>
      <c r="N250" t="n">
        <v>0</v>
      </c>
      <c r="O250" t="n">
        <v>1</v>
      </c>
      <c r="P250" t="n">
        <v>0</v>
      </c>
      <c r="Q250" t="n">
        <v>1</v>
      </c>
      <c r="R250" s="2" t="inlineStr">
        <is>
          <t>Kolflarnlav</t>
        </is>
      </c>
      <c r="S250">
        <f>HYPERLINK("https://klasma.github.io/Logging_2481/artfynd/A 41776-2024 artfynd.xlsx", "A 41776-2024")</f>
        <v/>
      </c>
      <c r="T250">
        <f>HYPERLINK("https://klasma.github.io/Logging_2481/kartor/A 41776-2024 karta.png", "A 41776-2024")</f>
        <v/>
      </c>
      <c r="V250">
        <f>HYPERLINK("https://klasma.github.io/Logging_2481/klagomål/A 41776-2024 FSC-klagomål.docx", "A 41776-2024")</f>
        <v/>
      </c>
      <c r="W250">
        <f>HYPERLINK("https://klasma.github.io/Logging_2481/klagomålsmail/A 41776-2024 FSC-klagomål mail.docx", "A 41776-2024")</f>
        <v/>
      </c>
      <c r="X250">
        <f>HYPERLINK("https://klasma.github.io/Logging_2481/tillsyn/A 41776-2024 tillsynsbegäran.docx", "A 41776-2024")</f>
        <v/>
      </c>
      <c r="Y250">
        <f>HYPERLINK("https://klasma.github.io/Logging_2481/tillsynsmail/A 41776-2024 tillsynsbegäran mail.docx", "A 41776-2024")</f>
        <v/>
      </c>
    </row>
    <row r="251" ht="15" customHeight="1">
      <c r="A251" t="inlineStr">
        <is>
          <t>A 42287-2024</t>
        </is>
      </c>
      <c r="B251" s="1" t="n">
        <v>45562</v>
      </c>
      <c r="C251" s="1" t="n">
        <v>45849</v>
      </c>
      <c r="D251" t="inlineStr">
        <is>
          <t>VÄSTERBOTTENS LÄN</t>
        </is>
      </c>
      <c r="E251" t="inlineStr">
        <is>
          <t>LYCKSELE</t>
        </is>
      </c>
      <c r="F251" t="inlineStr">
        <is>
          <t>Sveaskog</t>
        </is>
      </c>
      <c r="G251" t="n">
        <v>3.1</v>
      </c>
      <c r="H251" t="n">
        <v>0</v>
      </c>
      <c r="I251" t="n">
        <v>0</v>
      </c>
      <c r="J251" t="n">
        <v>1</v>
      </c>
      <c r="K251" t="n">
        <v>0</v>
      </c>
      <c r="L251" t="n">
        <v>0</v>
      </c>
      <c r="M251" t="n">
        <v>0</v>
      </c>
      <c r="N251" t="n">
        <v>0</v>
      </c>
      <c r="O251" t="n">
        <v>1</v>
      </c>
      <c r="P251" t="n">
        <v>0</v>
      </c>
      <c r="Q251" t="n">
        <v>1</v>
      </c>
      <c r="R251" s="2" t="inlineStr">
        <is>
          <t>Orange taggsvamp</t>
        </is>
      </c>
      <c r="S251">
        <f>HYPERLINK("https://klasma.github.io/Logging_2481/artfynd/A 42287-2024 artfynd.xlsx", "A 42287-2024")</f>
        <v/>
      </c>
      <c r="T251">
        <f>HYPERLINK("https://klasma.github.io/Logging_2481/kartor/A 42287-2024 karta.png", "A 42287-2024")</f>
        <v/>
      </c>
      <c r="V251">
        <f>HYPERLINK("https://klasma.github.io/Logging_2481/klagomål/A 42287-2024 FSC-klagomål.docx", "A 42287-2024")</f>
        <v/>
      </c>
      <c r="W251">
        <f>HYPERLINK("https://klasma.github.io/Logging_2481/klagomålsmail/A 42287-2024 FSC-klagomål mail.docx", "A 42287-2024")</f>
        <v/>
      </c>
      <c r="X251">
        <f>HYPERLINK("https://klasma.github.io/Logging_2481/tillsyn/A 42287-2024 tillsynsbegäran.docx", "A 42287-2024")</f>
        <v/>
      </c>
      <c r="Y251">
        <f>HYPERLINK("https://klasma.github.io/Logging_2481/tillsynsmail/A 42287-2024 tillsynsbegäran mail.docx", "A 42287-2024")</f>
        <v/>
      </c>
    </row>
    <row r="252" ht="15" customHeight="1">
      <c r="A252" t="inlineStr">
        <is>
          <t>A 42288-2024</t>
        </is>
      </c>
      <c r="B252" s="1" t="n">
        <v>45562</v>
      </c>
      <c r="C252" s="1" t="n">
        <v>45849</v>
      </c>
      <c r="D252" t="inlineStr">
        <is>
          <t>VÄSTERBOTTENS LÄN</t>
        </is>
      </c>
      <c r="E252" t="inlineStr">
        <is>
          <t>LYCKSELE</t>
        </is>
      </c>
      <c r="F252" t="inlineStr">
        <is>
          <t>Sveaskog</t>
        </is>
      </c>
      <c r="G252" t="n">
        <v>2.7</v>
      </c>
      <c r="H252" t="n">
        <v>0</v>
      </c>
      <c r="I252" t="n">
        <v>0</v>
      </c>
      <c r="J252" t="n">
        <v>1</v>
      </c>
      <c r="K252" t="n">
        <v>0</v>
      </c>
      <c r="L252" t="n">
        <v>0</v>
      </c>
      <c r="M252" t="n">
        <v>0</v>
      </c>
      <c r="N252" t="n">
        <v>0</v>
      </c>
      <c r="O252" t="n">
        <v>1</v>
      </c>
      <c r="P252" t="n">
        <v>0</v>
      </c>
      <c r="Q252" t="n">
        <v>1</v>
      </c>
      <c r="R252" s="2" t="inlineStr">
        <is>
          <t>Skrovellav</t>
        </is>
      </c>
      <c r="S252">
        <f>HYPERLINK("https://klasma.github.io/Logging_2481/artfynd/A 42288-2024 artfynd.xlsx", "A 42288-2024")</f>
        <v/>
      </c>
      <c r="T252">
        <f>HYPERLINK("https://klasma.github.io/Logging_2481/kartor/A 42288-2024 karta.png", "A 42288-2024")</f>
        <v/>
      </c>
      <c r="V252">
        <f>HYPERLINK("https://klasma.github.io/Logging_2481/klagomål/A 42288-2024 FSC-klagomål.docx", "A 42288-2024")</f>
        <v/>
      </c>
      <c r="W252">
        <f>HYPERLINK("https://klasma.github.io/Logging_2481/klagomålsmail/A 42288-2024 FSC-klagomål mail.docx", "A 42288-2024")</f>
        <v/>
      </c>
      <c r="X252">
        <f>HYPERLINK("https://klasma.github.io/Logging_2481/tillsyn/A 42288-2024 tillsynsbegäran.docx", "A 42288-2024")</f>
        <v/>
      </c>
      <c r="Y252">
        <f>HYPERLINK("https://klasma.github.io/Logging_2481/tillsynsmail/A 42288-2024 tillsynsbegäran mail.docx", "A 42288-2024")</f>
        <v/>
      </c>
    </row>
    <row r="253" ht="15" customHeight="1">
      <c r="A253" t="inlineStr">
        <is>
          <t>A 42302-2024</t>
        </is>
      </c>
      <c r="B253" s="1" t="n">
        <v>45562</v>
      </c>
      <c r="C253" s="1" t="n">
        <v>45849</v>
      </c>
      <c r="D253" t="inlineStr">
        <is>
          <t>VÄSTERBOTTENS LÄN</t>
        </is>
      </c>
      <c r="E253" t="inlineStr">
        <is>
          <t>LYCKSELE</t>
        </is>
      </c>
      <c r="F253" t="inlineStr">
        <is>
          <t>Sveaskog</t>
        </is>
      </c>
      <c r="G253" t="n">
        <v>1</v>
      </c>
      <c r="H253" t="n">
        <v>0</v>
      </c>
      <c r="I253" t="n">
        <v>0</v>
      </c>
      <c r="J253" t="n">
        <v>1</v>
      </c>
      <c r="K253" t="n">
        <v>0</v>
      </c>
      <c r="L253" t="n">
        <v>0</v>
      </c>
      <c r="M253" t="n">
        <v>0</v>
      </c>
      <c r="N253" t="n">
        <v>0</v>
      </c>
      <c r="O253" t="n">
        <v>1</v>
      </c>
      <c r="P253" t="n">
        <v>0</v>
      </c>
      <c r="Q253" t="n">
        <v>1</v>
      </c>
      <c r="R253" s="2" t="inlineStr">
        <is>
          <t>Blå taggsvamp</t>
        </is>
      </c>
      <c r="S253">
        <f>HYPERLINK("https://klasma.github.io/Logging_2481/artfynd/A 42302-2024 artfynd.xlsx", "A 42302-2024")</f>
        <v/>
      </c>
      <c r="T253">
        <f>HYPERLINK("https://klasma.github.io/Logging_2481/kartor/A 42302-2024 karta.png", "A 42302-2024")</f>
        <v/>
      </c>
      <c r="V253">
        <f>HYPERLINK("https://klasma.github.io/Logging_2481/klagomål/A 42302-2024 FSC-klagomål.docx", "A 42302-2024")</f>
        <v/>
      </c>
      <c r="W253">
        <f>HYPERLINK("https://klasma.github.io/Logging_2481/klagomålsmail/A 42302-2024 FSC-klagomål mail.docx", "A 42302-2024")</f>
        <v/>
      </c>
      <c r="X253">
        <f>HYPERLINK("https://klasma.github.io/Logging_2481/tillsyn/A 42302-2024 tillsynsbegäran.docx", "A 42302-2024")</f>
        <v/>
      </c>
      <c r="Y253">
        <f>HYPERLINK("https://klasma.github.io/Logging_2481/tillsynsmail/A 42302-2024 tillsynsbegäran mail.docx", "A 42302-2024")</f>
        <v/>
      </c>
    </row>
    <row r="254" ht="15" customHeight="1">
      <c r="A254" t="inlineStr">
        <is>
          <t>A 43292-2024</t>
        </is>
      </c>
      <c r="B254" s="1" t="n">
        <v>45568</v>
      </c>
      <c r="C254" s="1" t="n">
        <v>45849</v>
      </c>
      <c r="D254" t="inlineStr">
        <is>
          <t>VÄSTERBOTTENS LÄN</t>
        </is>
      </c>
      <c r="E254" t="inlineStr">
        <is>
          <t>LYCKSELE</t>
        </is>
      </c>
      <c r="G254" t="n">
        <v>5.1</v>
      </c>
      <c r="H254" t="n">
        <v>1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1</v>
      </c>
      <c r="R254" s="2" t="inlineStr">
        <is>
          <t>Skogsödla</t>
        </is>
      </c>
      <c r="S254">
        <f>HYPERLINK("https://klasma.github.io/Logging_2481/artfynd/A 43292-2024 artfynd.xlsx", "A 43292-2024")</f>
        <v/>
      </c>
      <c r="T254">
        <f>HYPERLINK("https://klasma.github.io/Logging_2481/kartor/A 43292-2024 karta.png", "A 43292-2024")</f>
        <v/>
      </c>
      <c r="V254">
        <f>HYPERLINK("https://klasma.github.io/Logging_2481/klagomål/A 43292-2024 FSC-klagomål.docx", "A 43292-2024")</f>
        <v/>
      </c>
      <c r="W254">
        <f>HYPERLINK("https://klasma.github.io/Logging_2481/klagomålsmail/A 43292-2024 FSC-klagomål mail.docx", "A 43292-2024")</f>
        <v/>
      </c>
      <c r="X254">
        <f>HYPERLINK("https://klasma.github.io/Logging_2481/tillsyn/A 43292-2024 tillsynsbegäran.docx", "A 43292-2024")</f>
        <v/>
      </c>
      <c r="Y254">
        <f>HYPERLINK("https://klasma.github.io/Logging_2481/tillsynsmail/A 43292-2024 tillsynsbegäran mail.docx", "A 43292-2024")</f>
        <v/>
      </c>
    </row>
    <row r="255" ht="15" customHeight="1">
      <c r="A255" t="inlineStr">
        <is>
          <t>A 45246-2024</t>
        </is>
      </c>
      <c r="B255" s="1" t="n">
        <v>45576</v>
      </c>
      <c r="C255" s="1" t="n">
        <v>45849</v>
      </c>
      <c r="D255" t="inlineStr">
        <is>
          <t>VÄSTERBOTTENS LÄN</t>
        </is>
      </c>
      <c r="E255" t="inlineStr">
        <is>
          <t>LYCKSELE</t>
        </is>
      </c>
      <c r="F255" t="inlineStr">
        <is>
          <t>Sveaskog</t>
        </is>
      </c>
      <c r="G255" t="n">
        <v>5.3</v>
      </c>
      <c r="H255" t="n">
        <v>0</v>
      </c>
      <c r="I255" t="n">
        <v>0</v>
      </c>
      <c r="J255" t="n">
        <v>1</v>
      </c>
      <c r="K255" t="n">
        <v>0</v>
      </c>
      <c r="L255" t="n">
        <v>0</v>
      </c>
      <c r="M255" t="n">
        <v>0</v>
      </c>
      <c r="N255" t="n">
        <v>0</v>
      </c>
      <c r="O255" t="n">
        <v>1</v>
      </c>
      <c r="P255" t="n">
        <v>0</v>
      </c>
      <c r="Q255" t="n">
        <v>1</v>
      </c>
      <c r="R255" s="2" t="inlineStr">
        <is>
          <t>Orange taggsvamp</t>
        </is>
      </c>
      <c r="S255">
        <f>HYPERLINK("https://klasma.github.io/Logging_2481/artfynd/A 45246-2024 artfynd.xlsx", "A 45246-2024")</f>
        <v/>
      </c>
      <c r="T255">
        <f>HYPERLINK("https://klasma.github.io/Logging_2481/kartor/A 45246-2024 karta.png", "A 45246-2024")</f>
        <v/>
      </c>
      <c r="V255">
        <f>HYPERLINK("https://klasma.github.io/Logging_2481/klagomål/A 45246-2024 FSC-klagomål.docx", "A 45246-2024")</f>
        <v/>
      </c>
      <c r="W255">
        <f>HYPERLINK("https://klasma.github.io/Logging_2481/klagomålsmail/A 45246-2024 FSC-klagomål mail.docx", "A 45246-2024")</f>
        <v/>
      </c>
      <c r="X255">
        <f>HYPERLINK("https://klasma.github.io/Logging_2481/tillsyn/A 45246-2024 tillsynsbegäran.docx", "A 45246-2024")</f>
        <v/>
      </c>
      <c r="Y255">
        <f>HYPERLINK("https://klasma.github.io/Logging_2481/tillsynsmail/A 45246-2024 tillsynsbegäran mail.docx", "A 45246-2024")</f>
        <v/>
      </c>
    </row>
    <row r="256" ht="15" customHeight="1">
      <c r="A256" t="inlineStr">
        <is>
          <t>A 45774-2024</t>
        </is>
      </c>
      <c r="B256" s="1" t="n">
        <v>45579</v>
      </c>
      <c r="C256" s="1" t="n">
        <v>45849</v>
      </c>
      <c r="D256" t="inlineStr">
        <is>
          <t>VÄSTERBOTTENS LÄN</t>
        </is>
      </c>
      <c r="E256" t="inlineStr">
        <is>
          <t>LYCKSELE</t>
        </is>
      </c>
      <c r="F256" t="inlineStr">
        <is>
          <t>SCA</t>
        </is>
      </c>
      <c r="G256" t="n">
        <v>4.3</v>
      </c>
      <c r="H256" t="n">
        <v>0</v>
      </c>
      <c r="I256" t="n">
        <v>1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1</v>
      </c>
      <c r="R256" s="2" t="inlineStr">
        <is>
          <t>Barkticka</t>
        </is>
      </c>
      <c r="S256">
        <f>HYPERLINK("https://klasma.github.io/Logging_2481/artfynd/A 45774-2024 artfynd.xlsx", "A 45774-2024")</f>
        <v/>
      </c>
      <c r="T256">
        <f>HYPERLINK("https://klasma.github.io/Logging_2481/kartor/A 45774-2024 karta.png", "A 45774-2024")</f>
        <v/>
      </c>
      <c r="V256">
        <f>HYPERLINK("https://klasma.github.io/Logging_2481/klagomål/A 45774-2024 FSC-klagomål.docx", "A 45774-2024")</f>
        <v/>
      </c>
      <c r="W256">
        <f>HYPERLINK("https://klasma.github.io/Logging_2481/klagomålsmail/A 45774-2024 FSC-klagomål mail.docx", "A 45774-2024")</f>
        <v/>
      </c>
      <c r="X256">
        <f>HYPERLINK("https://klasma.github.io/Logging_2481/tillsyn/A 45774-2024 tillsynsbegäran.docx", "A 45774-2024")</f>
        <v/>
      </c>
      <c r="Y256">
        <f>HYPERLINK("https://klasma.github.io/Logging_2481/tillsynsmail/A 45774-2024 tillsynsbegäran mail.docx", "A 45774-2024")</f>
        <v/>
      </c>
    </row>
    <row r="257" ht="15" customHeight="1">
      <c r="A257" t="inlineStr">
        <is>
          <t>A 45865-2024</t>
        </is>
      </c>
      <c r="B257" s="1" t="n">
        <v>45580</v>
      </c>
      <c r="C257" s="1" t="n">
        <v>45849</v>
      </c>
      <c r="D257" t="inlineStr">
        <is>
          <t>VÄSTERBOTTENS LÄN</t>
        </is>
      </c>
      <c r="E257" t="inlineStr">
        <is>
          <t>LYCKSELE</t>
        </is>
      </c>
      <c r="F257" t="inlineStr">
        <is>
          <t>Sveaskog</t>
        </is>
      </c>
      <c r="G257" t="n">
        <v>18.5</v>
      </c>
      <c r="H257" t="n">
        <v>0</v>
      </c>
      <c r="I257" t="n">
        <v>0</v>
      </c>
      <c r="J257" t="n">
        <v>1</v>
      </c>
      <c r="K257" t="n">
        <v>0</v>
      </c>
      <c r="L257" t="n">
        <v>0</v>
      </c>
      <c r="M257" t="n">
        <v>0</v>
      </c>
      <c r="N257" t="n">
        <v>0</v>
      </c>
      <c r="O257" t="n">
        <v>1</v>
      </c>
      <c r="P257" t="n">
        <v>0</v>
      </c>
      <c r="Q257" t="n">
        <v>1</v>
      </c>
      <c r="R257" s="2" t="inlineStr">
        <is>
          <t>Lunglav</t>
        </is>
      </c>
      <c r="S257">
        <f>HYPERLINK("https://klasma.github.io/Logging_2481/artfynd/A 45865-2024 artfynd.xlsx", "A 45865-2024")</f>
        <v/>
      </c>
      <c r="T257">
        <f>HYPERLINK("https://klasma.github.io/Logging_2481/kartor/A 45865-2024 karta.png", "A 45865-2024")</f>
        <v/>
      </c>
      <c r="V257">
        <f>HYPERLINK("https://klasma.github.io/Logging_2481/klagomål/A 45865-2024 FSC-klagomål.docx", "A 45865-2024")</f>
        <v/>
      </c>
      <c r="W257">
        <f>HYPERLINK("https://klasma.github.io/Logging_2481/klagomålsmail/A 45865-2024 FSC-klagomål mail.docx", "A 45865-2024")</f>
        <v/>
      </c>
      <c r="X257">
        <f>HYPERLINK("https://klasma.github.io/Logging_2481/tillsyn/A 45865-2024 tillsynsbegäran.docx", "A 45865-2024")</f>
        <v/>
      </c>
      <c r="Y257">
        <f>HYPERLINK("https://klasma.github.io/Logging_2481/tillsynsmail/A 45865-2024 tillsynsbegäran mail.docx", "A 45865-2024")</f>
        <v/>
      </c>
    </row>
    <row r="258" ht="15" customHeight="1">
      <c r="A258" t="inlineStr">
        <is>
          <t>A 46004-2024</t>
        </is>
      </c>
      <c r="B258" s="1" t="n">
        <v>45580</v>
      </c>
      <c r="C258" s="1" t="n">
        <v>45849</v>
      </c>
      <c r="D258" t="inlineStr">
        <is>
          <t>VÄSTERBOTTENS LÄN</t>
        </is>
      </c>
      <c r="E258" t="inlineStr">
        <is>
          <t>LYCKSELE</t>
        </is>
      </c>
      <c r="F258" t="inlineStr">
        <is>
          <t>Sveaskog</t>
        </is>
      </c>
      <c r="G258" t="n">
        <v>7.2</v>
      </c>
      <c r="H258" t="n">
        <v>0</v>
      </c>
      <c r="I258" t="n">
        <v>0</v>
      </c>
      <c r="J258" t="n">
        <v>1</v>
      </c>
      <c r="K258" t="n">
        <v>0</v>
      </c>
      <c r="L258" t="n">
        <v>0</v>
      </c>
      <c r="M258" t="n">
        <v>0</v>
      </c>
      <c r="N258" t="n">
        <v>0</v>
      </c>
      <c r="O258" t="n">
        <v>1</v>
      </c>
      <c r="P258" t="n">
        <v>0</v>
      </c>
      <c r="Q258" t="n">
        <v>1</v>
      </c>
      <c r="R258" s="2" t="inlineStr">
        <is>
          <t>Lunglav</t>
        </is>
      </c>
      <c r="S258">
        <f>HYPERLINK("https://klasma.github.io/Logging_2481/artfynd/A 46004-2024 artfynd.xlsx", "A 46004-2024")</f>
        <v/>
      </c>
      <c r="T258">
        <f>HYPERLINK("https://klasma.github.io/Logging_2481/kartor/A 46004-2024 karta.png", "A 46004-2024")</f>
        <v/>
      </c>
      <c r="V258">
        <f>HYPERLINK("https://klasma.github.io/Logging_2481/klagomål/A 46004-2024 FSC-klagomål.docx", "A 46004-2024")</f>
        <v/>
      </c>
      <c r="W258">
        <f>HYPERLINK("https://klasma.github.io/Logging_2481/klagomålsmail/A 46004-2024 FSC-klagomål mail.docx", "A 46004-2024")</f>
        <v/>
      </c>
      <c r="X258">
        <f>HYPERLINK("https://klasma.github.io/Logging_2481/tillsyn/A 46004-2024 tillsynsbegäran.docx", "A 46004-2024")</f>
        <v/>
      </c>
      <c r="Y258">
        <f>HYPERLINK("https://klasma.github.io/Logging_2481/tillsynsmail/A 46004-2024 tillsynsbegäran mail.docx", "A 46004-2024")</f>
        <v/>
      </c>
    </row>
    <row r="259" ht="15" customHeight="1">
      <c r="A259" t="inlineStr">
        <is>
          <t>A 45934-2024</t>
        </is>
      </c>
      <c r="B259" s="1" t="n">
        <v>45580</v>
      </c>
      <c r="C259" s="1" t="n">
        <v>45849</v>
      </c>
      <c r="D259" t="inlineStr">
        <is>
          <t>VÄSTERBOTTENS LÄN</t>
        </is>
      </c>
      <c r="E259" t="inlineStr">
        <is>
          <t>LYCKSELE</t>
        </is>
      </c>
      <c r="F259" t="inlineStr">
        <is>
          <t>Sveaskog</t>
        </is>
      </c>
      <c r="G259" t="n">
        <v>1.5</v>
      </c>
      <c r="H259" t="n">
        <v>0</v>
      </c>
      <c r="I259" t="n">
        <v>0</v>
      </c>
      <c r="J259" t="n">
        <v>1</v>
      </c>
      <c r="K259" t="n">
        <v>0</v>
      </c>
      <c r="L259" t="n">
        <v>0</v>
      </c>
      <c r="M259" t="n">
        <v>0</v>
      </c>
      <c r="N259" t="n">
        <v>0</v>
      </c>
      <c r="O259" t="n">
        <v>1</v>
      </c>
      <c r="P259" t="n">
        <v>0</v>
      </c>
      <c r="Q259" t="n">
        <v>1</v>
      </c>
      <c r="R259" s="2" t="inlineStr">
        <is>
          <t>Orange taggsvamp</t>
        </is>
      </c>
      <c r="S259">
        <f>HYPERLINK("https://klasma.github.io/Logging_2481/artfynd/A 45934-2024 artfynd.xlsx", "A 45934-2024")</f>
        <v/>
      </c>
      <c r="T259">
        <f>HYPERLINK("https://klasma.github.io/Logging_2481/kartor/A 45934-2024 karta.png", "A 45934-2024")</f>
        <v/>
      </c>
      <c r="V259">
        <f>HYPERLINK("https://klasma.github.io/Logging_2481/klagomål/A 45934-2024 FSC-klagomål.docx", "A 45934-2024")</f>
        <v/>
      </c>
      <c r="W259">
        <f>HYPERLINK("https://klasma.github.io/Logging_2481/klagomålsmail/A 45934-2024 FSC-klagomål mail.docx", "A 45934-2024")</f>
        <v/>
      </c>
      <c r="X259">
        <f>HYPERLINK("https://klasma.github.io/Logging_2481/tillsyn/A 45934-2024 tillsynsbegäran.docx", "A 45934-2024")</f>
        <v/>
      </c>
      <c r="Y259">
        <f>HYPERLINK("https://klasma.github.io/Logging_2481/tillsynsmail/A 45934-2024 tillsynsbegäran mail.docx", "A 45934-2024")</f>
        <v/>
      </c>
    </row>
    <row r="260" ht="15" customHeight="1">
      <c r="A260" t="inlineStr">
        <is>
          <t>A 47135-2024</t>
        </is>
      </c>
      <c r="B260" s="1" t="n">
        <v>45586</v>
      </c>
      <c r="C260" s="1" t="n">
        <v>45849</v>
      </c>
      <c r="D260" t="inlineStr">
        <is>
          <t>VÄSTERBOTTENS LÄN</t>
        </is>
      </c>
      <c r="E260" t="inlineStr">
        <is>
          <t>LYCKSELE</t>
        </is>
      </c>
      <c r="F260" t="inlineStr">
        <is>
          <t>Sveaskog</t>
        </is>
      </c>
      <c r="G260" t="n">
        <v>6.2</v>
      </c>
      <c r="H260" t="n">
        <v>0</v>
      </c>
      <c r="I260" t="n">
        <v>1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1</v>
      </c>
      <c r="R260" s="2" t="inlineStr">
        <is>
          <t>Dropptaggsvamp</t>
        </is>
      </c>
      <c r="S260">
        <f>HYPERLINK("https://klasma.github.io/Logging_2481/artfynd/A 47135-2024 artfynd.xlsx", "A 47135-2024")</f>
        <v/>
      </c>
      <c r="T260">
        <f>HYPERLINK("https://klasma.github.io/Logging_2481/kartor/A 47135-2024 karta.png", "A 47135-2024")</f>
        <v/>
      </c>
      <c r="V260">
        <f>HYPERLINK("https://klasma.github.io/Logging_2481/klagomål/A 47135-2024 FSC-klagomål.docx", "A 47135-2024")</f>
        <v/>
      </c>
      <c r="W260">
        <f>HYPERLINK("https://klasma.github.io/Logging_2481/klagomålsmail/A 47135-2024 FSC-klagomål mail.docx", "A 47135-2024")</f>
        <v/>
      </c>
      <c r="X260">
        <f>HYPERLINK("https://klasma.github.io/Logging_2481/tillsyn/A 47135-2024 tillsynsbegäran.docx", "A 47135-2024")</f>
        <v/>
      </c>
      <c r="Y260">
        <f>HYPERLINK("https://klasma.github.io/Logging_2481/tillsynsmail/A 47135-2024 tillsynsbegäran mail.docx", "A 47135-2024")</f>
        <v/>
      </c>
    </row>
    <row r="261" ht="15" customHeight="1">
      <c r="A261" t="inlineStr">
        <is>
          <t>A 47289-2024</t>
        </is>
      </c>
      <c r="B261" s="1" t="n">
        <v>45587</v>
      </c>
      <c r="C261" s="1" t="n">
        <v>45849</v>
      </c>
      <c r="D261" t="inlineStr">
        <is>
          <t>VÄSTERBOTTENS LÄN</t>
        </is>
      </c>
      <c r="E261" t="inlineStr">
        <is>
          <t>LYCKSELE</t>
        </is>
      </c>
      <c r="F261" t="inlineStr">
        <is>
          <t>Sveaskog</t>
        </is>
      </c>
      <c r="G261" t="n">
        <v>5.6</v>
      </c>
      <c r="H261" t="n">
        <v>0</v>
      </c>
      <c r="I261" t="n">
        <v>1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1</v>
      </c>
      <c r="R261" s="2" t="inlineStr">
        <is>
          <t>Dropptaggsvamp</t>
        </is>
      </c>
      <c r="S261">
        <f>HYPERLINK("https://klasma.github.io/Logging_2481/artfynd/A 47289-2024 artfynd.xlsx", "A 47289-2024")</f>
        <v/>
      </c>
      <c r="T261">
        <f>HYPERLINK("https://klasma.github.io/Logging_2481/kartor/A 47289-2024 karta.png", "A 47289-2024")</f>
        <v/>
      </c>
      <c r="V261">
        <f>HYPERLINK("https://klasma.github.io/Logging_2481/klagomål/A 47289-2024 FSC-klagomål.docx", "A 47289-2024")</f>
        <v/>
      </c>
      <c r="W261">
        <f>HYPERLINK("https://klasma.github.io/Logging_2481/klagomålsmail/A 47289-2024 FSC-klagomål mail.docx", "A 47289-2024")</f>
        <v/>
      </c>
      <c r="X261">
        <f>HYPERLINK("https://klasma.github.io/Logging_2481/tillsyn/A 47289-2024 tillsynsbegäran.docx", "A 47289-2024")</f>
        <v/>
      </c>
      <c r="Y261">
        <f>HYPERLINK("https://klasma.github.io/Logging_2481/tillsynsmail/A 47289-2024 tillsynsbegäran mail.docx", "A 47289-2024")</f>
        <v/>
      </c>
    </row>
    <row r="262" ht="15" customHeight="1">
      <c r="A262" t="inlineStr">
        <is>
          <t>A 48443-2024</t>
        </is>
      </c>
      <c r="B262" s="1" t="n">
        <v>45590</v>
      </c>
      <c r="C262" s="1" t="n">
        <v>45849</v>
      </c>
      <c r="D262" t="inlineStr">
        <is>
          <t>VÄSTERBOTTENS LÄN</t>
        </is>
      </c>
      <c r="E262" t="inlineStr">
        <is>
          <t>LYCKSELE</t>
        </is>
      </c>
      <c r="F262" t="inlineStr">
        <is>
          <t>Sveaskog</t>
        </is>
      </c>
      <c r="G262" t="n">
        <v>3.8</v>
      </c>
      <c r="H262" t="n">
        <v>0</v>
      </c>
      <c r="I262" t="n">
        <v>0</v>
      </c>
      <c r="J262" t="n">
        <v>1</v>
      </c>
      <c r="K262" t="n">
        <v>0</v>
      </c>
      <c r="L262" t="n">
        <v>0</v>
      </c>
      <c r="M262" t="n">
        <v>0</v>
      </c>
      <c r="N262" t="n">
        <v>0</v>
      </c>
      <c r="O262" t="n">
        <v>1</v>
      </c>
      <c r="P262" t="n">
        <v>0</v>
      </c>
      <c r="Q262" t="n">
        <v>1</v>
      </c>
      <c r="R262" s="2" t="inlineStr">
        <is>
          <t>Mörk kolflarnlav</t>
        </is>
      </c>
      <c r="S262">
        <f>HYPERLINK("https://klasma.github.io/Logging_2481/artfynd/A 48443-2024 artfynd.xlsx", "A 48443-2024")</f>
        <v/>
      </c>
      <c r="T262">
        <f>HYPERLINK("https://klasma.github.io/Logging_2481/kartor/A 48443-2024 karta.png", "A 48443-2024")</f>
        <v/>
      </c>
      <c r="V262">
        <f>HYPERLINK("https://klasma.github.io/Logging_2481/klagomål/A 48443-2024 FSC-klagomål.docx", "A 48443-2024")</f>
        <v/>
      </c>
      <c r="W262">
        <f>HYPERLINK("https://klasma.github.io/Logging_2481/klagomålsmail/A 48443-2024 FSC-klagomål mail.docx", "A 48443-2024")</f>
        <v/>
      </c>
      <c r="X262">
        <f>HYPERLINK("https://klasma.github.io/Logging_2481/tillsyn/A 48443-2024 tillsynsbegäran.docx", "A 48443-2024")</f>
        <v/>
      </c>
      <c r="Y262">
        <f>HYPERLINK("https://klasma.github.io/Logging_2481/tillsynsmail/A 48443-2024 tillsynsbegäran mail.docx", "A 48443-2024")</f>
        <v/>
      </c>
    </row>
    <row r="263" ht="15" customHeight="1">
      <c r="A263" t="inlineStr">
        <is>
          <t>A 48414-2024</t>
        </is>
      </c>
      <c r="B263" s="1" t="n">
        <v>45590</v>
      </c>
      <c r="C263" s="1" t="n">
        <v>45849</v>
      </c>
      <c r="D263" t="inlineStr">
        <is>
          <t>VÄSTERBOTTENS LÄN</t>
        </is>
      </c>
      <c r="E263" t="inlineStr">
        <is>
          <t>LYCKSELE</t>
        </is>
      </c>
      <c r="F263" t="inlineStr">
        <is>
          <t>Sveaskog</t>
        </is>
      </c>
      <c r="G263" t="n">
        <v>1.5</v>
      </c>
      <c r="H263" t="n">
        <v>0</v>
      </c>
      <c r="I263" t="n">
        <v>1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1</v>
      </c>
      <c r="R263" s="2" t="inlineStr">
        <is>
          <t>Dropptaggsvamp</t>
        </is>
      </c>
      <c r="S263">
        <f>HYPERLINK("https://klasma.github.io/Logging_2481/artfynd/A 48414-2024 artfynd.xlsx", "A 48414-2024")</f>
        <v/>
      </c>
      <c r="T263">
        <f>HYPERLINK("https://klasma.github.io/Logging_2481/kartor/A 48414-2024 karta.png", "A 48414-2024")</f>
        <v/>
      </c>
      <c r="V263">
        <f>HYPERLINK("https://klasma.github.io/Logging_2481/klagomål/A 48414-2024 FSC-klagomål.docx", "A 48414-2024")</f>
        <v/>
      </c>
      <c r="W263">
        <f>HYPERLINK("https://klasma.github.io/Logging_2481/klagomålsmail/A 48414-2024 FSC-klagomål mail.docx", "A 48414-2024")</f>
        <v/>
      </c>
      <c r="X263">
        <f>HYPERLINK("https://klasma.github.io/Logging_2481/tillsyn/A 48414-2024 tillsynsbegäran.docx", "A 48414-2024")</f>
        <v/>
      </c>
      <c r="Y263">
        <f>HYPERLINK("https://klasma.github.io/Logging_2481/tillsynsmail/A 48414-2024 tillsynsbegäran mail.docx", "A 48414-2024")</f>
        <v/>
      </c>
    </row>
    <row r="264" ht="15" customHeight="1">
      <c r="A264" t="inlineStr">
        <is>
          <t>A 48863-2024</t>
        </is>
      </c>
      <c r="B264" s="1" t="n">
        <v>45594</v>
      </c>
      <c r="C264" s="1" t="n">
        <v>45849</v>
      </c>
      <c r="D264" t="inlineStr">
        <is>
          <t>VÄSTERBOTTENS LÄN</t>
        </is>
      </c>
      <c r="E264" t="inlineStr">
        <is>
          <t>LYCKSELE</t>
        </is>
      </c>
      <c r="F264" t="inlineStr">
        <is>
          <t>Sveaskog</t>
        </is>
      </c>
      <c r="G264" t="n">
        <v>15.9</v>
      </c>
      <c r="H264" t="n">
        <v>0</v>
      </c>
      <c r="I264" t="n">
        <v>0</v>
      </c>
      <c r="J264" t="n">
        <v>1</v>
      </c>
      <c r="K264" t="n">
        <v>0</v>
      </c>
      <c r="L264" t="n">
        <v>0</v>
      </c>
      <c r="M264" t="n">
        <v>0</v>
      </c>
      <c r="N264" t="n">
        <v>0</v>
      </c>
      <c r="O264" t="n">
        <v>1</v>
      </c>
      <c r="P264" t="n">
        <v>0</v>
      </c>
      <c r="Q264" t="n">
        <v>1</v>
      </c>
      <c r="R264" s="2" t="inlineStr">
        <is>
          <t>Blå taggsvamp</t>
        </is>
      </c>
      <c r="S264">
        <f>HYPERLINK("https://klasma.github.io/Logging_2481/artfynd/A 48863-2024 artfynd.xlsx", "A 48863-2024")</f>
        <v/>
      </c>
      <c r="T264">
        <f>HYPERLINK("https://klasma.github.io/Logging_2481/kartor/A 48863-2024 karta.png", "A 48863-2024")</f>
        <v/>
      </c>
      <c r="V264">
        <f>HYPERLINK("https://klasma.github.io/Logging_2481/klagomål/A 48863-2024 FSC-klagomål.docx", "A 48863-2024")</f>
        <v/>
      </c>
      <c r="W264">
        <f>HYPERLINK("https://klasma.github.io/Logging_2481/klagomålsmail/A 48863-2024 FSC-klagomål mail.docx", "A 48863-2024")</f>
        <v/>
      </c>
      <c r="X264">
        <f>HYPERLINK("https://klasma.github.io/Logging_2481/tillsyn/A 48863-2024 tillsynsbegäran.docx", "A 48863-2024")</f>
        <v/>
      </c>
      <c r="Y264">
        <f>HYPERLINK("https://klasma.github.io/Logging_2481/tillsynsmail/A 48863-2024 tillsynsbegäran mail.docx", "A 48863-2024")</f>
        <v/>
      </c>
    </row>
    <row r="265" ht="15" customHeight="1">
      <c r="A265" t="inlineStr">
        <is>
          <t>A 49125-2024</t>
        </is>
      </c>
      <c r="B265" s="1" t="n">
        <v>45594</v>
      </c>
      <c r="C265" s="1" t="n">
        <v>45849</v>
      </c>
      <c r="D265" t="inlineStr">
        <is>
          <t>VÄSTERBOTTENS LÄN</t>
        </is>
      </c>
      <c r="E265" t="inlineStr">
        <is>
          <t>LYCKSELE</t>
        </is>
      </c>
      <c r="F265" t="inlineStr">
        <is>
          <t>Sveaskog</t>
        </is>
      </c>
      <c r="G265" t="n">
        <v>6.7</v>
      </c>
      <c r="H265" t="n">
        <v>1</v>
      </c>
      <c r="I265" t="n">
        <v>0</v>
      </c>
      <c r="J265" t="n">
        <v>0</v>
      </c>
      <c r="K265" t="n">
        <v>1</v>
      </c>
      <c r="L265" t="n">
        <v>0</v>
      </c>
      <c r="M265" t="n">
        <v>0</v>
      </c>
      <c r="N265" t="n">
        <v>0</v>
      </c>
      <c r="O265" t="n">
        <v>1</v>
      </c>
      <c r="P265" t="n">
        <v>1</v>
      </c>
      <c r="Q265" t="n">
        <v>1</v>
      </c>
      <c r="R265" s="2" t="inlineStr">
        <is>
          <t>Knärot</t>
        </is>
      </c>
      <c r="S265">
        <f>HYPERLINK("https://klasma.github.io/Logging_2481/artfynd/A 49125-2024 artfynd.xlsx", "A 49125-2024")</f>
        <v/>
      </c>
      <c r="T265">
        <f>HYPERLINK("https://klasma.github.io/Logging_2481/kartor/A 49125-2024 karta.png", "A 49125-2024")</f>
        <v/>
      </c>
      <c r="U265">
        <f>HYPERLINK("https://klasma.github.io/Logging_2481/knärot/A 49125-2024 karta knärot.png", "A 49125-2024")</f>
        <v/>
      </c>
      <c r="V265">
        <f>HYPERLINK("https://klasma.github.io/Logging_2481/klagomål/A 49125-2024 FSC-klagomål.docx", "A 49125-2024")</f>
        <v/>
      </c>
      <c r="W265">
        <f>HYPERLINK("https://klasma.github.io/Logging_2481/klagomålsmail/A 49125-2024 FSC-klagomål mail.docx", "A 49125-2024")</f>
        <v/>
      </c>
      <c r="X265">
        <f>HYPERLINK("https://klasma.github.io/Logging_2481/tillsyn/A 49125-2024 tillsynsbegäran.docx", "A 49125-2024")</f>
        <v/>
      </c>
      <c r="Y265">
        <f>HYPERLINK("https://klasma.github.io/Logging_2481/tillsynsmail/A 49125-2024 tillsynsbegäran mail.docx", "A 49125-2024")</f>
        <v/>
      </c>
    </row>
    <row r="266" ht="15" customHeight="1">
      <c r="A266" t="inlineStr">
        <is>
          <t>A 49223-2024</t>
        </is>
      </c>
      <c r="B266" s="1" t="n">
        <v>45595</v>
      </c>
      <c r="C266" s="1" t="n">
        <v>45849</v>
      </c>
      <c r="D266" t="inlineStr">
        <is>
          <t>VÄSTERBOTTENS LÄN</t>
        </is>
      </c>
      <c r="E266" t="inlineStr">
        <is>
          <t>LYCKSELE</t>
        </is>
      </c>
      <c r="F266" t="inlineStr">
        <is>
          <t>Sveaskog</t>
        </is>
      </c>
      <c r="G266" t="n">
        <v>2.9</v>
      </c>
      <c r="H266" t="n">
        <v>0</v>
      </c>
      <c r="I266" t="n">
        <v>0</v>
      </c>
      <c r="J266" t="n">
        <v>1</v>
      </c>
      <c r="K266" t="n">
        <v>0</v>
      </c>
      <c r="L266" t="n">
        <v>0</v>
      </c>
      <c r="M266" t="n">
        <v>0</v>
      </c>
      <c r="N266" t="n">
        <v>0</v>
      </c>
      <c r="O266" t="n">
        <v>1</v>
      </c>
      <c r="P266" t="n">
        <v>0</v>
      </c>
      <c r="Q266" t="n">
        <v>1</v>
      </c>
      <c r="R266" s="2" t="inlineStr">
        <is>
          <t>Motaggsvamp</t>
        </is>
      </c>
      <c r="S266">
        <f>HYPERLINK("https://klasma.github.io/Logging_2481/artfynd/A 49223-2024 artfynd.xlsx", "A 49223-2024")</f>
        <v/>
      </c>
      <c r="T266">
        <f>HYPERLINK("https://klasma.github.io/Logging_2481/kartor/A 49223-2024 karta.png", "A 49223-2024")</f>
        <v/>
      </c>
      <c r="V266">
        <f>HYPERLINK("https://klasma.github.io/Logging_2481/klagomål/A 49223-2024 FSC-klagomål.docx", "A 49223-2024")</f>
        <v/>
      </c>
      <c r="W266">
        <f>HYPERLINK("https://klasma.github.io/Logging_2481/klagomålsmail/A 49223-2024 FSC-klagomål mail.docx", "A 49223-2024")</f>
        <v/>
      </c>
      <c r="X266">
        <f>HYPERLINK("https://klasma.github.io/Logging_2481/tillsyn/A 49223-2024 tillsynsbegäran.docx", "A 49223-2024")</f>
        <v/>
      </c>
      <c r="Y266">
        <f>HYPERLINK("https://klasma.github.io/Logging_2481/tillsynsmail/A 49223-2024 tillsynsbegäran mail.docx", "A 49223-2024")</f>
        <v/>
      </c>
    </row>
    <row r="267" ht="15" customHeight="1">
      <c r="A267" t="inlineStr">
        <is>
          <t>A 49345-2024</t>
        </is>
      </c>
      <c r="B267" s="1" t="n">
        <v>45595</v>
      </c>
      <c r="C267" s="1" t="n">
        <v>45849</v>
      </c>
      <c r="D267" t="inlineStr">
        <is>
          <t>VÄSTERBOTTENS LÄN</t>
        </is>
      </c>
      <c r="E267" t="inlineStr">
        <is>
          <t>LYCKSELE</t>
        </is>
      </c>
      <c r="F267" t="inlineStr">
        <is>
          <t>Sveaskog</t>
        </is>
      </c>
      <c r="G267" t="n">
        <v>12</v>
      </c>
      <c r="H267" t="n">
        <v>0</v>
      </c>
      <c r="I267" t="n">
        <v>0</v>
      </c>
      <c r="J267" t="n">
        <v>1</v>
      </c>
      <c r="K267" t="n">
        <v>0</v>
      </c>
      <c r="L267" t="n">
        <v>0</v>
      </c>
      <c r="M267" t="n">
        <v>0</v>
      </c>
      <c r="N267" t="n">
        <v>0</v>
      </c>
      <c r="O267" t="n">
        <v>1</v>
      </c>
      <c r="P267" t="n">
        <v>0</v>
      </c>
      <c r="Q267" t="n">
        <v>1</v>
      </c>
      <c r="R267" s="2" t="inlineStr">
        <is>
          <t>Motaggsvamp</t>
        </is>
      </c>
      <c r="S267">
        <f>HYPERLINK("https://klasma.github.io/Logging_2481/artfynd/A 49345-2024 artfynd.xlsx", "A 49345-2024")</f>
        <v/>
      </c>
      <c r="T267">
        <f>HYPERLINK("https://klasma.github.io/Logging_2481/kartor/A 49345-2024 karta.png", "A 49345-2024")</f>
        <v/>
      </c>
      <c r="V267">
        <f>HYPERLINK("https://klasma.github.io/Logging_2481/klagomål/A 49345-2024 FSC-klagomål.docx", "A 49345-2024")</f>
        <v/>
      </c>
      <c r="W267">
        <f>HYPERLINK("https://klasma.github.io/Logging_2481/klagomålsmail/A 49345-2024 FSC-klagomål mail.docx", "A 49345-2024")</f>
        <v/>
      </c>
      <c r="X267">
        <f>HYPERLINK("https://klasma.github.io/Logging_2481/tillsyn/A 49345-2024 tillsynsbegäran.docx", "A 49345-2024")</f>
        <v/>
      </c>
      <c r="Y267">
        <f>HYPERLINK("https://klasma.github.io/Logging_2481/tillsynsmail/A 49345-2024 tillsynsbegäran mail.docx", "A 49345-2024")</f>
        <v/>
      </c>
    </row>
    <row r="268" ht="15" customHeight="1">
      <c r="A268" t="inlineStr">
        <is>
          <t>A 49349-2024</t>
        </is>
      </c>
      <c r="B268" s="1" t="n">
        <v>45595</v>
      </c>
      <c r="C268" s="1" t="n">
        <v>45849</v>
      </c>
      <c r="D268" t="inlineStr">
        <is>
          <t>VÄSTERBOTTENS LÄN</t>
        </is>
      </c>
      <c r="E268" t="inlineStr">
        <is>
          <t>LYCKSELE</t>
        </is>
      </c>
      <c r="F268" t="inlineStr">
        <is>
          <t>Sveaskog</t>
        </is>
      </c>
      <c r="G268" t="n">
        <v>10.7</v>
      </c>
      <c r="H268" t="n">
        <v>0</v>
      </c>
      <c r="I268" t="n">
        <v>1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1</v>
      </c>
      <c r="R268" s="2" t="inlineStr">
        <is>
          <t>Dropptaggsvamp</t>
        </is>
      </c>
      <c r="S268">
        <f>HYPERLINK("https://klasma.github.io/Logging_2481/artfynd/A 49349-2024 artfynd.xlsx", "A 49349-2024")</f>
        <v/>
      </c>
      <c r="T268">
        <f>HYPERLINK("https://klasma.github.io/Logging_2481/kartor/A 49349-2024 karta.png", "A 49349-2024")</f>
        <v/>
      </c>
      <c r="V268">
        <f>HYPERLINK("https://klasma.github.io/Logging_2481/klagomål/A 49349-2024 FSC-klagomål.docx", "A 49349-2024")</f>
        <v/>
      </c>
      <c r="W268">
        <f>HYPERLINK("https://klasma.github.io/Logging_2481/klagomålsmail/A 49349-2024 FSC-klagomål mail.docx", "A 49349-2024")</f>
        <v/>
      </c>
      <c r="X268">
        <f>HYPERLINK("https://klasma.github.io/Logging_2481/tillsyn/A 49349-2024 tillsynsbegäran.docx", "A 49349-2024")</f>
        <v/>
      </c>
      <c r="Y268">
        <f>HYPERLINK("https://klasma.github.io/Logging_2481/tillsynsmail/A 49349-2024 tillsynsbegäran mail.docx", "A 49349-2024")</f>
        <v/>
      </c>
    </row>
    <row r="269" ht="15" customHeight="1">
      <c r="A269" t="inlineStr">
        <is>
          <t>A 49394-2024</t>
        </is>
      </c>
      <c r="B269" s="1" t="n">
        <v>45595</v>
      </c>
      <c r="C269" s="1" t="n">
        <v>45849</v>
      </c>
      <c r="D269" t="inlineStr">
        <is>
          <t>VÄSTERBOTTENS LÄN</t>
        </is>
      </c>
      <c r="E269" t="inlineStr">
        <is>
          <t>LYCKSELE</t>
        </is>
      </c>
      <c r="F269" t="inlineStr">
        <is>
          <t>Sveaskog</t>
        </is>
      </c>
      <c r="G269" t="n">
        <v>10.6</v>
      </c>
      <c r="H269" t="n">
        <v>0</v>
      </c>
      <c r="I269" t="n">
        <v>0</v>
      </c>
      <c r="J269" t="n">
        <v>1</v>
      </c>
      <c r="K269" t="n">
        <v>0</v>
      </c>
      <c r="L269" t="n">
        <v>0</v>
      </c>
      <c r="M269" t="n">
        <v>0</v>
      </c>
      <c r="N269" t="n">
        <v>0</v>
      </c>
      <c r="O269" t="n">
        <v>1</v>
      </c>
      <c r="P269" t="n">
        <v>0</v>
      </c>
      <c r="Q269" t="n">
        <v>1</v>
      </c>
      <c r="R269" s="2" t="inlineStr">
        <is>
          <t>Lunglav</t>
        </is>
      </c>
      <c r="S269">
        <f>HYPERLINK("https://klasma.github.io/Logging_2481/artfynd/A 49394-2024 artfynd.xlsx", "A 49394-2024")</f>
        <v/>
      </c>
      <c r="T269">
        <f>HYPERLINK("https://klasma.github.io/Logging_2481/kartor/A 49394-2024 karta.png", "A 49394-2024")</f>
        <v/>
      </c>
      <c r="V269">
        <f>HYPERLINK("https://klasma.github.io/Logging_2481/klagomål/A 49394-2024 FSC-klagomål.docx", "A 49394-2024")</f>
        <v/>
      </c>
      <c r="W269">
        <f>HYPERLINK("https://klasma.github.io/Logging_2481/klagomålsmail/A 49394-2024 FSC-klagomål mail.docx", "A 49394-2024")</f>
        <v/>
      </c>
      <c r="X269">
        <f>HYPERLINK("https://klasma.github.io/Logging_2481/tillsyn/A 49394-2024 tillsynsbegäran.docx", "A 49394-2024")</f>
        <v/>
      </c>
      <c r="Y269">
        <f>HYPERLINK("https://klasma.github.io/Logging_2481/tillsynsmail/A 49394-2024 tillsynsbegäran mail.docx", "A 49394-2024")</f>
        <v/>
      </c>
    </row>
    <row r="270" ht="15" customHeight="1">
      <c r="A270" t="inlineStr">
        <is>
          <t>A 49302-2024</t>
        </is>
      </c>
      <c r="B270" s="1" t="n">
        <v>45595</v>
      </c>
      <c r="C270" s="1" t="n">
        <v>45849</v>
      </c>
      <c r="D270" t="inlineStr">
        <is>
          <t>VÄSTERBOTTENS LÄN</t>
        </is>
      </c>
      <c r="E270" t="inlineStr">
        <is>
          <t>LYCKSELE</t>
        </is>
      </c>
      <c r="G270" t="n">
        <v>5.3</v>
      </c>
      <c r="H270" t="n">
        <v>0</v>
      </c>
      <c r="I270" t="n">
        <v>0</v>
      </c>
      <c r="J270" t="n">
        <v>1</v>
      </c>
      <c r="K270" t="n">
        <v>0</v>
      </c>
      <c r="L270" t="n">
        <v>0</v>
      </c>
      <c r="M270" t="n">
        <v>0</v>
      </c>
      <c r="N270" t="n">
        <v>0</v>
      </c>
      <c r="O270" t="n">
        <v>1</v>
      </c>
      <c r="P270" t="n">
        <v>0</v>
      </c>
      <c r="Q270" t="n">
        <v>1</v>
      </c>
      <c r="R270" s="2" t="inlineStr">
        <is>
          <t>Garnlav</t>
        </is>
      </c>
      <c r="S270">
        <f>HYPERLINK("https://klasma.github.io/Logging_2481/artfynd/A 49302-2024 artfynd.xlsx", "A 49302-2024")</f>
        <v/>
      </c>
      <c r="T270">
        <f>HYPERLINK("https://klasma.github.io/Logging_2481/kartor/A 49302-2024 karta.png", "A 49302-2024")</f>
        <v/>
      </c>
      <c r="V270">
        <f>HYPERLINK("https://klasma.github.io/Logging_2481/klagomål/A 49302-2024 FSC-klagomål.docx", "A 49302-2024")</f>
        <v/>
      </c>
      <c r="W270">
        <f>HYPERLINK("https://klasma.github.io/Logging_2481/klagomålsmail/A 49302-2024 FSC-klagomål mail.docx", "A 49302-2024")</f>
        <v/>
      </c>
      <c r="X270">
        <f>HYPERLINK("https://klasma.github.io/Logging_2481/tillsyn/A 49302-2024 tillsynsbegäran.docx", "A 49302-2024")</f>
        <v/>
      </c>
      <c r="Y270">
        <f>HYPERLINK("https://klasma.github.io/Logging_2481/tillsynsmail/A 49302-2024 tillsynsbegäran mail.docx", "A 49302-2024")</f>
        <v/>
      </c>
    </row>
    <row r="271" ht="15" customHeight="1">
      <c r="A271" t="inlineStr">
        <is>
          <t>A 50739-2024</t>
        </is>
      </c>
      <c r="B271" s="1" t="n">
        <v>45602</v>
      </c>
      <c r="C271" s="1" t="n">
        <v>45849</v>
      </c>
      <c r="D271" t="inlineStr">
        <is>
          <t>VÄSTERBOTTENS LÄN</t>
        </is>
      </c>
      <c r="E271" t="inlineStr">
        <is>
          <t>LYCKSELE</t>
        </is>
      </c>
      <c r="F271" t="inlineStr">
        <is>
          <t>Sveaskog</t>
        </is>
      </c>
      <c r="G271" t="n">
        <v>19.2</v>
      </c>
      <c r="H271" t="n">
        <v>0</v>
      </c>
      <c r="I271" t="n">
        <v>0</v>
      </c>
      <c r="J271" t="n">
        <v>1</v>
      </c>
      <c r="K271" t="n">
        <v>0</v>
      </c>
      <c r="L271" t="n">
        <v>0</v>
      </c>
      <c r="M271" t="n">
        <v>0</v>
      </c>
      <c r="N271" t="n">
        <v>0</v>
      </c>
      <c r="O271" t="n">
        <v>1</v>
      </c>
      <c r="P271" t="n">
        <v>0</v>
      </c>
      <c r="Q271" t="n">
        <v>1</v>
      </c>
      <c r="R271" s="2" t="inlineStr">
        <is>
          <t>Motaggsvamp</t>
        </is>
      </c>
      <c r="S271">
        <f>HYPERLINK("https://klasma.github.io/Logging_2481/artfynd/A 50739-2024 artfynd.xlsx", "A 50739-2024")</f>
        <v/>
      </c>
      <c r="T271">
        <f>HYPERLINK("https://klasma.github.io/Logging_2481/kartor/A 50739-2024 karta.png", "A 50739-2024")</f>
        <v/>
      </c>
      <c r="V271">
        <f>HYPERLINK("https://klasma.github.io/Logging_2481/klagomål/A 50739-2024 FSC-klagomål.docx", "A 50739-2024")</f>
        <v/>
      </c>
      <c r="W271">
        <f>HYPERLINK("https://klasma.github.io/Logging_2481/klagomålsmail/A 50739-2024 FSC-klagomål mail.docx", "A 50739-2024")</f>
        <v/>
      </c>
      <c r="X271">
        <f>HYPERLINK("https://klasma.github.io/Logging_2481/tillsyn/A 50739-2024 tillsynsbegäran.docx", "A 50739-2024")</f>
        <v/>
      </c>
      <c r="Y271">
        <f>HYPERLINK("https://klasma.github.io/Logging_2481/tillsynsmail/A 50739-2024 tillsynsbegäran mail.docx", "A 50739-2024")</f>
        <v/>
      </c>
    </row>
    <row r="272" ht="15" customHeight="1">
      <c r="A272" t="inlineStr">
        <is>
          <t>A 50826-2024</t>
        </is>
      </c>
      <c r="B272" s="1" t="n">
        <v>45602</v>
      </c>
      <c r="C272" s="1" t="n">
        <v>45849</v>
      </c>
      <c r="D272" t="inlineStr">
        <is>
          <t>VÄSTERBOTTENS LÄN</t>
        </is>
      </c>
      <c r="E272" t="inlineStr">
        <is>
          <t>LYCKSELE</t>
        </is>
      </c>
      <c r="F272" t="inlineStr">
        <is>
          <t>Sveaskog</t>
        </is>
      </c>
      <c r="G272" t="n">
        <v>3.1</v>
      </c>
      <c r="H272" t="n">
        <v>0</v>
      </c>
      <c r="I272" t="n">
        <v>1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1</v>
      </c>
      <c r="R272" s="2" t="inlineStr">
        <is>
          <t>Dropptaggsvamp</t>
        </is>
      </c>
      <c r="S272">
        <f>HYPERLINK("https://klasma.github.io/Logging_2481/artfynd/A 50826-2024 artfynd.xlsx", "A 50826-2024")</f>
        <v/>
      </c>
      <c r="T272">
        <f>HYPERLINK("https://klasma.github.io/Logging_2481/kartor/A 50826-2024 karta.png", "A 50826-2024")</f>
        <v/>
      </c>
      <c r="V272">
        <f>HYPERLINK("https://klasma.github.io/Logging_2481/klagomål/A 50826-2024 FSC-klagomål.docx", "A 50826-2024")</f>
        <v/>
      </c>
      <c r="W272">
        <f>HYPERLINK("https://klasma.github.io/Logging_2481/klagomålsmail/A 50826-2024 FSC-klagomål mail.docx", "A 50826-2024")</f>
        <v/>
      </c>
      <c r="X272">
        <f>HYPERLINK("https://klasma.github.io/Logging_2481/tillsyn/A 50826-2024 tillsynsbegäran.docx", "A 50826-2024")</f>
        <v/>
      </c>
      <c r="Y272">
        <f>HYPERLINK("https://klasma.github.io/Logging_2481/tillsynsmail/A 50826-2024 tillsynsbegäran mail.docx", "A 50826-2024")</f>
        <v/>
      </c>
    </row>
    <row r="273" ht="15" customHeight="1">
      <c r="A273" t="inlineStr">
        <is>
          <t>A 52235-2024</t>
        </is>
      </c>
      <c r="B273" s="1" t="n">
        <v>45608</v>
      </c>
      <c r="C273" s="1" t="n">
        <v>45849</v>
      </c>
      <c r="D273" t="inlineStr">
        <is>
          <t>VÄSTERBOTTENS LÄN</t>
        </is>
      </c>
      <c r="E273" t="inlineStr">
        <is>
          <t>LYCKSELE</t>
        </is>
      </c>
      <c r="F273" t="inlineStr">
        <is>
          <t>Sveaskog</t>
        </is>
      </c>
      <c r="G273" t="n">
        <v>10.5</v>
      </c>
      <c r="H273" t="n">
        <v>0</v>
      </c>
      <c r="I273" t="n">
        <v>1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1</v>
      </c>
      <c r="R273" s="2" t="inlineStr">
        <is>
          <t>Dropptaggsvamp</t>
        </is>
      </c>
      <c r="S273">
        <f>HYPERLINK("https://klasma.github.io/Logging_2481/artfynd/A 52235-2024 artfynd.xlsx", "A 52235-2024")</f>
        <v/>
      </c>
      <c r="T273">
        <f>HYPERLINK("https://klasma.github.io/Logging_2481/kartor/A 52235-2024 karta.png", "A 52235-2024")</f>
        <v/>
      </c>
      <c r="V273">
        <f>HYPERLINK("https://klasma.github.io/Logging_2481/klagomål/A 52235-2024 FSC-klagomål.docx", "A 52235-2024")</f>
        <v/>
      </c>
      <c r="W273">
        <f>HYPERLINK("https://klasma.github.io/Logging_2481/klagomålsmail/A 52235-2024 FSC-klagomål mail.docx", "A 52235-2024")</f>
        <v/>
      </c>
      <c r="X273">
        <f>HYPERLINK("https://klasma.github.io/Logging_2481/tillsyn/A 52235-2024 tillsynsbegäran.docx", "A 52235-2024")</f>
        <v/>
      </c>
      <c r="Y273">
        <f>HYPERLINK("https://klasma.github.io/Logging_2481/tillsynsmail/A 52235-2024 tillsynsbegäran mail.docx", "A 52235-2024")</f>
        <v/>
      </c>
    </row>
    <row r="274" ht="15" customHeight="1">
      <c r="A274" t="inlineStr">
        <is>
          <t>A 54858-2024</t>
        </is>
      </c>
      <c r="B274" s="1" t="n">
        <v>45618</v>
      </c>
      <c r="C274" s="1" t="n">
        <v>45849</v>
      </c>
      <c r="D274" t="inlineStr">
        <is>
          <t>VÄSTERBOTTENS LÄN</t>
        </is>
      </c>
      <c r="E274" t="inlineStr">
        <is>
          <t>LYCKSELE</t>
        </is>
      </c>
      <c r="F274" t="inlineStr">
        <is>
          <t>Sveaskog</t>
        </is>
      </c>
      <c r="G274" t="n">
        <v>7.3</v>
      </c>
      <c r="H274" t="n">
        <v>0</v>
      </c>
      <c r="I274" t="n">
        <v>0</v>
      </c>
      <c r="J274" t="n">
        <v>1</v>
      </c>
      <c r="K274" t="n">
        <v>0</v>
      </c>
      <c r="L274" t="n">
        <v>0</v>
      </c>
      <c r="M274" t="n">
        <v>0</v>
      </c>
      <c r="N274" t="n">
        <v>0</v>
      </c>
      <c r="O274" t="n">
        <v>1</v>
      </c>
      <c r="P274" t="n">
        <v>0</v>
      </c>
      <c r="Q274" t="n">
        <v>1</v>
      </c>
      <c r="R274" s="2" t="inlineStr">
        <is>
          <t>Kolflarnlav</t>
        </is>
      </c>
      <c r="S274">
        <f>HYPERLINK("https://klasma.github.io/Logging_2481/artfynd/A 54858-2024 artfynd.xlsx", "A 54858-2024")</f>
        <v/>
      </c>
      <c r="T274">
        <f>HYPERLINK("https://klasma.github.io/Logging_2481/kartor/A 54858-2024 karta.png", "A 54858-2024")</f>
        <v/>
      </c>
      <c r="V274">
        <f>HYPERLINK("https://klasma.github.io/Logging_2481/klagomål/A 54858-2024 FSC-klagomål.docx", "A 54858-2024")</f>
        <v/>
      </c>
      <c r="W274">
        <f>HYPERLINK("https://klasma.github.io/Logging_2481/klagomålsmail/A 54858-2024 FSC-klagomål mail.docx", "A 54858-2024")</f>
        <v/>
      </c>
      <c r="X274">
        <f>HYPERLINK("https://klasma.github.io/Logging_2481/tillsyn/A 54858-2024 tillsynsbegäran.docx", "A 54858-2024")</f>
        <v/>
      </c>
      <c r="Y274">
        <f>HYPERLINK("https://klasma.github.io/Logging_2481/tillsynsmail/A 54858-2024 tillsynsbegäran mail.docx", "A 54858-2024")</f>
        <v/>
      </c>
    </row>
    <row r="275" ht="15" customHeight="1">
      <c r="A275" t="inlineStr">
        <is>
          <t>A 55566-2024</t>
        </is>
      </c>
      <c r="B275" s="1" t="n">
        <v>45622</v>
      </c>
      <c r="C275" s="1" t="n">
        <v>45849</v>
      </c>
      <c r="D275" t="inlineStr">
        <is>
          <t>VÄSTERBOTTENS LÄN</t>
        </is>
      </c>
      <c r="E275" t="inlineStr">
        <is>
          <t>LYCKSELE</t>
        </is>
      </c>
      <c r="F275" t="inlineStr">
        <is>
          <t>Sveaskog</t>
        </is>
      </c>
      <c r="G275" t="n">
        <v>1.8</v>
      </c>
      <c r="H275" t="n">
        <v>0</v>
      </c>
      <c r="I275" t="n">
        <v>0</v>
      </c>
      <c r="J275" t="n">
        <v>1</v>
      </c>
      <c r="K275" t="n">
        <v>0</v>
      </c>
      <c r="L275" t="n">
        <v>0</v>
      </c>
      <c r="M275" t="n">
        <v>0</v>
      </c>
      <c r="N275" t="n">
        <v>0</v>
      </c>
      <c r="O275" t="n">
        <v>1</v>
      </c>
      <c r="P275" t="n">
        <v>0</v>
      </c>
      <c r="Q275" t="n">
        <v>1</v>
      </c>
      <c r="R275" s="2" t="inlineStr">
        <is>
          <t>Harticka</t>
        </is>
      </c>
      <c r="S275">
        <f>HYPERLINK("https://klasma.github.io/Logging_2481/artfynd/A 55566-2024 artfynd.xlsx", "A 55566-2024")</f>
        <v/>
      </c>
      <c r="T275">
        <f>HYPERLINK("https://klasma.github.io/Logging_2481/kartor/A 55566-2024 karta.png", "A 55566-2024")</f>
        <v/>
      </c>
      <c r="V275">
        <f>HYPERLINK("https://klasma.github.io/Logging_2481/klagomål/A 55566-2024 FSC-klagomål.docx", "A 55566-2024")</f>
        <v/>
      </c>
      <c r="W275">
        <f>HYPERLINK("https://klasma.github.io/Logging_2481/klagomålsmail/A 55566-2024 FSC-klagomål mail.docx", "A 55566-2024")</f>
        <v/>
      </c>
      <c r="X275">
        <f>HYPERLINK("https://klasma.github.io/Logging_2481/tillsyn/A 55566-2024 tillsynsbegäran.docx", "A 55566-2024")</f>
        <v/>
      </c>
      <c r="Y275">
        <f>HYPERLINK("https://klasma.github.io/Logging_2481/tillsynsmail/A 55566-2024 tillsynsbegäran mail.docx", "A 55566-2024")</f>
        <v/>
      </c>
    </row>
    <row r="276" ht="15" customHeight="1">
      <c r="A276" t="inlineStr">
        <is>
          <t>A 56511-2024</t>
        </is>
      </c>
      <c r="B276" s="1" t="n">
        <v>45625</v>
      </c>
      <c r="C276" s="1" t="n">
        <v>45849</v>
      </c>
      <c r="D276" t="inlineStr">
        <is>
          <t>VÄSTERBOTTENS LÄN</t>
        </is>
      </c>
      <c r="E276" t="inlineStr">
        <is>
          <t>LYCKSELE</t>
        </is>
      </c>
      <c r="F276" t="inlineStr">
        <is>
          <t>Sveaskog</t>
        </is>
      </c>
      <c r="G276" t="n">
        <v>3.3</v>
      </c>
      <c r="H276" t="n">
        <v>0</v>
      </c>
      <c r="I276" t="n">
        <v>1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1</v>
      </c>
      <c r="R276" s="2" t="inlineStr">
        <is>
          <t>Dropptaggsvamp</t>
        </is>
      </c>
      <c r="S276">
        <f>HYPERLINK("https://klasma.github.io/Logging_2481/artfynd/A 56511-2024 artfynd.xlsx", "A 56511-2024")</f>
        <v/>
      </c>
      <c r="T276">
        <f>HYPERLINK("https://klasma.github.io/Logging_2481/kartor/A 56511-2024 karta.png", "A 56511-2024")</f>
        <v/>
      </c>
      <c r="V276">
        <f>HYPERLINK("https://klasma.github.io/Logging_2481/klagomål/A 56511-2024 FSC-klagomål.docx", "A 56511-2024")</f>
        <v/>
      </c>
      <c r="W276">
        <f>HYPERLINK("https://klasma.github.io/Logging_2481/klagomålsmail/A 56511-2024 FSC-klagomål mail.docx", "A 56511-2024")</f>
        <v/>
      </c>
      <c r="X276">
        <f>HYPERLINK("https://klasma.github.io/Logging_2481/tillsyn/A 56511-2024 tillsynsbegäran.docx", "A 56511-2024")</f>
        <v/>
      </c>
      <c r="Y276">
        <f>HYPERLINK("https://klasma.github.io/Logging_2481/tillsynsmail/A 56511-2024 tillsynsbegäran mail.docx", "A 56511-2024")</f>
        <v/>
      </c>
    </row>
    <row r="277" ht="15" customHeight="1">
      <c r="A277" t="inlineStr">
        <is>
          <t>A 57663-2024</t>
        </is>
      </c>
      <c r="B277" s="1" t="n">
        <v>45630</v>
      </c>
      <c r="C277" s="1" t="n">
        <v>45849</v>
      </c>
      <c r="D277" t="inlineStr">
        <is>
          <t>VÄSTERBOTTENS LÄN</t>
        </is>
      </c>
      <c r="E277" t="inlineStr">
        <is>
          <t>LYCKSELE</t>
        </is>
      </c>
      <c r="F277" t="inlineStr">
        <is>
          <t>Sveaskog</t>
        </is>
      </c>
      <c r="G277" t="n">
        <v>3.3</v>
      </c>
      <c r="H277" t="n">
        <v>0</v>
      </c>
      <c r="I277" t="n">
        <v>1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1</v>
      </c>
      <c r="R277" s="2" t="inlineStr">
        <is>
          <t>Dropptaggsvamp</t>
        </is>
      </c>
      <c r="S277">
        <f>HYPERLINK("https://klasma.github.io/Logging_2481/artfynd/A 57663-2024 artfynd.xlsx", "A 57663-2024")</f>
        <v/>
      </c>
      <c r="T277">
        <f>HYPERLINK("https://klasma.github.io/Logging_2481/kartor/A 57663-2024 karta.png", "A 57663-2024")</f>
        <v/>
      </c>
      <c r="V277">
        <f>HYPERLINK("https://klasma.github.io/Logging_2481/klagomål/A 57663-2024 FSC-klagomål.docx", "A 57663-2024")</f>
        <v/>
      </c>
      <c r="W277">
        <f>HYPERLINK("https://klasma.github.io/Logging_2481/klagomålsmail/A 57663-2024 FSC-klagomål mail.docx", "A 57663-2024")</f>
        <v/>
      </c>
      <c r="X277">
        <f>HYPERLINK("https://klasma.github.io/Logging_2481/tillsyn/A 57663-2024 tillsynsbegäran.docx", "A 57663-2024")</f>
        <v/>
      </c>
      <c r="Y277">
        <f>HYPERLINK("https://klasma.github.io/Logging_2481/tillsynsmail/A 57663-2024 tillsynsbegäran mail.docx", "A 57663-2024")</f>
        <v/>
      </c>
    </row>
    <row r="278" ht="15" customHeight="1">
      <c r="A278" t="inlineStr">
        <is>
          <t>A 59283-2024</t>
        </is>
      </c>
      <c r="B278" s="1" t="n">
        <v>45637</v>
      </c>
      <c r="C278" s="1" t="n">
        <v>45849</v>
      </c>
      <c r="D278" t="inlineStr">
        <is>
          <t>VÄSTERBOTTENS LÄN</t>
        </is>
      </c>
      <c r="E278" t="inlineStr">
        <is>
          <t>LYCKSELE</t>
        </is>
      </c>
      <c r="F278" t="inlineStr">
        <is>
          <t>Sveaskog</t>
        </is>
      </c>
      <c r="G278" t="n">
        <v>2</v>
      </c>
      <c r="H278" t="n">
        <v>0</v>
      </c>
      <c r="I278" t="n">
        <v>1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1</v>
      </c>
      <c r="R278" s="2" t="inlineStr">
        <is>
          <t>Dropptaggsvamp</t>
        </is>
      </c>
      <c r="S278">
        <f>HYPERLINK("https://klasma.github.io/Logging_2481/artfynd/A 59283-2024 artfynd.xlsx", "A 59283-2024")</f>
        <v/>
      </c>
      <c r="T278">
        <f>HYPERLINK("https://klasma.github.io/Logging_2481/kartor/A 59283-2024 karta.png", "A 59283-2024")</f>
        <v/>
      </c>
      <c r="V278">
        <f>HYPERLINK("https://klasma.github.io/Logging_2481/klagomål/A 59283-2024 FSC-klagomål.docx", "A 59283-2024")</f>
        <v/>
      </c>
      <c r="W278">
        <f>HYPERLINK("https://klasma.github.io/Logging_2481/klagomålsmail/A 59283-2024 FSC-klagomål mail.docx", "A 59283-2024")</f>
        <v/>
      </c>
      <c r="X278">
        <f>HYPERLINK("https://klasma.github.io/Logging_2481/tillsyn/A 59283-2024 tillsynsbegäran.docx", "A 59283-2024")</f>
        <v/>
      </c>
      <c r="Y278">
        <f>HYPERLINK("https://klasma.github.io/Logging_2481/tillsynsmail/A 59283-2024 tillsynsbegäran mail.docx", "A 59283-2024")</f>
        <v/>
      </c>
    </row>
    <row r="279" ht="15" customHeight="1">
      <c r="A279" t="inlineStr">
        <is>
          <t>A 59599-2024</t>
        </is>
      </c>
      <c r="B279" s="1" t="n">
        <v>45638</v>
      </c>
      <c r="C279" s="1" t="n">
        <v>45849</v>
      </c>
      <c r="D279" t="inlineStr">
        <is>
          <t>VÄSTERBOTTENS LÄN</t>
        </is>
      </c>
      <c r="E279" t="inlineStr">
        <is>
          <t>LYCKSELE</t>
        </is>
      </c>
      <c r="F279" t="inlineStr">
        <is>
          <t>Sveaskog</t>
        </is>
      </c>
      <c r="G279" t="n">
        <v>2.4</v>
      </c>
      <c r="H279" t="n">
        <v>0</v>
      </c>
      <c r="I279" t="n">
        <v>1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1</v>
      </c>
      <c r="R279" s="2" t="inlineStr">
        <is>
          <t>Dropptaggsvamp</t>
        </is>
      </c>
      <c r="S279">
        <f>HYPERLINK("https://klasma.github.io/Logging_2481/artfynd/A 59599-2024 artfynd.xlsx", "A 59599-2024")</f>
        <v/>
      </c>
      <c r="T279">
        <f>HYPERLINK("https://klasma.github.io/Logging_2481/kartor/A 59599-2024 karta.png", "A 59599-2024")</f>
        <v/>
      </c>
      <c r="V279">
        <f>HYPERLINK("https://klasma.github.io/Logging_2481/klagomål/A 59599-2024 FSC-klagomål.docx", "A 59599-2024")</f>
        <v/>
      </c>
      <c r="W279">
        <f>HYPERLINK("https://klasma.github.io/Logging_2481/klagomålsmail/A 59599-2024 FSC-klagomål mail.docx", "A 59599-2024")</f>
        <v/>
      </c>
      <c r="X279">
        <f>HYPERLINK("https://klasma.github.io/Logging_2481/tillsyn/A 59599-2024 tillsynsbegäran.docx", "A 59599-2024")</f>
        <v/>
      </c>
      <c r="Y279">
        <f>HYPERLINK("https://klasma.github.io/Logging_2481/tillsynsmail/A 59599-2024 tillsynsbegäran mail.docx", "A 59599-2024")</f>
        <v/>
      </c>
    </row>
    <row r="280" ht="15" customHeight="1">
      <c r="A280" t="inlineStr">
        <is>
          <t>A 61896-2024</t>
        </is>
      </c>
      <c r="B280" s="1" t="n">
        <v>45652</v>
      </c>
      <c r="C280" s="1" t="n">
        <v>45849</v>
      </c>
      <c r="D280" t="inlineStr">
        <is>
          <t>VÄSTERBOTTENS LÄN</t>
        </is>
      </c>
      <c r="E280" t="inlineStr">
        <is>
          <t>LYCKSELE</t>
        </is>
      </c>
      <c r="G280" t="n">
        <v>6.6</v>
      </c>
      <c r="H280" t="n">
        <v>0</v>
      </c>
      <c r="I280" t="n">
        <v>0</v>
      </c>
      <c r="J280" t="n">
        <v>1</v>
      </c>
      <c r="K280" t="n">
        <v>0</v>
      </c>
      <c r="L280" t="n">
        <v>0</v>
      </c>
      <c r="M280" t="n">
        <v>0</v>
      </c>
      <c r="N280" t="n">
        <v>0</v>
      </c>
      <c r="O280" t="n">
        <v>1</v>
      </c>
      <c r="P280" t="n">
        <v>0</v>
      </c>
      <c r="Q280" t="n">
        <v>1</v>
      </c>
      <c r="R280" s="2" t="inlineStr">
        <is>
          <t>Harticka</t>
        </is>
      </c>
      <c r="S280">
        <f>HYPERLINK("https://klasma.github.io/Logging_2481/artfynd/A 61896-2024 artfynd.xlsx", "A 61896-2024")</f>
        <v/>
      </c>
      <c r="T280">
        <f>HYPERLINK("https://klasma.github.io/Logging_2481/kartor/A 61896-2024 karta.png", "A 61896-2024")</f>
        <v/>
      </c>
      <c r="V280">
        <f>HYPERLINK("https://klasma.github.io/Logging_2481/klagomål/A 61896-2024 FSC-klagomål.docx", "A 61896-2024")</f>
        <v/>
      </c>
      <c r="W280">
        <f>HYPERLINK("https://klasma.github.io/Logging_2481/klagomålsmail/A 61896-2024 FSC-klagomål mail.docx", "A 61896-2024")</f>
        <v/>
      </c>
      <c r="X280">
        <f>HYPERLINK("https://klasma.github.io/Logging_2481/tillsyn/A 61896-2024 tillsynsbegäran.docx", "A 61896-2024")</f>
        <v/>
      </c>
      <c r="Y280">
        <f>HYPERLINK("https://klasma.github.io/Logging_2481/tillsynsmail/A 61896-2024 tillsynsbegäran mail.docx", "A 61896-2024")</f>
        <v/>
      </c>
    </row>
    <row r="281" ht="15" customHeight="1">
      <c r="A281" t="inlineStr">
        <is>
          <t>A 61910-2024</t>
        </is>
      </c>
      <c r="B281" s="1" t="n">
        <v>45653</v>
      </c>
      <c r="C281" s="1" t="n">
        <v>45849</v>
      </c>
      <c r="D281" t="inlineStr">
        <is>
          <t>VÄSTERBOTTENS LÄN</t>
        </is>
      </c>
      <c r="E281" t="inlineStr">
        <is>
          <t>LYCKSELE</t>
        </is>
      </c>
      <c r="G281" t="n">
        <v>5.8</v>
      </c>
      <c r="H281" t="n">
        <v>1</v>
      </c>
      <c r="I281" t="n">
        <v>0</v>
      </c>
      <c r="J281" t="n">
        <v>0</v>
      </c>
      <c r="K281" t="n">
        <v>1</v>
      </c>
      <c r="L281" t="n">
        <v>0</v>
      </c>
      <c r="M281" t="n">
        <v>0</v>
      </c>
      <c r="N281" t="n">
        <v>0</v>
      </c>
      <c r="O281" t="n">
        <v>1</v>
      </c>
      <c r="P281" t="n">
        <v>1</v>
      </c>
      <c r="Q281" t="n">
        <v>1</v>
      </c>
      <c r="R281" s="2" t="inlineStr">
        <is>
          <t>Norna</t>
        </is>
      </c>
      <c r="S281">
        <f>HYPERLINK("https://klasma.github.io/Logging_2481/artfynd/A 61910-2024 artfynd.xlsx", "A 61910-2024")</f>
        <v/>
      </c>
      <c r="T281">
        <f>HYPERLINK("https://klasma.github.io/Logging_2481/kartor/A 61910-2024 karta.png", "A 61910-2024")</f>
        <v/>
      </c>
      <c r="V281">
        <f>HYPERLINK("https://klasma.github.io/Logging_2481/klagomål/A 61910-2024 FSC-klagomål.docx", "A 61910-2024")</f>
        <v/>
      </c>
      <c r="W281">
        <f>HYPERLINK("https://klasma.github.io/Logging_2481/klagomålsmail/A 61910-2024 FSC-klagomål mail.docx", "A 61910-2024")</f>
        <v/>
      </c>
      <c r="X281">
        <f>HYPERLINK("https://klasma.github.io/Logging_2481/tillsyn/A 61910-2024 tillsynsbegäran.docx", "A 61910-2024")</f>
        <v/>
      </c>
      <c r="Y281">
        <f>HYPERLINK("https://klasma.github.io/Logging_2481/tillsynsmail/A 61910-2024 tillsynsbegäran mail.docx", "A 61910-2024")</f>
        <v/>
      </c>
    </row>
    <row r="282" ht="15" customHeight="1">
      <c r="A282" t="inlineStr">
        <is>
          <t>A 219-2025</t>
        </is>
      </c>
      <c r="B282" s="1" t="n">
        <v>45660</v>
      </c>
      <c r="C282" s="1" t="n">
        <v>45849</v>
      </c>
      <c r="D282" t="inlineStr">
        <is>
          <t>VÄSTERBOTTENS LÄN</t>
        </is>
      </c>
      <c r="E282" t="inlineStr">
        <is>
          <t>LYCKSELE</t>
        </is>
      </c>
      <c r="F282" t="inlineStr">
        <is>
          <t>Sveaskog</t>
        </is>
      </c>
      <c r="G282" t="n">
        <v>2</v>
      </c>
      <c r="H282" t="n">
        <v>0</v>
      </c>
      <c r="I282" t="n">
        <v>1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1</v>
      </c>
      <c r="R282" s="2" t="inlineStr">
        <is>
          <t>Dropptaggsvamp</t>
        </is>
      </c>
      <c r="S282">
        <f>HYPERLINK("https://klasma.github.io/Logging_2481/artfynd/A 219-2025 artfynd.xlsx", "A 219-2025")</f>
        <v/>
      </c>
      <c r="T282">
        <f>HYPERLINK("https://klasma.github.io/Logging_2481/kartor/A 219-2025 karta.png", "A 219-2025")</f>
        <v/>
      </c>
      <c r="V282">
        <f>HYPERLINK("https://klasma.github.io/Logging_2481/klagomål/A 219-2025 FSC-klagomål.docx", "A 219-2025")</f>
        <v/>
      </c>
      <c r="W282">
        <f>HYPERLINK("https://klasma.github.io/Logging_2481/klagomålsmail/A 219-2025 FSC-klagomål mail.docx", "A 219-2025")</f>
        <v/>
      </c>
      <c r="X282">
        <f>HYPERLINK("https://klasma.github.io/Logging_2481/tillsyn/A 219-2025 tillsynsbegäran.docx", "A 219-2025")</f>
        <v/>
      </c>
      <c r="Y282">
        <f>HYPERLINK("https://klasma.github.io/Logging_2481/tillsynsmail/A 219-2025 tillsynsbegäran mail.docx", "A 219-2025")</f>
        <v/>
      </c>
    </row>
    <row r="283" ht="15" customHeight="1">
      <c r="A283" t="inlineStr">
        <is>
          <t>A 742-2025</t>
        </is>
      </c>
      <c r="B283" s="1" t="n">
        <v>45665</v>
      </c>
      <c r="C283" s="1" t="n">
        <v>45849</v>
      </c>
      <c r="D283" t="inlineStr">
        <is>
          <t>VÄSTERBOTTENS LÄN</t>
        </is>
      </c>
      <c r="E283" t="inlineStr">
        <is>
          <t>LYCKSELE</t>
        </is>
      </c>
      <c r="F283" t="inlineStr">
        <is>
          <t>Holmen skog AB</t>
        </is>
      </c>
      <c r="G283" t="n">
        <v>5.6</v>
      </c>
      <c r="H283" t="n">
        <v>1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1</v>
      </c>
      <c r="R283" s="2" t="inlineStr">
        <is>
          <t>Fläcknycklar</t>
        </is>
      </c>
      <c r="S283">
        <f>HYPERLINK("https://klasma.github.io/Logging_2481/artfynd/A 742-2025 artfynd.xlsx", "A 742-2025")</f>
        <v/>
      </c>
      <c r="T283">
        <f>HYPERLINK("https://klasma.github.io/Logging_2481/kartor/A 742-2025 karta.png", "A 742-2025")</f>
        <v/>
      </c>
      <c r="V283">
        <f>HYPERLINK("https://klasma.github.io/Logging_2481/klagomål/A 742-2025 FSC-klagomål.docx", "A 742-2025")</f>
        <v/>
      </c>
      <c r="W283">
        <f>HYPERLINK("https://klasma.github.io/Logging_2481/klagomålsmail/A 742-2025 FSC-klagomål mail.docx", "A 742-2025")</f>
        <v/>
      </c>
      <c r="X283">
        <f>HYPERLINK("https://klasma.github.io/Logging_2481/tillsyn/A 742-2025 tillsynsbegäran.docx", "A 742-2025")</f>
        <v/>
      </c>
      <c r="Y283">
        <f>HYPERLINK("https://klasma.github.io/Logging_2481/tillsynsmail/A 742-2025 tillsynsbegäran mail.docx", "A 742-2025")</f>
        <v/>
      </c>
    </row>
    <row r="284" ht="15" customHeight="1">
      <c r="A284" t="inlineStr">
        <is>
          <t>A 5683-2025</t>
        </is>
      </c>
      <c r="B284" s="1" t="n">
        <v>45694</v>
      </c>
      <c r="C284" s="1" t="n">
        <v>45849</v>
      </c>
      <c r="D284" t="inlineStr">
        <is>
          <t>VÄSTERBOTTENS LÄN</t>
        </is>
      </c>
      <c r="E284" t="inlineStr">
        <is>
          <t>LYCKSELE</t>
        </is>
      </c>
      <c r="G284" t="n">
        <v>4.4</v>
      </c>
      <c r="H284" t="n">
        <v>0</v>
      </c>
      <c r="I284" t="n">
        <v>0</v>
      </c>
      <c r="J284" t="n">
        <v>1</v>
      </c>
      <c r="K284" t="n">
        <v>0</v>
      </c>
      <c r="L284" t="n">
        <v>0</v>
      </c>
      <c r="M284" t="n">
        <v>0</v>
      </c>
      <c r="N284" t="n">
        <v>0</v>
      </c>
      <c r="O284" t="n">
        <v>1</v>
      </c>
      <c r="P284" t="n">
        <v>0</v>
      </c>
      <c r="Q284" t="n">
        <v>1</v>
      </c>
      <c r="R284" s="2" t="inlineStr">
        <is>
          <t>Vitgrynig nållav</t>
        </is>
      </c>
      <c r="S284">
        <f>HYPERLINK("https://klasma.github.io/Logging_2481/artfynd/A 5683-2025 artfynd.xlsx", "A 5683-2025")</f>
        <v/>
      </c>
      <c r="T284">
        <f>HYPERLINK("https://klasma.github.io/Logging_2481/kartor/A 5683-2025 karta.png", "A 5683-2025")</f>
        <v/>
      </c>
      <c r="V284">
        <f>HYPERLINK("https://klasma.github.io/Logging_2481/klagomål/A 5683-2025 FSC-klagomål.docx", "A 5683-2025")</f>
        <v/>
      </c>
      <c r="W284">
        <f>HYPERLINK("https://klasma.github.io/Logging_2481/klagomålsmail/A 5683-2025 FSC-klagomål mail.docx", "A 5683-2025")</f>
        <v/>
      </c>
      <c r="X284">
        <f>HYPERLINK("https://klasma.github.io/Logging_2481/tillsyn/A 5683-2025 tillsynsbegäran.docx", "A 5683-2025")</f>
        <v/>
      </c>
      <c r="Y284">
        <f>HYPERLINK("https://klasma.github.io/Logging_2481/tillsynsmail/A 5683-2025 tillsynsbegäran mail.docx", "A 5683-2025")</f>
        <v/>
      </c>
    </row>
    <row r="285" ht="15" customHeight="1">
      <c r="A285" t="inlineStr">
        <is>
          <t>A 20929-2025</t>
        </is>
      </c>
      <c r="B285" s="1" t="n">
        <v>45777</v>
      </c>
      <c r="C285" s="1" t="n">
        <v>45849</v>
      </c>
      <c r="D285" t="inlineStr">
        <is>
          <t>VÄSTERBOTTENS LÄN</t>
        </is>
      </c>
      <c r="E285" t="inlineStr">
        <is>
          <t>LYCKSELE</t>
        </is>
      </c>
      <c r="F285" t="inlineStr">
        <is>
          <t>Sveaskog</t>
        </is>
      </c>
      <c r="G285" t="n">
        <v>3</v>
      </c>
      <c r="H285" t="n">
        <v>0</v>
      </c>
      <c r="I285" t="n">
        <v>1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1</v>
      </c>
      <c r="R285" s="2" t="inlineStr">
        <is>
          <t>Dropptaggsvamp</t>
        </is>
      </c>
      <c r="S285">
        <f>HYPERLINK("https://klasma.github.io/Logging_242481/artfynd/A 20929-2025 artfynd.xlsx", "A 20929-2025")</f>
        <v/>
      </c>
      <c r="T285">
        <f>HYPERLINK("https://klasma.github.io/Logging_242481/kartor/A 20929-2025 karta.png", "A 20929-2025")</f>
        <v/>
      </c>
      <c r="V285">
        <f>HYPERLINK("https://klasma.github.io/Logging_242481/klagomål/A 20929-2025 FSC-klagomål.docx", "A 20929-2025")</f>
        <v/>
      </c>
      <c r="W285">
        <f>HYPERLINK("https://klasma.github.io/Logging_242481/klagomålsmail/A 20929-2025 FSC-klagomål mail.docx", "A 20929-2025")</f>
        <v/>
      </c>
      <c r="X285">
        <f>HYPERLINK("https://klasma.github.io/Logging_242481/tillsyn/A 20929-2025 tillsynsbegäran.docx", "A 20929-2025")</f>
        <v/>
      </c>
      <c r="Y285">
        <f>HYPERLINK("https://klasma.github.io/Logging_242481/tillsynsmail/A 20929-2025 tillsynsbegäran mail.docx", "A 20929-2025")</f>
        <v/>
      </c>
    </row>
    <row r="286" ht="15" customHeight="1">
      <c r="A286" t="inlineStr">
        <is>
          <t>A 20940-2025</t>
        </is>
      </c>
      <c r="B286" s="1" t="n">
        <v>45777</v>
      </c>
      <c r="C286" s="1" t="n">
        <v>45849</v>
      </c>
      <c r="D286" t="inlineStr">
        <is>
          <t>VÄSTERBOTTENS LÄN</t>
        </is>
      </c>
      <c r="E286" t="inlineStr">
        <is>
          <t>LYCKSELE</t>
        </is>
      </c>
      <c r="F286" t="inlineStr">
        <is>
          <t>Sveaskog</t>
        </is>
      </c>
      <c r="G286" t="n">
        <v>3</v>
      </c>
      <c r="H286" t="n">
        <v>0</v>
      </c>
      <c r="I286" t="n">
        <v>1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1</v>
      </c>
      <c r="R286" s="2" t="inlineStr">
        <is>
          <t>Dropptaggsvamp</t>
        </is>
      </c>
      <c r="S286">
        <f>HYPERLINK("https://klasma.github.io/Logging_242481/artfynd/A 20940-2025 artfynd.xlsx", "A 20940-2025")</f>
        <v/>
      </c>
      <c r="T286">
        <f>HYPERLINK("https://klasma.github.io/Logging_242481/kartor/A 20940-2025 karta.png", "A 20940-2025")</f>
        <v/>
      </c>
      <c r="V286">
        <f>HYPERLINK("https://klasma.github.io/Logging_242481/klagomål/A 20940-2025 FSC-klagomål.docx", "A 20940-2025")</f>
        <v/>
      </c>
      <c r="W286">
        <f>HYPERLINK("https://klasma.github.io/Logging_242481/klagomålsmail/A 20940-2025 FSC-klagomål mail.docx", "A 20940-2025")</f>
        <v/>
      </c>
      <c r="X286">
        <f>HYPERLINK("https://klasma.github.io/Logging_242481/tillsyn/A 20940-2025 tillsynsbegäran.docx", "A 20940-2025")</f>
        <v/>
      </c>
      <c r="Y286">
        <f>HYPERLINK("https://klasma.github.io/Logging_242481/tillsynsmail/A 20940-2025 tillsynsbegäran mail.docx", "A 20940-2025")</f>
        <v/>
      </c>
    </row>
    <row r="287" ht="15" customHeight="1">
      <c r="A287" t="inlineStr">
        <is>
          <t>A 22373-2025</t>
        </is>
      </c>
      <c r="B287" s="1" t="n">
        <v>45786</v>
      </c>
      <c r="C287" s="1" t="n">
        <v>45849</v>
      </c>
      <c r="D287" t="inlineStr">
        <is>
          <t>VÄSTERBOTTENS LÄN</t>
        </is>
      </c>
      <c r="E287" t="inlineStr">
        <is>
          <t>LYCKSELE</t>
        </is>
      </c>
      <c r="F287" t="inlineStr">
        <is>
          <t>Holmen skog AB</t>
        </is>
      </c>
      <c r="G287" t="n">
        <v>5</v>
      </c>
      <c r="H287" t="n">
        <v>0</v>
      </c>
      <c r="I287" t="n">
        <v>0</v>
      </c>
      <c r="J287" t="n">
        <v>1</v>
      </c>
      <c r="K287" t="n">
        <v>0</v>
      </c>
      <c r="L287" t="n">
        <v>0</v>
      </c>
      <c r="M287" t="n">
        <v>0</v>
      </c>
      <c r="N287" t="n">
        <v>0</v>
      </c>
      <c r="O287" t="n">
        <v>1</v>
      </c>
      <c r="P287" t="n">
        <v>0</v>
      </c>
      <c r="Q287" t="n">
        <v>1</v>
      </c>
      <c r="R287" s="2" t="inlineStr">
        <is>
          <t>Garnlav</t>
        </is>
      </c>
      <c r="S287">
        <f>HYPERLINK("https://klasma.github.io/Logging_242481/artfynd/A 22373-2025 artfynd.xlsx", "A 22373-2025")</f>
        <v/>
      </c>
      <c r="T287">
        <f>HYPERLINK("https://klasma.github.io/Logging_242481/kartor/A 22373-2025 karta.png", "A 22373-2025")</f>
        <v/>
      </c>
      <c r="V287">
        <f>HYPERLINK("https://klasma.github.io/Logging_242481/klagomål/A 22373-2025 FSC-klagomål.docx", "A 22373-2025")</f>
        <v/>
      </c>
      <c r="W287">
        <f>HYPERLINK("https://klasma.github.io/Logging_242481/klagomålsmail/A 22373-2025 FSC-klagomål mail.docx", "A 22373-2025")</f>
        <v/>
      </c>
      <c r="X287">
        <f>HYPERLINK("https://klasma.github.io/Logging_242481/tillsyn/A 22373-2025 tillsynsbegäran.docx", "A 22373-2025")</f>
        <v/>
      </c>
      <c r="Y287">
        <f>HYPERLINK("https://klasma.github.io/Logging_242481/tillsynsmail/A 22373-2025 tillsynsbegäran mail.docx", "A 22373-2025")</f>
        <v/>
      </c>
    </row>
    <row r="288" ht="15" customHeight="1">
      <c r="A288" t="inlineStr">
        <is>
          <t>A 23278-2025</t>
        </is>
      </c>
      <c r="B288" s="1" t="n">
        <v>45791</v>
      </c>
      <c r="C288" s="1" t="n">
        <v>45849</v>
      </c>
      <c r="D288" t="inlineStr">
        <is>
          <t>VÄSTERBOTTENS LÄN</t>
        </is>
      </c>
      <c r="E288" t="inlineStr">
        <is>
          <t>LYCKSELE</t>
        </is>
      </c>
      <c r="F288" t="inlineStr">
        <is>
          <t>Sveaskog</t>
        </is>
      </c>
      <c r="G288" t="n">
        <v>7.4</v>
      </c>
      <c r="H288" t="n">
        <v>0</v>
      </c>
      <c r="I288" t="n">
        <v>0</v>
      </c>
      <c r="J288" t="n">
        <v>1</v>
      </c>
      <c r="K288" t="n">
        <v>0</v>
      </c>
      <c r="L288" t="n">
        <v>0</v>
      </c>
      <c r="M288" t="n">
        <v>0</v>
      </c>
      <c r="N288" t="n">
        <v>0</v>
      </c>
      <c r="O288" t="n">
        <v>1</v>
      </c>
      <c r="P288" t="n">
        <v>0</v>
      </c>
      <c r="Q288" t="n">
        <v>1</v>
      </c>
      <c r="R288" s="2" t="inlineStr">
        <is>
          <t>Lunglav</t>
        </is>
      </c>
      <c r="S288">
        <f>HYPERLINK("https://klasma.github.io/Logging_242481/artfynd/A 23278-2025 artfynd.xlsx", "A 23278-2025")</f>
        <v/>
      </c>
      <c r="T288">
        <f>HYPERLINK("https://klasma.github.io/Logging_242481/kartor/A 23278-2025 karta.png", "A 23278-2025")</f>
        <v/>
      </c>
      <c r="V288">
        <f>HYPERLINK("https://klasma.github.io/Logging_242481/klagomål/A 23278-2025 FSC-klagomål.docx", "A 23278-2025")</f>
        <v/>
      </c>
      <c r="W288">
        <f>HYPERLINK("https://klasma.github.io/Logging_242481/klagomålsmail/A 23278-2025 FSC-klagomål mail.docx", "A 23278-2025")</f>
        <v/>
      </c>
      <c r="X288">
        <f>HYPERLINK("https://klasma.github.io/Logging_242481/tillsyn/A 23278-2025 tillsynsbegäran.docx", "A 23278-2025")</f>
        <v/>
      </c>
      <c r="Y288">
        <f>HYPERLINK("https://klasma.github.io/Logging_242481/tillsynsmail/A 23278-2025 tillsynsbegäran mail.docx", "A 23278-2025")</f>
        <v/>
      </c>
    </row>
    <row r="289" ht="15" customHeight="1">
      <c r="A289" t="inlineStr">
        <is>
          <t>A 23314-2025</t>
        </is>
      </c>
      <c r="B289" s="1" t="n">
        <v>45791</v>
      </c>
      <c r="C289" s="1" t="n">
        <v>45849</v>
      </c>
      <c r="D289" t="inlineStr">
        <is>
          <t>VÄSTERBOTTENS LÄN</t>
        </is>
      </c>
      <c r="E289" t="inlineStr">
        <is>
          <t>LYCKSELE</t>
        </is>
      </c>
      <c r="F289" t="inlineStr">
        <is>
          <t>Sveaskog</t>
        </is>
      </c>
      <c r="G289" t="n">
        <v>1.7</v>
      </c>
      <c r="H289" t="n">
        <v>0</v>
      </c>
      <c r="I289" t="n">
        <v>0</v>
      </c>
      <c r="J289" t="n">
        <v>1</v>
      </c>
      <c r="K289" t="n">
        <v>0</v>
      </c>
      <c r="L289" t="n">
        <v>0</v>
      </c>
      <c r="M289" t="n">
        <v>0</v>
      </c>
      <c r="N289" t="n">
        <v>0</v>
      </c>
      <c r="O289" t="n">
        <v>1</v>
      </c>
      <c r="P289" t="n">
        <v>0</v>
      </c>
      <c r="Q289" t="n">
        <v>1</v>
      </c>
      <c r="R289" s="2" t="inlineStr">
        <is>
          <t>Orange taggsvamp</t>
        </is>
      </c>
      <c r="S289">
        <f>HYPERLINK("https://klasma.github.io/Logging_242481/artfynd/A 23314-2025 artfynd.xlsx", "A 23314-2025")</f>
        <v/>
      </c>
      <c r="T289">
        <f>HYPERLINK("https://klasma.github.io/Logging_242481/kartor/A 23314-2025 karta.png", "A 23314-2025")</f>
        <v/>
      </c>
      <c r="V289">
        <f>HYPERLINK("https://klasma.github.io/Logging_242481/klagomål/A 23314-2025 FSC-klagomål.docx", "A 23314-2025")</f>
        <v/>
      </c>
      <c r="W289">
        <f>HYPERLINK("https://klasma.github.io/Logging_242481/klagomålsmail/A 23314-2025 FSC-klagomål mail.docx", "A 23314-2025")</f>
        <v/>
      </c>
      <c r="X289">
        <f>HYPERLINK("https://klasma.github.io/Logging_242481/tillsyn/A 23314-2025 tillsynsbegäran.docx", "A 23314-2025")</f>
        <v/>
      </c>
      <c r="Y289">
        <f>HYPERLINK("https://klasma.github.io/Logging_242481/tillsynsmail/A 23314-2025 tillsynsbegäran mail.docx", "A 23314-2025")</f>
        <v/>
      </c>
    </row>
    <row r="290" ht="15" customHeight="1">
      <c r="A290" t="inlineStr">
        <is>
          <t>A 24515-2025</t>
        </is>
      </c>
      <c r="B290" s="1" t="n">
        <v>45798</v>
      </c>
      <c r="C290" s="1" t="n">
        <v>45849</v>
      </c>
      <c r="D290" t="inlineStr">
        <is>
          <t>VÄSTERBOTTENS LÄN</t>
        </is>
      </c>
      <c r="E290" t="inlineStr">
        <is>
          <t>LYCKSELE</t>
        </is>
      </c>
      <c r="F290" t="inlineStr">
        <is>
          <t>Sveaskog</t>
        </is>
      </c>
      <c r="G290" t="n">
        <v>9.9</v>
      </c>
      <c r="H290" t="n">
        <v>1</v>
      </c>
      <c r="I290" t="n">
        <v>0</v>
      </c>
      <c r="J290" t="n">
        <v>1</v>
      </c>
      <c r="K290" t="n">
        <v>0</v>
      </c>
      <c r="L290" t="n">
        <v>0</v>
      </c>
      <c r="M290" t="n">
        <v>0</v>
      </c>
      <c r="N290" t="n">
        <v>0</v>
      </c>
      <c r="O290" t="n">
        <v>1</v>
      </c>
      <c r="P290" t="n">
        <v>0</v>
      </c>
      <c r="Q290" t="n">
        <v>1</v>
      </c>
      <c r="R290" s="2" t="inlineStr">
        <is>
          <t>Talltita</t>
        </is>
      </c>
      <c r="S290">
        <f>HYPERLINK("https://klasma.github.io/Logging_242481/artfynd/A 24515-2025 artfynd.xlsx", "A 24515-2025")</f>
        <v/>
      </c>
      <c r="T290">
        <f>HYPERLINK("https://klasma.github.io/Logging_242481/kartor/A 24515-2025 karta.png", "A 24515-2025")</f>
        <v/>
      </c>
      <c r="V290">
        <f>HYPERLINK("https://klasma.github.io/Logging_242481/klagomål/A 24515-2025 FSC-klagomål.docx", "A 24515-2025")</f>
        <v/>
      </c>
      <c r="W290">
        <f>HYPERLINK("https://klasma.github.io/Logging_242481/klagomålsmail/A 24515-2025 FSC-klagomål mail.docx", "A 24515-2025")</f>
        <v/>
      </c>
      <c r="X290">
        <f>HYPERLINK("https://klasma.github.io/Logging_242481/tillsyn/A 24515-2025 tillsynsbegäran.docx", "A 24515-2025")</f>
        <v/>
      </c>
      <c r="Y290">
        <f>HYPERLINK("https://klasma.github.io/Logging_242481/tillsynsmail/A 24515-2025 tillsynsbegäran mail.docx", "A 24515-2025")</f>
        <v/>
      </c>
      <c r="Z290">
        <f>HYPERLINK("https://klasma.github.io/Logging_242481/fåglar/A 24515-2025 prioriterade fågelarter.docx", "A 24515-2025")</f>
        <v/>
      </c>
    </row>
    <row r="291" ht="15" customHeight="1">
      <c r="A291" t="inlineStr">
        <is>
          <t>A 28307-2025</t>
        </is>
      </c>
      <c r="B291" s="1" t="n">
        <v>45818</v>
      </c>
      <c r="C291" s="1" t="n">
        <v>45849</v>
      </c>
      <c r="D291" t="inlineStr">
        <is>
          <t>VÄSTERBOTTENS LÄN</t>
        </is>
      </c>
      <c r="E291" t="inlineStr">
        <is>
          <t>LYCKSELE</t>
        </is>
      </c>
      <c r="F291" t="inlineStr">
        <is>
          <t>Sveaskog</t>
        </is>
      </c>
      <c r="G291" t="n">
        <v>3.6</v>
      </c>
      <c r="H291" t="n">
        <v>0</v>
      </c>
      <c r="I291" t="n">
        <v>0</v>
      </c>
      <c r="J291" t="n">
        <v>1</v>
      </c>
      <c r="K291" t="n">
        <v>0</v>
      </c>
      <c r="L291" t="n">
        <v>0</v>
      </c>
      <c r="M291" t="n">
        <v>0</v>
      </c>
      <c r="N291" t="n">
        <v>0</v>
      </c>
      <c r="O291" t="n">
        <v>1</v>
      </c>
      <c r="P291" t="n">
        <v>0</v>
      </c>
      <c r="Q291" t="n">
        <v>1</v>
      </c>
      <c r="R291" s="2" t="inlineStr">
        <is>
          <t>Lunglav</t>
        </is>
      </c>
      <c r="S291">
        <f>HYPERLINK("https://klasma.github.io/Logging_242481/artfynd/A 28307-2025 artfynd.xlsx", "A 28307-2025")</f>
        <v/>
      </c>
      <c r="T291">
        <f>HYPERLINK("https://klasma.github.io/Logging_242481/kartor/A 28307-2025 karta.png", "A 28307-2025")</f>
        <v/>
      </c>
      <c r="V291">
        <f>HYPERLINK("https://klasma.github.io/Logging_242481/klagomål/A 28307-2025 FSC-klagomål.docx", "A 28307-2025")</f>
        <v/>
      </c>
      <c r="W291">
        <f>HYPERLINK("https://klasma.github.io/Logging_242481/klagomålsmail/A 28307-2025 FSC-klagomål mail.docx", "A 28307-2025")</f>
        <v/>
      </c>
      <c r="X291">
        <f>HYPERLINK("https://klasma.github.io/Logging_242481/tillsyn/A 28307-2025 tillsynsbegäran.docx", "A 28307-2025")</f>
        <v/>
      </c>
      <c r="Y291">
        <f>HYPERLINK("https://klasma.github.io/Logging_242481/tillsynsmail/A 28307-2025 tillsynsbegäran mail.docx", "A 28307-2025")</f>
        <v/>
      </c>
    </row>
    <row r="292" ht="15" customHeight="1">
      <c r="A292" t="inlineStr">
        <is>
          <t>A 28829-2025</t>
        </is>
      </c>
      <c r="B292" s="1" t="n">
        <v>45820</v>
      </c>
      <c r="C292" s="1" t="n">
        <v>45849</v>
      </c>
      <c r="D292" t="inlineStr">
        <is>
          <t>VÄSTERBOTTENS LÄN</t>
        </is>
      </c>
      <c r="E292" t="inlineStr">
        <is>
          <t>LYCKSELE</t>
        </is>
      </c>
      <c r="F292" t="inlineStr">
        <is>
          <t>Sveaskog</t>
        </is>
      </c>
      <c r="G292" t="n">
        <v>9.9</v>
      </c>
      <c r="H292" t="n">
        <v>0</v>
      </c>
      <c r="I292" t="n">
        <v>1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1</v>
      </c>
      <c r="R292" s="2" t="inlineStr">
        <is>
          <t>Skarp dropptaggsvamp</t>
        </is>
      </c>
      <c r="S292">
        <f>HYPERLINK("https://klasma.github.io/Logging_242481/artfynd/A 28829-2025 artfynd.xlsx", "A 28829-2025")</f>
        <v/>
      </c>
      <c r="T292">
        <f>HYPERLINK("https://klasma.github.io/Logging_242481/kartor/A 28829-2025 karta.png", "A 28829-2025")</f>
        <v/>
      </c>
      <c r="V292">
        <f>HYPERLINK("https://klasma.github.io/Logging_242481/klagomål/A 28829-2025 FSC-klagomål.docx", "A 28829-2025")</f>
        <v/>
      </c>
      <c r="W292">
        <f>HYPERLINK("https://klasma.github.io/Logging_242481/klagomålsmail/A 28829-2025 FSC-klagomål mail.docx", "A 28829-2025")</f>
        <v/>
      </c>
      <c r="X292">
        <f>HYPERLINK("https://klasma.github.io/Logging_242481/tillsyn/A 28829-2025 tillsynsbegäran.docx", "A 28829-2025")</f>
        <v/>
      </c>
      <c r="Y292">
        <f>HYPERLINK("https://klasma.github.io/Logging_242481/tillsynsmail/A 28829-2025 tillsynsbegäran mail.docx", "A 28829-2025")</f>
        <v/>
      </c>
    </row>
    <row r="293" ht="15" customHeight="1">
      <c r="A293" t="inlineStr">
        <is>
          <t>A 30664-2025</t>
        </is>
      </c>
      <c r="B293" s="1" t="n">
        <v>45831</v>
      </c>
      <c r="C293" s="1" t="n">
        <v>45849</v>
      </c>
      <c r="D293" t="inlineStr">
        <is>
          <t>VÄSTERBOTTENS LÄN</t>
        </is>
      </c>
      <c r="E293" t="inlineStr">
        <is>
          <t>LYCKSELE</t>
        </is>
      </c>
      <c r="F293" t="inlineStr">
        <is>
          <t>Sveaskog</t>
        </is>
      </c>
      <c r="G293" t="n">
        <v>7.1</v>
      </c>
      <c r="H293" t="n">
        <v>0</v>
      </c>
      <c r="I293" t="n">
        <v>0</v>
      </c>
      <c r="J293" t="n">
        <v>1</v>
      </c>
      <c r="K293" t="n">
        <v>0</v>
      </c>
      <c r="L293" t="n">
        <v>0</v>
      </c>
      <c r="M293" t="n">
        <v>0</v>
      </c>
      <c r="N293" t="n">
        <v>0</v>
      </c>
      <c r="O293" t="n">
        <v>1</v>
      </c>
      <c r="P293" t="n">
        <v>0</v>
      </c>
      <c r="Q293" t="n">
        <v>1</v>
      </c>
      <c r="R293" s="2" t="inlineStr">
        <is>
          <t>Blå taggsvamp</t>
        </is>
      </c>
      <c r="S293">
        <f>HYPERLINK("https://klasma.github.io/Logging_242481/artfynd/A 30664-2025 artfynd.xlsx", "A 30664-2025")</f>
        <v/>
      </c>
      <c r="T293">
        <f>HYPERLINK("https://klasma.github.io/Logging_242481/kartor/A 30664-2025 karta.png", "A 30664-2025")</f>
        <v/>
      </c>
      <c r="V293">
        <f>HYPERLINK("https://klasma.github.io/Logging_242481/klagomål/A 30664-2025 FSC-klagomål.docx", "A 30664-2025")</f>
        <v/>
      </c>
      <c r="W293">
        <f>HYPERLINK("https://klasma.github.io/Logging_242481/klagomålsmail/A 30664-2025 FSC-klagomål mail.docx", "A 30664-2025")</f>
        <v/>
      </c>
      <c r="X293">
        <f>HYPERLINK("https://klasma.github.io/Logging_242481/tillsyn/A 30664-2025 tillsynsbegäran.docx", "A 30664-2025")</f>
        <v/>
      </c>
      <c r="Y293">
        <f>HYPERLINK("https://klasma.github.io/Logging_242481/tillsynsmail/A 30664-2025 tillsynsbegäran mail.docx", "A 30664-2025")</f>
        <v/>
      </c>
    </row>
    <row r="294" ht="15" customHeight="1">
      <c r="A294" t="inlineStr">
        <is>
          <t>A 30608-2025</t>
        </is>
      </c>
      <c r="B294" s="1" t="n">
        <v>45831</v>
      </c>
      <c r="C294" s="1" t="n">
        <v>45849</v>
      </c>
      <c r="D294" t="inlineStr">
        <is>
          <t>VÄSTERBOTTENS LÄN</t>
        </is>
      </c>
      <c r="E294" t="inlineStr">
        <is>
          <t>LYCKSELE</t>
        </is>
      </c>
      <c r="F294" t="inlineStr">
        <is>
          <t>Holmen skog AB</t>
        </is>
      </c>
      <c r="G294" t="n">
        <v>3.2</v>
      </c>
      <c r="H294" t="n">
        <v>0</v>
      </c>
      <c r="I294" t="n">
        <v>0</v>
      </c>
      <c r="J294" t="n">
        <v>1</v>
      </c>
      <c r="K294" t="n">
        <v>0</v>
      </c>
      <c r="L294" t="n">
        <v>0</v>
      </c>
      <c r="M294" t="n">
        <v>0</v>
      </c>
      <c r="N294" t="n">
        <v>0</v>
      </c>
      <c r="O294" t="n">
        <v>1</v>
      </c>
      <c r="P294" t="n">
        <v>0</v>
      </c>
      <c r="Q294" t="n">
        <v>1</v>
      </c>
      <c r="R294" s="2" t="inlineStr">
        <is>
          <t>Lunglav</t>
        </is>
      </c>
      <c r="S294">
        <f>HYPERLINK("https://klasma.github.io/Logging_242481/artfynd/A 30608-2025 artfynd.xlsx", "A 30608-2025")</f>
        <v/>
      </c>
      <c r="T294">
        <f>HYPERLINK("https://klasma.github.io/Logging_242481/kartor/A 30608-2025 karta.png", "A 30608-2025")</f>
        <v/>
      </c>
      <c r="V294">
        <f>HYPERLINK("https://klasma.github.io/Logging_242481/klagomål/A 30608-2025 FSC-klagomål.docx", "A 30608-2025")</f>
        <v/>
      </c>
      <c r="W294">
        <f>HYPERLINK("https://klasma.github.io/Logging_242481/klagomålsmail/A 30608-2025 FSC-klagomål mail.docx", "A 30608-2025")</f>
        <v/>
      </c>
      <c r="X294">
        <f>HYPERLINK("https://klasma.github.io/Logging_242481/tillsyn/A 30608-2025 tillsynsbegäran.docx", "A 30608-2025")</f>
        <v/>
      </c>
      <c r="Y294">
        <f>HYPERLINK("https://klasma.github.io/Logging_242481/tillsynsmail/A 30608-2025 tillsynsbegäran mail.docx", "A 30608-2025")</f>
        <v/>
      </c>
    </row>
    <row r="295" ht="15" customHeight="1">
      <c r="A295" t="inlineStr">
        <is>
          <t>A 30691-2025</t>
        </is>
      </c>
      <c r="B295" s="1" t="n">
        <v>45831</v>
      </c>
      <c r="C295" s="1" t="n">
        <v>45849</v>
      </c>
      <c r="D295" t="inlineStr">
        <is>
          <t>VÄSTERBOTTENS LÄN</t>
        </is>
      </c>
      <c r="E295" t="inlineStr">
        <is>
          <t>LYCKSELE</t>
        </is>
      </c>
      <c r="F295" t="inlineStr">
        <is>
          <t>Sveaskog</t>
        </is>
      </c>
      <c r="G295" t="n">
        <v>2</v>
      </c>
      <c r="H295" t="n">
        <v>0</v>
      </c>
      <c r="I295" t="n">
        <v>0</v>
      </c>
      <c r="J295" t="n">
        <v>1</v>
      </c>
      <c r="K295" t="n">
        <v>0</v>
      </c>
      <c r="L295" t="n">
        <v>0</v>
      </c>
      <c r="M295" t="n">
        <v>0</v>
      </c>
      <c r="N295" t="n">
        <v>0</v>
      </c>
      <c r="O295" t="n">
        <v>1</v>
      </c>
      <c r="P295" t="n">
        <v>0</v>
      </c>
      <c r="Q295" t="n">
        <v>1</v>
      </c>
      <c r="R295" s="2" t="inlineStr">
        <is>
          <t>Mörk kolflarnlav</t>
        </is>
      </c>
      <c r="S295">
        <f>HYPERLINK("https://klasma.github.io/Logging_242481/artfynd/A 30691-2025 artfynd.xlsx", "A 30691-2025")</f>
        <v/>
      </c>
      <c r="T295">
        <f>HYPERLINK("https://klasma.github.io/Logging_242481/kartor/A 30691-2025 karta.png", "A 30691-2025")</f>
        <v/>
      </c>
      <c r="V295">
        <f>HYPERLINK("https://klasma.github.io/Logging_242481/klagomål/A 30691-2025 FSC-klagomål.docx", "A 30691-2025")</f>
        <v/>
      </c>
      <c r="W295">
        <f>HYPERLINK("https://klasma.github.io/Logging_242481/klagomålsmail/A 30691-2025 FSC-klagomål mail.docx", "A 30691-2025")</f>
        <v/>
      </c>
      <c r="X295">
        <f>HYPERLINK("https://klasma.github.io/Logging_242481/tillsyn/A 30691-2025 tillsynsbegäran.docx", "A 30691-2025")</f>
        <v/>
      </c>
      <c r="Y295">
        <f>HYPERLINK("https://klasma.github.io/Logging_242481/tillsynsmail/A 30691-2025 tillsynsbegäran mail.docx", "A 30691-2025")</f>
        <v/>
      </c>
    </row>
    <row r="296" ht="15" customHeight="1">
      <c r="A296" t="inlineStr">
        <is>
          <t>A 31266-2025</t>
        </is>
      </c>
      <c r="B296" s="1" t="n">
        <v>45833</v>
      </c>
      <c r="C296" s="1" t="n">
        <v>45849</v>
      </c>
      <c r="D296" t="inlineStr">
        <is>
          <t>VÄSTERBOTTENS LÄN</t>
        </is>
      </c>
      <c r="E296" t="inlineStr">
        <is>
          <t>LYCKSELE</t>
        </is>
      </c>
      <c r="F296" t="inlineStr">
        <is>
          <t>Sveaskog</t>
        </is>
      </c>
      <c r="G296" t="n">
        <v>4.4</v>
      </c>
      <c r="H296" t="n">
        <v>0</v>
      </c>
      <c r="I296" t="n">
        <v>0</v>
      </c>
      <c r="J296" t="n">
        <v>1</v>
      </c>
      <c r="K296" t="n">
        <v>0</v>
      </c>
      <c r="L296" t="n">
        <v>0</v>
      </c>
      <c r="M296" t="n">
        <v>0</v>
      </c>
      <c r="N296" t="n">
        <v>0</v>
      </c>
      <c r="O296" t="n">
        <v>1</v>
      </c>
      <c r="P296" t="n">
        <v>0</v>
      </c>
      <c r="Q296" t="n">
        <v>1</v>
      </c>
      <c r="R296" s="2" t="inlineStr">
        <is>
          <t>Mörk kolflarnlav</t>
        </is>
      </c>
      <c r="S296">
        <f>HYPERLINK("https://klasma.github.io/Logging_242481/artfynd/A 31266-2025 artfynd.xlsx", "A 31266-2025")</f>
        <v/>
      </c>
      <c r="T296">
        <f>HYPERLINK("https://klasma.github.io/Logging_242481/kartor/A 31266-2025 karta.png", "A 31266-2025")</f>
        <v/>
      </c>
      <c r="V296">
        <f>HYPERLINK("https://klasma.github.io/Logging_242481/klagomål/A 31266-2025 FSC-klagomål.docx", "A 31266-2025")</f>
        <v/>
      </c>
      <c r="W296">
        <f>HYPERLINK("https://klasma.github.io/Logging_242481/klagomålsmail/A 31266-2025 FSC-klagomål mail.docx", "A 31266-2025")</f>
        <v/>
      </c>
      <c r="X296">
        <f>HYPERLINK("https://klasma.github.io/Logging_242481/tillsyn/A 31266-2025 tillsynsbegäran.docx", "A 31266-2025")</f>
        <v/>
      </c>
      <c r="Y296">
        <f>HYPERLINK("https://klasma.github.io/Logging_242481/tillsynsmail/A 31266-2025 tillsynsbegäran mail.docx", "A 31266-2025")</f>
        <v/>
      </c>
    </row>
    <row r="297" ht="15" customHeight="1">
      <c r="A297" t="inlineStr">
        <is>
          <t>A 18986-2019</t>
        </is>
      </c>
      <c r="B297" s="1" t="n">
        <v>43563</v>
      </c>
      <c r="C297" s="1" t="n">
        <v>45849</v>
      </c>
      <c r="D297" t="inlineStr">
        <is>
          <t>VÄSTERBOTTENS LÄN</t>
        </is>
      </c>
      <c r="E297" t="inlineStr">
        <is>
          <t>LYCKSELE</t>
        </is>
      </c>
      <c r="G297" t="n">
        <v>4.6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19604-2019</t>
        </is>
      </c>
      <c r="B298" s="1" t="n">
        <v>43566</v>
      </c>
      <c r="C298" s="1" t="n">
        <v>45849</v>
      </c>
      <c r="D298" t="inlineStr">
        <is>
          <t>VÄSTERBOTTENS LÄN</t>
        </is>
      </c>
      <c r="E298" t="inlineStr">
        <is>
          <t>LYCKSELE</t>
        </is>
      </c>
      <c r="F298" t="inlineStr">
        <is>
          <t>Holmen skog AB</t>
        </is>
      </c>
      <c r="G298" t="n">
        <v>4.1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20928-2019</t>
        </is>
      </c>
      <c r="B299" s="1" t="n">
        <v>43572</v>
      </c>
      <c r="C299" s="1" t="n">
        <v>45849</v>
      </c>
      <c r="D299" t="inlineStr">
        <is>
          <t>VÄSTERBOTTENS LÄN</t>
        </is>
      </c>
      <c r="E299" t="inlineStr">
        <is>
          <t>LYCKSELE</t>
        </is>
      </c>
      <c r="G299" t="n">
        <v>7.9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21331-2019</t>
        </is>
      </c>
      <c r="B300" s="1" t="n">
        <v>43579</v>
      </c>
      <c r="C300" s="1" t="n">
        <v>45849</v>
      </c>
      <c r="D300" t="inlineStr">
        <is>
          <t>VÄSTERBOTTENS LÄN</t>
        </is>
      </c>
      <c r="E300" t="inlineStr">
        <is>
          <t>LYCKSELE</t>
        </is>
      </c>
      <c r="G300" t="n">
        <v>0.8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21775-2019</t>
        </is>
      </c>
      <c r="B301" s="1" t="n">
        <v>43581</v>
      </c>
      <c r="C301" s="1" t="n">
        <v>45849</v>
      </c>
      <c r="D301" t="inlineStr">
        <is>
          <t>VÄSTERBOTTENS LÄN</t>
        </is>
      </c>
      <c r="E301" t="inlineStr">
        <is>
          <t>LYCKSELE</t>
        </is>
      </c>
      <c r="G301" t="n">
        <v>12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21766-2019</t>
        </is>
      </c>
      <c r="B302" s="1" t="n">
        <v>43581</v>
      </c>
      <c r="C302" s="1" t="n">
        <v>45849</v>
      </c>
      <c r="D302" t="inlineStr">
        <is>
          <t>VÄSTERBOTTENS LÄN</t>
        </is>
      </c>
      <c r="E302" t="inlineStr">
        <is>
          <t>LYCKSELE</t>
        </is>
      </c>
      <c r="G302" t="n">
        <v>2.4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21756-2019</t>
        </is>
      </c>
      <c r="B303" s="1" t="n">
        <v>43581</v>
      </c>
      <c r="C303" s="1" t="n">
        <v>45849</v>
      </c>
      <c r="D303" t="inlineStr">
        <is>
          <t>VÄSTERBOTTENS LÄN</t>
        </is>
      </c>
      <c r="E303" t="inlineStr">
        <is>
          <t>LYCKSELE</t>
        </is>
      </c>
      <c r="G303" t="n">
        <v>0.5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21754-2019</t>
        </is>
      </c>
      <c r="B304" s="1" t="n">
        <v>43581</v>
      </c>
      <c r="C304" s="1" t="n">
        <v>45849</v>
      </c>
      <c r="D304" t="inlineStr">
        <is>
          <t>VÄSTERBOTTENS LÄN</t>
        </is>
      </c>
      <c r="E304" t="inlineStr">
        <is>
          <t>LYCKSELE</t>
        </is>
      </c>
      <c r="G304" t="n">
        <v>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22320-2019</t>
        </is>
      </c>
      <c r="B305" s="1" t="n">
        <v>43586</v>
      </c>
      <c r="C305" s="1" t="n">
        <v>45849</v>
      </c>
      <c r="D305" t="inlineStr">
        <is>
          <t>VÄSTERBOTTENS LÄN</t>
        </is>
      </c>
      <c r="E305" t="inlineStr">
        <is>
          <t>LYCKSELE</t>
        </is>
      </c>
      <c r="G305" t="n">
        <v>5.8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22318-2019</t>
        </is>
      </c>
      <c r="B306" s="1" t="n">
        <v>43586</v>
      </c>
      <c r="C306" s="1" t="n">
        <v>45849</v>
      </c>
      <c r="D306" t="inlineStr">
        <is>
          <t>VÄSTERBOTTENS LÄN</t>
        </is>
      </c>
      <c r="E306" t="inlineStr">
        <is>
          <t>LYCKSELE</t>
        </is>
      </c>
      <c r="G306" t="n">
        <v>1.8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23158-2019</t>
        </is>
      </c>
      <c r="B307" s="1" t="n">
        <v>43592</v>
      </c>
      <c r="C307" s="1" t="n">
        <v>45849</v>
      </c>
      <c r="D307" t="inlineStr">
        <is>
          <t>VÄSTERBOTTENS LÄN</t>
        </is>
      </c>
      <c r="E307" t="inlineStr">
        <is>
          <t>LYCKSELE</t>
        </is>
      </c>
      <c r="G307" t="n">
        <v>0.8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23103-2019</t>
        </is>
      </c>
      <c r="B308" s="1" t="n">
        <v>43592</v>
      </c>
      <c r="C308" s="1" t="n">
        <v>45849</v>
      </c>
      <c r="D308" t="inlineStr">
        <is>
          <t>VÄSTERBOTTENS LÄN</t>
        </is>
      </c>
      <c r="E308" t="inlineStr">
        <is>
          <t>LYCKSELE</t>
        </is>
      </c>
      <c r="G308" t="n">
        <v>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23106-2019</t>
        </is>
      </c>
      <c r="B309" s="1" t="n">
        <v>43592</v>
      </c>
      <c r="C309" s="1" t="n">
        <v>45849</v>
      </c>
      <c r="D309" t="inlineStr">
        <is>
          <t>VÄSTERBOTTENS LÄN</t>
        </is>
      </c>
      <c r="E309" t="inlineStr">
        <is>
          <t>LYCKSELE</t>
        </is>
      </c>
      <c r="G309" t="n">
        <v>1.3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23282-2019</t>
        </is>
      </c>
      <c r="B310" s="1" t="n">
        <v>43593</v>
      </c>
      <c r="C310" s="1" t="n">
        <v>45849</v>
      </c>
      <c r="D310" t="inlineStr">
        <is>
          <t>VÄSTERBOTTENS LÄN</t>
        </is>
      </c>
      <c r="E310" t="inlineStr">
        <is>
          <t>LYCKSELE</t>
        </is>
      </c>
      <c r="G310" t="n">
        <v>5.6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23520-2019</t>
        </is>
      </c>
      <c r="B311" s="1" t="n">
        <v>43593</v>
      </c>
      <c r="C311" s="1" t="n">
        <v>45849</v>
      </c>
      <c r="D311" t="inlineStr">
        <is>
          <t>VÄSTERBOTTENS LÄN</t>
        </is>
      </c>
      <c r="E311" t="inlineStr">
        <is>
          <t>LYCKSELE</t>
        </is>
      </c>
      <c r="G311" t="n">
        <v>1.4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23536-2019</t>
        </is>
      </c>
      <c r="B312" s="1" t="n">
        <v>43594</v>
      </c>
      <c r="C312" s="1" t="n">
        <v>45849</v>
      </c>
      <c r="D312" t="inlineStr">
        <is>
          <t>VÄSTERBOTTENS LÄN</t>
        </is>
      </c>
      <c r="E312" t="inlineStr">
        <is>
          <t>LYCKSELE</t>
        </is>
      </c>
      <c r="F312" t="inlineStr">
        <is>
          <t>Sveaskog</t>
        </is>
      </c>
      <c r="G312" t="n">
        <v>0.4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23938-2019</t>
        </is>
      </c>
      <c r="B313" s="1" t="n">
        <v>43595</v>
      </c>
      <c r="C313" s="1" t="n">
        <v>45849</v>
      </c>
      <c r="D313" t="inlineStr">
        <is>
          <t>VÄSTERBOTTENS LÄN</t>
        </is>
      </c>
      <c r="E313" t="inlineStr">
        <is>
          <t>LYCKSELE</t>
        </is>
      </c>
      <c r="F313" t="inlineStr">
        <is>
          <t>SCA</t>
        </is>
      </c>
      <c r="G313" t="n">
        <v>1.9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24332-2019</t>
        </is>
      </c>
      <c r="B314" s="1" t="n">
        <v>43598</v>
      </c>
      <c r="C314" s="1" t="n">
        <v>45849</v>
      </c>
      <c r="D314" t="inlineStr">
        <is>
          <t>VÄSTERBOTTENS LÄN</t>
        </is>
      </c>
      <c r="E314" t="inlineStr">
        <is>
          <t>LYCKSELE</t>
        </is>
      </c>
      <c r="G314" t="n">
        <v>0.5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24335-2019</t>
        </is>
      </c>
      <c r="B315" s="1" t="n">
        <v>43598</v>
      </c>
      <c r="C315" s="1" t="n">
        <v>45849</v>
      </c>
      <c r="D315" t="inlineStr">
        <is>
          <t>VÄSTERBOTTENS LÄN</t>
        </is>
      </c>
      <c r="E315" t="inlineStr">
        <is>
          <t>LYCKSELE</t>
        </is>
      </c>
      <c r="G315" t="n">
        <v>0.4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24581-2019</t>
        </is>
      </c>
      <c r="B316" s="1" t="n">
        <v>43600</v>
      </c>
      <c r="C316" s="1" t="n">
        <v>45849</v>
      </c>
      <c r="D316" t="inlineStr">
        <is>
          <t>VÄSTERBOTTENS LÄN</t>
        </is>
      </c>
      <c r="E316" t="inlineStr">
        <is>
          <t>LYCKSELE</t>
        </is>
      </c>
      <c r="F316" t="inlineStr">
        <is>
          <t>SCA</t>
        </is>
      </c>
      <c r="G316" t="n">
        <v>11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29088-2019</t>
        </is>
      </c>
      <c r="B317" s="1" t="n">
        <v>43621</v>
      </c>
      <c r="C317" s="1" t="n">
        <v>45849</v>
      </c>
      <c r="D317" t="inlineStr">
        <is>
          <t>VÄSTERBOTTENS LÄN</t>
        </is>
      </c>
      <c r="E317" t="inlineStr">
        <is>
          <t>LYCKSELE</t>
        </is>
      </c>
      <c r="G317" t="n">
        <v>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28569-2019</t>
        </is>
      </c>
      <c r="B318" s="1" t="n">
        <v>43626</v>
      </c>
      <c r="C318" s="1" t="n">
        <v>45849</v>
      </c>
      <c r="D318" t="inlineStr">
        <is>
          <t>VÄSTERBOTTENS LÄN</t>
        </is>
      </c>
      <c r="E318" t="inlineStr">
        <is>
          <t>LYCKSELE</t>
        </is>
      </c>
      <c r="F318" t="inlineStr">
        <is>
          <t>Holmen skog AB</t>
        </is>
      </c>
      <c r="G318" t="n">
        <v>6.7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29397-2019</t>
        </is>
      </c>
      <c r="B319" s="1" t="n">
        <v>43627</v>
      </c>
      <c r="C319" s="1" t="n">
        <v>45849</v>
      </c>
      <c r="D319" t="inlineStr">
        <is>
          <t>VÄSTERBOTTENS LÄN</t>
        </is>
      </c>
      <c r="E319" t="inlineStr">
        <is>
          <t>LYCKSELE</t>
        </is>
      </c>
      <c r="G319" t="n">
        <v>0.6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29394-2019</t>
        </is>
      </c>
      <c r="B320" s="1" t="n">
        <v>43627</v>
      </c>
      <c r="C320" s="1" t="n">
        <v>45849</v>
      </c>
      <c r="D320" t="inlineStr">
        <is>
          <t>VÄSTERBOTTENS LÄN</t>
        </is>
      </c>
      <c r="E320" t="inlineStr">
        <is>
          <t>LYCKSELE</t>
        </is>
      </c>
      <c r="G320" t="n">
        <v>1.8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30082-2019</t>
        </is>
      </c>
      <c r="B321" s="1" t="n">
        <v>43633</v>
      </c>
      <c r="C321" s="1" t="n">
        <v>45849</v>
      </c>
      <c r="D321" t="inlineStr">
        <is>
          <t>VÄSTERBOTTENS LÄN</t>
        </is>
      </c>
      <c r="E321" t="inlineStr">
        <is>
          <t>LYCKSELE</t>
        </is>
      </c>
      <c r="F321" t="inlineStr">
        <is>
          <t>SCA</t>
        </is>
      </c>
      <c r="G321" t="n">
        <v>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30420-2019</t>
        </is>
      </c>
      <c r="B322" s="1" t="n">
        <v>43633</v>
      </c>
      <c r="C322" s="1" t="n">
        <v>45849</v>
      </c>
      <c r="D322" t="inlineStr">
        <is>
          <t>VÄSTERBOTTENS LÄN</t>
        </is>
      </c>
      <c r="E322" t="inlineStr">
        <is>
          <t>LYCKSELE</t>
        </is>
      </c>
      <c r="G322" t="n">
        <v>21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30333-2019</t>
        </is>
      </c>
      <c r="B323" s="1" t="n">
        <v>43634</v>
      </c>
      <c r="C323" s="1" t="n">
        <v>45849</v>
      </c>
      <c r="D323" t="inlineStr">
        <is>
          <t>VÄSTERBOTTENS LÄN</t>
        </is>
      </c>
      <c r="E323" t="inlineStr">
        <is>
          <t>LYCKSELE</t>
        </is>
      </c>
      <c r="F323" t="inlineStr">
        <is>
          <t>Sveaskog</t>
        </is>
      </c>
      <c r="G323" t="n">
        <v>8.4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30335-2019</t>
        </is>
      </c>
      <c r="B324" s="1" t="n">
        <v>43634</v>
      </c>
      <c r="C324" s="1" t="n">
        <v>45849</v>
      </c>
      <c r="D324" t="inlineStr">
        <is>
          <t>VÄSTERBOTTENS LÄN</t>
        </is>
      </c>
      <c r="E324" t="inlineStr">
        <is>
          <t>LYCKSELE</t>
        </is>
      </c>
      <c r="F324" t="inlineStr">
        <is>
          <t>Sveaskog</t>
        </is>
      </c>
      <c r="G324" t="n">
        <v>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31917-2019</t>
        </is>
      </c>
      <c r="B325" s="1" t="n">
        <v>43641</v>
      </c>
      <c r="C325" s="1" t="n">
        <v>45849</v>
      </c>
      <c r="D325" t="inlineStr">
        <is>
          <t>VÄSTERBOTTENS LÄN</t>
        </is>
      </c>
      <c r="E325" t="inlineStr">
        <is>
          <t>LYCKSELE</t>
        </is>
      </c>
      <c r="G325" t="n">
        <v>2.4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31883-2019</t>
        </is>
      </c>
      <c r="B326" s="1" t="n">
        <v>43642</v>
      </c>
      <c r="C326" s="1" t="n">
        <v>45849</v>
      </c>
      <c r="D326" t="inlineStr">
        <is>
          <t>VÄSTERBOTTENS LÄN</t>
        </is>
      </c>
      <c r="E326" t="inlineStr">
        <is>
          <t>LYCKSELE</t>
        </is>
      </c>
      <c r="F326" t="inlineStr">
        <is>
          <t>Holmen skog AB</t>
        </is>
      </c>
      <c r="G326" t="n">
        <v>2.1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32083-2019</t>
        </is>
      </c>
      <c r="B327" s="1" t="n">
        <v>43642</v>
      </c>
      <c r="C327" s="1" t="n">
        <v>45849</v>
      </c>
      <c r="D327" t="inlineStr">
        <is>
          <t>VÄSTERBOTTENS LÄN</t>
        </is>
      </c>
      <c r="E327" t="inlineStr">
        <is>
          <t>LYCKSELE</t>
        </is>
      </c>
      <c r="G327" t="n">
        <v>6.2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31876-2019</t>
        </is>
      </c>
      <c r="B328" s="1" t="n">
        <v>43642</v>
      </c>
      <c r="C328" s="1" t="n">
        <v>45849</v>
      </c>
      <c r="D328" t="inlineStr">
        <is>
          <t>VÄSTERBOTTENS LÄN</t>
        </is>
      </c>
      <c r="E328" t="inlineStr">
        <is>
          <t>LYCKSELE</t>
        </is>
      </c>
      <c r="F328" t="inlineStr">
        <is>
          <t>Holmen skog AB</t>
        </is>
      </c>
      <c r="G328" t="n">
        <v>1.6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32074-2019</t>
        </is>
      </c>
      <c r="B329" s="1" t="n">
        <v>43642</v>
      </c>
      <c r="C329" s="1" t="n">
        <v>45849</v>
      </c>
      <c r="D329" t="inlineStr">
        <is>
          <t>VÄSTERBOTTENS LÄN</t>
        </is>
      </c>
      <c r="E329" t="inlineStr">
        <is>
          <t>LYCKSELE</t>
        </is>
      </c>
      <c r="G329" t="n">
        <v>1.4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33203-2019</t>
        </is>
      </c>
      <c r="B330" s="1" t="n">
        <v>43649</v>
      </c>
      <c r="C330" s="1" t="n">
        <v>45849</v>
      </c>
      <c r="D330" t="inlineStr">
        <is>
          <t>VÄSTERBOTTENS LÄN</t>
        </is>
      </c>
      <c r="E330" t="inlineStr">
        <is>
          <t>LYCKSELE</t>
        </is>
      </c>
      <c r="F330" t="inlineStr">
        <is>
          <t>Holmen skog AB</t>
        </is>
      </c>
      <c r="G330" t="n">
        <v>20.2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34852-2019</t>
        </is>
      </c>
      <c r="B331" s="1" t="n">
        <v>43649</v>
      </c>
      <c r="C331" s="1" t="n">
        <v>45849</v>
      </c>
      <c r="D331" t="inlineStr">
        <is>
          <t>VÄSTERBOTTENS LÄN</t>
        </is>
      </c>
      <c r="E331" t="inlineStr">
        <is>
          <t>LYCKSELE</t>
        </is>
      </c>
      <c r="G331" t="n">
        <v>2.2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33414-2019</t>
        </is>
      </c>
      <c r="B332" s="1" t="n">
        <v>43650</v>
      </c>
      <c r="C332" s="1" t="n">
        <v>45849</v>
      </c>
      <c r="D332" t="inlineStr">
        <is>
          <t>VÄSTERBOTTENS LÄN</t>
        </is>
      </c>
      <c r="E332" t="inlineStr">
        <is>
          <t>LYCKSELE</t>
        </is>
      </c>
      <c r="F332" t="inlineStr">
        <is>
          <t>Holmen skog AB</t>
        </is>
      </c>
      <c r="G332" t="n">
        <v>1.8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33810-2019</t>
        </is>
      </c>
      <c r="B333" s="1" t="n">
        <v>43651</v>
      </c>
      <c r="C333" s="1" t="n">
        <v>45849</v>
      </c>
      <c r="D333" t="inlineStr">
        <is>
          <t>VÄSTERBOTTENS LÄN</t>
        </is>
      </c>
      <c r="E333" t="inlineStr">
        <is>
          <t>LYCKSELE</t>
        </is>
      </c>
      <c r="F333" t="inlineStr">
        <is>
          <t>Sveaskog</t>
        </is>
      </c>
      <c r="G333" t="n">
        <v>18.9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34249-2019</t>
        </is>
      </c>
      <c r="B334" s="1" t="n">
        <v>43655</v>
      </c>
      <c r="C334" s="1" t="n">
        <v>45849</v>
      </c>
      <c r="D334" t="inlineStr">
        <is>
          <t>VÄSTERBOTTENS LÄN</t>
        </is>
      </c>
      <c r="E334" t="inlineStr">
        <is>
          <t>LYCKSELE</t>
        </is>
      </c>
      <c r="G334" t="n">
        <v>13.4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36154-2019</t>
        </is>
      </c>
      <c r="B335" s="1" t="n">
        <v>43658</v>
      </c>
      <c r="C335" s="1" t="n">
        <v>45849</v>
      </c>
      <c r="D335" t="inlineStr">
        <is>
          <t>VÄSTERBOTTENS LÄN</t>
        </is>
      </c>
      <c r="E335" t="inlineStr">
        <is>
          <t>LYCKSELE</t>
        </is>
      </c>
      <c r="G335" t="n">
        <v>6.3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35091-2019</t>
        </is>
      </c>
      <c r="B336" s="1" t="n">
        <v>43661</v>
      </c>
      <c r="C336" s="1" t="n">
        <v>45849</v>
      </c>
      <c r="D336" t="inlineStr">
        <is>
          <t>VÄSTERBOTTENS LÄN</t>
        </is>
      </c>
      <c r="E336" t="inlineStr">
        <is>
          <t>LYCKSELE</t>
        </is>
      </c>
      <c r="F336" t="inlineStr">
        <is>
          <t>Sveaskog</t>
        </is>
      </c>
      <c r="G336" t="n">
        <v>0.4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35092-2019</t>
        </is>
      </c>
      <c r="B337" s="1" t="n">
        <v>43661</v>
      </c>
      <c r="C337" s="1" t="n">
        <v>45849</v>
      </c>
      <c r="D337" t="inlineStr">
        <is>
          <t>VÄSTERBOTTENS LÄN</t>
        </is>
      </c>
      <c r="E337" t="inlineStr">
        <is>
          <t>LYCKSELE</t>
        </is>
      </c>
      <c r="F337" t="inlineStr">
        <is>
          <t>Sveaskog</t>
        </is>
      </c>
      <c r="G337" t="n">
        <v>5.6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37162-2019</t>
        </is>
      </c>
      <c r="B338" s="1" t="n">
        <v>43677</v>
      </c>
      <c r="C338" s="1" t="n">
        <v>45849</v>
      </c>
      <c r="D338" t="inlineStr">
        <is>
          <t>VÄSTERBOTTENS LÄN</t>
        </is>
      </c>
      <c r="E338" t="inlineStr">
        <is>
          <t>LYCKSELE</t>
        </is>
      </c>
      <c r="F338" t="inlineStr">
        <is>
          <t>Sveaskog</t>
        </is>
      </c>
      <c r="G338" t="n">
        <v>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38551-2019</t>
        </is>
      </c>
      <c r="B339" s="1" t="n">
        <v>43685</v>
      </c>
      <c r="C339" s="1" t="n">
        <v>45849</v>
      </c>
      <c r="D339" t="inlineStr">
        <is>
          <t>VÄSTERBOTTENS LÄN</t>
        </is>
      </c>
      <c r="E339" t="inlineStr">
        <is>
          <t>LYCKSELE</t>
        </is>
      </c>
      <c r="F339" t="inlineStr">
        <is>
          <t>Holmen skog AB</t>
        </is>
      </c>
      <c r="G339" t="n">
        <v>16.2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38800-2019</t>
        </is>
      </c>
      <c r="B340" s="1" t="n">
        <v>43688</v>
      </c>
      <c r="C340" s="1" t="n">
        <v>45849</v>
      </c>
      <c r="D340" t="inlineStr">
        <is>
          <t>VÄSTERBOTTENS LÄN</t>
        </is>
      </c>
      <c r="E340" t="inlineStr">
        <is>
          <t>LYCKSELE</t>
        </is>
      </c>
      <c r="F340" t="inlineStr">
        <is>
          <t>Holmen skog AB</t>
        </is>
      </c>
      <c r="G340" t="n">
        <v>3.5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39201-2019</t>
        </is>
      </c>
      <c r="B341" s="1" t="n">
        <v>43690</v>
      </c>
      <c r="C341" s="1" t="n">
        <v>45849</v>
      </c>
      <c r="D341" t="inlineStr">
        <is>
          <t>VÄSTERBOTTENS LÄN</t>
        </is>
      </c>
      <c r="E341" t="inlineStr">
        <is>
          <t>LYCKSELE</t>
        </is>
      </c>
      <c r="F341" t="inlineStr">
        <is>
          <t>Sveaskog</t>
        </is>
      </c>
      <c r="G341" t="n">
        <v>9.1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41150-2019</t>
        </is>
      </c>
      <c r="B342" s="1" t="n">
        <v>43691</v>
      </c>
      <c r="C342" s="1" t="n">
        <v>45849</v>
      </c>
      <c r="D342" t="inlineStr">
        <is>
          <t>VÄSTERBOTTENS LÄN</t>
        </is>
      </c>
      <c r="E342" t="inlineStr">
        <is>
          <t>LYCKSELE</t>
        </is>
      </c>
      <c r="G342" t="n">
        <v>1.7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40310-2019</t>
        </is>
      </c>
      <c r="B343" s="1" t="n">
        <v>43696</v>
      </c>
      <c r="C343" s="1" t="n">
        <v>45849</v>
      </c>
      <c r="D343" t="inlineStr">
        <is>
          <t>VÄSTERBOTTENS LÄN</t>
        </is>
      </c>
      <c r="E343" t="inlineStr">
        <is>
          <t>LYCKSELE</t>
        </is>
      </c>
      <c r="F343" t="inlineStr">
        <is>
          <t>Holmen skog AB</t>
        </is>
      </c>
      <c r="G343" t="n">
        <v>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41375-2019</t>
        </is>
      </c>
      <c r="B344" s="1" t="n">
        <v>43696</v>
      </c>
      <c r="C344" s="1" t="n">
        <v>45849</v>
      </c>
      <c r="D344" t="inlineStr">
        <is>
          <t>VÄSTERBOTTENS LÄN</t>
        </is>
      </c>
      <c r="E344" t="inlineStr">
        <is>
          <t>LYCKSELE</t>
        </is>
      </c>
      <c r="G344" t="n">
        <v>4.6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42373-2019</t>
        </is>
      </c>
      <c r="B345" s="1" t="n">
        <v>43703</v>
      </c>
      <c r="C345" s="1" t="n">
        <v>45849</v>
      </c>
      <c r="D345" t="inlineStr">
        <is>
          <t>VÄSTERBOTTENS LÄN</t>
        </is>
      </c>
      <c r="E345" t="inlineStr">
        <is>
          <t>LYCKSELE</t>
        </is>
      </c>
      <c r="F345" t="inlineStr">
        <is>
          <t>Holmen skog AB</t>
        </is>
      </c>
      <c r="G345" t="n">
        <v>4.7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43465-2019</t>
        </is>
      </c>
      <c r="B346" s="1" t="n">
        <v>43703</v>
      </c>
      <c r="C346" s="1" t="n">
        <v>45849</v>
      </c>
      <c r="D346" t="inlineStr">
        <is>
          <t>VÄSTERBOTTENS LÄN</t>
        </is>
      </c>
      <c r="E346" t="inlineStr">
        <is>
          <t>LYCKSELE</t>
        </is>
      </c>
      <c r="F346" t="inlineStr">
        <is>
          <t>Sveaskog</t>
        </is>
      </c>
      <c r="G346" t="n">
        <v>1.2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43480-2019</t>
        </is>
      </c>
      <c r="B347" s="1" t="n">
        <v>43703</v>
      </c>
      <c r="C347" s="1" t="n">
        <v>45849</v>
      </c>
      <c r="D347" t="inlineStr">
        <is>
          <t>VÄSTERBOTTENS LÄN</t>
        </is>
      </c>
      <c r="E347" t="inlineStr">
        <is>
          <t>LYCKSELE</t>
        </is>
      </c>
      <c r="G347" t="n">
        <v>13.6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42368-2019</t>
        </is>
      </c>
      <c r="B348" s="1" t="n">
        <v>43703</v>
      </c>
      <c r="C348" s="1" t="n">
        <v>45849</v>
      </c>
      <c r="D348" t="inlineStr">
        <is>
          <t>VÄSTERBOTTENS LÄN</t>
        </is>
      </c>
      <c r="E348" t="inlineStr">
        <is>
          <t>LYCKSELE</t>
        </is>
      </c>
      <c r="F348" t="inlineStr">
        <is>
          <t>Holmen skog AB</t>
        </is>
      </c>
      <c r="G348" t="n">
        <v>3.6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42588-2019</t>
        </is>
      </c>
      <c r="B349" s="1" t="n">
        <v>43704</v>
      </c>
      <c r="C349" s="1" t="n">
        <v>45849</v>
      </c>
      <c r="D349" t="inlineStr">
        <is>
          <t>VÄSTERBOTTENS LÄN</t>
        </is>
      </c>
      <c r="E349" t="inlineStr">
        <is>
          <t>LYCKSELE</t>
        </is>
      </c>
      <c r="F349" t="inlineStr">
        <is>
          <t>Holmen skog AB</t>
        </is>
      </c>
      <c r="G349" t="n">
        <v>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44031-2019</t>
        </is>
      </c>
      <c r="B350" s="1" t="n">
        <v>43704</v>
      </c>
      <c r="C350" s="1" t="n">
        <v>45849</v>
      </c>
      <c r="D350" t="inlineStr">
        <is>
          <t>VÄSTERBOTTENS LÄN</t>
        </is>
      </c>
      <c r="E350" t="inlineStr">
        <is>
          <t>LYCKSELE</t>
        </is>
      </c>
      <c r="G350" t="n">
        <v>1.3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44858-2019</t>
        </is>
      </c>
      <c r="B351" s="1" t="n">
        <v>43707</v>
      </c>
      <c r="C351" s="1" t="n">
        <v>45849</v>
      </c>
      <c r="D351" t="inlineStr">
        <is>
          <t>VÄSTERBOTTENS LÄN</t>
        </is>
      </c>
      <c r="E351" t="inlineStr">
        <is>
          <t>LYCKSELE</t>
        </is>
      </c>
      <c r="G351" t="n">
        <v>6.4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44024-2019</t>
        </is>
      </c>
      <c r="B352" s="1" t="n">
        <v>43710</v>
      </c>
      <c r="C352" s="1" t="n">
        <v>45849</v>
      </c>
      <c r="D352" t="inlineStr">
        <is>
          <t>VÄSTERBOTTENS LÄN</t>
        </is>
      </c>
      <c r="E352" t="inlineStr">
        <is>
          <t>LYCKSELE</t>
        </is>
      </c>
      <c r="G352" t="n">
        <v>9.800000000000001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44590-2019</t>
        </is>
      </c>
      <c r="B353" s="1" t="n">
        <v>43711</v>
      </c>
      <c r="C353" s="1" t="n">
        <v>45849</v>
      </c>
      <c r="D353" t="inlineStr">
        <is>
          <t>VÄSTERBOTTENS LÄN</t>
        </is>
      </c>
      <c r="E353" t="inlineStr">
        <is>
          <t>LYCKSELE</t>
        </is>
      </c>
      <c r="F353" t="inlineStr">
        <is>
          <t>Holmen skog AB</t>
        </is>
      </c>
      <c r="G353" t="n">
        <v>6.7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46252-2019</t>
        </is>
      </c>
      <c r="B354" s="1" t="n">
        <v>43712</v>
      </c>
      <c r="C354" s="1" t="n">
        <v>45849</v>
      </c>
      <c r="D354" t="inlineStr">
        <is>
          <t>VÄSTERBOTTENS LÄN</t>
        </is>
      </c>
      <c r="E354" t="inlineStr">
        <is>
          <t>LYCKSELE</t>
        </is>
      </c>
      <c r="G354" t="n">
        <v>2.5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45227-2019</t>
        </is>
      </c>
      <c r="B355" s="1" t="n">
        <v>43713</v>
      </c>
      <c r="C355" s="1" t="n">
        <v>45849</v>
      </c>
      <c r="D355" t="inlineStr">
        <is>
          <t>VÄSTERBOTTENS LÄN</t>
        </is>
      </c>
      <c r="E355" t="inlineStr">
        <is>
          <t>LYCKSELE</t>
        </is>
      </c>
      <c r="F355" t="inlineStr">
        <is>
          <t>Holmen skog AB</t>
        </is>
      </c>
      <c r="G355" t="n">
        <v>2.8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45264-2019</t>
        </is>
      </c>
      <c r="B356" s="1" t="n">
        <v>43713</v>
      </c>
      <c r="C356" s="1" t="n">
        <v>45849</v>
      </c>
      <c r="D356" t="inlineStr">
        <is>
          <t>VÄSTERBOTTENS LÄN</t>
        </is>
      </c>
      <c r="E356" t="inlineStr">
        <is>
          <t>LYCKSELE</t>
        </is>
      </c>
      <c r="F356" t="inlineStr">
        <is>
          <t>SCA</t>
        </is>
      </c>
      <c r="G356" t="n">
        <v>1.2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45228-2019</t>
        </is>
      </c>
      <c r="B357" s="1" t="n">
        <v>43713</v>
      </c>
      <c r="C357" s="1" t="n">
        <v>45849</v>
      </c>
      <c r="D357" t="inlineStr">
        <is>
          <t>VÄSTERBOTTENS LÄN</t>
        </is>
      </c>
      <c r="E357" t="inlineStr">
        <is>
          <t>LYCKSELE</t>
        </is>
      </c>
      <c r="F357" t="inlineStr">
        <is>
          <t>Holmen skog AB</t>
        </is>
      </c>
      <c r="G357" t="n">
        <v>1.3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46271-2019</t>
        </is>
      </c>
      <c r="B358" s="1" t="n">
        <v>43713</v>
      </c>
      <c r="C358" s="1" t="n">
        <v>45849</v>
      </c>
      <c r="D358" t="inlineStr">
        <is>
          <t>VÄSTERBOTTENS LÄN</t>
        </is>
      </c>
      <c r="E358" t="inlineStr">
        <is>
          <t>LYCKSELE</t>
        </is>
      </c>
      <c r="G358" t="n">
        <v>1.9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46284-2019</t>
        </is>
      </c>
      <c r="B359" s="1" t="n">
        <v>43713</v>
      </c>
      <c r="C359" s="1" t="n">
        <v>45849</v>
      </c>
      <c r="D359" t="inlineStr">
        <is>
          <t>VÄSTERBOTTENS LÄN</t>
        </is>
      </c>
      <c r="E359" t="inlineStr">
        <is>
          <t>LYCKSELE</t>
        </is>
      </c>
      <c r="G359" t="n">
        <v>4.3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45758-2019</t>
        </is>
      </c>
      <c r="B360" s="1" t="n">
        <v>43717</v>
      </c>
      <c r="C360" s="1" t="n">
        <v>45849</v>
      </c>
      <c r="D360" t="inlineStr">
        <is>
          <t>VÄSTERBOTTENS LÄN</t>
        </is>
      </c>
      <c r="E360" t="inlineStr">
        <is>
          <t>LYCKSELE</t>
        </is>
      </c>
      <c r="F360" t="inlineStr">
        <is>
          <t>Sveaskog</t>
        </is>
      </c>
      <c r="G360" t="n">
        <v>2.2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47062-2019</t>
        </is>
      </c>
      <c r="B361" s="1" t="n">
        <v>43720</v>
      </c>
      <c r="C361" s="1" t="n">
        <v>45849</v>
      </c>
      <c r="D361" t="inlineStr">
        <is>
          <t>VÄSTERBOTTENS LÄN</t>
        </is>
      </c>
      <c r="E361" t="inlineStr">
        <is>
          <t>LYCKSELE</t>
        </is>
      </c>
      <c r="F361" t="inlineStr">
        <is>
          <t>Holmen skog AB</t>
        </is>
      </c>
      <c r="G361" t="n">
        <v>10.9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49112-2019</t>
        </is>
      </c>
      <c r="B362" s="1" t="n">
        <v>43731</v>
      </c>
      <c r="C362" s="1" t="n">
        <v>45849</v>
      </c>
      <c r="D362" t="inlineStr">
        <is>
          <t>VÄSTERBOTTENS LÄN</t>
        </is>
      </c>
      <c r="E362" t="inlineStr">
        <is>
          <t>LYCKSELE</t>
        </is>
      </c>
      <c r="F362" t="inlineStr">
        <is>
          <t>Sveaskog</t>
        </is>
      </c>
      <c r="G362" t="n">
        <v>1.6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50603-2019</t>
        </is>
      </c>
      <c r="B363" s="1" t="n">
        <v>43735</v>
      </c>
      <c r="C363" s="1" t="n">
        <v>45849</v>
      </c>
      <c r="D363" t="inlineStr">
        <is>
          <t>VÄSTERBOTTENS LÄN</t>
        </is>
      </c>
      <c r="E363" t="inlineStr">
        <is>
          <t>LYCKSELE</t>
        </is>
      </c>
      <c r="F363" t="inlineStr">
        <is>
          <t>SCA</t>
        </is>
      </c>
      <c r="G363" t="n">
        <v>1.3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51144-2019</t>
        </is>
      </c>
      <c r="B364" s="1" t="n">
        <v>43739</v>
      </c>
      <c r="C364" s="1" t="n">
        <v>45849</v>
      </c>
      <c r="D364" t="inlineStr">
        <is>
          <t>VÄSTERBOTTENS LÄN</t>
        </is>
      </c>
      <c r="E364" t="inlineStr">
        <is>
          <t>LYCKSELE</t>
        </is>
      </c>
      <c r="F364" t="inlineStr">
        <is>
          <t>Kyrkan</t>
        </is>
      </c>
      <c r="G364" t="n">
        <v>8.800000000000001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51152-2019</t>
        </is>
      </c>
      <c r="B365" s="1" t="n">
        <v>43739</v>
      </c>
      <c r="C365" s="1" t="n">
        <v>45849</v>
      </c>
      <c r="D365" t="inlineStr">
        <is>
          <t>VÄSTERBOTTENS LÄN</t>
        </is>
      </c>
      <c r="E365" t="inlineStr">
        <is>
          <t>LYCKSELE</t>
        </is>
      </c>
      <c r="F365" t="inlineStr">
        <is>
          <t>Kyrkan</t>
        </is>
      </c>
      <c r="G365" t="n">
        <v>9.800000000000001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51135-2019</t>
        </is>
      </c>
      <c r="B366" s="1" t="n">
        <v>43739</v>
      </c>
      <c r="C366" s="1" t="n">
        <v>45849</v>
      </c>
      <c r="D366" t="inlineStr">
        <is>
          <t>VÄSTERBOTTENS LÄN</t>
        </is>
      </c>
      <c r="E366" t="inlineStr">
        <is>
          <t>LYCKSELE</t>
        </is>
      </c>
      <c r="F366" t="inlineStr">
        <is>
          <t>Kyrkan</t>
        </is>
      </c>
      <c r="G366" t="n">
        <v>6.6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51155-2019</t>
        </is>
      </c>
      <c r="B367" s="1" t="n">
        <v>43739</v>
      </c>
      <c r="C367" s="1" t="n">
        <v>45849</v>
      </c>
      <c r="D367" t="inlineStr">
        <is>
          <t>VÄSTERBOTTENS LÄN</t>
        </is>
      </c>
      <c r="E367" t="inlineStr">
        <is>
          <t>LYCKSELE</t>
        </is>
      </c>
      <c r="F367" t="inlineStr">
        <is>
          <t>Kyrkan</t>
        </is>
      </c>
      <c r="G367" t="n">
        <v>11.3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52437-2019</t>
        </is>
      </c>
      <c r="B368" s="1" t="n">
        <v>43745</v>
      </c>
      <c r="C368" s="1" t="n">
        <v>45849</v>
      </c>
      <c r="D368" t="inlineStr">
        <is>
          <t>VÄSTERBOTTENS LÄN</t>
        </is>
      </c>
      <c r="E368" t="inlineStr">
        <is>
          <t>LYCKSELE</t>
        </is>
      </c>
      <c r="F368" t="inlineStr">
        <is>
          <t>Kyrkan</t>
        </is>
      </c>
      <c r="G368" t="n">
        <v>3.2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52630-2019</t>
        </is>
      </c>
      <c r="B369" s="1" t="n">
        <v>43746</v>
      </c>
      <c r="C369" s="1" t="n">
        <v>45849</v>
      </c>
      <c r="D369" t="inlineStr">
        <is>
          <t>VÄSTERBOTTENS LÄN</t>
        </is>
      </c>
      <c r="E369" t="inlineStr">
        <is>
          <t>LYCKSELE</t>
        </is>
      </c>
      <c r="F369" t="inlineStr">
        <is>
          <t>Sveaskog</t>
        </is>
      </c>
      <c r="G369" t="n">
        <v>0.9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52621-2019</t>
        </is>
      </c>
      <c r="B370" s="1" t="n">
        <v>43746</v>
      </c>
      <c r="C370" s="1" t="n">
        <v>45849</v>
      </c>
      <c r="D370" t="inlineStr">
        <is>
          <t>VÄSTERBOTTENS LÄN</t>
        </is>
      </c>
      <c r="E370" t="inlineStr">
        <is>
          <t>LYCKSELE</t>
        </is>
      </c>
      <c r="F370" t="inlineStr">
        <is>
          <t>Sveaskog</t>
        </is>
      </c>
      <c r="G370" t="n">
        <v>2.1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55396-2019</t>
        </is>
      </c>
      <c r="B371" s="1" t="n">
        <v>43758</v>
      </c>
      <c r="C371" s="1" t="n">
        <v>45849</v>
      </c>
      <c r="D371" t="inlineStr">
        <is>
          <t>VÄSTERBOTTENS LÄN</t>
        </is>
      </c>
      <c r="E371" t="inlineStr">
        <is>
          <t>LYCKSELE</t>
        </is>
      </c>
      <c r="F371" t="inlineStr">
        <is>
          <t>Sveaskog</t>
        </is>
      </c>
      <c r="G371" t="n">
        <v>17.5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56685-2019</t>
        </is>
      </c>
      <c r="B372" s="1" t="n">
        <v>43759</v>
      </c>
      <c r="C372" s="1" t="n">
        <v>45849</v>
      </c>
      <c r="D372" t="inlineStr">
        <is>
          <t>VÄSTERBOTTENS LÄN</t>
        </is>
      </c>
      <c r="E372" t="inlineStr">
        <is>
          <t>LYCKSELE</t>
        </is>
      </c>
      <c r="G372" t="n">
        <v>9.6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56679-2019</t>
        </is>
      </c>
      <c r="B373" s="1" t="n">
        <v>43759</v>
      </c>
      <c r="C373" s="1" t="n">
        <v>45849</v>
      </c>
      <c r="D373" t="inlineStr">
        <is>
          <t>VÄSTERBOTTENS LÄN</t>
        </is>
      </c>
      <c r="E373" t="inlineStr">
        <is>
          <t>LYCKSELE</t>
        </is>
      </c>
      <c r="G373" t="n">
        <v>10.3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56191-2019</t>
        </is>
      </c>
      <c r="B374" s="1" t="n">
        <v>43761</v>
      </c>
      <c r="C374" s="1" t="n">
        <v>45849</v>
      </c>
      <c r="D374" t="inlineStr">
        <is>
          <t>VÄSTERBOTTENS LÄN</t>
        </is>
      </c>
      <c r="E374" t="inlineStr">
        <is>
          <t>LYCKSELE</t>
        </is>
      </c>
      <c r="F374" t="inlineStr">
        <is>
          <t>SCA</t>
        </is>
      </c>
      <c r="G374" t="n">
        <v>0.9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57972-2019</t>
        </is>
      </c>
      <c r="B375" s="1" t="n">
        <v>43762</v>
      </c>
      <c r="C375" s="1" t="n">
        <v>45849</v>
      </c>
      <c r="D375" t="inlineStr">
        <is>
          <t>VÄSTERBOTTENS LÄN</t>
        </is>
      </c>
      <c r="E375" t="inlineStr">
        <is>
          <t>LYCKSELE</t>
        </is>
      </c>
      <c r="G375" t="n">
        <v>1.7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58655-2019</t>
        </is>
      </c>
      <c r="B376" s="1" t="n">
        <v>43767</v>
      </c>
      <c r="C376" s="1" t="n">
        <v>45849</v>
      </c>
      <c r="D376" t="inlineStr">
        <is>
          <t>VÄSTERBOTTENS LÄN</t>
        </is>
      </c>
      <c r="E376" t="inlineStr">
        <is>
          <t>LYCKSELE</t>
        </is>
      </c>
      <c r="G376" t="n">
        <v>3.1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58648-2019</t>
        </is>
      </c>
      <c r="B377" s="1" t="n">
        <v>43768</v>
      </c>
      <c r="C377" s="1" t="n">
        <v>45849</v>
      </c>
      <c r="D377" t="inlineStr">
        <is>
          <t>VÄSTERBOTTENS LÄN</t>
        </is>
      </c>
      <c r="E377" t="inlineStr">
        <is>
          <t>LYCKSELE</t>
        </is>
      </c>
      <c r="G377" t="n">
        <v>1.9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57838-2019</t>
        </is>
      </c>
      <c r="B378" s="1" t="n">
        <v>43768</v>
      </c>
      <c r="C378" s="1" t="n">
        <v>45849</v>
      </c>
      <c r="D378" t="inlineStr">
        <is>
          <t>VÄSTERBOTTENS LÄN</t>
        </is>
      </c>
      <c r="E378" t="inlineStr">
        <is>
          <t>LYCKSELE</t>
        </is>
      </c>
      <c r="F378" t="inlineStr">
        <is>
          <t>Holmen skog AB</t>
        </is>
      </c>
      <c r="G378" t="n">
        <v>1.3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59632-2019</t>
        </is>
      </c>
      <c r="B379" s="1" t="n">
        <v>43776</v>
      </c>
      <c r="C379" s="1" t="n">
        <v>45849</v>
      </c>
      <c r="D379" t="inlineStr">
        <is>
          <t>VÄSTERBOTTENS LÄN</t>
        </is>
      </c>
      <c r="E379" t="inlineStr">
        <is>
          <t>LYCKSELE</t>
        </is>
      </c>
      <c r="F379" t="inlineStr">
        <is>
          <t>Sveaskog</t>
        </is>
      </c>
      <c r="G379" t="n">
        <v>5.6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60438-2019</t>
        </is>
      </c>
      <c r="B380" s="1" t="n">
        <v>43780</v>
      </c>
      <c r="C380" s="1" t="n">
        <v>45849</v>
      </c>
      <c r="D380" t="inlineStr">
        <is>
          <t>VÄSTERBOTTENS LÄN</t>
        </is>
      </c>
      <c r="E380" t="inlineStr">
        <is>
          <t>LYCKSELE</t>
        </is>
      </c>
      <c r="G380" t="n">
        <v>2.2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60567-2019</t>
        </is>
      </c>
      <c r="B381" s="1" t="n">
        <v>43781</v>
      </c>
      <c r="C381" s="1" t="n">
        <v>45849</v>
      </c>
      <c r="D381" t="inlineStr">
        <is>
          <t>VÄSTERBOTTENS LÄN</t>
        </is>
      </c>
      <c r="E381" t="inlineStr">
        <is>
          <t>LYCKSELE</t>
        </is>
      </c>
      <c r="F381" t="inlineStr">
        <is>
          <t>Sveaskog</t>
        </is>
      </c>
      <c r="G381" t="n">
        <v>4.4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62147-2019</t>
        </is>
      </c>
      <c r="B382" s="1" t="n">
        <v>43787</v>
      </c>
      <c r="C382" s="1" t="n">
        <v>45849</v>
      </c>
      <c r="D382" t="inlineStr">
        <is>
          <t>VÄSTERBOTTENS LÄN</t>
        </is>
      </c>
      <c r="E382" t="inlineStr">
        <is>
          <t>LYCKSELE</t>
        </is>
      </c>
      <c r="F382" t="inlineStr">
        <is>
          <t>Holmen skog AB</t>
        </is>
      </c>
      <c r="G382" t="n">
        <v>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63313-2019</t>
        </is>
      </c>
      <c r="B383" s="1" t="n">
        <v>43787</v>
      </c>
      <c r="C383" s="1" t="n">
        <v>45849</v>
      </c>
      <c r="D383" t="inlineStr">
        <is>
          <t>VÄSTERBOTTENS LÄN</t>
        </is>
      </c>
      <c r="E383" t="inlineStr">
        <is>
          <t>LYCKSELE</t>
        </is>
      </c>
      <c r="G383" t="n">
        <v>4.2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63305-2019</t>
        </is>
      </c>
      <c r="B384" s="1" t="n">
        <v>43787</v>
      </c>
      <c r="C384" s="1" t="n">
        <v>45849</v>
      </c>
      <c r="D384" t="inlineStr">
        <is>
          <t>VÄSTERBOTTENS LÄN</t>
        </is>
      </c>
      <c r="E384" t="inlineStr">
        <is>
          <t>LYCKSELE</t>
        </is>
      </c>
      <c r="G384" t="n">
        <v>1.2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62507-2019</t>
        </is>
      </c>
      <c r="B385" s="1" t="n">
        <v>43788</v>
      </c>
      <c r="C385" s="1" t="n">
        <v>45849</v>
      </c>
      <c r="D385" t="inlineStr">
        <is>
          <t>VÄSTERBOTTENS LÄN</t>
        </is>
      </c>
      <c r="E385" t="inlineStr">
        <is>
          <t>LYCKSELE</t>
        </is>
      </c>
      <c r="G385" t="n">
        <v>0.5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63506-2019</t>
        </is>
      </c>
      <c r="B386" s="1" t="n">
        <v>43788</v>
      </c>
      <c r="C386" s="1" t="n">
        <v>45849</v>
      </c>
      <c r="D386" t="inlineStr">
        <is>
          <t>VÄSTERBOTTENS LÄN</t>
        </is>
      </c>
      <c r="E386" t="inlineStr">
        <is>
          <t>LYCKSELE</t>
        </is>
      </c>
      <c r="G386" t="n">
        <v>2.3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63236-2019</t>
        </is>
      </c>
      <c r="B387" s="1" t="n">
        <v>43791</v>
      </c>
      <c r="C387" s="1" t="n">
        <v>45849</v>
      </c>
      <c r="D387" t="inlineStr">
        <is>
          <t>VÄSTERBOTTENS LÄN</t>
        </is>
      </c>
      <c r="E387" t="inlineStr">
        <is>
          <t>LYCKSELE</t>
        </is>
      </c>
      <c r="F387" t="inlineStr">
        <is>
          <t>SCA</t>
        </is>
      </c>
      <c r="G387" t="n">
        <v>2.5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64371-2019</t>
        </is>
      </c>
      <c r="B388" s="1" t="n">
        <v>43797</v>
      </c>
      <c r="C388" s="1" t="n">
        <v>45849</v>
      </c>
      <c r="D388" t="inlineStr">
        <is>
          <t>VÄSTERBOTTENS LÄN</t>
        </is>
      </c>
      <c r="E388" t="inlineStr">
        <is>
          <t>LYCKSELE</t>
        </is>
      </c>
      <c r="F388" t="inlineStr">
        <is>
          <t>Holmen skog AB</t>
        </is>
      </c>
      <c r="G388" t="n">
        <v>1.8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64478-2019</t>
        </is>
      </c>
      <c r="B389" s="1" t="n">
        <v>43797</v>
      </c>
      <c r="C389" s="1" t="n">
        <v>45849</v>
      </c>
      <c r="D389" t="inlineStr">
        <is>
          <t>VÄSTERBOTTENS LÄN</t>
        </is>
      </c>
      <c r="E389" t="inlineStr">
        <is>
          <t>LYCKSELE</t>
        </is>
      </c>
      <c r="F389" t="inlineStr">
        <is>
          <t>SCA</t>
        </is>
      </c>
      <c r="G389" t="n">
        <v>3.5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67650-2019</t>
        </is>
      </c>
      <c r="B390" s="1" t="n">
        <v>43809</v>
      </c>
      <c r="C390" s="1" t="n">
        <v>45849</v>
      </c>
      <c r="D390" t="inlineStr">
        <is>
          <t>VÄSTERBOTTENS LÄN</t>
        </is>
      </c>
      <c r="E390" t="inlineStr">
        <is>
          <t>LYCKSELE</t>
        </is>
      </c>
      <c r="G390" t="n">
        <v>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67652-2019</t>
        </is>
      </c>
      <c r="B391" s="1" t="n">
        <v>43809</v>
      </c>
      <c r="C391" s="1" t="n">
        <v>45849</v>
      </c>
      <c r="D391" t="inlineStr">
        <is>
          <t>VÄSTERBOTTENS LÄN</t>
        </is>
      </c>
      <c r="E391" t="inlineStr">
        <is>
          <t>LYCKSELE</t>
        </is>
      </c>
      <c r="G391" t="n">
        <v>2.9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67636-2019</t>
        </is>
      </c>
      <c r="B392" s="1" t="n">
        <v>43809</v>
      </c>
      <c r="C392" s="1" t="n">
        <v>45849</v>
      </c>
      <c r="D392" t="inlineStr">
        <is>
          <t>VÄSTERBOTTENS LÄN</t>
        </is>
      </c>
      <c r="E392" t="inlineStr">
        <is>
          <t>LYCKSELE</t>
        </is>
      </c>
      <c r="G392" t="n">
        <v>0.6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69024-2019</t>
        </is>
      </c>
      <c r="B393" s="1" t="n">
        <v>43815</v>
      </c>
      <c r="C393" s="1" t="n">
        <v>45849</v>
      </c>
      <c r="D393" t="inlineStr">
        <is>
          <t>VÄSTERBOTTENS LÄN</t>
        </is>
      </c>
      <c r="E393" t="inlineStr">
        <is>
          <t>LYCKSELE</t>
        </is>
      </c>
      <c r="G393" t="n">
        <v>1.7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67949-2019</t>
        </is>
      </c>
      <c r="B394" s="1" t="n">
        <v>43816</v>
      </c>
      <c r="C394" s="1" t="n">
        <v>45849</v>
      </c>
      <c r="D394" t="inlineStr">
        <is>
          <t>VÄSTERBOTTENS LÄN</t>
        </is>
      </c>
      <c r="E394" t="inlineStr">
        <is>
          <t>LYCKSELE</t>
        </is>
      </c>
      <c r="F394" t="inlineStr">
        <is>
          <t>Sveaskog</t>
        </is>
      </c>
      <c r="G394" t="n">
        <v>5.3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67935-2019</t>
        </is>
      </c>
      <c r="B395" s="1" t="n">
        <v>43816</v>
      </c>
      <c r="C395" s="1" t="n">
        <v>45849</v>
      </c>
      <c r="D395" t="inlineStr">
        <is>
          <t>VÄSTERBOTTENS LÄN</t>
        </is>
      </c>
      <c r="E395" t="inlineStr">
        <is>
          <t>LYCKSELE</t>
        </is>
      </c>
      <c r="F395" t="inlineStr">
        <is>
          <t>Sveaskog</t>
        </is>
      </c>
      <c r="G395" t="n">
        <v>4.9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68185-2019</t>
        </is>
      </c>
      <c r="B396" s="1" t="n">
        <v>43817</v>
      </c>
      <c r="C396" s="1" t="n">
        <v>45849</v>
      </c>
      <c r="D396" t="inlineStr">
        <is>
          <t>VÄSTERBOTTENS LÄN</t>
        </is>
      </c>
      <c r="E396" t="inlineStr">
        <is>
          <t>LYCKSELE</t>
        </is>
      </c>
      <c r="F396" t="inlineStr">
        <is>
          <t>Sveaskog</t>
        </is>
      </c>
      <c r="G396" t="n">
        <v>2.5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68179-2019</t>
        </is>
      </c>
      <c r="B397" s="1" t="n">
        <v>43817</v>
      </c>
      <c r="C397" s="1" t="n">
        <v>45849</v>
      </c>
      <c r="D397" t="inlineStr">
        <is>
          <t>VÄSTERBOTTENS LÄN</t>
        </is>
      </c>
      <c r="E397" t="inlineStr">
        <is>
          <t>LYCKSELE</t>
        </is>
      </c>
      <c r="F397" t="inlineStr">
        <is>
          <t>Sveaskog</t>
        </is>
      </c>
      <c r="G397" t="n">
        <v>3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68172-2019</t>
        </is>
      </c>
      <c r="B398" s="1" t="n">
        <v>43817</v>
      </c>
      <c r="C398" s="1" t="n">
        <v>45849</v>
      </c>
      <c r="D398" t="inlineStr">
        <is>
          <t>VÄSTERBOTTENS LÄN</t>
        </is>
      </c>
      <c r="E398" t="inlineStr">
        <is>
          <t>LYCKSELE</t>
        </is>
      </c>
      <c r="F398" t="inlineStr">
        <is>
          <t>Sveaskog</t>
        </is>
      </c>
      <c r="G398" t="n">
        <v>23.7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68194-2019</t>
        </is>
      </c>
      <c r="B399" s="1" t="n">
        <v>43817</v>
      </c>
      <c r="C399" s="1" t="n">
        <v>45849</v>
      </c>
      <c r="D399" t="inlineStr">
        <is>
          <t>VÄSTERBOTTENS LÄN</t>
        </is>
      </c>
      <c r="E399" t="inlineStr">
        <is>
          <t>LYCKSELE</t>
        </is>
      </c>
      <c r="F399" t="inlineStr">
        <is>
          <t>Sveaskog</t>
        </is>
      </c>
      <c r="G399" t="n">
        <v>1.8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68614-2019</t>
        </is>
      </c>
      <c r="B400" s="1" t="n">
        <v>43818</v>
      </c>
      <c r="C400" s="1" t="n">
        <v>45849</v>
      </c>
      <c r="D400" t="inlineStr">
        <is>
          <t>VÄSTERBOTTENS LÄN</t>
        </is>
      </c>
      <c r="E400" t="inlineStr">
        <is>
          <t>LYCKSELE</t>
        </is>
      </c>
      <c r="G400" t="n">
        <v>1.4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1716-2020</t>
        </is>
      </c>
      <c r="B401" s="1" t="n">
        <v>43833</v>
      </c>
      <c r="C401" s="1" t="n">
        <v>45849</v>
      </c>
      <c r="D401" t="inlineStr">
        <is>
          <t>VÄSTERBOTTENS LÄN</t>
        </is>
      </c>
      <c r="E401" t="inlineStr">
        <is>
          <t>LYCKSELE</t>
        </is>
      </c>
      <c r="G401" t="n">
        <v>17.4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1691-2020</t>
        </is>
      </c>
      <c r="B402" s="1" t="n">
        <v>43833</v>
      </c>
      <c r="C402" s="1" t="n">
        <v>45849</v>
      </c>
      <c r="D402" t="inlineStr">
        <is>
          <t>VÄSTERBOTTENS LÄN</t>
        </is>
      </c>
      <c r="E402" t="inlineStr">
        <is>
          <t>LYCKSELE</t>
        </is>
      </c>
      <c r="G402" t="n">
        <v>4.3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954-2020</t>
        </is>
      </c>
      <c r="B403" s="1" t="n">
        <v>43839</v>
      </c>
      <c r="C403" s="1" t="n">
        <v>45849</v>
      </c>
      <c r="D403" t="inlineStr">
        <is>
          <t>VÄSTERBOTTENS LÄN</t>
        </is>
      </c>
      <c r="E403" t="inlineStr">
        <is>
          <t>LYCKSELE</t>
        </is>
      </c>
      <c r="F403" t="inlineStr">
        <is>
          <t>Holmen skog AB</t>
        </is>
      </c>
      <c r="G403" t="n">
        <v>2.7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1108-2020</t>
        </is>
      </c>
      <c r="B404" s="1" t="n">
        <v>43840</v>
      </c>
      <c r="C404" s="1" t="n">
        <v>45849</v>
      </c>
      <c r="D404" t="inlineStr">
        <is>
          <t>VÄSTERBOTTENS LÄN</t>
        </is>
      </c>
      <c r="E404" t="inlineStr">
        <is>
          <t>LYCKSELE</t>
        </is>
      </c>
      <c r="G404" t="n">
        <v>0.4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1142-2020</t>
        </is>
      </c>
      <c r="B405" s="1" t="n">
        <v>43840</v>
      </c>
      <c r="C405" s="1" t="n">
        <v>45849</v>
      </c>
      <c r="D405" t="inlineStr">
        <is>
          <t>VÄSTERBOTTENS LÄN</t>
        </is>
      </c>
      <c r="E405" t="inlineStr">
        <is>
          <t>LYCKSELE</t>
        </is>
      </c>
      <c r="G405" t="n">
        <v>0.2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1133-2020</t>
        </is>
      </c>
      <c r="B406" s="1" t="n">
        <v>43840</v>
      </c>
      <c r="C406" s="1" t="n">
        <v>45849</v>
      </c>
      <c r="D406" t="inlineStr">
        <is>
          <t>VÄSTERBOTTENS LÄN</t>
        </is>
      </c>
      <c r="E406" t="inlineStr">
        <is>
          <t>LYCKSELE</t>
        </is>
      </c>
      <c r="G406" t="n">
        <v>0.9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1270-2020</t>
        </is>
      </c>
      <c r="B407" s="1" t="n">
        <v>43841</v>
      </c>
      <c r="C407" s="1" t="n">
        <v>45849</v>
      </c>
      <c r="D407" t="inlineStr">
        <is>
          <t>VÄSTERBOTTENS LÄN</t>
        </is>
      </c>
      <c r="E407" t="inlineStr">
        <is>
          <t>LYCKSELE</t>
        </is>
      </c>
      <c r="F407" t="inlineStr">
        <is>
          <t>Naturvårdsverket</t>
        </is>
      </c>
      <c r="G407" t="n">
        <v>2.9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3620-2020</t>
        </is>
      </c>
      <c r="B408" s="1" t="n">
        <v>43845</v>
      </c>
      <c r="C408" s="1" t="n">
        <v>45849</v>
      </c>
      <c r="D408" t="inlineStr">
        <is>
          <t>VÄSTERBOTTENS LÄN</t>
        </is>
      </c>
      <c r="E408" t="inlineStr">
        <is>
          <t>LYCKSELE</t>
        </is>
      </c>
      <c r="G408" t="n">
        <v>1.9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4041-2020</t>
        </is>
      </c>
      <c r="B409" s="1" t="n">
        <v>43857</v>
      </c>
      <c r="C409" s="1" t="n">
        <v>45849</v>
      </c>
      <c r="D409" t="inlineStr">
        <is>
          <t>VÄSTERBOTTENS LÄN</t>
        </is>
      </c>
      <c r="E409" t="inlineStr">
        <is>
          <t>LYCKSELE</t>
        </is>
      </c>
      <c r="F409" t="inlineStr">
        <is>
          <t>Sveaskog</t>
        </is>
      </c>
      <c r="G409" t="n">
        <v>1.7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5501-2020</t>
        </is>
      </c>
      <c r="B410" s="1" t="n">
        <v>43858</v>
      </c>
      <c r="C410" s="1" t="n">
        <v>45849</v>
      </c>
      <c r="D410" t="inlineStr">
        <is>
          <t>VÄSTERBOTTENS LÄN</t>
        </is>
      </c>
      <c r="E410" t="inlineStr">
        <is>
          <t>LYCKSELE</t>
        </is>
      </c>
      <c r="G410" t="n">
        <v>2.8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6097-2020</t>
        </is>
      </c>
      <c r="B411" s="1" t="n">
        <v>43864</v>
      </c>
      <c r="C411" s="1" t="n">
        <v>45849</v>
      </c>
      <c r="D411" t="inlineStr">
        <is>
          <t>VÄSTERBOTTENS LÄN</t>
        </is>
      </c>
      <c r="E411" t="inlineStr">
        <is>
          <t>LYCKSELE</t>
        </is>
      </c>
      <c r="G411" t="n">
        <v>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7618-2020</t>
        </is>
      </c>
      <c r="B412" s="1" t="n">
        <v>43871</v>
      </c>
      <c r="C412" s="1" t="n">
        <v>45849</v>
      </c>
      <c r="D412" t="inlineStr">
        <is>
          <t>VÄSTERBOTTENS LÄN</t>
        </is>
      </c>
      <c r="E412" t="inlineStr">
        <is>
          <t>LYCKSELE</t>
        </is>
      </c>
      <c r="G412" t="n">
        <v>17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7632-2020</t>
        </is>
      </c>
      <c r="B413" s="1" t="n">
        <v>43871</v>
      </c>
      <c r="C413" s="1" t="n">
        <v>45849</v>
      </c>
      <c r="D413" t="inlineStr">
        <is>
          <t>VÄSTERBOTTENS LÄN</t>
        </is>
      </c>
      <c r="E413" t="inlineStr">
        <is>
          <t>LYCKSELE</t>
        </is>
      </c>
      <c r="G413" t="n">
        <v>8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9994-2020</t>
        </is>
      </c>
      <c r="B414" s="1" t="n">
        <v>43882</v>
      </c>
      <c r="C414" s="1" t="n">
        <v>45849</v>
      </c>
      <c r="D414" t="inlineStr">
        <is>
          <t>VÄSTERBOTTENS LÄN</t>
        </is>
      </c>
      <c r="E414" t="inlineStr">
        <is>
          <t>LYCKSELE</t>
        </is>
      </c>
      <c r="G414" t="n">
        <v>3.9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14940-2020</t>
        </is>
      </c>
      <c r="B415" s="1" t="n">
        <v>43910</v>
      </c>
      <c r="C415" s="1" t="n">
        <v>45849</v>
      </c>
      <c r="D415" t="inlineStr">
        <is>
          <t>VÄSTERBOTTENS LÄN</t>
        </is>
      </c>
      <c r="E415" t="inlineStr">
        <is>
          <t>LYCKSELE</t>
        </is>
      </c>
      <c r="G415" t="n">
        <v>1.6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17137-2020</t>
        </is>
      </c>
      <c r="B416" s="1" t="n">
        <v>43922</v>
      </c>
      <c r="C416" s="1" t="n">
        <v>45849</v>
      </c>
      <c r="D416" t="inlineStr">
        <is>
          <t>VÄSTERBOTTENS LÄN</t>
        </is>
      </c>
      <c r="E416" t="inlineStr">
        <is>
          <t>LYCKSELE</t>
        </is>
      </c>
      <c r="G416" t="n">
        <v>0.7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17126-2020</t>
        </is>
      </c>
      <c r="B417" s="1" t="n">
        <v>43922</v>
      </c>
      <c r="C417" s="1" t="n">
        <v>45849</v>
      </c>
      <c r="D417" t="inlineStr">
        <is>
          <t>VÄSTERBOTTENS LÄN</t>
        </is>
      </c>
      <c r="E417" t="inlineStr">
        <is>
          <t>LYCKSELE</t>
        </is>
      </c>
      <c r="G417" t="n">
        <v>3.6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18609-2020</t>
        </is>
      </c>
      <c r="B418" s="1" t="n">
        <v>43929</v>
      </c>
      <c r="C418" s="1" t="n">
        <v>45849</v>
      </c>
      <c r="D418" t="inlineStr">
        <is>
          <t>VÄSTERBOTTENS LÄN</t>
        </is>
      </c>
      <c r="E418" t="inlineStr">
        <is>
          <t>LYCKSELE</t>
        </is>
      </c>
      <c r="F418" t="inlineStr">
        <is>
          <t>SCA</t>
        </is>
      </c>
      <c r="G418" t="n">
        <v>2.8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18898-2020</t>
        </is>
      </c>
      <c r="B419" s="1" t="n">
        <v>43930</v>
      </c>
      <c r="C419" s="1" t="n">
        <v>45849</v>
      </c>
      <c r="D419" t="inlineStr">
        <is>
          <t>VÄSTERBOTTENS LÄN</t>
        </is>
      </c>
      <c r="E419" t="inlineStr">
        <is>
          <t>LYCKSELE</t>
        </is>
      </c>
      <c r="G419" t="n">
        <v>2.3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20383-2020</t>
        </is>
      </c>
      <c r="B420" s="1" t="n">
        <v>43945</v>
      </c>
      <c r="C420" s="1" t="n">
        <v>45849</v>
      </c>
      <c r="D420" t="inlineStr">
        <is>
          <t>VÄSTERBOTTENS LÄN</t>
        </is>
      </c>
      <c r="E420" t="inlineStr">
        <is>
          <t>LYCKSELE</t>
        </is>
      </c>
      <c r="G420" t="n">
        <v>0.8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20445-2020</t>
        </is>
      </c>
      <c r="B421" s="1" t="n">
        <v>43945</v>
      </c>
      <c r="C421" s="1" t="n">
        <v>45849</v>
      </c>
      <c r="D421" t="inlineStr">
        <is>
          <t>VÄSTERBOTTENS LÄN</t>
        </is>
      </c>
      <c r="E421" t="inlineStr">
        <is>
          <t>LYCKSELE</t>
        </is>
      </c>
      <c r="G421" t="n">
        <v>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20388-2020</t>
        </is>
      </c>
      <c r="B422" s="1" t="n">
        <v>43945</v>
      </c>
      <c r="C422" s="1" t="n">
        <v>45849</v>
      </c>
      <c r="D422" t="inlineStr">
        <is>
          <t>VÄSTERBOTTENS LÄN</t>
        </is>
      </c>
      <c r="E422" t="inlineStr">
        <is>
          <t>LYCKSELE</t>
        </is>
      </c>
      <c r="G422" t="n">
        <v>0.7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25258-2020</t>
        </is>
      </c>
      <c r="B423" s="1" t="n">
        <v>43980</v>
      </c>
      <c r="C423" s="1" t="n">
        <v>45849</v>
      </c>
      <c r="D423" t="inlineStr">
        <is>
          <t>VÄSTERBOTTENS LÄN</t>
        </is>
      </c>
      <c r="E423" t="inlineStr">
        <is>
          <t>LYCKSELE</t>
        </is>
      </c>
      <c r="F423" t="inlineStr">
        <is>
          <t>Holmen skog AB</t>
        </is>
      </c>
      <c r="G423" t="n">
        <v>1.3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25608-2020</t>
        </is>
      </c>
      <c r="B424" s="1" t="n">
        <v>43983</v>
      </c>
      <c r="C424" s="1" t="n">
        <v>45849</v>
      </c>
      <c r="D424" t="inlineStr">
        <is>
          <t>VÄSTERBOTTENS LÄN</t>
        </is>
      </c>
      <c r="E424" t="inlineStr">
        <is>
          <t>LYCKSELE</t>
        </is>
      </c>
      <c r="F424" t="inlineStr">
        <is>
          <t>Holmen skog AB</t>
        </is>
      </c>
      <c r="G424" t="n">
        <v>1.8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25916-2020</t>
        </is>
      </c>
      <c r="B425" s="1" t="n">
        <v>43984</v>
      </c>
      <c r="C425" s="1" t="n">
        <v>45849</v>
      </c>
      <c r="D425" t="inlineStr">
        <is>
          <t>VÄSTERBOTTENS LÄN</t>
        </is>
      </c>
      <c r="E425" t="inlineStr">
        <is>
          <t>LYCKSELE</t>
        </is>
      </c>
      <c r="F425" t="inlineStr">
        <is>
          <t>SCA</t>
        </is>
      </c>
      <c r="G425" t="n">
        <v>1.7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26096-2020</t>
        </is>
      </c>
      <c r="B426" s="1" t="n">
        <v>43985</v>
      </c>
      <c r="C426" s="1" t="n">
        <v>45849</v>
      </c>
      <c r="D426" t="inlineStr">
        <is>
          <t>VÄSTERBOTTENS LÄN</t>
        </is>
      </c>
      <c r="E426" t="inlineStr">
        <is>
          <t>LYCKSELE</t>
        </is>
      </c>
      <c r="F426" t="inlineStr">
        <is>
          <t>Holmen skog AB</t>
        </is>
      </c>
      <c r="G426" t="n">
        <v>9.800000000000001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26082-2020</t>
        </is>
      </c>
      <c r="B427" s="1" t="n">
        <v>43985</v>
      </c>
      <c r="C427" s="1" t="n">
        <v>45849</v>
      </c>
      <c r="D427" t="inlineStr">
        <is>
          <t>VÄSTERBOTTENS LÄN</t>
        </is>
      </c>
      <c r="E427" t="inlineStr">
        <is>
          <t>LYCKSELE</t>
        </is>
      </c>
      <c r="G427" t="n">
        <v>7.4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27094-2020</t>
        </is>
      </c>
      <c r="B428" s="1" t="n">
        <v>43985</v>
      </c>
      <c r="C428" s="1" t="n">
        <v>45849</v>
      </c>
      <c r="D428" t="inlineStr">
        <is>
          <t>VÄSTERBOTTENS LÄN</t>
        </is>
      </c>
      <c r="E428" t="inlineStr">
        <is>
          <t>LYCKSELE</t>
        </is>
      </c>
      <c r="G428" t="n">
        <v>0.9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26457-2020</t>
        </is>
      </c>
      <c r="B429" s="1" t="n">
        <v>43987</v>
      </c>
      <c r="C429" s="1" t="n">
        <v>45849</v>
      </c>
      <c r="D429" t="inlineStr">
        <is>
          <t>VÄSTERBOTTENS LÄN</t>
        </is>
      </c>
      <c r="E429" t="inlineStr">
        <is>
          <t>LYCKSELE</t>
        </is>
      </c>
      <c r="F429" t="inlineStr">
        <is>
          <t>Holmen skog AB</t>
        </is>
      </c>
      <c r="G429" t="n">
        <v>0.8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26780-2020</t>
        </is>
      </c>
      <c r="B430" s="1" t="n">
        <v>43990</v>
      </c>
      <c r="C430" s="1" t="n">
        <v>45849</v>
      </c>
      <c r="D430" t="inlineStr">
        <is>
          <t>VÄSTERBOTTENS LÄN</t>
        </is>
      </c>
      <c r="E430" t="inlineStr">
        <is>
          <t>LYCKSELE</t>
        </is>
      </c>
      <c r="F430" t="inlineStr">
        <is>
          <t>Sveaskog</t>
        </is>
      </c>
      <c r="G430" t="n">
        <v>4.7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30386-2020</t>
        </is>
      </c>
      <c r="B431" s="1" t="n">
        <v>44007</v>
      </c>
      <c r="C431" s="1" t="n">
        <v>45849</v>
      </c>
      <c r="D431" t="inlineStr">
        <is>
          <t>VÄSTERBOTTENS LÄN</t>
        </is>
      </c>
      <c r="E431" t="inlineStr">
        <is>
          <t>LYCKSELE</t>
        </is>
      </c>
      <c r="G431" t="n">
        <v>1.2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30964-2020</t>
        </is>
      </c>
      <c r="B432" s="1" t="n">
        <v>44011</v>
      </c>
      <c r="C432" s="1" t="n">
        <v>45849</v>
      </c>
      <c r="D432" t="inlineStr">
        <is>
          <t>VÄSTERBOTTENS LÄN</t>
        </is>
      </c>
      <c r="E432" t="inlineStr">
        <is>
          <t>LYCKSELE</t>
        </is>
      </c>
      <c r="F432" t="inlineStr">
        <is>
          <t>Sveaskog</t>
        </is>
      </c>
      <c r="G432" t="n">
        <v>19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31743-2020</t>
        </is>
      </c>
      <c r="B433" s="1" t="n">
        <v>44014</v>
      </c>
      <c r="C433" s="1" t="n">
        <v>45849</v>
      </c>
      <c r="D433" t="inlineStr">
        <is>
          <t>VÄSTERBOTTENS LÄN</t>
        </is>
      </c>
      <c r="E433" t="inlineStr">
        <is>
          <t>LYCKSELE</t>
        </is>
      </c>
      <c r="F433" t="inlineStr">
        <is>
          <t>Holmen skog AB</t>
        </is>
      </c>
      <c r="G433" t="n">
        <v>6.6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32176-2020</t>
        </is>
      </c>
      <c r="B434" s="1" t="n">
        <v>44015</v>
      </c>
      <c r="C434" s="1" t="n">
        <v>45849</v>
      </c>
      <c r="D434" t="inlineStr">
        <is>
          <t>VÄSTERBOTTENS LÄN</t>
        </is>
      </c>
      <c r="E434" t="inlineStr">
        <is>
          <t>LYCKSELE</t>
        </is>
      </c>
      <c r="F434" t="inlineStr">
        <is>
          <t>Sveaskog</t>
        </is>
      </c>
      <c r="G434" t="n">
        <v>3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32188-2020</t>
        </is>
      </c>
      <c r="B435" s="1" t="n">
        <v>44015</v>
      </c>
      <c r="C435" s="1" t="n">
        <v>45849</v>
      </c>
      <c r="D435" t="inlineStr">
        <is>
          <t>VÄSTERBOTTENS LÄN</t>
        </is>
      </c>
      <c r="E435" t="inlineStr">
        <is>
          <t>LYCKSELE</t>
        </is>
      </c>
      <c r="F435" t="inlineStr">
        <is>
          <t>Sveaskog</t>
        </is>
      </c>
      <c r="G435" t="n">
        <v>3.2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33082-2020</t>
        </is>
      </c>
      <c r="B436" s="1" t="n">
        <v>44021</v>
      </c>
      <c r="C436" s="1" t="n">
        <v>45849</v>
      </c>
      <c r="D436" t="inlineStr">
        <is>
          <t>VÄSTERBOTTENS LÄN</t>
        </is>
      </c>
      <c r="E436" t="inlineStr">
        <is>
          <t>LYCKSELE</t>
        </is>
      </c>
      <c r="F436" t="inlineStr">
        <is>
          <t>Sveaskog</t>
        </is>
      </c>
      <c r="G436" t="n">
        <v>1.7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33109-2020</t>
        </is>
      </c>
      <c r="B437" s="1" t="n">
        <v>44021</v>
      </c>
      <c r="C437" s="1" t="n">
        <v>45849</v>
      </c>
      <c r="D437" t="inlineStr">
        <is>
          <t>VÄSTERBOTTENS LÄN</t>
        </is>
      </c>
      <c r="E437" t="inlineStr">
        <is>
          <t>LYCKSELE</t>
        </is>
      </c>
      <c r="F437" t="inlineStr">
        <is>
          <t>Holmen skog AB</t>
        </is>
      </c>
      <c r="G437" t="n">
        <v>1.7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33347-2020</t>
        </is>
      </c>
      <c r="B438" s="1" t="n">
        <v>44021</v>
      </c>
      <c r="C438" s="1" t="n">
        <v>45849</v>
      </c>
      <c r="D438" t="inlineStr">
        <is>
          <t>VÄSTERBOTTENS LÄN</t>
        </is>
      </c>
      <c r="E438" t="inlineStr">
        <is>
          <t>LYCKSELE</t>
        </is>
      </c>
      <c r="G438" t="n">
        <v>0.3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33487-2020</t>
        </is>
      </c>
      <c r="B439" s="1" t="n">
        <v>44024</v>
      </c>
      <c r="C439" s="1" t="n">
        <v>45849</v>
      </c>
      <c r="D439" t="inlineStr">
        <is>
          <t>VÄSTERBOTTENS LÄN</t>
        </is>
      </c>
      <c r="E439" t="inlineStr">
        <is>
          <t>LYCKSELE</t>
        </is>
      </c>
      <c r="F439" t="inlineStr">
        <is>
          <t>Sveaskog</t>
        </is>
      </c>
      <c r="G439" t="n">
        <v>2.7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33484-2020</t>
        </is>
      </c>
      <c r="B440" s="1" t="n">
        <v>44024</v>
      </c>
      <c r="C440" s="1" t="n">
        <v>45849</v>
      </c>
      <c r="D440" t="inlineStr">
        <is>
          <t>VÄSTERBOTTENS LÄN</t>
        </is>
      </c>
      <c r="E440" t="inlineStr">
        <is>
          <t>LYCKSELE</t>
        </is>
      </c>
      <c r="F440" t="inlineStr">
        <is>
          <t>Sveaskog</t>
        </is>
      </c>
      <c r="G440" t="n">
        <v>2.6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34151-2020</t>
        </is>
      </c>
      <c r="B441" s="1" t="n">
        <v>44027</v>
      </c>
      <c r="C441" s="1" t="n">
        <v>45849</v>
      </c>
      <c r="D441" t="inlineStr">
        <is>
          <t>VÄSTERBOTTENS LÄN</t>
        </is>
      </c>
      <c r="E441" t="inlineStr">
        <is>
          <t>LYCKSELE</t>
        </is>
      </c>
      <c r="G441" t="n">
        <v>0.7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33841-2020</t>
        </is>
      </c>
      <c r="B442" s="1" t="n">
        <v>44027</v>
      </c>
      <c r="C442" s="1" t="n">
        <v>45849</v>
      </c>
      <c r="D442" t="inlineStr">
        <is>
          <t>VÄSTERBOTTENS LÄN</t>
        </is>
      </c>
      <c r="E442" t="inlineStr">
        <is>
          <t>LYCKSELE</t>
        </is>
      </c>
      <c r="F442" t="inlineStr">
        <is>
          <t>Holmen skog AB</t>
        </is>
      </c>
      <c r="G442" t="n">
        <v>13.1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34060-2020</t>
        </is>
      </c>
      <c r="B443" s="1" t="n">
        <v>44028</v>
      </c>
      <c r="C443" s="1" t="n">
        <v>45849</v>
      </c>
      <c r="D443" t="inlineStr">
        <is>
          <t>VÄSTERBOTTENS LÄN</t>
        </is>
      </c>
      <c r="E443" t="inlineStr">
        <is>
          <t>LYCKSELE</t>
        </is>
      </c>
      <c r="G443" t="n">
        <v>9.300000000000001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34479-2020</t>
        </is>
      </c>
      <c r="B444" s="1" t="n">
        <v>44032</v>
      </c>
      <c r="C444" s="1" t="n">
        <v>45849</v>
      </c>
      <c r="D444" t="inlineStr">
        <is>
          <t>VÄSTERBOTTENS LÄN</t>
        </is>
      </c>
      <c r="E444" t="inlineStr">
        <is>
          <t>LYCKSELE</t>
        </is>
      </c>
      <c r="F444" t="inlineStr">
        <is>
          <t>Naturvårdsverket</t>
        </is>
      </c>
      <c r="G444" t="n">
        <v>0.8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34770-2020</t>
        </is>
      </c>
      <c r="B445" s="1" t="n">
        <v>44035</v>
      </c>
      <c r="C445" s="1" t="n">
        <v>45849</v>
      </c>
      <c r="D445" t="inlineStr">
        <is>
          <t>VÄSTERBOTTENS LÄN</t>
        </is>
      </c>
      <c r="E445" t="inlineStr">
        <is>
          <t>LYCKSELE</t>
        </is>
      </c>
      <c r="F445" t="inlineStr">
        <is>
          <t>Sveaskog</t>
        </is>
      </c>
      <c r="G445" t="n">
        <v>2.3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34763-2020</t>
        </is>
      </c>
      <c r="B446" s="1" t="n">
        <v>44035</v>
      </c>
      <c r="C446" s="1" t="n">
        <v>45849</v>
      </c>
      <c r="D446" t="inlineStr">
        <is>
          <t>VÄSTERBOTTENS LÄN</t>
        </is>
      </c>
      <c r="E446" t="inlineStr">
        <is>
          <t>LYCKSELE</t>
        </is>
      </c>
      <c r="F446" t="inlineStr">
        <is>
          <t>Sveaskog</t>
        </is>
      </c>
      <c r="G446" t="n">
        <v>2.2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37227-2020</t>
        </is>
      </c>
      <c r="B447" s="1" t="n">
        <v>44054</v>
      </c>
      <c r="C447" s="1" t="n">
        <v>45849</v>
      </c>
      <c r="D447" t="inlineStr">
        <is>
          <t>VÄSTERBOTTENS LÄN</t>
        </is>
      </c>
      <c r="E447" t="inlineStr">
        <is>
          <t>LYCKSELE</t>
        </is>
      </c>
      <c r="F447" t="inlineStr">
        <is>
          <t>SCA</t>
        </is>
      </c>
      <c r="G447" t="n">
        <v>2.5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37978-2020</t>
        </is>
      </c>
      <c r="B448" s="1" t="n">
        <v>44057</v>
      </c>
      <c r="C448" s="1" t="n">
        <v>45849</v>
      </c>
      <c r="D448" t="inlineStr">
        <is>
          <t>VÄSTERBOTTENS LÄN</t>
        </is>
      </c>
      <c r="E448" t="inlineStr">
        <is>
          <t>LYCKSELE</t>
        </is>
      </c>
      <c r="F448" t="inlineStr">
        <is>
          <t>Sveaskog</t>
        </is>
      </c>
      <c r="G448" t="n">
        <v>1.1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38067-2020</t>
        </is>
      </c>
      <c r="B449" s="1" t="n">
        <v>44057</v>
      </c>
      <c r="C449" s="1" t="n">
        <v>45849</v>
      </c>
      <c r="D449" t="inlineStr">
        <is>
          <t>VÄSTERBOTTENS LÄN</t>
        </is>
      </c>
      <c r="E449" t="inlineStr">
        <is>
          <t>LYCKSELE</t>
        </is>
      </c>
      <c r="F449" t="inlineStr">
        <is>
          <t>SCA</t>
        </is>
      </c>
      <c r="G449" t="n">
        <v>6.6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38944-2020</t>
        </is>
      </c>
      <c r="B450" s="1" t="n">
        <v>44062</v>
      </c>
      <c r="C450" s="1" t="n">
        <v>45849</v>
      </c>
      <c r="D450" t="inlineStr">
        <is>
          <t>VÄSTERBOTTENS LÄN</t>
        </is>
      </c>
      <c r="E450" t="inlineStr">
        <is>
          <t>LYCKSELE</t>
        </is>
      </c>
      <c r="G450" t="n">
        <v>1.6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38980-2020</t>
        </is>
      </c>
      <c r="B451" s="1" t="n">
        <v>44062</v>
      </c>
      <c r="C451" s="1" t="n">
        <v>45849</v>
      </c>
      <c r="D451" t="inlineStr">
        <is>
          <t>VÄSTERBOTTENS LÄN</t>
        </is>
      </c>
      <c r="E451" t="inlineStr">
        <is>
          <t>LYCKSELE</t>
        </is>
      </c>
      <c r="F451" t="inlineStr">
        <is>
          <t>Holmen skog AB</t>
        </is>
      </c>
      <c r="G451" t="n">
        <v>1.5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40355-2020</t>
        </is>
      </c>
      <c r="B452" s="1" t="n">
        <v>44067</v>
      </c>
      <c r="C452" s="1" t="n">
        <v>45849</v>
      </c>
      <c r="D452" t="inlineStr">
        <is>
          <t>VÄSTERBOTTENS LÄN</t>
        </is>
      </c>
      <c r="E452" t="inlineStr">
        <is>
          <t>LYCKSELE</t>
        </is>
      </c>
      <c r="G452" t="n">
        <v>0.9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43063-2020</t>
        </is>
      </c>
      <c r="B453" s="1" t="n">
        <v>44078</v>
      </c>
      <c r="C453" s="1" t="n">
        <v>45849</v>
      </c>
      <c r="D453" t="inlineStr">
        <is>
          <t>VÄSTERBOTTENS LÄN</t>
        </is>
      </c>
      <c r="E453" t="inlineStr">
        <is>
          <t>LYCKSELE</t>
        </is>
      </c>
      <c r="F453" t="inlineStr">
        <is>
          <t>SCA</t>
        </is>
      </c>
      <c r="G453" t="n">
        <v>6.6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44041-2020</t>
        </is>
      </c>
      <c r="B454" s="1" t="n">
        <v>44081</v>
      </c>
      <c r="C454" s="1" t="n">
        <v>45849</v>
      </c>
      <c r="D454" t="inlineStr">
        <is>
          <t>VÄSTERBOTTENS LÄN</t>
        </is>
      </c>
      <c r="E454" t="inlineStr">
        <is>
          <t>LYCKSELE</t>
        </is>
      </c>
      <c r="G454" t="n">
        <v>3.4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44198-2020</t>
        </is>
      </c>
      <c r="B455" s="1" t="n">
        <v>44083</v>
      </c>
      <c r="C455" s="1" t="n">
        <v>45849</v>
      </c>
      <c r="D455" t="inlineStr">
        <is>
          <t>VÄSTERBOTTENS LÄN</t>
        </is>
      </c>
      <c r="E455" t="inlineStr">
        <is>
          <t>LYCKSELE</t>
        </is>
      </c>
      <c r="G455" t="n">
        <v>0.9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44529-2020</t>
        </is>
      </c>
      <c r="B456" s="1" t="n">
        <v>44085</v>
      </c>
      <c r="C456" s="1" t="n">
        <v>45849</v>
      </c>
      <c r="D456" t="inlineStr">
        <is>
          <t>VÄSTERBOTTENS LÄN</t>
        </is>
      </c>
      <c r="E456" t="inlineStr">
        <is>
          <t>LYCKSELE</t>
        </is>
      </c>
      <c r="F456" t="inlineStr">
        <is>
          <t>Sveaskog</t>
        </is>
      </c>
      <c r="G456" t="n">
        <v>55.2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45974-2020</t>
        </is>
      </c>
      <c r="B457" s="1" t="n">
        <v>44091</v>
      </c>
      <c r="C457" s="1" t="n">
        <v>45849</v>
      </c>
      <c r="D457" t="inlineStr">
        <is>
          <t>VÄSTERBOTTENS LÄN</t>
        </is>
      </c>
      <c r="E457" t="inlineStr">
        <is>
          <t>LYCKSELE</t>
        </is>
      </c>
      <c r="G457" t="n">
        <v>14.1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46595-2020</t>
        </is>
      </c>
      <c r="B458" s="1" t="n">
        <v>44095</v>
      </c>
      <c r="C458" s="1" t="n">
        <v>45849</v>
      </c>
      <c r="D458" t="inlineStr">
        <is>
          <t>VÄSTERBOTTENS LÄN</t>
        </is>
      </c>
      <c r="E458" t="inlineStr">
        <is>
          <t>LYCKSELE</t>
        </is>
      </c>
      <c r="F458" t="inlineStr">
        <is>
          <t>Sveaskog</t>
        </is>
      </c>
      <c r="G458" t="n">
        <v>56.3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46632-2020</t>
        </is>
      </c>
      <c r="B459" s="1" t="n">
        <v>44095</v>
      </c>
      <c r="C459" s="1" t="n">
        <v>45849</v>
      </c>
      <c r="D459" t="inlineStr">
        <is>
          <t>VÄSTERBOTTENS LÄN</t>
        </is>
      </c>
      <c r="E459" t="inlineStr">
        <is>
          <t>LYCKSELE</t>
        </is>
      </c>
      <c r="F459" t="inlineStr">
        <is>
          <t>Holmen skog AB</t>
        </is>
      </c>
      <c r="G459" t="n">
        <v>2.1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46764-2020</t>
        </is>
      </c>
      <c r="B460" s="1" t="n">
        <v>44095</v>
      </c>
      <c r="C460" s="1" t="n">
        <v>45849</v>
      </c>
      <c r="D460" t="inlineStr">
        <is>
          <t>VÄSTERBOTTENS LÄN</t>
        </is>
      </c>
      <c r="E460" t="inlineStr">
        <is>
          <t>LYCKSELE</t>
        </is>
      </c>
      <c r="F460" t="inlineStr">
        <is>
          <t>SCA</t>
        </is>
      </c>
      <c r="G460" t="n">
        <v>0.7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47487-2020</t>
        </is>
      </c>
      <c r="B461" s="1" t="n">
        <v>44098</v>
      </c>
      <c r="C461" s="1" t="n">
        <v>45849</v>
      </c>
      <c r="D461" t="inlineStr">
        <is>
          <t>VÄSTERBOTTENS LÄN</t>
        </is>
      </c>
      <c r="E461" t="inlineStr">
        <is>
          <t>LYCKSELE</t>
        </is>
      </c>
      <c r="F461" t="inlineStr">
        <is>
          <t>Holmen skog AB</t>
        </is>
      </c>
      <c r="G461" t="n">
        <v>5.2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48370-2020</t>
        </is>
      </c>
      <c r="B462" s="1" t="n">
        <v>44102</v>
      </c>
      <c r="C462" s="1" t="n">
        <v>45849</v>
      </c>
      <c r="D462" t="inlineStr">
        <is>
          <t>VÄSTERBOTTENS LÄN</t>
        </is>
      </c>
      <c r="E462" t="inlineStr">
        <is>
          <t>LYCKSELE</t>
        </is>
      </c>
      <c r="F462" t="inlineStr">
        <is>
          <t>Sveaskog</t>
        </is>
      </c>
      <c r="G462" t="n">
        <v>0.3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49378-2020</t>
        </is>
      </c>
      <c r="B463" s="1" t="n">
        <v>44105</v>
      </c>
      <c r="C463" s="1" t="n">
        <v>45849</v>
      </c>
      <c r="D463" t="inlineStr">
        <is>
          <t>VÄSTERBOTTENS LÄN</t>
        </is>
      </c>
      <c r="E463" t="inlineStr">
        <is>
          <t>LYCKSELE</t>
        </is>
      </c>
      <c r="F463" t="inlineStr">
        <is>
          <t>Sveaskog</t>
        </is>
      </c>
      <c r="G463" t="n">
        <v>4.5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49482-2020</t>
        </is>
      </c>
      <c r="B464" s="1" t="n">
        <v>44105</v>
      </c>
      <c r="C464" s="1" t="n">
        <v>45849</v>
      </c>
      <c r="D464" t="inlineStr">
        <is>
          <t>VÄSTERBOTTENS LÄN</t>
        </is>
      </c>
      <c r="E464" t="inlineStr">
        <is>
          <t>LYCKSELE</t>
        </is>
      </c>
      <c r="G464" t="n">
        <v>0.7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50218-2020</t>
        </is>
      </c>
      <c r="B465" s="1" t="n">
        <v>44109</v>
      </c>
      <c r="C465" s="1" t="n">
        <v>45849</v>
      </c>
      <c r="D465" t="inlineStr">
        <is>
          <t>VÄSTERBOTTENS LÄN</t>
        </is>
      </c>
      <c r="E465" t="inlineStr">
        <is>
          <t>LYCKSELE</t>
        </is>
      </c>
      <c r="F465" t="inlineStr">
        <is>
          <t>Sveaskog</t>
        </is>
      </c>
      <c r="G465" t="n">
        <v>1.1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50217-2020</t>
        </is>
      </c>
      <c r="B466" s="1" t="n">
        <v>44109</v>
      </c>
      <c r="C466" s="1" t="n">
        <v>45849</v>
      </c>
      <c r="D466" t="inlineStr">
        <is>
          <t>VÄSTERBOTTENS LÄN</t>
        </is>
      </c>
      <c r="E466" t="inlineStr">
        <is>
          <t>LYCKSELE</t>
        </is>
      </c>
      <c r="F466" t="inlineStr">
        <is>
          <t>Sveaskog</t>
        </is>
      </c>
      <c r="G466" t="n">
        <v>2.1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53053-2020</t>
        </is>
      </c>
      <c r="B467" s="1" t="n">
        <v>44120</v>
      </c>
      <c r="C467" s="1" t="n">
        <v>45849</v>
      </c>
      <c r="D467" t="inlineStr">
        <is>
          <t>VÄSTERBOTTENS LÄN</t>
        </is>
      </c>
      <c r="E467" t="inlineStr">
        <is>
          <t>LYCKSELE</t>
        </is>
      </c>
      <c r="G467" t="n">
        <v>1.6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53083-2020</t>
        </is>
      </c>
      <c r="B468" s="1" t="n">
        <v>44120</v>
      </c>
      <c r="C468" s="1" t="n">
        <v>45849</v>
      </c>
      <c r="D468" t="inlineStr">
        <is>
          <t>VÄSTERBOTTENS LÄN</t>
        </is>
      </c>
      <c r="E468" t="inlineStr">
        <is>
          <t>LYCKSELE</t>
        </is>
      </c>
      <c r="G468" t="n">
        <v>0.6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53074-2020</t>
        </is>
      </c>
      <c r="B469" s="1" t="n">
        <v>44120</v>
      </c>
      <c r="C469" s="1" t="n">
        <v>45849</v>
      </c>
      <c r="D469" t="inlineStr">
        <is>
          <t>VÄSTERBOTTENS LÄN</t>
        </is>
      </c>
      <c r="E469" t="inlineStr">
        <is>
          <t>LYCKSELE</t>
        </is>
      </c>
      <c r="G469" t="n">
        <v>1.2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53146-2020</t>
        </is>
      </c>
      <c r="B470" s="1" t="n">
        <v>44120</v>
      </c>
      <c r="C470" s="1" t="n">
        <v>45849</v>
      </c>
      <c r="D470" t="inlineStr">
        <is>
          <t>VÄSTERBOTTENS LÄN</t>
        </is>
      </c>
      <c r="E470" t="inlineStr">
        <is>
          <t>LYCKSELE</t>
        </is>
      </c>
      <c r="F470" t="inlineStr">
        <is>
          <t>Sveaskog</t>
        </is>
      </c>
      <c r="G470" t="n">
        <v>1.4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53180-2020</t>
        </is>
      </c>
      <c r="B471" s="1" t="n">
        <v>44120</v>
      </c>
      <c r="C471" s="1" t="n">
        <v>45849</v>
      </c>
      <c r="D471" t="inlineStr">
        <is>
          <t>VÄSTERBOTTENS LÄN</t>
        </is>
      </c>
      <c r="E471" t="inlineStr">
        <is>
          <t>LYCKSELE</t>
        </is>
      </c>
      <c r="F471" t="inlineStr">
        <is>
          <t>SCA</t>
        </is>
      </c>
      <c r="G471" t="n">
        <v>3.3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53469-2020</t>
        </is>
      </c>
      <c r="B472" s="1" t="n">
        <v>44123</v>
      </c>
      <c r="C472" s="1" t="n">
        <v>45849</v>
      </c>
      <c r="D472" t="inlineStr">
        <is>
          <t>VÄSTERBOTTENS LÄN</t>
        </is>
      </c>
      <c r="E472" t="inlineStr">
        <is>
          <t>LYCKSELE</t>
        </is>
      </c>
      <c r="F472" t="inlineStr">
        <is>
          <t>Holmen skog AB</t>
        </is>
      </c>
      <c r="G472" t="n">
        <v>0.9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53446-2020</t>
        </is>
      </c>
      <c r="B473" s="1" t="n">
        <v>44123</v>
      </c>
      <c r="C473" s="1" t="n">
        <v>45849</v>
      </c>
      <c r="D473" t="inlineStr">
        <is>
          <t>VÄSTERBOTTENS LÄN</t>
        </is>
      </c>
      <c r="E473" t="inlineStr">
        <is>
          <t>LYCKSELE</t>
        </is>
      </c>
      <c r="F473" t="inlineStr">
        <is>
          <t>Holmen skog AB</t>
        </is>
      </c>
      <c r="G473" t="n">
        <v>0.2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54805-2020</t>
        </is>
      </c>
      <c r="B474" s="1" t="n">
        <v>44127</v>
      </c>
      <c r="C474" s="1" t="n">
        <v>45849</v>
      </c>
      <c r="D474" t="inlineStr">
        <is>
          <t>VÄSTERBOTTENS LÄN</t>
        </is>
      </c>
      <c r="E474" t="inlineStr">
        <is>
          <t>LYCKSELE</t>
        </is>
      </c>
      <c r="F474" t="inlineStr">
        <is>
          <t>Sveaskog</t>
        </is>
      </c>
      <c r="G474" t="n">
        <v>13.2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55782-2020</t>
        </is>
      </c>
      <c r="B475" s="1" t="n">
        <v>44132</v>
      </c>
      <c r="C475" s="1" t="n">
        <v>45849</v>
      </c>
      <c r="D475" t="inlineStr">
        <is>
          <t>VÄSTERBOTTENS LÄN</t>
        </is>
      </c>
      <c r="E475" t="inlineStr">
        <is>
          <t>LYCKSELE</t>
        </is>
      </c>
      <c r="F475" t="inlineStr">
        <is>
          <t>Sveaskog</t>
        </is>
      </c>
      <c r="G475" t="n">
        <v>2.4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57085-2020</t>
        </is>
      </c>
      <c r="B476" s="1" t="n">
        <v>44138</v>
      </c>
      <c r="C476" s="1" t="n">
        <v>45849</v>
      </c>
      <c r="D476" t="inlineStr">
        <is>
          <t>VÄSTERBOTTENS LÄN</t>
        </is>
      </c>
      <c r="E476" t="inlineStr">
        <is>
          <t>LYCKSELE</t>
        </is>
      </c>
      <c r="G476" t="n">
        <v>1.6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59029-2020</t>
        </is>
      </c>
      <c r="B477" s="1" t="n">
        <v>44147</v>
      </c>
      <c r="C477" s="1" t="n">
        <v>45849</v>
      </c>
      <c r="D477" t="inlineStr">
        <is>
          <t>VÄSTERBOTTENS LÄN</t>
        </is>
      </c>
      <c r="E477" t="inlineStr">
        <is>
          <t>LYCKSELE</t>
        </is>
      </c>
      <c r="F477" t="inlineStr">
        <is>
          <t>Sveaskog</t>
        </is>
      </c>
      <c r="G477" t="n">
        <v>0.8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59264-2020</t>
        </is>
      </c>
      <c r="B478" s="1" t="n">
        <v>44147</v>
      </c>
      <c r="C478" s="1" t="n">
        <v>45849</v>
      </c>
      <c r="D478" t="inlineStr">
        <is>
          <t>VÄSTERBOTTENS LÄN</t>
        </is>
      </c>
      <c r="E478" t="inlineStr">
        <is>
          <t>LYCKSELE</t>
        </is>
      </c>
      <c r="F478" t="inlineStr">
        <is>
          <t>Sveaskog</t>
        </is>
      </c>
      <c r="G478" t="n">
        <v>5.5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59261-2020</t>
        </is>
      </c>
      <c r="B479" s="1" t="n">
        <v>44147</v>
      </c>
      <c r="C479" s="1" t="n">
        <v>45849</v>
      </c>
      <c r="D479" t="inlineStr">
        <is>
          <t>VÄSTERBOTTENS LÄN</t>
        </is>
      </c>
      <c r="E479" t="inlineStr">
        <is>
          <t>LYCKSELE</t>
        </is>
      </c>
      <c r="F479" t="inlineStr">
        <is>
          <t>Sveaskog</t>
        </is>
      </c>
      <c r="G479" t="n">
        <v>0.8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59546-2020</t>
        </is>
      </c>
      <c r="B480" s="1" t="n">
        <v>44148</v>
      </c>
      <c r="C480" s="1" t="n">
        <v>45849</v>
      </c>
      <c r="D480" t="inlineStr">
        <is>
          <t>VÄSTERBOTTENS LÄN</t>
        </is>
      </c>
      <c r="E480" t="inlineStr">
        <is>
          <t>LYCKSELE</t>
        </is>
      </c>
      <c r="F480" t="inlineStr">
        <is>
          <t>Holmen skog AB</t>
        </is>
      </c>
      <c r="G480" t="n">
        <v>3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61634-2020</t>
        </is>
      </c>
      <c r="B481" s="1" t="n">
        <v>44158</v>
      </c>
      <c r="C481" s="1" t="n">
        <v>45849</v>
      </c>
      <c r="D481" t="inlineStr">
        <is>
          <t>VÄSTERBOTTENS LÄN</t>
        </is>
      </c>
      <c r="E481" t="inlineStr">
        <is>
          <t>LYCKSELE</t>
        </is>
      </c>
      <c r="F481" t="inlineStr">
        <is>
          <t>Sveaskog</t>
        </is>
      </c>
      <c r="G481" t="n">
        <v>2.5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61630-2020</t>
        </is>
      </c>
      <c r="B482" s="1" t="n">
        <v>44158</v>
      </c>
      <c r="C482" s="1" t="n">
        <v>45849</v>
      </c>
      <c r="D482" t="inlineStr">
        <is>
          <t>VÄSTERBOTTENS LÄN</t>
        </is>
      </c>
      <c r="E482" t="inlineStr">
        <is>
          <t>LYCKSELE</t>
        </is>
      </c>
      <c r="F482" t="inlineStr">
        <is>
          <t>Sveaskog</t>
        </is>
      </c>
      <c r="G482" t="n">
        <v>4.5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63037-2020</t>
        </is>
      </c>
      <c r="B483" s="1" t="n">
        <v>44162</v>
      </c>
      <c r="C483" s="1" t="n">
        <v>45849</v>
      </c>
      <c r="D483" t="inlineStr">
        <is>
          <t>VÄSTERBOTTENS LÄN</t>
        </is>
      </c>
      <c r="E483" t="inlineStr">
        <is>
          <t>LYCKSELE</t>
        </is>
      </c>
      <c r="F483" t="inlineStr">
        <is>
          <t>Sveaskog</t>
        </is>
      </c>
      <c r="G483" t="n">
        <v>20.8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63871-2020</t>
        </is>
      </c>
      <c r="B484" s="1" t="n">
        <v>44166</v>
      </c>
      <c r="C484" s="1" t="n">
        <v>45849</v>
      </c>
      <c r="D484" t="inlineStr">
        <is>
          <t>VÄSTERBOTTENS LÄN</t>
        </is>
      </c>
      <c r="E484" t="inlineStr">
        <is>
          <t>LYCKSELE</t>
        </is>
      </c>
      <c r="G484" t="n">
        <v>2.3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63878-2020</t>
        </is>
      </c>
      <c r="B485" s="1" t="n">
        <v>44166</v>
      </c>
      <c r="C485" s="1" t="n">
        <v>45849</v>
      </c>
      <c r="D485" t="inlineStr">
        <is>
          <t>VÄSTERBOTTENS LÄN</t>
        </is>
      </c>
      <c r="E485" t="inlineStr">
        <is>
          <t>LYCKSELE</t>
        </is>
      </c>
      <c r="G485" t="n">
        <v>1.5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68253-2020</t>
        </is>
      </c>
      <c r="B486" s="1" t="n">
        <v>44182</v>
      </c>
      <c r="C486" s="1" t="n">
        <v>45849</v>
      </c>
      <c r="D486" t="inlineStr">
        <is>
          <t>VÄSTERBOTTENS LÄN</t>
        </is>
      </c>
      <c r="E486" t="inlineStr">
        <is>
          <t>LYCKSELE</t>
        </is>
      </c>
      <c r="G486" t="n">
        <v>2.7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68405-2020</t>
        </is>
      </c>
      <c r="B487" s="1" t="n">
        <v>44182</v>
      </c>
      <c r="C487" s="1" t="n">
        <v>45849</v>
      </c>
      <c r="D487" t="inlineStr">
        <is>
          <t>VÄSTERBOTTENS LÄN</t>
        </is>
      </c>
      <c r="E487" t="inlineStr">
        <is>
          <t>LYCKSELE</t>
        </is>
      </c>
      <c r="G487" t="n">
        <v>5.3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68409-2020</t>
        </is>
      </c>
      <c r="B488" s="1" t="n">
        <v>44182</v>
      </c>
      <c r="C488" s="1" t="n">
        <v>45849</v>
      </c>
      <c r="D488" t="inlineStr">
        <is>
          <t>VÄSTERBOTTENS LÄN</t>
        </is>
      </c>
      <c r="E488" t="inlineStr">
        <is>
          <t>LYCKSELE</t>
        </is>
      </c>
      <c r="G488" t="n">
        <v>1.8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68510-2020</t>
        </is>
      </c>
      <c r="B489" s="1" t="n">
        <v>44183</v>
      </c>
      <c r="C489" s="1" t="n">
        <v>45849</v>
      </c>
      <c r="D489" t="inlineStr">
        <is>
          <t>VÄSTERBOTTENS LÄN</t>
        </is>
      </c>
      <c r="E489" t="inlineStr">
        <is>
          <t>LYCKSELE</t>
        </is>
      </c>
      <c r="G489" t="n">
        <v>0.6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441-2021</t>
        </is>
      </c>
      <c r="B490" s="1" t="n">
        <v>44201</v>
      </c>
      <c r="C490" s="1" t="n">
        <v>45849</v>
      </c>
      <c r="D490" t="inlineStr">
        <is>
          <t>VÄSTERBOTTENS LÄN</t>
        </is>
      </c>
      <c r="E490" t="inlineStr">
        <is>
          <t>LYCKSELE</t>
        </is>
      </c>
      <c r="G490" t="n">
        <v>1.7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5316-2021</t>
        </is>
      </c>
      <c r="B491" s="1" t="n">
        <v>44229</v>
      </c>
      <c r="C491" s="1" t="n">
        <v>45849</v>
      </c>
      <c r="D491" t="inlineStr">
        <is>
          <t>VÄSTERBOTTENS LÄN</t>
        </is>
      </c>
      <c r="E491" t="inlineStr">
        <is>
          <t>LYCKSELE</t>
        </is>
      </c>
      <c r="F491" t="inlineStr">
        <is>
          <t>Sveaskog</t>
        </is>
      </c>
      <c r="G491" t="n">
        <v>3.3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13911-2021</t>
        </is>
      </c>
      <c r="B492" s="1" t="n">
        <v>44277</v>
      </c>
      <c r="C492" s="1" t="n">
        <v>45849</v>
      </c>
      <c r="D492" t="inlineStr">
        <is>
          <t>VÄSTERBOTTENS LÄN</t>
        </is>
      </c>
      <c r="E492" t="inlineStr">
        <is>
          <t>LYCKSELE</t>
        </is>
      </c>
      <c r="G492" t="n">
        <v>6.8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13955-2021</t>
        </is>
      </c>
      <c r="B493" s="1" t="n">
        <v>44277</v>
      </c>
      <c r="C493" s="1" t="n">
        <v>45849</v>
      </c>
      <c r="D493" t="inlineStr">
        <is>
          <t>VÄSTERBOTTENS LÄN</t>
        </is>
      </c>
      <c r="E493" t="inlineStr">
        <is>
          <t>LYCKSELE</t>
        </is>
      </c>
      <c r="G493" t="n">
        <v>2.6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13924-2021</t>
        </is>
      </c>
      <c r="B494" s="1" t="n">
        <v>44277</v>
      </c>
      <c r="C494" s="1" t="n">
        <v>45849</v>
      </c>
      <c r="D494" t="inlineStr">
        <is>
          <t>VÄSTERBOTTENS LÄN</t>
        </is>
      </c>
      <c r="E494" t="inlineStr">
        <is>
          <t>LYCKSELE</t>
        </is>
      </c>
      <c r="G494" t="n">
        <v>1.2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13903-2021</t>
        </is>
      </c>
      <c r="B495" s="1" t="n">
        <v>44277</v>
      </c>
      <c r="C495" s="1" t="n">
        <v>45849</v>
      </c>
      <c r="D495" t="inlineStr">
        <is>
          <t>VÄSTERBOTTENS LÄN</t>
        </is>
      </c>
      <c r="E495" t="inlineStr">
        <is>
          <t>LYCKSELE</t>
        </is>
      </c>
      <c r="G495" t="n">
        <v>1.4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15112-2021</t>
        </is>
      </c>
      <c r="B496" s="1" t="n">
        <v>44282</v>
      </c>
      <c r="C496" s="1" t="n">
        <v>45849</v>
      </c>
      <c r="D496" t="inlineStr">
        <is>
          <t>VÄSTERBOTTENS LÄN</t>
        </is>
      </c>
      <c r="E496" t="inlineStr">
        <is>
          <t>LYCKSELE</t>
        </is>
      </c>
      <c r="G496" t="n">
        <v>1.1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15113-2021</t>
        </is>
      </c>
      <c r="B497" s="1" t="n">
        <v>44282</v>
      </c>
      <c r="C497" s="1" t="n">
        <v>45849</v>
      </c>
      <c r="D497" t="inlineStr">
        <is>
          <t>VÄSTERBOTTENS LÄN</t>
        </is>
      </c>
      <c r="E497" t="inlineStr">
        <is>
          <t>LYCKSELE</t>
        </is>
      </c>
      <c r="G497" t="n">
        <v>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21961-2021</t>
        </is>
      </c>
      <c r="B498" s="1" t="n">
        <v>44323</v>
      </c>
      <c r="C498" s="1" t="n">
        <v>45849</v>
      </c>
      <c r="D498" t="inlineStr">
        <is>
          <t>VÄSTERBOTTENS LÄN</t>
        </is>
      </c>
      <c r="E498" t="inlineStr">
        <is>
          <t>LYCKSELE</t>
        </is>
      </c>
      <c r="G498" t="n">
        <v>11.1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26105-2021</t>
        </is>
      </c>
      <c r="B499" s="1" t="n">
        <v>44345</v>
      </c>
      <c r="C499" s="1" t="n">
        <v>45849</v>
      </c>
      <c r="D499" t="inlineStr">
        <is>
          <t>VÄSTERBOTTENS LÄN</t>
        </is>
      </c>
      <c r="E499" t="inlineStr">
        <is>
          <t>LYCKSELE</t>
        </is>
      </c>
      <c r="F499" t="inlineStr">
        <is>
          <t>SCA</t>
        </is>
      </c>
      <c r="G499" t="n">
        <v>4.3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26635-2021</t>
        </is>
      </c>
      <c r="B500" s="1" t="n">
        <v>44348</v>
      </c>
      <c r="C500" s="1" t="n">
        <v>45849</v>
      </c>
      <c r="D500" t="inlineStr">
        <is>
          <t>VÄSTERBOTTENS LÄN</t>
        </is>
      </c>
      <c r="E500" t="inlineStr">
        <is>
          <t>LYCKSELE</t>
        </is>
      </c>
      <c r="F500" t="inlineStr">
        <is>
          <t>Holmen skog AB</t>
        </is>
      </c>
      <c r="G500" t="n">
        <v>10.4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26673-2021</t>
        </is>
      </c>
      <c r="B501" s="1" t="n">
        <v>44349</v>
      </c>
      <c r="C501" s="1" t="n">
        <v>45849</v>
      </c>
      <c r="D501" t="inlineStr">
        <is>
          <t>VÄSTERBOTTENS LÄN</t>
        </is>
      </c>
      <c r="E501" t="inlineStr">
        <is>
          <t>LYCKSELE</t>
        </is>
      </c>
      <c r="F501" t="inlineStr">
        <is>
          <t>SCA</t>
        </is>
      </c>
      <c r="G501" t="n">
        <v>10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27945-2021</t>
        </is>
      </c>
      <c r="B502" s="1" t="n">
        <v>44354</v>
      </c>
      <c r="C502" s="1" t="n">
        <v>45849</v>
      </c>
      <c r="D502" t="inlineStr">
        <is>
          <t>VÄSTERBOTTENS LÄN</t>
        </is>
      </c>
      <c r="E502" t="inlineStr">
        <is>
          <t>LYCKSELE</t>
        </is>
      </c>
      <c r="F502" t="inlineStr">
        <is>
          <t>Holmen skog AB</t>
        </is>
      </c>
      <c r="G502" t="n">
        <v>3.3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28263-2021</t>
        </is>
      </c>
      <c r="B503" s="1" t="n">
        <v>44355</v>
      </c>
      <c r="C503" s="1" t="n">
        <v>45849</v>
      </c>
      <c r="D503" t="inlineStr">
        <is>
          <t>VÄSTERBOTTENS LÄN</t>
        </is>
      </c>
      <c r="E503" t="inlineStr">
        <is>
          <t>LYCKSELE</t>
        </is>
      </c>
      <c r="F503" t="inlineStr">
        <is>
          <t>Holmen skog AB</t>
        </is>
      </c>
      <c r="G503" t="n">
        <v>0.9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28620-2021</t>
        </is>
      </c>
      <c r="B504" s="1" t="n">
        <v>44357</v>
      </c>
      <c r="C504" s="1" t="n">
        <v>45849</v>
      </c>
      <c r="D504" t="inlineStr">
        <is>
          <t>VÄSTERBOTTENS LÄN</t>
        </is>
      </c>
      <c r="E504" t="inlineStr">
        <is>
          <t>LYCKSELE</t>
        </is>
      </c>
      <c r="F504" t="inlineStr">
        <is>
          <t>SCA</t>
        </is>
      </c>
      <c r="G504" t="n">
        <v>14.5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29150-2021</t>
        </is>
      </c>
      <c r="B505" s="1" t="n">
        <v>44358</v>
      </c>
      <c r="C505" s="1" t="n">
        <v>45849</v>
      </c>
      <c r="D505" t="inlineStr">
        <is>
          <t>VÄSTERBOTTENS LÄN</t>
        </is>
      </c>
      <c r="E505" t="inlineStr">
        <is>
          <t>LYCKSELE</t>
        </is>
      </c>
      <c r="G505" t="n">
        <v>0.5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29278-2021</t>
        </is>
      </c>
      <c r="B506" s="1" t="n">
        <v>44361</v>
      </c>
      <c r="C506" s="1" t="n">
        <v>45849</v>
      </c>
      <c r="D506" t="inlineStr">
        <is>
          <t>VÄSTERBOTTENS LÄN</t>
        </is>
      </c>
      <c r="E506" t="inlineStr">
        <is>
          <t>LYCKSELE</t>
        </is>
      </c>
      <c r="G506" t="n">
        <v>1.3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30919-2021</t>
        </is>
      </c>
      <c r="B507" s="1" t="n">
        <v>44365</v>
      </c>
      <c r="C507" s="1" t="n">
        <v>45849</v>
      </c>
      <c r="D507" t="inlineStr">
        <is>
          <t>VÄSTERBOTTENS LÄN</t>
        </is>
      </c>
      <c r="E507" t="inlineStr">
        <is>
          <t>LYCKSELE</t>
        </is>
      </c>
      <c r="F507" t="inlineStr">
        <is>
          <t>Sveaskog</t>
        </is>
      </c>
      <c r="G507" t="n">
        <v>1.3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31466-2021</t>
        </is>
      </c>
      <c r="B508" s="1" t="n">
        <v>44369</v>
      </c>
      <c r="C508" s="1" t="n">
        <v>45849</v>
      </c>
      <c r="D508" t="inlineStr">
        <is>
          <t>VÄSTERBOTTENS LÄN</t>
        </is>
      </c>
      <c r="E508" t="inlineStr">
        <is>
          <t>LYCKSELE</t>
        </is>
      </c>
      <c r="F508" t="inlineStr">
        <is>
          <t>Sveaskog</t>
        </is>
      </c>
      <c r="G508" t="n">
        <v>18.3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33161-2021</t>
        </is>
      </c>
      <c r="B509" s="1" t="n">
        <v>44376</v>
      </c>
      <c r="C509" s="1" t="n">
        <v>45849</v>
      </c>
      <c r="D509" t="inlineStr">
        <is>
          <t>VÄSTERBOTTENS LÄN</t>
        </is>
      </c>
      <c r="E509" t="inlineStr">
        <is>
          <t>LYCKSELE</t>
        </is>
      </c>
      <c r="F509" t="inlineStr">
        <is>
          <t>Holmen skog AB</t>
        </is>
      </c>
      <c r="G509" t="n">
        <v>4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33222-2021</t>
        </is>
      </c>
      <c r="B510" s="1" t="n">
        <v>44376</v>
      </c>
      <c r="C510" s="1" t="n">
        <v>45849</v>
      </c>
      <c r="D510" t="inlineStr">
        <is>
          <t>VÄSTERBOTTENS LÄN</t>
        </is>
      </c>
      <c r="E510" t="inlineStr">
        <is>
          <t>LYCKSELE</t>
        </is>
      </c>
      <c r="F510" t="inlineStr">
        <is>
          <t>SCA</t>
        </is>
      </c>
      <c r="G510" t="n">
        <v>1.4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33165-2021</t>
        </is>
      </c>
      <c r="B511" s="1" t="n">
        <v>44376</v>
      </c>
      <c r="C511" s="1" t="n">
        <v>45849</v>
      </c>
      <c r="D511" t="inlineStr">
        <is>
          <t>VÄSTERBOTTENS LÄN</t>
        </is>
      </c>
      <c r="E511" t="inlineStr">
        <is>
          <t>LYCKSELE</t>
        </is>
      </c>
      <c r="F511" t="inlineStr">
        <is>
          <t>Holmen skog AB</t>
        </is>
      </c>
      <c r="G511" t="n">
        <v>19.1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35021-2021</t>
        </is>
      </c>
      <c r="B512" s="1" t="n">
        <v>44383</v>
      </c>
      <c r="C512" s="1" t="n">
        <v>45849</v>
      </c>
      <c r="D512" t="inlineStr">
        <is>
          <t>VÄSTERBOTTENS LÄN</t>
        </is>
      </c>
      <c r="E512" t="inlineStr">
        <is>
          <t>LYCKSELE</t>
        </is>
      </c>
      <c r="F512" t="inlineStr">
        <is>
          <t>Holmen skog AB</t>
        </is>
      </c>
      <c r="G512" t="n">
        <v>3.8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35282-2021</t>
        </is>
      </c>
      <c r="B513" s="1" t="n">
        <v>44384</v>
      </c>
      <c r="C513" s="1" t="n">
        <v>45849</v>
      </c>
      <c r="D513" t="inlineStr">
        <is>
          <t>VÄSTERBOTTENS LÄN</t>
        </is>
      </c>
      <c r="E513" t="inlineStr">
        <is>
          <t>LYCKSELE</t>
        </is>
      </c>
      <c r="F513" t="inlineStr">
        <is>
          <t>Holmen skog AB</t>
        </is>
      </c>
      <c r="G513" t="n">
        <v>17.4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35700-2021</t>
        </is>
      </c>
      <c r="B514" s="1" t="n">
        <v>44386</v>
      </c>
      <c r="C514" s="1" t="n">
        <v>45849</v>
      </c>
      <c r="D514" t="inlineStr">
        <is>
          <t>VÄSTERBOTTENS LÄN</t>
        </is>
      </c>
      <c r="E514" t="inlineStr">
        <is>
          <t>LYCKSELE</t>
        </is>
      </c>
      <c r="G514" t="n">
        <v>2.1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36046-2021</t>
        </is>
      </c>
      <c r="B515" s="1" t="n">
        <v>44386</v>
      </c>
      <c r="C515" s="1" t="n">
        <v>45849</v>
      </c>
      <c r="D515" t="inlineStr">
        <is>
          <t>VÄSTERBOTTENS LÄN</t>
        </is>
      </c>
      <c r="E515" t="inlineStr">
        <is>
          <t>LYCKSELE</t>
        </is>
      </c>
      <c r="G515" t="n">
        <v>1.1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35939-2021</t>
        </is>
      </c>
      <c r="B516" s="1" t="n">
        <v>44388</v>
      </c>
      <c r="C516" s="1" t="n">
        <v>45849</v>
      </c>
      <c r="D516" t="inlineStr">
        <is>
          <t>VÄSTERBOTTENS LÄN</t>
        </is>
      </c>
      <c r="E516" t="inlineStr">
        <is>
          <t>LYCKSELE</t>
        </is>
      </c>
      <c r="F516" t="inlineStr">
        <is>
          <t>Sveaskog</t>
        </is>
      </c>
      <c r="G516" t="n">
        <v>1.1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35938-2021</t>
        </is>
      </c>
      <c r="B517" s="1" t="n">
        <v>44388</v>
      </c>
      <c r="C517" s="1" t="n">
        <v>45849</v>
      </c>
      <c r="D517" t="inlineStr">
        <is>
          <t>VÄSTERBOTTENS LÄN</t>
        </is>
      </c>
      <c r="E517" t="inlineStr">
        <is>
          <t>LYCKSELE</t>
        </is>
      </c>
      <c r="F517" t="inlineStr">
        <is>
          <t>Sveaskog</t>
        </is>
      </c>
      <c r="G517" t="n">
        <v>0.8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35937-2021</t>
        </is>
      </c>
      <c r="B518" s="1" t="n">
        <v>44388</v>
      </c>
      <c r="C518" s="1" t="n">
        <v>45849</v>
      </c>
      <c r="D518" t="inlineStr">
        <is>
          <t>VÄSTERBOTTENS LÄN</t>
        </is>
      </c>
      <c r="E518" t="inlineStr">
        <is>
          <t>LYCKSELE</t>
        </is>
      </c>
      <c r="F518" t="inlineStr">
        <is>
          <t>Sveaskog</t>
        </is>
      </c>
      <c r="G518" t="n">
        <v>1.8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35943-2021</t>
        </is>
      </c>
      <c r="B519" s="1" t="n">
        <v>44388</v>
      </c>
      <c r="C519" s="1" t="n">
        <v>45849</v>
      </c>
      <c r="D519" t="inlineStr">
        <is>
          <t>VÄSTERBOTTENS LÄN</t>
        </is>
      </c>
      <c r="E519" t="inlineStr">
        <is>
          <t>LYCKSELE</t>
        </is>
      </c>
      <c r="F519" t="inlineStr">
        <is>
          <t>Sveaskog</t>
        </is>
      </c>
      <c r="G519" t="n">
        <v>1.4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36855-2021</t>
        </is>
      </c>
      <c r="B520" s="1" t="n">
        <v>44393</v>
      </c>
      <c r="C520" s="1" t="n">
        <v>45849</v>
      </c>
      <c r="D520" t="inlineStr">
        <is>
          <t>VÄSTERBOTTENS LÄN</t>
        </is>
      </c>
      <c r="E520" t="inlineStr">
        <is>
          <t>LYCKSELE</t>
        </is>
      </c>
      <c r="F520" t="inlineStr">
        <is>
          <t>Sveaskog</t>
        </is>
      </c>
      <c r="G520" t="n">
        <v>7.2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37727-2021</t>
        </is>
      </c>
      <c r="B521" s="1" t="n">
        <v>44400</v>
      </c>
      <c r="C521" s="1" t="n">
        <v>45849</v>
      </c>
      <c r="D521" t="inlineStr">
        <is>
          <t>VÄSTERBOTTENS LÄN</t>
        </is>
      </c>
      <c r="E521" t="inlineStr">
        <is>
          <t>LYCKSELE</t>
        </is>
      </c>
      <c r="F521" t="inlineStr">
        <is>
          <t>Sveaskog</t>
        </is>
      </c>
      <c r="G521" t="n">
        <v>14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37733-2021</t>
        </is>
      </c>
      <c r="B522" s="1" t="n">
        <v>44400</v>
      </c>
      <c r="C522" s="1" t="n">
        <v>45849</v>
      </c>
      <c r="D522" t="inlineStr">
        <is>
          <t>VÄSTERBOTTENS LÄN</t>
        </is>
      </c>
      <c r="E522" t="inlineStr">
        <is>
          <t>LYCKSELE</t>
        </is>
      </c>
      <c r="F522" t="inlineStr">
        <is>
          <t>Sveaskog</t>
        </is>
      </c>
      <c r="G522" t="n">
        <v>1.6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37731-2021</t>
        </is>
      </c>
      <c r="B523" s="1" t="n">
        <v>44400</v>
      </c>
      <c r="C523" s="1" t="n">
        <v>45849</v>
      </c>
      <c r="D523" t="inlineStr">
        <is>
          <t>VÄSTERBOTTENS LÄN</t>
        </is>
      </c>
      <c r="E523" t="inlineStr">
        <is>
          <t>LYCKSELE</t>
        </is>
      </c>
      <c r="F523" t="inlineStr">
        <is>
          <t>Sveaskog</t>
        </is>
      </c>
      <c r="G523" t="n">
        <v>5.6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37979-2021</t>
        </is>
      </c>
      <c r="B524" s="1" t="n">
        <v>44403</v>
      </c>
      <c r="C524" s="1" t="n">
        <v>45849</v>
      </c>
      <c r="D524" t="inlineStr">
        <is>
          <t>VÄSTERBOTTENS LÄN</t>
        </is>
      </c>
      <c r="E524" t="inlineStr">
        <is>
          <t>LYCKSELE</t>
        </is>
      </c>
      <c r="G524" t="n">
        <v>2.4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37984-2021</t>
        </is>
      </c>
      <c r="B525" s="1" t="n">
        <v>44403</v>
      </c>
      <c r="C525" s="1" t="n">
        <v>45849</v>
      </c>
      <c r="D525" t="inlineStr">
        <is>
          <t>VÄSTERBOTTENS LÄN</t>
        </is>
      </c>
      <c r="E525" t="inlineStr">
        <is>
          <t>LYCKSELE</t>
        </is>
      </c>
      <c r="G525" t="n">
        <v>0.5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37986-2021</t>
        </is>
      </c>
      <c r="B526" s="1" t="n">
        <v>44403</v>
      </c>
      <c r="C526" s="1" t="n">
        <v>45849</v>
      </c>
      <c r="D526" t="inlineStr">
        <is>
          <t>VÄSTERBOTTENS LÄN</t>
        </is>
      </c>
      <c r="E526" t="inlineStr">
        <is>
          <t>LYCKSELE</t>
        </is>
      </c>
      <c r="G526" t="n">
        <v>3.8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37987-2021</t>
        </is>
      </c>
      <c r="B527" s="1" t="n">
        <v>44403</v>
      </c>
      <c r="C527" s="1" t="n">
        <v>45849</v>
      </c>
      <c r="D527" t="inlineStr">
        <is>
          <t>VÄSTERBOTTENS LÄN</t>
        </is>
      </c>
      <c r="E527" t="inlineStr">
        <is>
          <t>LYCKSELE</t>
        </is>
      </c>
      <c r="G527" t="n">
        <v>4.6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38712-2021</t>
        </is>
      </c>
      <c r="B528" s="1" t="n">
        <v>44405</v>
      </c>
      <c r="C528" s="1" t="n">
        <v>45849</v>
      </c>
      <c r="D528" t="inlineStr">
        <is>
          <t>VÄSTERBOTTENS LÄN</t>
        </is>
      </c>
      <c r="E528" t="inlineStr">
        <is>
          <t>LYCKSELE</t>
        </is>
      </c>
      <c r="G528" t="n">
        <v>2.1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38544-2021</t>
        </is>
      </c>
      <c r="B529" s="1" t="n">
        <v>44407</v>
      </c>
      <c r="C529" s="1" t="n">
        <v>45849</v>
      </c>
      <c r="D529" t="inlineStr">
        <is>
          <t>VÄSTERBOTTENS LÄN</t>
        </is>
      </c>
      <c r="E529" t="inlineStr">
        <is>
          <t>LYCKSELE</t>
        </is>
      </c>
      <c r="F529" t="inlineStr">
        <is>
          <t>Sveaskog</t>
        </is>
      </c>
      <c r="G529" t="n">
        <v>2.9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39165-2021</t>
        </is>
      </c>
      <c r="B530" s="1" t="n">
        <v>44412</v>
      </c>
      <c r="C530" s="1" t="n">
        <v>45849</v>
      </c>
      <c r="D530" t="inlineStr">
        <is>
          <t>VÄSTERBOTTENS LÄN</t>
        </is>
      </c>
      <c r="E530" t="inlineStr">
        <is>
          <t>LYCKSELE</t>
        </is>
      </c>
      <c r="G530" t="n">
        <v>6.2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41497-2021</t>
        </is>
      </c>
      <c r="B531" s="1" t="n">
        <v>44424</v>
      </c>
      <c r="C531" s="1" t="n">
        <v>45849</v>
      </c>
      <c r="D531" t="inlineStr">
        <is>
          <t>VÄSTERBOTTENS LÄN</t>
        </is>
      </c>
      <c r="E531" t="inlineStr">
        <is>
          <t>LYCKSELE</t>
        </is>
      </c>
      <c r="F531" t="inlineStr">
        <is>
          <t>SCA</t>
        </is>
      </c>
      <c r="G531" t="n">
        <v>2.4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42144-2021</t>
        </is>
      </c>
      <c r="B532" s="1" t="n">
        <v>44426</v>
      </c>
      <c r="C532" s="1" t="n">
        <v>45849</v>
      </c>
      <c r="D532" t="inlineStr">
        <is>
          <t>VÄSTERBOTTENS LÄN</t>
        </is>
      </c>
      <c r="E532" t="inlineStr">
        <is>
          <t>LYCKSELE</t>
        </is>
      </c>
      <c r="F532" t="inlineStr">
        <is>
          <t>Sveaskog</t>
        </is>
      </c>
      <c r="G532" t="n">
        <v>0.9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42818-2021</t>
        </is>
      </c>
      <c r="B533" s="1" t="n">
        <v>44429</v>
      </c>
      <c r="C533" s="1" t="n">
        <v>45849</v>
      </c>
      <c r="D533" t="inlineStr">
        <is>
          <t>VÄSTERBOTTENS LÄN</t>
        </is>
      </c>
      <c r="E533" t="inlineStr">
        <is>
          <t>LYCKSELE</t>
        </is>
      </c>
      <c r="G533" t="n">
        <v>0.9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42967-2021</t>
        </is>
      </c>
      <c r="B534" s="1" t="n">
        <v>44431</v>
      </c>
      <c r="C534" s="1" t="n">
        <v>45849</v>
      </c>
      <c r="D534" t="inlineStr">
        <is>
          <t>VÄSTERBOTTENS LÄN</t>
        </is>
      </c>
      <c r="E534" t="inlineStr">
        <is>
          <t>LYCKSELE</t>
        </is>
      </c>
      <c r="F534" t="inlineStr">
        <is>
          <t>Holmen skog AB</t>
        </is>
      </c>
      <c r="G534" t="n">
        <v>17.7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43579-2021</t>
        </is>
      </c>
      <c r="B535" s="1" t="n">
        <v>44433</v>
      </c>
      <c r="C535" s="1" t="n">
        <v>45849</v>
      </c>
      <c r="D535" t="inlineStr">
        <is>
          <t>VÄSTERBOTTENS LÄN</t>
        </is>
      </c>
      <c r="E535" t="inlineStr">
        <is>
          <t>LYCKSELE</t>
        </is>
      </c>
      <c r="G535" t="n">
        <v>7.7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44632-2021</t>
        </is>
      </c>
      <c r="B536" s="1" t="n">
        <v>44437</v>
      </c>
      <c r="C536" s="1" t="n">
        <v>45849</v>
      </c>
      <c r="D536" t="inlineStr">
        <is>
          <t>VÄSTERBOTTENS LÄN</t>
        </is>
      </c>
      <c r="E536" t="inlineStr">
        <is>
          <t>LYCKSELE</t>
        </is>
      </c>
      <c r="G536" t="n">
        <v>3.2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45270-2021</t>
        </is>
      </c>
      <c r="B537" s="1" t="n">
        <v>44439</v>
      </c>
      <c r="C537" s="1" t="n">
        <v>45849</v>
      </c>
      <c r="D537" t="inlineStr">
        <is>
          <t>VÄSTERBOTTENS LÄN</t>
        </is>
      </c>
      <c r="E537" t="inlineStr">
        <is>
          <t>LYCKSELE</t>
        </is>
      </c>
      <c r="F537" t="inlineStr">
        <is>
          <t>Sveaskog</t>
        </is>
      </c>
      <c r="G537" t="n">
        <v>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45266-2021</t>
        </is>
      </c>
      <c r="B538" s="1" t="n">
        <v>44439</v>
      </c>
      <c r="C538" s="1" t="n">
        <v>45849</v>
      </c>
      <c r="D538" t="inlineStr">
        <is>
          <t>VÄSTERBOTTENS LÄN</t>
        </is>
      </c>
      <c r="E538" t="inlineStr">
        <is>
          <t>LYCKSELE</t>
        </is>
      </c>
      <c r="F538" t="inlineStr">
        <is>
          <t>Sveaskog</t>
        </is>
      </c>
      <c r="G538" t="n">
        <v>0.6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45503-2021</t>
        </is>
      </c>
      <c r="B539" s="1" t="n">
        <v>44440</v>
      </c>
      <c r="C539" s="1" t="n">
        <v>45849</v>
      </c>
      <c r="D539" t="inlineStr">
        <is>
          <t>VÄSTERBOTTENS LÄN</t>
        </is>
      </c>
      <c r="E539" t="inlineStr">
        <is>
          <t>LYCKSELE</t>
        </is>
      </c>
      <c r="G539" t="n">
        <v>29.1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45953-2021</t>
        </is>
      </c>
      <c r="B540" s="1" t="n">
        <v>44441</v>
      </c>
      <c r="C540" s="1" t="n">
        <v>45849</v>
      </c>
      <c r="D540" t="inlineStr">
        <is>
          <t>VÄSTERBOTTENS LÄN</t>
        </is>
      </c>
      <c r="E540" t="inlineStr">
        <is>
          <t>LYCKSELE</t>
        </is>
      </c>
      <c r="F540" t="inlineStr">
        <is>
          <t>Holmen skog AB</t>
        </is>
      </c>
      <c r="G540" t="n">
        <v>5.6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45946-2021</t>
        </is>
      </c>
      <c r="B541" s="1" t="n">
        <v>44441</v>
      </c>
      <c r="C541" s="1" t="n">
        <v>45849</v>
      </c>
      <c r="D541" t="inlineStr">
        <is>
          <t>VÄSTERBOTTENS LÄN</t>
        </is>
      </c>
      <c r="E541" t="inlineStr">
        <is>
          <t>LYCKSELE</t>
        </is>
      </c>
      <c r="F541" t="inlineStr">
        <is>
          <t>Holmen skog AB</t>
        </is>
      </c>
      <c r="G541" t="n">
        <v>8.6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47018-2021</t>
        </is>
      </c>
      <c r="B542" s="1" t="n">
        <v>44446</v>
      </c>
      <c r="C542" s="1" t="n">
        <v>45849</v>
      </c>
      <c r="D542" t="inlineStr">
        <is>
          <t>VÄSTERBOTTENS LÄN</t>
        </is>
      </c>
      <c r="E542" t="inlineStr">
        <is>
          <t>LYCKSELE</t>
        </is>
      </c>
      <c r="G542" t="n">
        <v>1.8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47067-2021</t>
        </is>
      </c>
      <c r="B543" s="1" t="n">
        <v>44446</v>
      </c>
      <c r="C543" s="1" t="n">
        <v>45849</v>
      </c>
      <c r="D543" t="inlineStr">
        <is>
          <t>VÄSTERBOTTENS LÄN</t>
        </is>
      </c>
      <c r="E543" t="inlineStr">
        <is>
          <t>LYCKSELE</t>
        </is>
      </c>
      <c r="G543" t="n">
        <v>5.5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47497-2021</t>
        </is>
      </c>
      <c r="B544" s="1" t="n">
        <v>44447</v>
      </c>
      <c r="C544" s="1" t="n">
        <v>45849</v>
      </c>
      <c r="D544" t="inlineStr">
        <is>
          <t>VÄSTERBOTTENS LÄN</t>
        </is>
      </c>
      <c r="E544" t="inlineStr">
        <is>
          <t>LYCKSELE</t>
        </is>
      </c>
      <c r="F544" t="inlineStr">
        <is>
          <t>Sveaskog</t>
        </is>
      </c>
      <c r="G544" t="n">
        <v>0.7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47717-2021</t>
        </is>
      </c>
      <c r="B545" s="1" t="n">
        <v>44448</v>
      </c>
      <c r="C545" s="1" t="n">
        <v>45849</v>
      </c>
      <c r="D545" t="inlineStr">
        <is>
          <t>VÄSTERBOTTENS LÄN</t>
        </is>
      </c>
      <c r="E545" t="inlineStr">
        <is>
          <t>LYCKSELE</t>
        </is>
      </c>
      <c r="G545" t="n">
        <v>6.3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47704-2021</t>
        </is>
      </c>
      <c r="B546" s="1" t="n">
        <v>44448</v>
      </c>
      <c r="C546" s="1" t="n">
        <v>45849</v>
      </c>
      <c r="D546" t="inlineStr">
        <is>
          <t>VÄSTERBOTTENS LÄN</t>
        </is>
      </c>
      <c r="E546" t="inlineStr">
        <is>
          <t>LYCKSELE</t>
        </is>
      </c>
      <c r="G546" t="n">
        <v>1.3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47711-2021</t>
        </is>
      </c>
      <c r="B547" s="1" t="n">
        <v>44448</v>
      </c>
      <c r="C547" s="1" t="n">
        <v>45849</v>
      </c>
      <c r="D547" t="inlineStr">
        <is>
          <t>VÄSTERBOTTENS LÄN</t>
        </is>
      </c>
      <c r="E547" t="inlineStr">
        <is>
          <t>LYCKSELE</t>
        </is>
      </c>
      <c r="G547" t="n">
        <v>2.6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47708-2021</t>
        </is>
      </c>
      <c r="B548" s="1" t="n">
        <v>44448</v>
      </c>
      <c r="C548" s="1" t="n">
        <v>45849</v>
      </c>
      <c r="D548" t="inlineStr">
        <is>
          <t>VÄSTERBOTTENS LÄN</t>
        </is>
      </c>
      <c r="E548" t="inlineStr">
        <is>
          <t>LYCKSELE</t>
        </is>
      </c>
      <c r="G548" t="n">
        <v>0.5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47697-2021</t>
        </is>
      </c>
      <c r="B549" s="1" t="n">
        <v>44448</v>
      </c>
      <c r="C549" s="1" t="n">
        <v>45849</v>
      </c>
      <c r="D549" t="inlineStr">
        <is>
          <t>VÄSTERBOTTENS LÄN</t>
        </is>
      </c>
      <c r="E549" t="inlineStr">
        <is>
          <t>LYCKSELE</t>
        </is>
      </c>
      <c r="G549" t="n">
        <v>3.9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48086-2021</t>
        </is>
      </c>
      <c r="B550" s="1" t="n">
        <v>44449</v>
      </c>
      <c r="C550" s="1" t="n">
        <v>45849</v>
      </c>
      <c r="D550" t="inlineStr">
        <is>
          <t>VÄSTERBOTTENS LÄN</t>
        </is>
      </c>
      <c r="E550" t="inlineStr">
        <is>
          <t>LYCKSELE</t>
        </is>
      </c>
      <c r="G550" t="n">
        <v>5.8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48987-2021</t>
        </is>
      </c>
      <c r="B551" s="1" t="n">
        <v>44453</v>
      </c>
      <c r="C551" s="1" t="n">
        <v>45849</v>
      </c>
      <c r="D551" t="inlineStr">
        <is>
          <t>VÄSTERBOTTENS LÄN</t>
        </is>
      </c>
      <c r="E551" t="inlineStr">
        <is>
          <t>LYCKSELE</t>
        </is>
      </c>
      <c r="G551" t="n">
        <v>5.9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48997-2021</t>
        </is>
      </c>
      <c r="B552" s="1" t="n">
        <v>44453</v>
      </c>
      <c r="C552" s="1" t="n">
        <v>45849</v>
      </c>
      <c r="D552" t="inlineStr">
        <is>
          <t>VÄSTERBOTTENS LÄN</t>
        </is>
      </c>
      <c r="E552" t="inlineStr">
        <is>
          <t>LYCKSELE</t>
        </is>
      </c>
      <c r="G552" t="n">
        <v>4.6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49816-2021</t>
        </is>
      </c>
      <c r="B553" s="1" t="n">
        <v>44454</v>
      </c>
      <c r="C553" s="1" t="n">
        <v>45849</v>
      </c>
      <c r="D553" t="inlineStr">
        <is>
          <t>VÄSTERBOTTENS LÄN</t>
        </is>
      </c>
      <c r="E553" t="inlineStr">
        <is>
          <t>LYCKSELE</t>
        </is>
      </c>
      <c r="G553" t="n">
        <v>4.5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50048-2021</t>
        </is>
      </c>
      <c r="B554" s="1" t="n">
        <v>44456</v>
      </c>
      <c r="C554" s="1" t="n">
        <v>45849</v>
      </c>
      <c r="D554" t="inlineStr">
        <is>
          <t>VÄSTERBOTTENS LÄN</t>
        </is>
      </c>
      <c r="E554" t="inlineStr">
        <is>
          <t>LYCKSELE</t>
        </is>
      </c>
      <c r="F554" t="inlineStr">
        <is>
          <t>Holmen skog AB</t>
        </is>
      </c>
      <c r="G554" t="n">
        <v>8.5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50044-2021</t>
        </is>
      </c>
      <c r="B555" s="1" t="n">
        <v>44456</v>
      </c>
      <c r="C555" s="1" t="n">
        <v>45849</v>
      </c>
      <c r="D555" t="inlineStr">
        <is>
          <t>VÄSTERBOTTENS LÄN</t>
        </is>
      </c>
      <c r="E555" t="inlineStr">
        <is>
          <t>LYCKSELE</t>
        </is>
      </c>
      <c r="F555" t="inlineStr">
        <is>
          <t>Holmen skog AB</t>
        </is>
      </c>
      <c r="G555" t="n">
        <v>1.1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50279-2021</t>
        </is>
      </c>
      <c r="B556" s="1" t="n">
        <v>44459</v>
      </c>
      <c r="C556" s="1" t="n">
        <v>45849</v>
      </c>
      <c r="D556" t="inlineStr">
        <is>
          <t>VÄSTERBOTTENS LÄN</t>
        </is>
      </c>
      <c r="E556" t="inlineStr">
        <is>
          <t>LYCKSELE</t>
        </is>
      </c>
      <c r="F556" t="inlineStr">
        <is>
          <t>Sveaskog</t>
        </is>
      </c>
      <c r="G556" t="n">
        <v>10.9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50340-2021</t>
        </is>
      </c>
      <c r="B557" s="1" t="n">
        <v>44459</v>
      </c>
      <c r="C557" s="1" t="n">
        <v>45849</v>
      </c>
      <c r="D557" t="inlineStr">
        <is>
          <t>VÄSTERBOTTENS LÄN</t>
        </is>
      </c>
      <c r="E557" t="inlineStr">
        <is>
          <t>LYCKSELE</t>
        </is>
      </c>
      <c r="F557" t="inlineStr">
        <is>
          <t>Sveaskog</t>
        </is>
      </c>
      <c r="G557" t="n">
        <v>14.1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51580-2021</t>
        </is>
      </c>
      <c r="B558" s="1" t="n">
        <v>44462</v>
      </c>
      <c r="C558" s="1" t="n">
        <v>45849</v>
      </c>
      <c r="D558" t="inlineStr">
        <is>
          <t>VÄSTERBOTTENS LÄN</t>
        </is>
      </c>
      <c r="E558" t="inlineStr">
        <is>
          <t>LYCKSELE</t>
        </is>
      </c>
      <c r="F558" t="inlineStr">
        <is>
          <t>Sveaskog</t>
        </is>
      </c>
      <c r="G558" t="n">
        <v>2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51931-2021</t>
        </is>
      </c>
      <c r="B559" s="1" t="n">
        <v>44463</v>
      </c>
      <c r="C559" s="1" t="n">
        <v>45849</v>
      </c>
      <c r="D559" t="inlineStr">
        <is>
          <t>VÄSTERBOTTENS LÄN</t>
        </is>
      </c>
      <c r="E559" t="inlineStr">
        <is>
          <t>LYCKSELE</t>
        </is>
      </c>
      <c r="F559" t="inlineStr">
        <is>
          <t>SCA</t>
        </is>
      </c>
      <c r="G559" t="n">
        <v>1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51932-2021</t>
        </is>
      </c>
      <c r="B560" s="1" t="n">
        <v>44462</v>
      </c>
      <c r="C560" s="1" t="n">
        <v>45849</v>
      </c>
      <c r="D560" t="inlineStr">
        <is>
          <t>VÄSTERBOTTENS LÄN</t>
        </is>
      </c>
      <c r="E560" t="inlineStr">
        <is>
          <t>LYCKSELE</t>
        </is>
      </c>
      <c r="F560" t="inlineStr">
        <is>
          <t>SCA</t>
        </is>
      </c>
      <c r="G560" t="n">
        <v>10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52210-2021</t>
        </is>
      </c>
      <c r="B561" s="1" t="n">
        <v>44463</v>
      </c>
      <c r="C561" s="1" t="n">
        <v>45849</v>
      </c>
      <c r="D561" t="inlineStr">
        <is>
          <t>VÄSTERBOTTENS LÄN</t>
        </is>
      </c>
      <c r="E561" t="inlineStr">
        <is>
          <t>LYCKSELE</t>
        </is>
      </c>
      <c r="F561" t="inlineStr">
        <is>
          <t>Sveaskog</t>
        </is>
      </c>
      <c r="G561" t="n">
        <v>5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52699-2021</t>
        </is>
      </c>
      <c r="B562" s="1" t="n">
        <v>44466</v>
      </c>
      <c r="C562" s="1" t="n">
        <v>45849</v>
      </c>
      <c r="D562" t="inlineStr">
        <is>
          <t>VÄSTERBOTTENS LÄN</t>
        </is>
      </c>
      <c r="E562" t="inlineStr">
        <is>
          <t>LYCKSELE</t>
        </is>
      </c>
      <c r="G562" t="n">
        <v>3.9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53323-2021</t>
        </is>
      </c>
      <c r="B563" s="1" t="n">
        <v>44468</v>
      </c>
      <c r="C563" s="1" t="n">
        <v>45849</v>
      </c>
      <c r="D563" t="inlineStr">
        <is>
          <t>VÄSTERBOTTENS LÄN</t>
        </is>
      </c>
      <c r="E563" t="inlineStr">
        <is>
          <t>LYCKSELE</t>
        </is>
      </c>
      <c r="G563" t="n">
        <v>0.5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53320-2021</t>
        </is>
      </c>
      <c r="B564" s="1" t="n">
        <v>44468</v>
      </c>
      <c r="C564" s="1" t="n">
        <v>45849</v>
      </c>
      <c r="D564" t="inlineStr">
        <is>
          <t>VÄSTERBOTTENS LÄN</t>
        </is>
      </c>
      <c r="E564" t="inlineStr">
        <is>
          <t>LYCKSELE</t>
        </is>
      </c>
      <c r="G564" t="n">
        <v>0.9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53614-2021</t>
        </is>
      </c>
      <c r="B565" s="1" t="n">
        <v>44469</v>
      </c>
      <c r="C565" s="1" t="n">
        <v>45849</v>
      </c>
      <c r="D565" t="inlineStr">
        <is>
          <t>VÄSTERBOTTENS LÄN</t>
        </is>
      </c>
      <c r="E565" t="inlineStr">
        <is>
          <t>LYCKSELE</t>
        </is>
      </c>
      <c r="F565" t="inlineStr">
        <is>
          <t>Holmen skog AB</t>
        </is>
      </c>
      <c r="G565" t="n">
        <v>2.1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53974-2021</t>
        </is>
      </c>
      <c r="B566" s="1" t="n">
        <v>44469</v>
      </c>
      <c r="C566" s="1" t="n">
        <v>45849</v>
      </c>
      <c r="D566" t="inlineStr">
        <is>
          <t>VÄSTERBOTTENS LÄN</t>
        </is>
      </c>
      <c r="E566" t="inlineStr">
        <is>
          <t>LYCKSELE</t>
        </is>
      </c>
      <c r="G566" t="n">
        <v>3.2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53979-2021</t>
        </is>
      </c>
      <c r="B567" s="1" t="n">
        <v>44469</v>
      </c>
      <c r="C567" s="1" t="n">
        <v>45849</v>
      </c>
      <c r="D567" t="inlineStr">
        <is>
          <t>VÄSTERBOTTENS LÄN</t>
        </is>
      </c>
      <c r="E567" t="inlineStr">
        <is>
          <t>LYCKSELE</t>
        </is>
      </c>
      <c r="G567" t="n">
        <v>1.1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54249-2021</t>
        </is>
      </c>
      <c r="B568" s="1" t="n">
        <v>44470</v>
      </c>
      <c r="C568" s="1" t="n">
        <v>45849</v>
      </c>
      <c r="D568" t="inlineStr">
        <is>
          <t>VÄSTERBOTTENS LÄN</t>
        </is>
      </c>
      <c r="E568" t="inlineStr">
        <is>
          <t>LYCKSELE</t>
        </is>
      </c>
      <c r="F568" t="inlineStr">
        <is>
          <t>Sveaskog</t>
        </is>
      </c>
      <c r="G568" t="n">
        <v>1.1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54245-2021</t>
        </is>
      </c>
      <c r="B569" s="1" t="n">
        <v>44470</v>
      </c>
      <c r="C569" s="1" t="n">
        <v>45849</v>
      </c>
      <c r="D569" t="inlineStr">
        <is>
          <t>VÄSTERBOTTENS LÄN</t>
        </is>
      </c>
      <c r="E569" t="inlineStr">
        <is>
          <t>LYCKSELE</t>
        </is>
      </c>
      <c r="F569" t="inlineStr">
        <is>
          <t>Sveaskog</t>
        </is>
      </c>
      <c r="G569" t="n">
        <v>9.1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54790-2021</t>
        </is>
      </c>
      <c r="B570" s="1" t="n">
        <v>44473</v>
      </c>
      <c r="C570" s="1" t="n">
        <v>45849</v>
      </c>
      <c r="D570" t="inlineStr">
        <is>
          <t>VÄSTERBOTTENS LÄN</t>
        </is>
      </c>
      <c r="E570" t="inlineStr">
        <is>
          <t>LYCKSELE</t>
        </is>
      </c>
      <c r="F570" t="inlineStr">
        <is>
          <t>SCA</t>
        </is>
      </c>
      <c r="G570" t="n">
        <v>2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54735-2021</t>
        </is>
      </c>
      <c r="B571" s="1" t="n">
        <v>44473</v>
      </c>
      <c r="C571" s="1" t="n">
        <v>45849</v>
      </c>
      <c r="D571" t="inlineStr">
        <is>
          <t>VÄSTERBOTTENS LÄN</t>
        </is>
      </c>
      <c r="E571" t="inlineStr">
        <is>
          <t>LYCKSELE</t>
        </is>
      </c>
      <c r="G571" t="n">
        <v>11.2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54771-2021</t>
        </is>
      </c>
      <c r="B572" s="1" t="n">
        <v>44474</v>
      </c>
      <c r="C572" s="1" t="n">
        <v>45849</v>
      </c>
      <c r="D572" t="inlineStr">
        <is>
          <t>VÄSTERBOTTENS LÄN</t>
        </is>
      </c>
      <c r="E572" t="inlineStr">
        <is>
          <t>LYCKSELE</t>
        </is>
      </c>
      <c r="F572" t="inlineStr">
        <is>
          <t>SCA</t>
        </is>
      </c>
      <c r="G572" t="n">
        <v>9.5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54794-2021</t>
        </is>
      </c>
      <c r="B573" s="1" t="n">
        <v>44474</v>
      </c>
      <c r="C573" s="1" t="n">
        <v>45849</v>
      </c>
      <c r="D573" t="inlineStr">
        <is>
          <t>VÄSTERBOTTENS LÄN</t>
        </is>
      </c>
      <c r="E573" t="inlineStr">
        <is>
          <t>LYCKSELE</t>
        </is>
      </c>
      <c r="F573" t="inlineStr">
        <is>
          <t>SCA</t>
        </is>
      </c>
      <c r="G573" t="n">
        <v>1.2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55565-2021</t>
        </is>
      </c>
      <c r="B574" s="1" t="n">
        <v>44475</v>
      </c>
      <c r="C574" s="1" t="n">
        <v>45849</v>
      </c>
      <c r="D574" t="inlineStr">
        <is>
          <t>VÄSTERBOTTENS LÄN</t>
        </is>
      </c>
      <c r="E574" t="inlineStr">
        <is>
          <t>LYCKSELE</t>
        </is>
      </c>
      <c r="F574" t="inlineStr">
        <is>
          <t>Holmen skog AB</t>
        </is>
      </c>
      <c r="G574" t="n">
        <v>1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55658-2021</t>
        </is>
      </c>
      <c r="B575" s="1" t="n">
        <v>44476</v>
      </c>
      <c r="C575" s="1" t="n">
        <v>45849</v>
      </c>
      <c r="D575" t="inlineStr">
        <is>
          <t>VÄSTERBOTTENS LÄN</t>
        </is>
      </c>
      <c r="E575" t="inlineStr">
        <is>
          <t>LYCKSELE</t>
        </is>
      </c>
      <c r="F575" t="inlineStr">
        <is>
          <t>Sveaskog</t>
        </is>
      </c>
      <c r="G575" t="n">
        <v>0.9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56206-2021</t>
        </is>
      </c>
      <c r="B576" s="1" t="n">
        <v>44477</v>
      </c>
      <c r="C576" s="1" t="n">
        <v>45849</v>
      </c>
      <c r="D576" t="inlineStr">
        <is>
          <t>VÄSTERBOTTENS LÄN</t>
        </is>
      </c>
      <c r="E576" t="inlineStr">
        <is>
          <t>LYCKSELE</t>
        </is>
      </c>
      <c r="F576" t="inlineStr">
        <is>
          <t>SCA</t>
        </is>
      </c>
      <c r="G576" t="n">
        <v>0.9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56401-2021</t>
        </is>
      </c>
      <c r="B577" s="1" t="n">
        <v>44477</v>
      </c>
      <c r="C577" s="1" t="n">
        <v>45849</v>
      </c>
      <c r="D577" t="inlineStr">
        <is>
          <t>VÄSTERBOTTENS LÄN</t>
        </is>
      </c>
      <c r="E577" t="inlineStr">
        <is>
          <t>LYCKSELE</t>
        </is>
      </c>
      <c r="G577" t="n">
        <v>11.5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56898-2021</t>
        </is>
      </c>
      <c r="B578" s="1" t="n">
        <v>44481</v>
      </c>
      <c r="C578" s="1" t="n">
        <v>45849</v>
      </c>
      <c r="D578" t="inlineStr">
        <is>
          <t>VÄSTERBOTTENS LÄN</t>
        </is>
      </c>
      <c r="E578" t="inlineStr">
        <is>
          <t>LYCKSELE</t>
        </is>
      </c>
      <c r="F578" t="inlineStr">
        <is>
          <t>Naturvårdsverket</t>
        </is>
      </c>
      <c r="G578" t="n">
        <v>1.5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57666-2021</t>
        </is>
      </c>
      <c r="B579" s="1" t="n">
        <v>44484</v>
      </c>
      <c r="C579" s="1" t="n">
        <v>45849</v>
      </c>
      <c r="D579" t="inlineStr">
        <is>
          <t>VÄSTERBOTTENS LÄN</t>
        </is>
      </c>
      <c r="E579" t="inlineStr">
        <is>
          <t>LYCKSELE</t>
        </is>
      </c>
      <c r="F579" t="inlineStr">
        <is>
          <t>Sveaskog</t>
        </is>
      </c>
      <c r="G579" t="n">
        <v>0.9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57848-2021</t>
        </is>
      </c>
      <c r="B580" s="1" t="n">
        <v>44484</v>
      </c>
      <c r="C580" s="1" t="n">
        <v>45849</v>
      </c>
      <c r="D580" t="inlineStr">
        <is>
          <t>VÄSTERBOTTENS LÄN</t>
        </is>
      </c>
      <c r="E580" t="inlineStr">
        <is>
          <t>LYCKSELE</t>
        </is>
      </c>
      <c r="G580" t="n">
        <v>3.3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57818-2021</t>
        </is>
      </c>
      <c r="B581" s="1" t="n">
        <v>44484</v>
      </c>
      <c r="C581" s="1" t="n">
        <v>45849</v>
      </c>
      <c r="D581" t="inlineStr">
        <is>
          <t>VÄSTERBOTTENS LÄN</t>
        </is>
      </c>
      <c r="E581" t="inlineStr">
        <is>
          <t>LYCKSELE</t>
        </is>
      </c>
      <c r="G581" t="n">
        <v>5.4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57898-2021</t>
        </is>
      </c>
      <c r="B582" s="1" t="n">
        <v>44486</v>
      </c>
      <c r="C582" s="1" t="n">
        <v>45849</v>
      </c>
      <c r="D582" t="inlineStr">
        <is>
          <t>VÄSTERBOTTENS LÄN</t>
        </is>
      </c>
      <c r="E582" t="inlineStr">
        <is>
          <t>LYCKSELE</t>
        </is>
      </c>
      <c r="G582" t="n">
        <v>14.7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58911-2021</t>
        </is>
      </c>
      <c r="B583" s="1" t="n">
        <v>44489</v>
      </c>
      <c r="C583" s="1" t="n">
        <v>45849</v>
      </c>
      <c r="D583" t="inlineStr">
        <is>
          <t>VÄSTERBOTTENS LÄN</t>
        </is>
      </c>
      <c r="E583" t="inlineStr">
        <is>
          <t>LYCKSELE</t>
        </is>
      </c>
      <c r="F583" t="inlineStr">
        <is>
          <t>Sveaskog</t>
        </is>
      </c>
      <c r="G583" t="n">
        <v>10.6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59074-2021</t>
        </is>
      </c>
      <c r="B584" s="1" t="n">
        <v>44489</v>
      </c>
      <c r="C584" s="1" t="n">
        <v>45849</v>
      </c>
      <c r="D584" t="inlineStr">
        <is>
          <t>VÄSTERBOTTENS LÄN</t>
        </is>
      </c>
      <c r="E584" t="inlineStr">
        <is>
          <t>LYCKSELE</t>
        </is>
      </c>
      <c r="G584" t="n">
        <v>3.5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58946-2021</t>
        </is>
      </c>
      <c r="B585" s="1" t="n">
        <v>44490</v>
      </c>
      <c r="C585" s="1" t="n">
        <v>45849</v>
      </c>
      <c r="D585" t="inlineStr">
        <is>
          <t>VÄSTERBOTTENS LÄN</t>
        </is>
      </c>
      <c r="E585" t="inlineStr">
        <is>
          <t>LYCKSELE</t>
        </is>
      </c>
      <c r="G585" t="n">
        <v>2.4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59445-2021</t>
        </is>
      </c>
      <c r="B586" s="1" t="n">
        <v>44490</v>
      </c>
      <c r="C586" s="1" t="n">
        <v>45849</v>
      </c>
      <c r="D586" t="inlineStr">
        <is>
          <t>VÄSTERBOTTENS LÄN</t>
        </is>
      </c>
      <c r="E586" t="inlineStr">
        <is>
          <t>LYCKSELE</t>
        </is>
      </c>
      <c r="G586" t="n">
        <v>1.9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59516-2021</t>
        </is>
      </c>
      <c r="B587" s="1" t="n">
        <v>44491</v>
      </c>
      <c r="C587" s="1" t="n">
        <v>45849</v>
      </c>
      <c r="D587" t="inlineStr">
        <is>
          <t>VÄSTERBOTTENS LÄN</t>
        </is>
      </c>
      <c r="E587" t="inlineStr">
        <is>
          <t>LYCKSELE</t>
        </is>
      </c>
      <c r="F587" t="inlineStr">
        <is>
          <t>Holmen skog AB</t>
        </is>
      </c>
      <c r="G587" t="n">
        <v>2.7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59555-2021</t>
        </is>
      </c>
      <c r="B588" s="1" t="n">
        <v>44491</v>
      </c>
      <c r="C588" s="1" t="n">
        <v>45849</v>
      </c>
      <c r="D588" t="inlineStr">
        <is>
          <t>VÄSTERBOTTENS LÄN</t>
        </is>
      </c>
      <c r="E588" t="inlineStr">
        <is>
          <t>LYCKSELE</t>
        </is>
      </c>
      <c r="F588" t="inlineStr">
        <is>
          <t>Holmen skog AB</t>
        </is>
      </c>
      <c r="G588" t="n">
        <v>2.5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60116-2021</t>
        </is>
      </c>
      <c r="B589" s="1" t="n">
        <v>44495</v>
      </c>
      <c r="C589" s="1" t="n">
        <v>45849</v>
      </c>
      <c r="D589" t="inlineStr">
        <is>
          <t>VÄSTERBOTTENS LÄN</t>
        </is>
      </c>
      <c r="E589" t="inlineStr">
        <is>
          <t>LYCKSELE</t>
        </is>
      </c>
      <c r="F589" t="inlineStr">
        <is>
          <t>Sveaskog</t>
        </is>
      </c>
      <c r="G589" t="n">
        <v>2.2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60044-2021</t>
        </is>
      </c>
      <c r="B590" s="1" t="n">
        <v>44495</v>
      </c>
      <c r="C590" s="1" t="n">
        <v>45849</v>
      </c>
      <c r="D590" t="inlineStr">
        <is>
          <t>VÄSTERBOTTENS LÄN</t>
        </is>
      </c>
      <c r="E590" t="inlineStr">
        <is>
          <t>LYCKSELE</t>
        </is>
      </c>
      <c r="F590" t="inlineStr">
        <is>
          <t>Sveaskog</t>
        </is>
      </c>
      <c r="G590" t="n">
        <v>3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60203-2021</t>
        </is>
      </c>
      <c r="B591" s="1" t="n">
        <v>44495</v>
      </c>
      <c r="C591" s="1" t="n">
        <v>45849</v>
      </c>
      <c r="D591" t="inlineStr">
        <is>
          <t>VÄSTERBOTTENS LÄN</t>
        </is>
      </c>
      <c r="E591" t="inlineStr">
        <is>
          <t>LYCKSELE</t>
        </is>
      </c>
      <c r="F591" t="inlineStr">
        <is>
          <t>Sveaskog</t>
        </is>
      </c>
      <c r="G591" t="n">
        <v>6.1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60425-2021</t>
        </is>
      </c>
      <c r="B592" s="1" t="n">
        <v>44496</v>
      </c>
      <c r="C592" s="1" t="n">
        <v>45849</v>
      </c>
      <c r="D592" t="inlineStr">
        <is>
          <t>VÄSTERBOTTENS LÄN</t>
        </is>
      </c>
      <c r="E592" t="inlineStr">
        <is>
          <t>LYCKSELE</t>
        </is>
      </c>
      <c r="F592" t="inlineStr">
        <is>
          <t>Sveaskog</t>
        </is>
      </c>
      <c r="G592" t="n">
        <v>1.2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60437-2021</t>
        </is>
      </c>
      <c r="B593" s="1" t="n">
        <v>44496</v>
      </c>
      <c r="C593" s="1" t="n">
        <v>45849</v>
      </c>
      <c r="D593" t="inlineStr">
        <is>
          <t>VÄSTERBOTTENS LÄN</t>
        </is>
      </c>
      <c r="E593" t="inlineStr">
        <is>
          <t>LYCKSELE</t>
        </is>
      </c>
      <c r="F593" t="inlineStr">
        <is>
          <t>Sveaskog</t>
        </is>
      </c>
      <c r="G593" t="n">
        <v>4.9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60586-2021</t>
        </is>
      </c>
      <c r="B594" s="1" t="n">
        <v>44496</v>
      </c>
      <c r="C594" s="1" t="n">
        <v>45849</v>
      </c>
      <c r="D594" t="inlineStr">
        <is>
          <t>VÄSTERBOTTENS LÄN</t>
        </is>
      </c>
      <c r="E594" t="inlineStr">
        <is>
          <t>LYCKSELE</t>
        </is>
      </c>
      <c r="F594" t="inlineStr">
        <is>
          <t>Sveaskog</t>
        </is>
      </c>
      <c r="G594" t="n">
        <v>2.1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60440-2021</t>
        </is>
      </c>
      <c r="B595" s="1" t="n">
        <v>44496</v>
      </c>
      <c r="C595" s="1" t="n">
        <v>45849</v>
      </c>
      <c r="D595" t="inlineStr">
        <is>
          <t>VÄSTERBOTTENS LÄN</t>
        </is>
      </c>
      <c r="E595" t="inlineStr">
        <is>
          <t>LYCKSELE</t>
        </is>
      </c>
      <c r="F595" t="inlineStr">
        <is>
          <t>Sveaskog</t>
        </is>
      </c>
      <c r="G595" t="n">
        <v>2.1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61169-2021</t>
        </is>
      </c>
      <c r="B596" s="1" t="n">
        <v>44498</v>
      </c>
      <c r="C596" s="1" t="n">
        <v>45849</v>
      </c>
      <c r="D596" t="inlineStr">
        <is>
          <t>VÄSTERBOTTENS LÄN</t>
        </is>
      </c>
      <c r="E596" t="inlineStr">
        <is>
          <t>LYCKSELE</t>
        </is>
      </c>
      <c r="F596" t="inlineStr">
        <is>
          <t>Sveaskog</t>
        </is>
      </c>
      <c r="G596" t="n">
        <v>6.6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61432-2021</t>
        </is>
      </c>
      <c r="B597" s="1" t="n">
        <v>44500</v>
      </c>
      <c r="C597" s="1" t="n">
        <v>45849</v>
      </c>
      <c r="D597" t="inlineStr">
        <is>
          <t>VÄSTERBOTTENS LÄN</t>
        </is>
      </c>
      <c r="E597" t="inlineStr">
        <is>
          <t>LYCKSELE</t>
        </is>
      </c>
      <c r="F597" t="inlineStr">
        <is>
          <t>SCA</t>
        </is>
      </c>
      <c r="G597" t="n">
        <v>0.2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61554-2021</t>
        </is>
      </c>
      <c r="B598" s="1" t="n">
        <v>44501</v>
      </c>
      <c r="C598" s="1" t="n">
        <v>45849</v>
      </c>
      <c r="D598" t="inlineStr">
        <is>
          <t>VÄSTERBOTTENS LÄN</t>
        </is>
      </c>
      <c r="E598" t="inlineStr">
        <is>
          <t>LYCKSELE</t>
        </is>
      </c>
      <c r="F598" t="inlineStr">
        <is>
          <t>Sveaskog</t>
        </is>
      </c>
      <c r="G598" t="n">
        <v>2.5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61511-2021</t>
        </is>
      </c>
      <c r="B599" s="1" t="n">
        <v>44501</v>
      </c>
      <c r="C599" s="1" t="n">
        <v>45849</v>
      </c>
      <c r="D599" t="inlineStr">
        <is>
          <t>VÄSTERBOTTENS LÄN</t>
        </is>
      </c>
      <c r="E599" t="inlineStr">
        <is>
          <t>LYCKSELE</t>
        </is>
      </c>
      <c r="F599" t="inlineStr">
        <is>
          <t>Sveaskog</t>
        </is>
      </c>
      <c r="G599" t="n">
        <v>1.2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61651-2021</t>
        </is>
      </c>
      <c r="B600" s="1" t="n">
        <v>44501</v>
      </c>
      <c r="C600" s="1" t="n">
        <v>45849</v>
      </c>
      <c r="D600" t="inlineStr">
        <is>
          <t>VÄSTERBOTTENS LÄN</t>
        </is>
      </c>
      <c r="E600" t="inlineStr">
        <is>
          <t>LYCKSELE</t>
        </is>
      </c>
      <c r="F600" t="inlineStr">
        <is>
          <t>Sveaskog</t>
        </is>
      </c>
      <c r="G600" t="n">
        <v>10.7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61573-2021</t>
        </is>
      </c>
      <c r="B601" s="1" t="n">
        <v>44501</v>
      </c>
      <c r="C601" s="1" t="n">
        <v>45849</v>
      </c>
      <c r="D601" t="inlineStr">
        <is>
          <t>VÄSTERBOTTENS LÄN</t>
        </is>
      </c>
      <c r="E601" t="inlineStr">
        <is>
          <t>LYCKSELE</t>
        </is>
      </c>
      <c r="F601" t="inlineStr">
        <is>
          <t>Sveaskog</t>
        </is>
      </c>
      <c r="G601" t="n">
        <v>7.5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61588-2021</t>
        </is>
      </c>
      <c r="B602" s="1" t="n">
        <v>44501</v>
      </c>
      <c r="C602" s="1" t="n">
        <v>45849</v>
      </c>
      <c r="D602" t="inlineStr">
        <is>
          <t>VÄSTERBOTTENS LÄN</t>
        </is>
      </c>
      <c r="E602" t="inlineStr">
        <is>
          <t>LYCKSELE</t>
        </is>
      </c>
      <c r="F602" t="inlineStr">
        <is>
          <t>Sveaskog</t>
        </is>
      </c>
      <c r="G602" t="n">
        <v>5.5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61506-2021</t>
        </is>
      </c>
      <c r="B603" s="1" t="n">
        <v>44501</v>
      </c>
      <c r="C603" s="1" t="n">
        <v>45849</v>
      </c>
      <c r="D603" t="inlineStr">
        <is>
          <t>VÄSTERBOTTENS LÄN</t>
        </is>
      </c>
      <c r="E603" t="inlineStr">
        <is>
          <t>LYCKSELE</t>
        </is>
      </c>
      <c r="F603" t="inlineStr">
        <is>
          <t>Sveaskog</t>
        </is>
      </c>
      <c r="G603" t="n">
        <v>6.4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61940-2021</t>
        </is>
      </c>
      <c r="B604" s="1" t="n">
        <v>44502</v>
      </c>
      <c r="C604" s="1" t="n">
        <v>45849</v>
      </c>
      <c r="D604" t="inlineStr">
        <is>
          <t>VÄSTERBOTTENS LÄN</t>
        </is>
      </c>
      <c r="E604" t="inlineStr">
        <is>
          <t>LYCKSELE</t>
        </is>
      </c>
      <c r="F604" t="inlineStr">
        <is>
          <t>Sveaskog</t>
        </is>
      </c>
      <c r="G604" t="n">
        <v>6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61900-2021</t>
        </is>
      </c>
      <c r="B605" s="1" t="n">
        <v>44502</v>
      </c>
      <c r="C605" s="1" t="n">
        <v>45849</v>
      </c>
      <c r="D605" t="inlineStr">
        <is>
          <t>VÄSTERBOTTENS LÄN</t>
        </is>
      </c>
      <c r="E605" t="inlineStr">
        <is>
          <t>LYCKSELE</t>
        </is>
      </c>
      <c r="F605" t="inlineStr">
        <is>
          <t>Sveaskog</t>
        </is>
      </c>
      <c r="G605" t="n">
        <v>11.5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61907-2021</t>
        </is>
      </c>
      <c r="B606" s="1" t="n">
        <v>44502</v>
      </c>
      <c r="C606" s="1" t="n">
        <v>45849</v>
      </c>
      <c r="D606" t="inlineStr">
        <is>
          <t>VÄSTERBOTTENS LÄN</t>
        </is>
      </c>
      <c r="E606" t="inlineStr">
        <is>
          <t>LYCKSELE</t>
        </is>
      </c>
      <c r="F606" t="inlineStr">
        <is>
          <t>Sveaskog</t>
        </is>
      </c>
      <c r="G606" t="n">
        <v>4.2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63172-2021</t>
        </is>
      </c>
      <c r="B607" s="1" t="n">
        <v>44506</v>
      </c>
      <c r="C607" s="1" t="n">
        <v>45849</v>
      </c>
      <c r="D607" t="inlineStr">
        <is>
          <t>VÄSTERBOTTENS LÄN</t>
        </is>
      </c>
      <c r="E607" t="inlineStr">
        <is>
          <t>LYCKSELE</t>
        </is>
      </c>
      <c r="G607" t="n">
        <v>11.5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63827-2021</t>
        </is>
      </c>
      <c r="B608" s="1" t="n">
        <v>44509</v>
      </c>
      <c r="C608" s="1" t="n">
        <v>45849</v>
      </c>
      <c r="D608" t="inlineStr">
        <is>
          <t>VÄSTERBOTTENS LÄN</t>
        </is>
      </c>
      <c r="E608" t="inlineStr">
        <is>
          <t>LYCKSELE</t>
        </is>
      </c>
      <c r="F608" t="inlineStr">
        <is>
          <t>Sveaskog</t>
        </is>
      </c>
      <c r="G608" t="n">
        <v>0.8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63977-2021</t>
        </is>
      </c>
      <c r="B609" s="1" t="n">
        <v>44509</v>
      </c>
      <c r="C609" s="1" t="n">
        <v>45849</v>
      </c>
      <c r="D609" t="inlineStr">
        <is>
          <t>VÄSTERBOTTENS LÄN</t>
        </is>
      </c>
      <c r="E609" t="inlineStr">
        <is>
          <t>LYCKSELE</t>
        </is>
      </c>
      <c r="G609" t="n">
        <v>1.8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63976-2021</t>
        </is>
      </c>
      <c r="B610" s="1" t="n">
        <v>44509</v>
      </c>
      <c r="C610" s="1" t="n">
        <v>45849</v>
      </c>
      <c r="D610" t="inlineStr">
        <is>
          <t>VÄSTERBOTTENS LÄN</t>
        </is>
      </c>
      <c r="E610" t="inlineStr">
        <is>
          <t>LYCKSELE</t>
        </is>
      </c>
      <c r="G610" t="n">
        <v>12.1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65019-2021</t>
        </is>
      </c>
      <c r="B611" s="1" t="n">
        <v>44512</v>
      </c>
      <c r="C611" s="1" t="n">
        <v>45849</v>
      </c>
      <c r="D611" t="inlineStr">
        <is>
          <t>VÄSTERBOTTENS LÄN</t>
        </is>
      </c>
      <c r="E611" t="inlineStr">
        <is>
          <t>LYCKSELE</t>
        </is>
      </c>
      <c r="G611" t="n">
        <v>2.3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64893-2021</t>
        </is>
      </c>
      <c r="B612" s="1" t="n">
        <v>44512</v>
      </c>
      <c r="C612" s="1" t="n">
        <v>45849</v>
      </c>
      <c r="D612" t="inlineStr">
        <is>
          <t>VÄSTERBOTTENS LÄN</t>
        </is>
      </c>
      <c r="E612" t="inlineStr">
        <is>
          <t>LYCKSELE</t>
        </is>
      </c>
      <c r="G612" t="n">
        <v>7.3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65231-2021</t>
        </is>
      </c>
      <c r="B613" s="1" t="n">
        <v>44513</v>
      </c>
      <c r="C613" s="1" t="n">
        <v>45849</v>
      </c>
      <c r="D613" t="inlineStr">
        <is>
          <t>VÄSTERBOTTENS LÄN</t>
        </is>
      </c>
      <c r="E613" t="inlineStr">
        <is>
          <t>LYCKSELE</t>
        </is>
      </c>
      <c r="G613" t="n">
        <v>1.3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65487-2021</t>
        </is>
      </c>
      <c r="B614" s="1" t="n">
        <v>44515</v>
      </c>
      <c r="C614" s="1" t="n">
        <v>45849</v>
      </c>
      <c r="D614" t="inlineStr">
        <is>
          <t>VÄSTERBOTTENS LÄN</t>
        </is>
      </c>
      <c r="E614" t="inlineStr">
        <is>
          <t>LYCKSELE</t>
        </is>
      </c>
      <c r="G614" t="n">
        <v>0.5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66249-2021</t>
        </is>
      </c>
      <c r="B615" s="1" t="n">
        <v>44518</v>
      </c>
      <c r="C615" s="1" t="n">
        <v>45849</v>
      </c>
      <c r="D615" t="inlineStr">
        <is>
          <t>VÄSTERBOTTENS LÄN</t>
        </is>
      </c>
      <c r="E615" t="inlineStr">
        <is>
          <t>LYCKSELE</t>
        </is>
      </c>
      <c r="F615" t="inlineStr">
        <is>
          <t>Holmen skog AB</t>
        </is>
      </c>
      <c r="G615" t="n">
        <v>5.9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66460-2021</t>
        </is>
      </c>
      <c r="B616" s="1" t="n">
        <v>44518</v>
      </c>
      <c r="C616" s="1" t="n">
        <v>45849</v>
      </c>
      <c r="D616" t="inlineStr">
        <is>
          <t>VÄSTERBOTTENS LÄN</t>
        </is>
      </c>
      <c r="E616" t="inlineStr">
        <is>
          <t>LYCKSELE</t>
        </is>
      </c>
      <c r="G616" t="n">
        <v>6.3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66459-2021</t>
        </is>
      </c>
      <c r="B617" s="1" t="n">
        <v>44518</v>
      </c>
      <c r="C617" s="1" t="n">
        <v>45849</v>
      </c>
      <c r="D617" t="inlineStr">
        <is>
          <t>VÄSTERBOTTENS LÄN</t>
        </is>
      </c>
      <c r="E617" t="inlineStr">
        <is>
          <t>LYCKSELE</t>
        </is>
      </c>
      <c r="G617" t="n">
        <v>2.6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66712-2021</t>
        </is>
      </c>
      <c r="B618" s="1" t="n">
        <v>44519</v>
      </c>
      <c r="C618" s="1" t="n">
        <v>45849</v>
      </c>
      <c r="D618" t="inlineStr">
        <is>
          <t>VÄSTERBOTTENS LÄN</t>
        </is>
      </c>
      <c r="E618" t="inlineStr">
        <is>
          <t>LYCKSELE</t>
        </is>
      </c>
      <c r="F618" t="inlineStr">
        <is>
          <t>SCA</t>
        </is>
      </c>
      <c r="G618" t="n">
        <v>0.9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67092-2021</t>
        </is>
      </c>
      <c r="B619" s="1" t="n">
        <v>44522</v>
      </c>
      <c r="C619" s="1" t="n">
        <v>45849</v>
      </c>
      <c r="D619" t="inlineStr">
        <is>
          <t>VÄSTERBOTTENS LÄN</t>
        </is>
      </c>
      <c r="E619" t="inlineStr">
        <is>
          <t>LYCKSELE</t>
        </is>
      </c>
      <c r="F619" t="inlineStr">
        <is>
          <t>SCA</t>
        </is>
      </c>
      <c r="G619" t="n">
        <v>2.7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68110-2021</t>
        </is>
      </c>
      <c r="B620" s="1" t="n">
        <v>44526</v>
      </c>
      <c r="C620" s="1" t="n">
        <v>45849</v>
      </c>
      <c r="D620" t="inlineStr">
        <is>
          <t>VÄSTERBOTTENS LÄN</t>
        </is>
      </c>
      <c r="E620" t="inlineStr">
        <is>
          <t>LYCKSELE</t>
        </is>
      </c>
      <c r="F620" t="inlineStr">
        <is>
          <t>Sveaskog</t>
        </is>
      </c>
      <c r="G620" t="n">
        <v>2.9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68169-2021</t>
        </is>
      </c>
      <c r="B621" s="1" t="n">
        <v>44526</v>
      </c>
      <c r="C621" s="1" t="n">
        <v>45849</v>
      </c>
      <c r="D621" t="inlineStr">
        <is>
          <t>VÄSTERBOTTENS LÄN</t>
        </is>
      </c>
      <c r="E621" t="inlineStr">
        <is>
          <t>LYCKSELE</t>
        </is>
      </c>
      <c r="G621" t="n">
        <v>1.7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68665-2021</t>
        </is>
      </c>
      <c r="B622" s="1" t="n">
        <v>44529</v>
      </c>
      <c r="C622" s="1" t="n">
        <v>45849</v>
      </c>
      <c r="D622" t="inlineStr">
        <is>
          <t>VÄSTERBOTTENS LÄN</t>
        </is>
      </c>
      <c r="E622" t="inlineStr">
        <is>
          <t>LYCKSELE</t>
        </is>
      </c>
      <c r="G622" t="n">
        <v>1.7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68790-2021</t>
        </is>
      </c>
      <c r="B623" s="1" t="n">
        <v>44529</v>
      </c>
      <c r="C623" s="1" t="n">
        <v>45849</v>
      </c>
      <c r="D623" t="inlineStr">
        <is>
          <t>VÄSTERBOTTENS LÄN</t>
        </is>
      </c>
      <c r="E623" t="inlineStr">
        <is>
          <t>LYCKSELE</t>
        </is>
      </c>
      <c r="F623" t="inlineStr">
        <is>
          <t>SCA</t>
        </is>
      </c>
      <c r="G623" t="n">
        <v>2.8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69488-2021</t>
        </is>
      </c>
      <c r="B624" s="1" t="n">
        <v>44531</v>
      </c>
      <c r="C624" s="1" t="n">
        <v>45849</v>
      </c>
      <c r="D624" t="inlineStr">
        <is>
          <t>VÄSTERBOTTENS LÄN</t>
        </is>
      </c>
      <c r="E624" t="inlineStr">
        <is>
          <t>LYCKSELE</t>
        </is>
      </c>
      <c r="F624" t="inlineStr">
        <is>
          <t>Holmen skog AB</t>
        </is>
      </c>
      <c r="G624" t="n">
        <v>5.1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69674-2021</t>
        </is>
      </c>
      <c r="B625" s="1" t="n">
        <v>44531</v>
      </c>
      <c r="C625" s="1" t="n">
        <v>45849</v>
      </c>
      <c r="D625" t="inlineStr">
        <is>
          <t>VÄSTERBOTTENS LÄN</t>
        </is>
      </c>
      <c r="E625" t="inlineStr">
        <is>
          <t>LYCKSELE</t>
        </is>
      </c>
      <c r="G625" t="n">
        <v>6.7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69226-2021</t>
        </is>
      </c>
      <c r="B626" s="1" t="n">
        <v>44531</v>
      </c>
      <c r="C626" s="1" t="n">
        <v>45849</v>
      </c>
      <c r="D626" t="inlineStr">
        <is>
          <t>VÄSTERBOTTENS LÄN</t>
        </is>
      </c>
      <c r="E626" t="inlineStr">
        <is>
          <t>LYCKSELE</t>
        </is>
      </c>
      <c r="G626" t="n">
        <v>0.6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69481-2021</t>
        </is>
      </c>
      <c r="B627" s="1" t="n">
        <v>44531</v>
      </c>
      <c r="C627" s="1" t="n">
        <v>45849</v>
      </c>
      <c r="D627" t="inlineStr">
        <is>
          <t>VÄSTERBOTTENS LÄN</t>
        </is>
      </c>
      <c r="E627" t="inlineStr">
        <is>
          <t>LYCKSELE</t>
        </is>
      </c>
      <c r="F627" t="inlineStr">
        <is>
          <t>Holmen skog AB</t>
        </is>
      </c>
      <c r="G627" t="n">
        <v>3.3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69462-2021</t>
        </is>
      </c>
      <c r="B628" s="1" t="n">
        <v>44531</v>
      </c>
      <c r="C628" s="1" t="n">
        <v>45849</v>
      </c>
      <c r="D628" t="inlineStr">
        <is>
          <t>VÄSTERBOTTENS LÄN</t>
        </is>
      </c>
      <c r="E628" t="inlineStr">
        <is>
          <t>LYCKSELE</t>
        </is>
      </c>
      <c r="F628" t="inlineStr">
        <is>
          <t>Holmen skog AB</t>
        </is>
      </c>
      <c r="G628" t="n">
        <v>3.9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69705-2021</t>
        </is>
      </c>
      <c r="B629" s="1" t="n">
        <v>44531</v>
      </c>
      <c r="C629" s="1" t="n">
        <v>45849</v>
      </c>
      <c r="D629" t="inlineStr">
        <is>
          <t>VÄSTERBOTTENS LÄN</t>
        </is>
      </c>
      <c r="E629" t="inlineStr">
        <is>
          <t>LYCKSELE</t>
        </is>
      </c>
      <c r="G629" t="n">
        <v>2.9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69627-2021</t>
        </is>
      </c>
      <c r="B630" s="1" t="n">
        <v>44532</v>
      </c>
      <c r="C630" s="1" t="n">
        <v>45849</v>
      </c>
      <c r="D630" t="inlineStr">
        <is>
          <t>VÄSTERBOTTENS LÄN</t>
        </is>
      </c>
      <c r="E630" t="inlineStr">
        <is>
          <t>LYCKSELE</t>
        </is>
      </c>
      <c r="F630" t="inlineStr">
        <is>
          <t>Sveaskog</t>
        </is>
      </c>
      <c r="G630" t="n">
        <v>1.1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69837-2021</t>
        </is>
      </c>
      <c r="B631" s="1" t="n">
        <v>44532</v>
      </c>
      <c r="C631" s="1" t="n">
        <v>45849</v>
      </c>
      <c r="D631" t="inlineStr">
        <is>
          <t>VÄSTERBOTTENS LÄN</t>
        </is>
      </c>
      <c r="E631" t="inlineStr">
        <is>
          <t>LYCKSELE</t>
        </is>
      </c>
      <c r="G631" t="n">
        <v>4.4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70193-2021</t>
        </is>
      </c>
      <c r="B632" s="1" t="n">
        <v>44534</v>
      </c>
      <c r="C632" s="1" t="n">
        <v>45849</v>
      </c>
      <c r="D632" t="inlineStr">
        <is>
          <t>VÄSTERBOTTENS LÄN</t>
        </is>
      </c>
      <c r="E632" t="inlineStr">
        <is>
          <t>LYCKSELE</t>
        </is>
      </c>
      <c r="G632" t="n">
        <v>27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70197-2021</t>
        </is>
      </c>
      <c r="B633" s="1" t="n">
        <v>44534</v>
      </c>
      <c r="C633" s="1" t="n">
        <v>45849</v>
      </c>
      <c r="D633" t="inlineStr">
        <is>
          <t>VÄSTERBOTTENS LÄN</t>
        </is>
      </c>
      <c r="E633" t="inlineStr">
        <is>
          <t>LYCKSELE</t>
        </is>
      </c>
      <c r="G633" t="n">
        <v>6.5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70196-2021</t>
        </is>
      </c>
      <c r="B634" s="1" t="n">
        <v>44534</v>
      </c>
      <c r="C634" s="1" t="n">
        <v>45849</v>
      </c>
      <c r="D634" t="inlineStr">
        <is>
          <t>VÄSTERBOTTENS LÄN</t>
        </is>
      </c>
      <c r="E634" t="inlineStr">
        <is>
          <t>LYCKSELE</t>
        </is>
      </c>
      <c r="G634" t="n">
        <v>2.6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70195-2021</t>
        </is>
      </c>
      <c r="B635" s="1" t="n">
        <v>44534</v>
      </c>
      <c r="C635" s="1" t="n">
        <v>45849</v>
      </c>
      <c r="D635" t="inlineStr">
        <is>
          <t>VÄSTERBOTTENS LÄN</t>
        </is>
      </c>
      <c r="E635" t="inlineStr">
        <is>
          <t>LYCKSELE</t>
        </is>
      </c>
      <c r="G635" t="n">
        <v>1.4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70194-2021</t>
        </is>
      </c>
      <c r="B636" s="1" t="n">
        <v>44534</v>
      </c>
      <c r="C636" s="1" t="n">
        <v>45849</v>
      </c>
      <c r="D636" t="inlineStr">
        <is>
          <t>VÄSTERBOTTENS LÄN</t>
        </is>
      </c>
      <c r="E636" t="inlineStr">
        <is>
          <t>LYCKSELE</t>
        </is>
      </c>
      <c r="G636" t="n">
        <v>1.4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70210-2021</t>
        </is>
      </c>
      <c r="B637" s="1" t="n">
        <v>44535</v>
      </c>
      <c r="C637" s="1" t="n">
        <v>45849</v>
      </c>
      <c r="D637" t="inlineStr">
        <is>
          <t>VÄSTERBOTTENS LÄN</t>
        </is>
      </c>
      <c r="E637" t="inlineStr">
        <is>
          <t>LYCKSELE</t>
        </is>
      </c>
      <c r="G637" t="n">
        <v>1.9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70211-2021</t>
        </is>
      </c>
      <c r="B638" s="1" t="n">
        <v>44535</v>
      </c>
      <c r="C638" s="1" t="n">
        <v>45849</v>
      </c>
      <c r="D638" t="inlineStr">
        <is>
          <t>VÄSTERBOTTENS LÄN</t>
        </is>
      </c>
      <c r="E638" t="inlineStr">
        <is>
          <t>LYCKSELE</t>
        </is>
      </c>
      <c r="G638" t="n">
        <v>2.2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70208-2021</t>
        </is>
      </c>
      <c r="B639" s="1" t="n">
        <v>44535</v>
      </c>
      <c r="C639" s="1" t="n">
        <v>45849</v>
      </c>
      <c r="D639" t="inlineStr">
        <is>
          <t>VÄSTERBOTTENS LÄN</t>
        </is>
      </c>
      <c r="E639" t="inlineStr">
        <is>
          <t>LYCKSELE</t>
        </is>
      </c>
      <c r="G639" t="n">
        <v>3.2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70212-2021</t>
        </is>
      </c>
      <c r="B640" s="1" t="n">
        <v>44535</v>
      </c>
      <c r="C640" s="1" t="n">
        <v>45849</v>
      </c>
      <c r="D640" t="inlineStr">
        <is>
          <t>VÄSTERBOTTENS LÄN</t>
        </is>
      </c>
      <c r="E640" t="inlineStr">
        <is>
          <t>LYCKSELE</t>
        </is>
      </c>
      <c r="G640" t="n">
        <v>1.4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70209-2021</t>
        </is>
      </c>
      <c r="B641" s="1" t="n">
        <v>44535</v>
      </c>
      <c r="C641" s="1" t="n">
        <v>45849</v>
      </c>
      <c r="D641" t="inlineStr">
        <is>
          <t>VÄSTERBOTTENS LÄN</t>
        </is>
      </c>
      <c r="E641" t="inlineStr">
        <is>
          <t>LYCKSELE</t>
        </is>
      </c>
      <c r="G641" t="n">
        <v>2.1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70213-2021</t>
        </is>
      </c>
      <c r="B642" s="1" t="n">
        <v>44535</v>
      </c>
      <c r="C642" s="1" t="n">
        <v>45849</v>
      </c>
      <c r="D642" t="inlineStr">
        <is>
          <t>VÄSTERBOTTENS LÄN</t>
        </is>
      </c>
      <c r="E642" t="inlineStr">
        <is>
          <t>LYCKSELE</t>
        </is>
      </c>
      <c r="G642" t="n">
        <v>0.3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70817-2021</t>
        </is>
      </c>
      <c r="B643" s="1" t="n">
        <v>44537</v>
      </c>
      <c r="C643" s="1" t="n">
        <v>45849</v>
      </c>
      <c r="D643" t="inlineStr">
        <is>
          <t>VÄSTERBOTTENS LÄN</t>
        </is>
      </c>
      <c r="E643" t="inlineStr">
        <is>
          <t>LYCKSELE</t>
        </is>
      </c>
      <c r="F643" t="inlineStr">
        <is>
          <t>Naturvårdsverket</t>
        </is>
      </c>
      <c r="G643" t="n">
        <v>2.8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71228-2021</t>
        </is>
      </c>
      <c r="B644" s="1" t="n">
        <v>44538</v>
      </c>
      <c r="C644" s="1" t="n">
        <v>45849</v>
      </c>
      <c r="D644" t="inlineStr">
        <is>
          <t>VÄSTERBOTTENS LÄN</t>
        </is>
      </c>
      <c r="E644" t="inlineStr">
        <is>
          <t>LYCKSELE</t>
        </is>
      </c>
      <c r="G644" t="n">
        <v>11.8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71412-2021</t>
        </is>
      </c>
      <c r="B645" s="1" t="n">
        <v>44540</v>
      </c>
      <c r="C645" s="1" t="n">
        <v>45849</v>
      </c>
      <c r="D645" t="inlineStr">
        <is>
          <t>VÄSTERBOTTENS LÄN</t>
        </is>
      </c>
      <c r="E645" t="inlineStr">
        <is>
          <t>LYCKSELE</t>
        </is>
      </c>
      <c r="G645" t="n">
        <v>3.2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71407-2021</t>
        </is>
      </c>
      <c r="B646" s="1" t="n">
        <v>44540</v>
      </c>
      <c r="C646" s="1" t="n">
        <v>45849</v>
      </c>
      <c r="D646" t="inlineStr">
        <is>
          <t>VÄSTERBOTTENS LÄN</t>
        </is>
      </c>
      <c r="E646" t="inlineStr">
        <is>
          <t>LYCKSELE</t>
        </is>
      </c>
      <c r="G646" t="n">
        <v>9.4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72377-2021</t>
        </is>
      </c>
      <c r="B647" s="1" t="n">
        <v>44544</v>
      </c>
      <c r="C647" s="1" t="n">
        <v>45849</v>
      </c>
      <c r="D647" t="inlineStr">
        <is>
          <t>VÄSTERBOTTENS LÄN</t>
        </is>
      </c>
      <c r="E647" t="inlineStr">
        <is>
          <t>LYCKSELE</t>
        </is>
      </c>
      <c r="G647" t="n">
        <v>2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72332-2021</t>
        </is>
      </c>
      <c r="B648" s="1" t="n">
        <v>44545</v>
      </c>
      <c r="C648" s="1" t="n">
        <v>45849</v>
      </c>
      <c r="D648" t="inlineStr">
        <is>
          <t>VÄSTERBOTTENS LÄN</t>
        </is>
      </c>
      <c r="E648" t="inlineStr">
        <is>
          <t>LYCKSELE</t>
        </is>
      </c>
      <c r="F648" t="inlineStr">
        <is>
          <t>Sveaskog</t>
        </is>
      </c>
      <c r="G648" t="n">
        <v>3.2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72505-2021</t>
        </is>
      </c>
      <c r="B649" s="1" t="n">
        <v>44546</v>
      </c>
      <c r="C649" s="1" t="n">
        <v>45849</v>
      </c>
      <c r="D649" t="inlineStr">
        <is>
          <t>VÄSTERBOTTENS LÄN</t>
        </is>
      </c>
      <c r="E649" t="inlineStr">
        <is>
          <t>LYCKSELE</t>
        </is>
      </c>
      <c r="G649" t="n">
        <v>15.1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73113-2021</t>
        </is>
      </c>
      <c r="B650" s="1" t="n">
        <v>44550</v>
      </c>
      <c r="C650" s="1" t="n">
        <v>45849</v>
      </c>
      <c r="D650" t="inlineStr">
        <is>
          <t>VÄSTERBOTTENS LÄN</t>
        </is>
      </c>
      <c r="E650" t="inlineStr">
        <is>
          <t>LYCKSELE</t>
        </is>
      </c>
      <c r="G650" t="n">
        <v>2.2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73596-2021</t>
        </is>
      </c>
      <c r="B651" s="1" t="n">
        <v>44551</v>
      </c>
      <c r="C651" s="1" t="n">
        <v>45849</v>
      </c>
      <c r="D651" t="inlineStr">
        <is>
          <t>VÄSTERBOTTENS LÄN</t>
        </is>
      </c>
      <c r="E651" t="inlineStr">
        <is>
          <t>LYCKSELE</t>
        </is>
      </c>
      <c r="G651" t="n">
        <v>20.6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73851-2021</t>
        </is>
      </c>
      <c r="B652" s="1" t="n">
        <v>44552</v>
      </c>
      <c r="C652" s="1" t="n">
        <v>45849</v>
      </c>
      <c r="D652" t="inlineStr">
        <is>
          <t>VÄSTERBOTTENS LÄN</t>
        </is>
      </c>
      <c r="E652" t="inlineStr">
        <is>
          <t>LYCKSELE</t>
        </is>
      </c>
      <c r="G652" t="n">
        <v>16.5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73881-2021</t>
        </is>
      </c>
      <c r="B653" s="1" t="n">
        <v>44553</v>
      </c>
      <c r="C653" s="1" t="n">
        <v>45849</v>
      </c>
      <c r="D653" t="inlineStr">
        <is>
          <t>VÄSTERBOTTENS LÄN</t>
        </is>
      </c>
      <c r="E653" t="inlineStr">
        <is>
          <t>LYCKSELE</t>
        </is>
      </c>
      <c r="F653" t="inlineStr">
        <is>
          <t>Sveaskog</t>
        </is>
      </c>
      <c r="G653" t="n">
        <v>8.6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74083-2021</t>
        </is>
      </c>
      <c r="B654" s="1" t="n">
        <v>44557</v>
      </c>
      <c r="C654" s="1" t="n">
        <v>45849</v>
      </c>
      <c r="D654" t="inlineStr">
        <is>
          <t>VÄSTERBOTTENS LÄN</t>
        </is>
      </c>
      <c r="E654" t="inlineStr">
        <is>
          <t>LYCKSELE</t>
        </is>
      </c>
      <c r="F654" t="inlineStr">
        <is>
          <t>Sveaskog</t>
        </is>
      </c>
      <c r="G654" t="n">
        <v>1.6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74179-2021</t>
        </is>
      </c>
      <c r="B655" s="1" t="n">
        <v>44558</v>
      </c>
      <c r="C655" s="1" t="n">
        <v>45849</v>
      </c>
      <c r="D655" t="inlineStr">
        <is>
          <t>VÄSTERBOTTENS LÄN</t>
        </is>
      </c>
      <c r="E655" t="inlineStr">
        <is>
          <t>LYCKSELE</t>
        </is>
      </c>
      <c r="G655" t="n">
        <v>3.1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151-2022</t>
        </is>
      </c>
      <c r="B656" s="1" t="n">
        <v>44560</v>
      </c>
      <c r="C656" s="1" t="n">
        <v>45849</v>
      </c>
      <c r="D656" t="inlineStr">
        <is>
          <t>VÄSTERBOTTENS LÄN</t>
        </is>
      </c>
      <c r="E656" t="inlineStr">
        <is>
          <t>LYCKSELE</t>
        </is>
      </c>
      <c r="G656" t="n">
        <v>3.5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116-2022</t>
        </is>
      </c>
      <c r="B657" s="1" t="n">
        <v>44564</v>
      </c>
      <c r="C657" s="1" t="n">
        <v>45849</v>
      </c>
      <c r="D657" t="inlineStr">
        <is>
          <t>VÄSTERBOTTENS LÄN</t>
        </is>
      </c>
      <c r="E657" t="inlineStr">
        <is>
          <t>LYCKSELE</t>
        </is>
      </c>
      <c r="F657" t="inlineStr">
        <is>
          <t>Sveaskog</t>
        </is>
      </c>
      <c r="G657" t="n">
        <v>11.1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325-2022</t>
        </is>
      </c>
      <c r="B658" s="1" t="n">
        <v>44564</v>
      </c>
      <c r="C658" s="1" t="n">
        <v>45849</v>
      </c>
      <c r="D658" t="inlineStr">
        <is>
          <t>VÄSTERBOTTENS LÄN</t>
        </is>
      </c>
      <c r="E658" t="inlineStr">
        <is>
          <t>LYCKSELE</t>
        </is>
      </c>
      <c r="G658" t="n">
        <v>2.2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229-2022</t>
        </is>
      </c>
      <c r="B659" s="1" t="n">
        <v>44564</v>
      </c>
      <c r="C659" s="1" t="n">
        <v>45849</v>
      </c>
      <c r="D659" t="inlineStr">
        <is>
          <t>VÄSTERBOTTENS LÄN</t>
        </is>
      </c>
      <c r="E659" t="inlineStr">
        <is>
          <t>LYCKSELE</t>
        </is>
      </c>
      <c r="G659" t="n">
        <v>5.6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578-2022</t>
        </is>
      </c>
      <c r="B660" s="1" t="n">
        <v>44566</v>
      </c>
      <c r="C660" s="1" t="n">
        <v>45849</v>
      </c>
      <c r="D660" t="inlineStr">
        <is>
          <t>VÄSTERBOTTENS LÄN</t>
        </is>
      </c>
      <c r="E660" t="inlineStr">
        <is>
          <t>LYCKSELE</t>
        </is>
      </c>
      <c r="G660" t="n">
        <v>7.3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526-2022</t>
        </is>
      </c>
      <c r="B661" s="1" t="n">
        <v>44566</v>
      </c>
      <c r="C661" s="1" t="n">
        <v>45849</v>
      </c>
      <c r="D661" t="inlineStr">
        <is>
          <t>VÄSTERBOTTENS LÄN</t>
        </is>
      </c>
      <c r="E661" t="inlineStr">
        <is>
          <t>LYCKSELE</t>
        </is>
      </c>
      <c r="G661" t="n">
        <v>5.5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615-2022</t>
        </is>
      </c>
      <c r="B662" s="1" t="n">
        <v>44567</v>
      </c>
      <c r="C662" s="1" t="n">
        <v>45849</v>
      </c>
      <c r="D662" t="inlineStr">
        <is>
          <t>VÄSTERBOTTENS LÄN</t>
        </is>
      </c>
      <c r="E662" t="inlineStr">
        <is>
          <t>LYCKSELE</t>
        </is>
      </c>
      <c r="G662" t="n">
        <v>2.1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932-2022</t>
        </is>
      </c>
      <c r="B663" s="1" t="n">
        <v>44571</v>
      </c>
      <c r="C663" s="1" t="n">
        <v>45849</v>
      </c>
      <c r="D663" t="inlineStr">
        <is>
          <t>VÄSTERBOTTENS LÄN</t>
        </is>
      </c>
      <c r="E663" t="inlineStr">
        <is>
          <t>LYCKSELE</t>
        </is>
      </c>
      <c r="F663" t="inlineStr">
        <is>
          <t>Sveaskog</t>
        </is>
      </c>
      <c r="G663" t="n">
        <v>2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1023-2022</t>
        </is>
      </c>
      <c r="B664" s="1" t="n">
        <v>44571</v>
      </c>
      <c r="C664" s="1" t="n">
        <v>45849</v>
      </c>
      <c r="D664" t="inlineStr">
        <is>
          <t>VÄSTERBOTTENS LÄN</t>
        </is>
      </c>
      <c r="E664" t="inlineStr">
        <is>
          <t>LYCKSELE</t>
        </is>
      </c>
      <c r="F664" t="inlineStr">
        <is>
          <t>Sveaskog</t>
        </is>
      </c>
      <c r="G664" t="n">
        <v>4.9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849-2022</t>
        </is>
      </c>
      <c r="B665" s="1" t="n">
        <v>44571</v>
      </c>
      <c r="C665" s="1" t="n">
        <v>45849</v>
      </c>
      <c r="D665" t="inlineStr">
        <is>
          <t>VÄSTERBOTTENS LÄN</t>
        </is>
      </c>
      <c r="E665" t="inlineStr">
        <is>
          <t>LYCKSELE</t>
        </is>
      </c>
      <c r="F665" t="inlineStr">
        <is>
          <t>Sveaskog</t>
        </is>
      </c>
      <c r="G665" t="n">
        <v>6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935-2022</t>
        </is>
      </c>
      <c r="B666" s="1" t="n">
        <v>44571</v>
      </c>
      <c r="C666" s="1" t="n">
        <v>45849</v>
      </c>
      <c r="D666" t="inlineStr">
        <is>
          <t>VÄSTERBOTTENS LÄN</t>
        </is>
      </c>
      <c r="E666" t="inlineStr">
        <is>
          <t>LYCKSELE</t>
        </is>
      </c>
      <c r="F666" t="inlineStr">
        <is>
          <t>Sveaskog</t>
        </is>
      </c>
      <c r="G666" t="n">
        <v>3.5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929-2022</t>
        </is>
      </c>
      <c r="B667" s="1" t="n">
        <v>44571</v>
      </c>
      <c r="C667" s="1" t="n">
        <v>45849</v>
      </c>
      <c r="D667" t="inlineStr">
        <is>
          <t>VÄSTERBOTTENS LÄN</t>
        </is>
      </c>
      <c r="E667" t="inlineStr">
        <is>
          <t>LYCKSELE</t>
        </is>
      </c>
      <c r="F667" t="inlineStr">
        <is>
          <t>Sveaskog</t>
        </is>
      </c>
      <c r="G667" t="n">
        <v>2.5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1025-2022</t>
        </is>
      </c>
      <c r="B668" s="1" t="n">
        <v>44571</v>
      </c>
      <c r="C668" s="1" t="n">
        <v>45849</v>
      </c>
      <c r="D668" t="inlineStr">
        <is>
          <t>VÄSTERBOTTENS LÄN</t>
        </is>
      </c>
      <c r="E668" t="inlineStr">
        <is>
          <t>LYCKSELE</t>
        </is>
      </c>
      <c r="F668" t="inlineStr">
        <is>
          <t>Sveaskog</t>
        </is>
      </c>
      <c r="G668" t="n">
        <v>1.3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1048-2022</t>
        </is>
      </c>
      <c r="B669" s="1" t="n">
        <v>44571</v>
      </c>
      <c r="C669" s="1" t="n">
        <v>45849</v>
      </c>
      <c r="D669" t="inlineStr">
        <is>
          <t>VÄSTERBOTTENS LÄN</t>
        </is>
      </c>
      <c r="E669" t="inlineStr">
        <is>
          <t>LYCKSELE</t>
        </is>
      </c>
      <c r="F669" t="inlineStr">
        <is>
          <t>Sveaskog</t>
        </is>
      </c>
      <c r="G669" t="n">
        <v>0.8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1161-2022</t>
        </is>
      </c>
      <c r="B670" s="1" t="n">
        <v>44571</v>
      </c>
      <c r="C670" s="1" t="n">
        <v>45849</v>
      </c>
      <c r="D670" t="inlineStr">
        <is>
          <t>VÄSTERBOTTENS LÄN</t>
        </is>
      </c>
      <c r="E670" t="inlineStr">
        <is>
          <t>LYCKSELE</t>
        </is>
      </c>
      <c r="G670" t="n">
        <v>7.9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1163-2022</t>
        </is>
      </c>
      <c r="B671" s="1" t="n">
        <v>44572</v>
      </c>
      <c r="C671" s="1" t="n">
        <v>45849</v>
      </c>
      <c r="D671" t="inlineStr">
        <is>
          <t>VÄSTERBOTTENS LÄN</t>
        </is>
      </c>
      <c r="E671" t="inlineStr">
        <is>
          <t>LYCKSELE</t>
        </is>
      </c>
      <c r="F671" t="inlineStr">
        <is>
          <t>Sveaskog</t>
        </is>
      </c>
      <c r="G671" t="n">
        <v>48.3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1289-2022</t>
        </is>
      </c>
      <c r="B672" s="1" t="n">
        <v>44572</v>
      </c>
      <c r="C672" s="1" t="n">
        <v>45849</v>
      </c>
      <c r="D672" t="inlineStr">
        <is>
          <t>VÄSTERBOTTENS LÄN</t>
        </is>
      </c>
      <c r="E672" t="inlineStr">
        <is>
          <t>LYCKSELE</t>
        </is>
      </c>
      <c r="G672" t="n">
        <v>3.3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2245-2022</t>
        </is>
      </c>
      <c r="B673" s="1" t="n">
        <v>44578</v>
      </c>
      <c r="C673" s="1" t="n">
        <v>45849</v>
      </c>
      <c r="D673" t="inlineStr">
        <is>
          <t>VÄSTERBOTTENS LÄN</t>
        </is>
      </c>
      <c r="E673" t="inlineStr">
        <is>
          <t>LYCKSELE</t>
        </is>
      </c>
      <c r="F673" t="inlineStr">
        <is>
          <t>Sveaskog</t>
        </is>
      </c>
      <c r="G673" t="n">
        <v>7.5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2432-2022</t>
        </is>
      </c>
      <c r="B674" s="1" t="n">
        <v>44579</v>
      </c>
      <c r="C674" s="1" t="n">
        <v>45849</v>
      </c>
      <c r="D674" t="inlineStr">
        <is>
          <t>VÄSTERBOTTENS LÄN</t>
        </is>
      </c>
      <c r="E674" t="inlineStr">
        <is>
          <t>LYCKSELE</t>
        </is>
      </c>
      <c r="F674" t="inlineStr">
        <is>
          <t>Sveaskog</t>
        </is>
      </c>
      <c r="G674" t="n">
        <v>2.6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2433-2022</t>
        </is>
      </c>
      <c r="B675" s="1" t="n">
        <v>44579</v>
      </c>
      <c r="C675" s="1" t="n">
        <v>45849</v>
      </c>
      <c r="D675" t="inlineStr">
        <is>
          <t>VÄSTERBOTTENS LÄN</t>
        </is>
      </c>
      <c r="E675" t="inlineStr">
        <is>
          <t>LYCKSELE</t>
        </is>
      </c>
      <c r="F675" t="inlineStr">
        <is>
          <t>Sveaskog</t>
        </is>
      </c>
      <c r="G675" t="n">
        <v>2.3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2386-2022</t>
        </is>
      </c>
      <c r="B676" s="1" t="n">
        <v>44579</v>
      </c>
      <c r="C676" s="1" t="n">
        <v>45849</v>
      </c>
      <c r="D676" t="inlineStr">
        <is>
          <t>VÄSTERBOTTENS LÄN</t>
        </is>
      </c>
      <c r="E676" t="inlineStr">
        <is>
          <t>LYCKSELE</t>
        </is>
      </c>
      <c r="F676" t="inlineStr">
        <is>
          <t>Holmen skog AB</t>
        </is>
      </c>
      <c r="G676" t="n">
        <v>1.9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2576-2022</t>
        </is>
      </c>
      <c r="B677" s="1" t="n">
        <v>44580</v>
      </c>
      <c r="C677" s="1" t="n">
        <v>45849</v>
      </c>
      <c r="D677" t="inlineStr">
        <is>
          <t>VÄSTERBOTTENS LÄN</t>
        </is>
      </c>
      <c r="E677" t="inlineStr">
        <is>
          <t>LYCKSELE</t>
        </is>
      </c>
      <c r="G677" t="n">
        <v>0.5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2758-2022</t>
        </is>
      </c>
      <c r="B678" s="1" t="n">
        <v>44580</v>
      </c>
      <c r="C678" s="1" t="n">
        <v>45849</v>
      </c>
      <c r="D678" t="inlineStr">
        <is>
          <t>VÄSTERBOTTENS LÄN</t>
        </is>
      </c>
      <c r="E678" t="inlineStr">
        <is>
          <t>LYCKSELE</t>
        </is>
      </c>
      <c r="G678" t="n">
        <v>2.1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2859-2022</t>
        </is>
      </c>
      <c r="B679" s="1" t="n">
        <v>44581</v>
      </c>
      <c r="C679" s="1" t="n">
        <v>45849</v>
      </c>
      <c r="D679" t="inlineStr">
        <is>
          <t>VÄSTERBOTTENS LÄN</t>
        </is>
      </c>
      <c r="E679" t="inlineStr">
        <is>
          <t>LYCKSELE</t>
        </is>
      </c>
      <c r="G679" t="n">
        <v>2.8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3368-2022</t>
        </is>
      </c>
      <c r="B680" s="1" t="n">
        <v>44585</v>
      </c>
      <c r="C680" s="1" t="n">
        <v>45849</v>
      </c>
      <c r="D680" t="inlineStr">
        <is>
          <t>VÄSTERBOTTENS LÄN</t>
        </is>
      </c>
      <c r="E680" t="inlineStr">
        <is>
          <t>LYCKSELE</t>
        </is>
      </c>
      <c r="G680" t="n">
        <v>11.8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3400-2022</t>
        </is>
      </c>
      <c r="B681" s="1" t="n">
        <v>44585</v>
      </c>
      <c r="C681" s="1" t="n">
        <v>45849</v>
      </c>
      <c r="D681" t="inlineStr">
        <is>
          <t>VÄSTERBOTTENS LÄN</t>
        </is>
      </c>
      <c r="E681" t="inlineStr">
        <is>
          <t>LYCKSELE</t>
        </is>
      </c>
      <c r="G681" t="n">
        <v>4.1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3669-2022</t>
        </is>
      </c>
      <c r="B682" s="1" t="n">
        <v>44586</v>
      </c>
      <c r="C682" s="1" t="n">
        <v>45849</v>
      </c>
      <c r="D682" t="inlineStr">
        <is>
          <t>VÄSTERBOTTENS LÄN</t>
        </is>
      </c>
      <c r="E682" t="inlineStr">
        <is>
          <t>LYCKSELE</t>
        </is>
      </c>
      <c r="G682" t="n">
        <v>3.2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4434-2022</t>
        </is>
      </c>
      <c r="B683" s="1" t="n">
        <v>44589</v>
      </c>
      <c r="C683" s="1" t="n">
        <v>45849</v>
      </c>
      <c r="D683" t="inlineStr">
        <is>
          <t>VÄSTERBOTTENS LÄN</t>
        </is>
      </c>
      <c r="E683" t="inlineStr">
        <is>
          <t>LYCKSELE</t>
        </is>
      </c>
      <c r="G683" t="n">
        <v>1.6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5162-2022</t>
        </is>
      </c>
      <c r="B684" s="1" t="n">
        <v>44594</v>
      </c>
      <c r="C684" s="1" t="n">
        <v>45849</v>
      </c>
      <c r="D684" t="inlineStr">
        <is>
          <t>VÄSTERBOTTENS LÄN</t>
        </is>
      </c>
      <c r="E684" t="inlineStr">
        <is>
          <t>LYCKSELE</t>
        </is>
      </c>
      <c r="G684" t="n">
        <v>17.4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6426-2022</t>
        </is>
      </c>
      <c r="B685" s="1" t="n">
        <v>44600</v>
      </c>
      <c r="C685" s="1" t="n">
        <v>45849</v>
      </c>
      <c r="D685" t="inlineStr">
        <is>
          <t>VÄSTERBOTTENS LÄN</t>
        </is>
      </c>
      <c r="E685" t="inlineStr">
        <is>
          <t>LYCKSELE</t>
        </is>
      </c>
      <c r="G685" t="n">
        <v>3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7063-2022</t>
        </is>
      </c>
      <c r="B686" s="1" t="n">
        <v>44603</v>
      </c>
      <c r="C686" s="1" t="n">
        <v>45849</v>
      </c>
      <c r="D686" t="inlineStr">
        <is>
          <t>VÄSTERBOTTENS LÄN</t>
        </is>
      </c>
      <c r="E686" t="inlineStr">
        <is>
          <t>LYCKSELE</t>
        </is>
      </c>
      <c r="G686" t="n">
        <v>14.2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7001-2022</t>
        </is>
      </c>
      <c r="B687" s="1" t="n">
        <v>44603</v>
      </c>
      <c r="C687" s="1" t="n">
        <v>45849</v>
      </c>
      <c r="D687" t="inlineStr">
        <is>
          <t>VÄSTERBOTTENS LÄN</t>
        </is>
      </c>
      <c r="E687" t="inlineStr">
        <is>
          <t>LYCKSELE</t>
        </is>
      </c>
      <c r="G687" t="n">
        <v>0.8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7397-2022</t>
        </is>
      </c>
      <c r="B688" s="1" t="n">
        <v>44606</v>
      </c>
      <c r="C688" s="1" t="n">
        <v>45849</v>
      </c>
      <c r="D688" t="inlineStr">
        <is>
          <t>VÄSTERBOTTENS LÄN</t>
        </is>
      </c>
      <c r="E688" t="inlineStr">
        <is>
          <t>LYCKSELE</t>
        </is>
      </c>
      <c r="G688" t="n">
        <v>4.1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7433-2022</t>
        </is>
      </c>
      <c r="B689" s="1" t="n">
        <v>44606</v>
      </c>
      <c r="C689" s="1" t="n">
        <v>45849</v>
      </c>
      <c r="D689" t="inlineStr">
        <is>
          <t>VÄSTERBOTTENS LÄN</t>
        </is>
      </c>
      <c r="E689" t="inlineStr">
        <is>
          <t>LYCKSELE</t>
        </is>
      </c>
      <c r="G689" t="n">
        <v>1.2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9879-2022</t>
        </is>
      </c>
      <c r="B690" s="1" t="n">
        <v>44620</v>
      </c>
      <c r="C690" s="1" t="n">
        <v>45849</v>
      </c>
      <c r="D690" t="inlineStr">
        <is>
          <t>VÄSTERBOTTENS LÄN</t>
        </is>
      </c>
      <c r="E690" t="inlineStr">
        <is>
          <t>LYCKSELE</t>
        </is>
      </c>
      <c r="G690" t="n">
        <v>8.699999999999999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9892-2022</t>
        </is>
      </c>
      <c r="B691" s="1" t="n">
        <v>44620</v>
      </c>
      <c r="C691" s="1" t="n">
        <v>45849</v>
      </c>
      <c r="D691" t="inlineStr">
        <is>
          <t>VÄSTERBOTTENS LÄN</t>
        </is>
      </c>
      <c r="E691" t="inlineStr">
        <is>
          <t>LYCKSELE</t>
        </is>
      </c>
      <c r="G691" t="n">
        <v>14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10221-2022</t>
        </is>
      </c>
      <c r="B692" s="1" t="n">
        <v>44622</v>
      </c>
      <c r="C692" s="1" t="n">
        <v>45849</v>
      </c>
      <c r="D692" t="inlineStr">
        <is>
          <t>VÄSTERBOTTENS LÄN</t>
        </is>
      </c>
      <c r="E692" t="inlineStr">
        <is>
          <t>LYCKSELE</t>
        </is>
      </c>
      <c r="G692" t="n">
        <v>9.300000000000001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10302-2022</t>
        </is>
      </c>
      <c r="B693" s="1" t="n">
        <v>44622</v>
      </c>
      <c r="C693" s="1" t="n">
        <v>45849</v>
      </c>
      <c r="D693" t="inlineStr">
        <is>
          <t>VÄSTERBOTTENS LÄN</t>
        </is>
      </c>
      <c r="E693" t="inlineStr">
        <is>
          <t>LYCKSELE</t>
        </is>
      </c>
      <c r="G693" t="n">
        <v>13.8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12261-2022</t>
        </is>
      </c>
      <c r="B694" s="1" t="n">
        <v>44637</v>
      </c>
      <c r="C694" s="1" t="n">
        <v>45849</v>
      </c>
      <c r="D694" t="inlineStr">
        <is>
          <t>VÄSTERBOTTENS LÄN</t>
        </is>
      </c>
      <c r="E694" t="inlineStr">
        <is>
          <t>LYCKSELE</t>
        </is>
      </c>
      <c r="G694" t="n">
        <v>30.8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12760-2022</t>
        </is>
      </c>
      <c r="B695" s="1" t="n">
        <v>44641</v>
      </c>
      <c r="C695" s="1" t="n">
        <v>45849</v>
      </c>
      <c r="D695" t="inlineStr">
        <is>
          <t>VÄSTERBOTTENS LÄN</t>
        </is>
      </c>
      <c r="E695" t="inlineStr">
        <is>
          <t>LYCKSELE</t>
        </is>
      </c>
      <c r="G695" t="n">
        <v>11.6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12839-2022</t>
        </is>
      </c>
      <c r="B696" s="1" t="n">
        <v>44642</v>
      </c>
      <c r="C696" s="1" t="n">
        <v>45849</v>
      </c>
      <c r="D696" t="inlineStr">
        <is>
          <t>VÄSTERBOTTENS LÄN</t>
        </is>
      </c>
      <c r="E696" t="inlineStr">
        <is>
          <t>LYCKSELE</t>
        </is>
      </c>
      <c r="G696" t="n">
        <v>7.3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13385-2022</t>
        </is>
      </c>
      <c r="B697" s="1" t="n">
        <v>44645</v>
      </c>
      <c r="C697" s="1" t="n">
        <v>45849</v>
      </c>
      <c r="D697" t="inlineStr">
        <is>
          <t>VÄSTERBOTTENS LÄN</t>
        </is>
      </c>
      <c r="E697" t="inlineStr">
        <is>
          <t>LYCKSELE</t>
        </is>
      </c>
      <c r="G697" t="n">
        <v>1.2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16274-2022</t>
        </is>
      </c>
      <c r="B698" s="1" t="n">
        <v>44670</v>
      </c>
      <c r="C698" s="1" t="n">
        <v>45849</v>
      </c>
      <c r="D698" t="inlineStr">
        <is>
          <t>VÄSTERBOTTENS LÄN</t>
        </is>
      </c>
      <c r="E698" t="inlineStr">
        <is>
          <t>LYCKSELE</t>
        </is>
      </c>
      <c r="G698" t="n">
        <v>4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16272-2022</t>
        </is>
      </c>
      <c r="B699" s="1" t="n">
        <v>44670</v>
      </c>
      <c r="C699" s="1" t="n">
        <v>45849</v>
      </c>
      <c r="D699" t="inlineStr">
        <is>
          <t>VÄSTERBOTTENS LÄN</t>
        </is>
      </c>
      <c r="E699" t="inlineStr">
        <is>
          <t>LYCKSELE</t>
        </is>
      </c>
      <c r="G699" t="n">
        <v>1.2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16669-2022</t>
        </is>
      </c>
      <c r="B700" s="1" t="n">
        <v>44673</v>
      </c>
      <c r="C700" s="1" t="n">
        <v>45849</v>
      </c>
      <c r="D700" t="inlineStr">
        <is>
          <t>VÄSTERBOTTENS LÄN</t>
        </is>
      </c>
      <c r="E700" t="inlineStr">
        <is>
          <t>LYCKSELE</t>
        </is>
      </c>
      <c r="G700" t="n">
        <v>12.8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16845-2022</t>
        </is>
      </c>
      <c r="B701" s="1" t="n">
        <v>44673</v>
      </c>
      <c r="C701" s="1" t="n">
        <v>45849</v>
      </c>
      <c r="D701" t="inlineStr">
        <is>
          <t>VÄSTERBOTTENS LÄN</t>
        </is>
      </c>
      <c r="E701" t="inlineStr">
        <is>
          <t>LYCKSELE</t>
        </is>
      </c>
      <c r="F701" t="inlineStr">
        <is>
          <t>SCA</t>
        </is>
      </c>
      <c r="G701" t="n">
        <v>1.7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17831-2022</t>
        </is>
      </c>
      <c r="B702" s="1" t="n">
        <v>44683</v>
      </c>
      <c r="C702" s="1" t="n">
        <v>45849</v>
      </c>
      <c r="D702" t="inlineStr">
        <is>
          <t>VÄSTERBOTTENS LÄN</t>
        </is>
      </c>
      <c r="E702" t="inlineStr">
        <is>
          <t>LYCKSELE</t>
        </is>
      </c>
      <c r="F702" t="inlineStr">
        <is>
          <t>Sveaskog</t>
        </is>
      </c>
      <c r="G702" t="n">
        <v>12.3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18686-2022</t>
        </is>
      </c>
      <c r="B703" s="1" t="n">
        <v>44687</v>
      </c>
      <c r="C703" s="1" t="n">
        <v>45849</v>
      </c>
      <c r="D703" t="inlineStr">
        <is>
          <t>VÄSTERBOTTENS LÄN</t>
        </is>
      </c>
      <c r="E703" t="inlineStr">
        <is>
          <t>LYCKSELE</t>
        </is>
      </c>
      <c r="G703" t="n">
        <v>3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19769-2022</t>
        </is>
      </c>
      <c r="B704" s="1" t="n">
        <v>44694</v>
      </c>
      <c r="C704" s="1" t="n">
        <v>45849</v>
      </c>
      <c r="D704" t="inlineStr">
        <is>
          <t>VÄSTERBOTTENS LÄN</t>
        </is>
      </c>
      <c r="E704" t="inlineStr">
        <is>
          <t>LYCKSELE</t>
        </is>
      </c>
      <c r="G704" t="n">
        <v>6.8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20287-2022</t>
        </is>
      </c>
      <c r="B705" s="1" t="n">
        <v>44698</v>
      </c>
      <c r="C705" s="1" t="n">
        <v>45849</v>
      </c>
      <c r="D705" t="inlineStr">
        <is>
          <t>VÄSTERBOTTENS LÄN</t>
        </is>
      </c>
      <c r="E705" t="inlineStr">
        <is>
          <t>LYCKSELE</t>
        </is>
      </c>
      <c r="F705" t="inlineStr">
        <is>
          <t>Holmen skog AB</t>
        </is>
      </c>
      <c r="G705" t="n">
        <v>11.5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20466-2022</t>
        </is>
      </c>
      <c r="B706" s="1" t="n">
        <v>44699</v>
      </c>
      <c r="C706" s="1" t="n">
        <v>45849</v>
      </c>
      <c r="D706" t="inlineStr">
        <is>
          <t>VÄSTERBOTTENS LÄN</t>
        </is>
      </c>
      <c r="E706" t="inlineStr">
        <is>
          <t>LYCKSELE</t>
        </is>
      </c>
      <c r="F706" t="inlineStr">
        <is>
          <t>Sveaskog</t>
        </is>
      </c>
      <c r="G706" t="n">
        <v>5.9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21058-2022</t>
        </is>
      </c>
      <c r="B707" s="1" t="n">
        <v>44704</v>
      </c>
      <c r="C707" s="1" t="n">
        <v>45849</v>
      </c>
      <c r="D707" t="inlineStr">
        <is>
          <t>VÄSTERBOTTENS LÄN</t>
        </is>
      </c>
      <c r="E707" t="inlineStr">
        <is>
          <t>LYCKSELE</t>
        </is>
      </c>
      <c r="G707" t="n">
        <v>2.7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21681-2022</t>
        </is>
      </c>
      <c r="B708" s="1" t="n">
        <v>44707</v>
      </c>
      <c r="C708" s="1" t="n">
        <v>45849</v>
      </c>
      <c r="D708" t="inlineStr">
        <is>
          <t>VÄSTERBOTTENS LÄN</t>
        </is>
      </c>
      <c r="E708" t="inlineStr">
        <is>
          <t>LYCKSELE</t>
        </is>
      </c>
      <c r="F708" t="inlineStr">
        <is>
          <t>Holmen skog AB</t>
        </is>
      </c>
      <c r="G708" t="n">
        <v>6.2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21683-2022</t>
        </is>
      </c>
      <c r="B709" s="1" t="n">
        <v>44707</v>
      </c>
      <c r="C709" s="1" t="n">
        <v>45849</v>
      </c>
      <c r="D709" t="inlineStr">
        <is>
          <t>VÄSTERBOTTENS LÄN</t>
        </is>
      </c>
      <c r="E709" t="inlineStr">
        <is>
          <t>LYCKSELE</t>
        </is>
      </c>
      <c r="F709" t="inlineStr">
        <is>
          <t>Holmen skog AB</t>
        </is>
      </c>
      <c r="G709" t="n">
        <v>4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21900-2022</t>
        </is>
      </c>
      <c r="B710" s="1" t="n">
        <v>44711</v>
      </c>
      <c r="C710" s="1" t="n">
        <v>45849</v>
      </c>
      <c r="D710" t="inlineStr">
        <is>
          <t>VÄSTERBOTTENS LÄN</t>
        </is>
      </c>
      <c r="E710" t="inlineStr">
        <is>
          <t>LYCKSELE</t>
        </is>
      </c>
      <c r="F710" t="inlineStr">
        <is>
          <t>Holmen skog AB</t>
        </is>
      </c>
      <c r="G710" t="n">
        <v>7.6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22036-2022</t>
        </is>
      </c>
      <c r="B711" s="1" t="n">
        <v>44711</v>
      </c>
      <c r="C711" s="1" t="n">
        <v>45849</v>
      </c>
      <c r="D711" t="inlineStr">
        <is>
          <t>VÄSTERBOTTENS LÄN</t>
        </is>
      </c>
      <c r="E711" t="inlineStr">
        <is>
          <t>LYCKSELE</t>
        </is>
      </c>
      <c r="G711" t="n">
        <v>3.5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22076-2022</t>
        </is>
      </c>
      <c r="B712" s="1" t="n">
        <v>44711</v>
      </c>
      <c r="C712" s="1" t="n">
        <v>45849</v>
      </c>
      <c r="D712" t="inlineStr">
        <is>
          <t>VÄSTERBOTTENS LÄN</t>
        </is>
      </c>
      <c r="E712" t="inlineStr">
        <is>
          <t>LYCKSELE</t>
        </is>
      </c>
      <c r="G712" t="n">
        <v>1.3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22075-2022</t>
        </is>
      </c>
      <c r="B713" s="1" t="n">
        <v>44711</v>
      </c>
      <c r="C713" s="1" t="n">
        <v>45849</v>
      </c>
      <c r="D713" t="inlineStr">
        <is>
          <t>VÄSTERBOTTENS LÄN</t>
        </is>
      </c>
      <c r="E713" t="inlineStr">
        <is>
          <t>LYCKSELE</t>
        </is>
      </c>
      <c r="G713" t="n">
        <v>2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23164-2022</t>
        </is>
      </c>
      <c r="B714" s="1" t="n">
        <v>44719</v>
      </c>
      <c r="C714" s="1" t="n">
        <v>45849</v>
      </c>
      <c r="D714" t="inlineStr">
        <is>
          <t>VÄSTERBOTTENS LÄN</t>
        </is>
      </c>
      <c r="E714" t="inlineStr">
        <is>
          <t>LYCKSELE</t>
        </is>
      </c>
      <c r="G714" t="n">
        <v>4.1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24478-2022</t>
        </is>
      </c>
      <c r="B715" s="1" t="n">
        <v>44726</v>
      </c>
      <c r="C715" s="1" t="n">
        <v>45849</v>
      </c>
      <c r="D715" t="inlineStr">
        <is>
          <t>VÄSTERBOTTENS LÄN</t>
        </is>
      </c>
      <c r="E715" t="inlineStr">
        <is>
          <t>LYCKSELE</t>
        </is>
      </c>
      <c r="G715" t="n">
        <v>2.5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24556-2022</t>
        </is>
      </c>
      <c r="B716" s="1" t="n">
        <v>44727</v>
      </c>
      <c r="C716" s="1" t="n">
        <v>45849</v>
      </c>
      <c r="D716" t="inlineStr">
        <is>
          <t>VÄSTERBOTTENS LÄN</t>
        </is>
      </c>
      <c r="E716" t="inlineStr">
        <is>
          <t>LYCKSELE</t>
        </is>
      </c>
      <c r="F716" t="inlineStr">
        <is>
          <t>Sveaskog</t>
        </is>
      </c>
      <c r="G716" t="n">
        <v>2.5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25257-2022</t>
        </is>
      </c>
      <c r="B717" s="1" t="n">
        <v>44729</v>
      </c>
      <c r="C717" s="1" t="n">
        <v>45849</v>
      </c>
      <c r="D717" t="inlineStr">
        <is>
          <t>VÄSTERBOTTENS LÄN</t>
        </is>
      </c>
      <c r="E717" t="inlineStr">
        <is>
          <t>LYCKSELE</t>
        </is>
      </c>
      <c r="F717" t="inlineStr">
        <is>
          <t>Naturvårdsverket</t>
        </is>
      </c>
      <c r="G717" t="n">
        <v>1.9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25308-2022</t>
        </is>
      </c>
      <c r="B718" s="1" t="n">
        <v>44731</v>
      </c>
      <c r="C718" s="1" t="n">
        <v>45849</v>
      </c>
      <c r="D718" t="inlineStr">
        <is>
          <t>VÄSTERBOTTENS LÄN</t>
        </is>
      </c>
      <c r="E718" t="inlineStr">
        <is>
          <t>LYCKSELE</t>
        </is>
      </c>
      <c r="F718" t="inlineStr">
        <is>
          <t>Holmen skog AB</t>
        </is>
      </c>
      <c r="G718" t="n">
        <v>4.7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25752-2022</t>
        </is>
      </c>
      <c r="B719" s="1" t="n">
        <v>44733</v>
      </c>
      <c r="C719" s="1" t="n">
        <v>45849</v>
      </c>
      <c r="D719" t="inlineStr">
        <is>
          <t>VÄSTERBOTTENS LÄN</t>
        </is>
      </c>
      <c r="E719" t="inlineStr">
        <is>
          <t>LYCKSELE</t>
        </is>
      </c>
      <c r="G719" t="n">
        <v>2.2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25902-2022</t>
        </is>
      </c>
      <c r="B720" s="1" t="n">
        <v>44733</v>
      </c>
      <c r="C720" s="1" t="n">
        <v>45849</v>
      </c>
      <c r="D720" t="inlineStr">
        <is>
          <t>VÄSTERBOTTENS LÄN</t>
        </is>
      </c>
      <c r="E720" t="inlineStr">
        <is>
          <t>LYCKSELE</t>
        </is>
      </c>
      <c r="G720" t="n">
        <v>8.199999999999999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26351-2022</t>
        </is>
      </c>
      <c r="B721" s="1" t="n">
        <v>44735</v>
      </c>
      <c r="C721" s="1" t="n">
        <v>45849</v>
      </c>
      <c r="D721" t="inlineStr">
        <is>
          <t>VÄSTERBOTTENS LÄN</t>
        </is>
      </c>
      <c r="E721" t="inlineStr">
        <is>
          <t>LYCKSELE</t>
        </is>
      </c>
      <c r="G721" t="n">
        <v>0.5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26396-2022</t>
        </is>
      </c>
      <c r="B722" s="1" t="n">
        <v>44735</v>
      </c>
      <c r="C722" s="1" t="n">
        <v>45849</v>
      </c>
      <c r="D722" t="inlineStr">
        <is>
          <t>VÄSTERBOTTENS LÄN</t>
        </is>
      </c>
      <c r="E722" t="inlineStr">
        <is>
          <t>LYCKSELE</t>
        </is>
      </c>
      <c r="G722" t="n">
        <v>4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26397-2022</t>
        </is>
      </c>
      <c r="B723" s="1" t="n">
        <v>44735</v>
      </c>
      <c r="C723" s="1" t="n">
        <v>45849</v>
      </c>
      <c r="D723" t="inlineStr">
        <is>
          <t>VÄSTERBOTTENS LÄN</t>
        </is>
      </c>
      <c r="E723" t="inlineStr">
        <is>
          <t>LYCKSELE</t>
        </is>
      </c>
      <c r="G723" t="n">
        <v>1.2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27548-2022</t>
        </is>
      </c>
      <c r="B724" s="1" t="n">
        <v>44742</v>
      </c>
      <c r="C724" s="1" t="n">
        <v>45849</v>
      </c>
      <c r="D724" t="inlineStr">
        <is>
          <t>VÄSTERBOTTENS LÄN</t>
        </is>
      </c>
      <c r="E724" t="inlineStr">
        <is>
          <t>LYCKSELE</t>
        </is>
      </c>
      <c r="F724" t="inlineStr">
        <is>
          <t>Holmen skog AB</t>
        </is>
      </c>
      <c r="G724" t="n">
        <v>2.2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27761-2022</t>
        </is>
      </c>
      <c r="B725" s="1" t="n">
        <v>44743</v>
      </c>
      <c r="C725" s="1" t="n">
        <v>45849</v>
      </c>
      <c r="D725" t="inlineStr">
        <is>
          <t>VÄSTERBOTTENS LÄN</t>
        </is>
      </c>
      <c r="E725" t="inlineStr">
        <is>
          <t>LYCKSELE</t>
        </is>
      </c>
      <c r="F725" t="inlineStr">
        <is>
          <t>Sveaskog</t>
        </is>
      </c>
      <c r="G725" t="n">
        <v>1.2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28994-2022</t>
        </is>
      </c>
      <c r="B726" s="1" t="n">
        <v>44749</v>
      </c>
      <c r="C726" s="1" t="n">
        <v>45849</v>
      </c>
      <c r="D726" t="inlineStr">
        <is>
          <t>VÄSTERBOTTENS LÄN</t>
        </is>
      </c>
      <c r="E726" t="inlineStr">
        <is>
          <t>LYCKSELE</t>
        </is>
      </c>
      <c r="G726" t="n">
        <v>1.6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28989-2022</t>
        </is>
      </c>
      <c r="B727" s="1" t="n">
        <v>44749</v>
      </c>
      <c r="C727" s="1" t="n">
        <v>45849</v>
      </c>
      <c r="D727" t="inlineStr">
        <is>
          <t>VÄSTERBOTTENS LÄN</t>
        </is>
      </c>
      <c r="E727" t="inlineStr">
        <is>
          <t>LYCKSELE</t>
        </is>
      </c>
      <c r="G727" t="n">
        <v>3.4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29185-2022</t>
        </is>
      </c>
      <c r="B728" s="1" t="n">
        <v>44750</v>
      </c>
      <c r="C728" s="1" t="n">
        <v>45849</v>
      </c>
      <c r="D728" t="inlineStr">
        <is>
          <t>VÄSTERBOTTENS LÄN</t>
        </is>
      </c>
      <c r="E728" t="inlineStr">
        <is>
          <t>LYCKSELE</t>
        </is>
      </c>
      <c r="F728" t="inlineStr">
        <is>
          <t>Holmen skog AB</t>
        </is>
      </c>
      <c r="G728" t="n">
        <v>1.9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29953-2022</t>
        </is>
      </c>
      <c r="B729" s="1" t="n">
        <v>44756</v>
      </c>
      <c r="C729" s="1" t="n">
        <v>45849</v>
      </c>
      <c r="D729" t="inlineStr">
        <is>
          <t>VÄSTERBOTTENS LÄN</t>
        </is>
      </c>
      <c r="E729" t="inlineStr">
        <is>
          <t>LYCKSELE</t>
        </is>
      </c>
      <c r="F729" t="inlineStr">
        <is>
          <t>Sveaskog</t>
        </is>
      </c>
      <c r="G729" t="n">
        <v>7.7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30026-2022</t>
        </is>
      </c>
      <c r="B730" s="1" t="n">
        <v>44756</v>
      </c>
      <c r="C730" s="1" t="n">
        <v>45849</v>
      </c>
      <c r="D730" t="inlineStr">
        <is>
          <t>VÄSTERBOTTENS LÄN</t>
        </is>
      </c>
      <c r="E730" t="inlineStr">
        <is>
          <t>LYCKSELE</t>
        </is>
      </c>
      <c r="F730" t="inlineStr">
        <is>
          <t>SCA</t>
        </is>
      </c>
      <c r="G730" t="n">
        <v>2.1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30291-2022</t>
        </is>
      </c>
      <c r="B731" s="1" t="n">
        <v>44760</v>
      </c>
      <c r="C731" s="1" t="n">
        <v>45849</v>
      </c>
      <c r="D731" t="inlineStr">
        <is>
          <t>VÄSTERBOTTENS LÄN</t>
        </is>
      </c>
      <c r="E731" t="inlineStr">
        <is>
          <t>LYCKSELE</t>
        </is>
      </c>
      <c r="F731" t="inlineStr">
        <is>
          <t>Sveaskog</t>
        </is>
      </c>
      <c r="G731" t="n">
        <v>1.5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30298-2022</t>
        </is>
      </c>
      <c r="B732" s="1" t="n">
        <v>44760</v>
      </c>
      <c r="C732" s="1" t="n">
        <v>45849</v>
      </c>
      <c r="D732" t="inlineStr">
        <is>
          <t>VÄSTERBOTTENS LÄN</t>
        </is>
      </c>
      <c r="E732" t="inlineStr">
        <is>
          <t>LYCKSELE</t>
        </is>
      </c>
      <c r="F732" t="inlineStr">
        <is>
          <t>Sveaskog</t>
        </is>
      </c>
      <c r="G732" t="n">
        <v>5.6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30470-2022</t>
        </is>
      </c>
      <c r="B733" s="1" t="n">
        <v>44761</v>
      </c>
      <c r="C733" s="1" t="n">
        <v>45849</v>
      </c>
      <c r="D733" t="inlineStr">
        <is>
          <t>VÄSTERBOTTENS LÄN</t>
        </is>
      </c>
      <c r="E733" t="inlineStr">
        <is>
          <t>LYCKSELE</t>
        </is>
      </c>
      <c r="G733" t="n">
        <v>11.9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30474-2022</t>
        </is>
      </c>
      <c r="B734" s="1" t="n">
        <v>44761</v>
      </c>
      <c r="C734" s="1" t="n">
        <v>45849</v>
      </c>
      <c r="D734" t="inlineStr">
        <is>
          <t>VÄSTERBOTTENS LÄN</t>
        </is>
      </c>
      <c r="E734" t="inlineStr">
        <is>
          <t>LYCKSELE</t>
        </is>
      </c>
      <c r="F734" t="inlineStr">
        <is>
          <t>SCA</t>
        </is>
      </c>
      <c r="G734" t="n">
        <v>14.9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30720-2022</t>
        </is>
      </c>
      <c r="B735" s="1" t="n">
        <v>44764</v>
      </c>
      <c r="C735" s="1" t="n">
        <v>45849</v>
      </c>
      <c r="D735" t="inlineStr">
        <is>
          <t>VÄSTERBOTTENS LÄN</t>
        </is>
      </c>
      <c r="E735" t="inlineStr">
        <is>
          <t>LYCKSELE</t>
        </is>
      </c>
      <c r="F735" t="inlineStr">
        <is>
          <t>SCA</t>
        </is>
      </c>
      <c r="G735" t="n">
        <v>1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30742-2022</t>
        </is>
      </c>
      <c r="B736" s="1" t="n">
        <v>44764</v>
      </c>
      <c r="C736" s="1" t="n">
        <v>45849</v>
      </c>
      <c r="D736" t="inlineStr">
        <is>
          <t>VÄSTERBOTTENS LÄN</t>
        </is>
      </c>
      <c r="E736" t="inlineStr">
        <is>
          <t>LYCKSELE</t>
        </is>
      </c>
      <c r="F736" t="inlineStr">
        <is>
          <t>Sveaskog</t>
        </is>
      </c>
      <c r="G736" t="n">
        <v>3.6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31686-2022</t>
        </is>
      </c>
      <c r="B737" s="1" t="n">
        <v>44776</v>
      </c>
      <c r="C737" s="1" t="n">
        <v>45849</v>
      </c>
      <c r="D737" t="inlineStr">
        <is>
          <t>VÄSTERBOTTENS LÄN</t>
        </is>
      </c>
      <c r="E737" t="inlineStr">
        <is>
          <t>LYCKSELE</t>
        </is>
      </c>
      <c r="G737" t="n">
        <v>11.1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31913-2022</t>
        </is>
      </c>
      <c r="B738" s="1" t="n">
        <v>44777</v>
      </c>
      <c r="C738" s="1" t="n">
        <v>45849</v>
      </c>
      <c r="D738" t="inlineStr">
        <is>
          <t>VÄSTERBOTTENS LÄN</t>
        </is>
      </c>
      <c r="E738" t="inlineStr">
        <is>
          <t>LYCKSELE</t>
        </is>
      </c>
      <c r="G738" t="n">
        <v>9.300000000000001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31979-2022</t>
        </is>
      </c>
      <c r="B739" s="1" t="n">
        <v>44777</v>
      </c>
      <c r="C739" s="1" t="n">
        <v>45849</v>
      </c>
      <c r="D739" t="inlineStr">
        <is>
          <t>VÄSTERBOTTENS LÄN</t>
        </is>
      </c>
      <c r="E739" t="inlineStr">
        <is>
          <t>LYCKSELE</t>
        </is>
      </c>
      <c r="F739" t="inlineStr">
        <is>
          <t>SCA</t>
        </is>
      </c>
      <c r="G739" t="n">
        <v>1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32546-2022</t>
        </is>
      </c>
      <c r="B740" s="1" t="n">
        <v>44783</v>
      </c>
      <c r="C740" s="1" t="n">
        <v>45849</v>
      </c>
      <c r="D740" t="inlineStr">
        <is>
          <t>VÄSTERBOTTENS LÄN</t>
        </is>
      </c>
      <c r="E740" t="inlineStr">
        <is>
          <t>LYCKSELE</t>
        </is>
      </c>
      <c r="F740" t="inlineStr">
        <is>
          <t>Sveaskog</t>
        </is>
      </c>
      <c r="G740" t="n">
        <v>9.199999999999999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32663-2022</t>
        </is>
      </c>
      <c r="B741" s="1" t="n">
        <v>44783</v>
      </c>
      <c r="C741" s="1" t="n">
        <v>45849</v>
      </c>
      <c r="D741" t="inlineStr">
        <is>
          <t>VÄSTERBOTTENS LÄN</t>
        </is>
      </c>
      <c r="E741" t="inlineStr">
        <is>
          <t>LYCKSELE</t>
        </is>
      </c>
      <c r="F741" t="inlineStr">
        <is>
          <t>Sveaskog</t>
        </is>
      </c>
      <c r="G741" t="n">
        <v>3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32555-2022</t>
        </is>
      </c>
      <c r="B742" s="1" t="n">
        <v>44783</v>
      </c>
      <c r="C742" s="1" t="n">
        <v>45849</v>
      </c>
      <c r="D742" t="inlineStr">
        <is>
          <t>VÄSTERBOTTENS LÄN</t>
        </is>
      </c>
      <c r="E742" t="inlineStr">
        <is>
          <t>LYCKSELE</t>
        </is>
      </c>
      <c r="F742" t="inlineStr">
        <is>
          <t>Sveaskog</t>
        </is>
      </c>
      <c r="G742" t="n">
        <v>3.2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32668-2022</t>
        </is>
      </c>
      <c r="B743" s="1" t="n">
        <v>44783</v>
      </c>
      <c r="C743" s="1" t="n">
        <v>45849</v>
      </c>
      <c r="D743" t="inlineStr">
        <is>
          <t>VÄSTERBOTTENS LÄN</t>
        </is>
      </c>
      <c r="E743" t="inlineStr">
        <is>
          <t>LYCKSELE</t>
        </is>
      </c>
      <c r="F743" t="inlineStr">
        <is>
          <t>Sveaskog</t>
        </is>
      </c>
      <c r="G743" t="n">
        <v>5.4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32552-2022</t>
        </is>
      </c>
      <c r="B744" s="1" t="n">
        <v>44783</v>
      </c>
      <c r="C744" s="1" t="n">
        <v>45849</v>
      </c>
      <c r="D744" t="inlineStr">
        <is>
          <t>VÄSTERBOTTENS LÄN</t>
        </is>
      </c>
      <c r="E744" t="inlineStr">
        <is>
          <t>LYCKSELE</t>
        </is>
      </c>
      <c r="F744" t="inlineStr">
        <is>
          <t>Sveaskog</t>
        </is>
      </c>
      <c r="G744" t="n">
        <v>11.1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32554-2022</t>
        </is>
      </c>
      <c r="B745" s="1" t="n">
        <v>44783</v>
      </c>
      <c r="C745" s="1" t="n">
        <v>45849</v>
      </c>
      <c r="D745" t="inlineStr">
        <is>
          <t>VÄSTERBOTTENS LÄN</t>
        </is>
      </c>
      <c r="E745" t="inlineStr">
        <is>
          <t>LYCKSELE</t>
        </is>
      </c>
      <c r="F745" t="inlineStr">
        <is>
          <t>Sveaskog</t>
        </is>
      </c>
      <c r="G745" t="n">
        <v>1.4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32998-2022</t>
        </is>
      </c>
      <c r="B746" s="1" t="n">
        <v>44784</v>
      </c>
      <c r="C746" s="1" t="n">
        <v>45849</v>
      </c>
      <c r="D746" t="inlineStr">
        <is>
          <t>VÄSTERBOTTENS LÄN</t>
        </is>
      </c>
      <c r="E746" t="inlineStr">
        <is>
          <t>LYCKSELE</t>
        </is>
      </c>
      <c r="F746" t="inlineStr">
        <is>
          <t>SCA</t>
        </is>
      </c>
      <c r="G746" t="n">
        <v>10.4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33235-2022</t>
        </is>
      </c>
      <c r="B747" s="1" t="n">
        <v>44786</v>
      </c>
      <c r="C747" s="1" t="n">
        <v>45849</v>
      </c>
      <c r="D747" t="inlineStr">
        <is>
          <t>VÄSTERBOTTENS LÄN</t>
        </is>
      </c>
      <c r="E747" t="inlineStr">
        <is>
          <t>LYCKSELE</t>
        </is>
      </c>
      <c r="F747" t="inlineStr">
        <is>
          <t>SCA</t>
        </is>
      </c>
      <c r="G747" t="n">
        <v>1.7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33478-2022</t>
        </is>
      </c>
      <c r="B748" s="1" t="n">
        <v>44788</v>
      </c>
      <c r="C748" s="1" t="n">
        <v>45849</v>
      </c>
      <c r="D748" t="inlineStr">
        <is>
          <t>VÄSTERBOTTENS LÄN</t>
        </is>
      </c>
      <c r="E748" t="inlineStr">
        <is>
          <t>LYCKSELE</t>
        </is>
      </c>
      <c r="G748" t="n">
        <v>2.4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33513-2022</t>
        </is>
      </c>
      <c r="B749" s="1" t="n">
        <v>44788</v>
      </c>
      <c r="C749" s="1" t="n">
        <v>45849</v>
      </c>
      <c r="D749" t="inlineStr">
        <is>
          <t>VÄSTERBOTTENS LÄN</t>
        </is>
      </c>
      <c r="E749" t="inlineStr">
        <is>
          <t>LYCKSELE</t>
        </is>
      </c>
      <c r="F749" t="inlineStr">
        <is>
          <t>SCA</t>
        </is>
      </c>
      <c r="G749" t="n">
        <v>1.9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33726-2022</t>
        </is>
      </c>
      <c r="B750" s="1" t="n">
        <v>44789</v>
      </c>
      <c r="C750" s="1" t="n">
        <v>45849</v>
      </c>
      <c r="D750" t="inlineStr">
        <is>
          <t>VÄSTERBOTTENS LÄN</t>
        </is>
      </c>
      <c r="E750" t="inlineStr">
        <is>
          <t>LYCKSELE</t>
        </is>
      </c>
      <c r="F750" t="inlineStr">
        <is>
          <t>SCA</t>
        </is>
      </c>
      <c r="G750" t="n">
        <v>12.7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34808-2022</t>
        </is>
      </c>
      <c r="B751" s="1" t="n">
        <v>44796</v>
      </c>
      <c r="C751" s="1" t="n">
        <v>45849</v>
      </c>
      <c r="D751" t="inlineStr">
        <is>
          <t>VÄSTERBOTTENS LÄN</t>
        </is>
      </c>
      <c r="E751" t="inlineStr">
        <is>
          <t>LYCKSELE</t>
        </is>
      </c>
      <c r="F751" t="inlineStr">
        <is>
          <t>SCA</t>
        </is>
      </c>
      <c r="G751" t="n">
        <v>0.7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35485-2022</t>
        </is>
      </c>
      <c r="B752" s="1" t="n">
        <v>44799</v>
      </c>
      <c r="C752" s="1" t="n">
        <v>45849</v>
      </c>
      <c r="D752" t="inlineStr">
        <is>
          <t>VÄSTERBOTTENS LÄN</t>
        </is>
      </c>
      <c r="E752" t="inlineStr">
        <is>
          <t>LYCKSELE</t>
        </is>
      </c>
      <c r="G752" t="n">
        <v>0.4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35490-2022</t>
        </is>
      </c>
      <c r="B753" s="1" t="n">
        <v>44799</v>
      </c>
      <c r="C753" s="1" t="n">
        <v>45849</v>
      </c>
      <c r="D753" t="inlineStr">
        <is>
          <t>VÄSTERBOTTENS LÄN</t>
        </is>
      </c>
      <c r="E753" t="inlineStr">
        <is>
          <t>LYCKSELE</t>
        </is>
      </c>
      <c r="G753" t="n">
        <v>0.5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36054-2022</t>
        </is>
      </c>
      <c r="B754" s="1" t="n">
        <v>44802</v>
      </c>
      <c r="C754" s="1" t="n">
        <v>45849</v>
      </c>
      <c r="D754" t="inlineStr">
        <is>
          <t>VÄSTERBOTTENS LÄN</t>
        </is>
      </c>
      <c r="E754" t="inlineStr">
        <is>
          <t>LYCKSELE</t>
        </is>
      </c>
      <c r="F754" t="inlineStr">
        <is>
          <t>Holmen skog AB</t>
        </is>
      </c>
      <c r="G754" t="n">
        <v>0.5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36819-2022</t>
        </is>
      </c>
      <c r="B755" s="1" t="n">
        <v>44805</v>
      </c>
      <c r="C755" s="1" t="n">
        <v>45849</v>
      </c>
      <c r="D755" t="inlineStr">
        <is>
          <t>VÄSTERBOTTENS LÄN</t>
        </is>
      </c>
      <c r="E755" t="inlineStr">
        <is>
          <t>LYCKSELE</t>
        </is>
      </c>
      <c r="F755" t="inlineStr">
        <is>
          <t>Holmen skog AB</t>
        </is>
      </c>
      <c r="G755" t="n">
        <v>3.5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36846-2022</t>
        </is>
      </c>
      <c r="B756" s="1" t="n">
        <v>44805</v>
      </c>
      <c r="C756" s="1" t="n">
        <v>45849</v>
      </c>
      <c r="D756" t="inlineStr">
        <is>
          <t>VÄSTERBOTTENS LÄN</t>
        </is>
      </c>
      <c r="E756" t="inlineStr">
        <is>
          <t>LYCKSELE</t>
        </is>
      </c>
      <c r="F756" t="inlineStr">
        <is>
          <t>Holmen skog AB</t>
        </is>
      </c>
      <c r="G756" t="n">
        <v>5.5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36859-2022</t>
        </is>
      </c>
      <c r="B757" s="1" t="n">
        <v>44805</v>
      </c>
      <c r="C757" s="1" t="n">
        <v>45849</v>
      </c>
      <c r="D757" t="inlineStr">
        <is>
          <t>VÄSTERBOTTENS LÄN</t>
        </is>
      </c>
      <c r="E757" t="inlineStr">
        <is>
          <t>LYCKSELE</t>
        </is>
      </c>
      <c r="F757" t="inlineStr">
        <is>
          <t>Holmen skog AB</t>
        </is>
      </c>
      <c r="G757" t="n">
        <v>5.1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36869-2022</t>
        </is>
      </c>
      <c r="B758" s="1" t="n">
        <v>44805</v>
      </c>
      <c r="C758" s="1" t="n">
        <v>45849</v>
      </c>
      <c r="D758" t="inlineStr">
        <is>
          <t>VÄSTERBOTTENS LÄN</t>
        </is>
      </c>
      <c r="E758" t="inlineStr">
        <is>
          <t>LYCKSELE</t>
        </is>
      </c>
      <c r="F758" t="inlineStr">
        <is>
          <t>Holmen skog AB</t>
        </is>
      </c>
      <c r="G758" t="n">
        <v>2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37423-2022</t>
        </is>
      </c>
      <c r="B759" s="1" t="n">
        <v>44809</v>
      </c>
      <c r="C759" s="1" t="n">
        <v>45849</v>
      </c>
      <c r="D759" t="inlineStr">
        <is>
          <t>VÄSTERBOTTENS LÄN</t>
        </is>
      </c>
      <c r="E759" t="inlineStr">
        <is>
          <t>LYCKSELE</t>
        </is>
      </c>
      <c r="F759" t="inlineStr">
        <is>
          <t>SCA</t>
        </is>
      </c>
      <c r="G759" t="n">
        <v>2.6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37976-2022</t>
        </is>
      </c>
      <c r="B760" s="1" t="n">
        <v>44811</v>
      </c>
      <c r="C760" s="1" t="n">
        <v>45849</v>
      </c>
      <c r="D760" t="inlineStr">
        <is>
          <t>VÄSTERBOTTENS LÄN</t>
        </is>
      </c>
      <c r="E760" t="inlineStr">
        <is>
          <t>LYCKSELE</t>
        </is>
      </c>
      <c r="F760" t="inlineStr">
        <is>
          <t>Holmen skog AB</t>
        </is>
      </c>
      <c r="G760" t="n">
        <v>4.4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38178-2022</t>
        </is>
      </c>
      <c r="B761" s="1" t="n">
        <v>44812</v>
      </c>
      <c r="C761" s="1" t="n">
        <v>45849</v>
      </c>
      <c r="D761" t="inlineStr">
        <is>
          <t>VÄSTERBOTTENS LÄN</t>
        </is>
      </c>
      <c r="E761" t="inlineStr">
        <is>
          <t>LYCKSELE</t>
        </is>
      </c>
      <c r="F761" t="inlineStr">
        <is>
          <t>Holmen skog AB</t>
        </is>
      </c>
      <c r="G761" t="n">
        <v>6.5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38456-2022</t>
        </is>
      </c>
      <c r="B762" s="1" t="n">
        <v>44813</v>
      </c>
      <c r="C762" s="1" t="n">
        <v>45849</v>
      </c>
      <c r="D762" t="inlineStr">
        <is>
          <t>VÄSTERBOTTENS LÄN</t>
        </is>
      </c>
      <c r="E762" t="inlineStr">
        <is>
          <t>LYCKSELE</t>
        </is>
      </c>
      <c r="F762" t="inlineStr">
        <is>
          <t>Sveaskog</t>
        </is>
      </c>
      <c r="G762" t="n">
        <v>12.7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38869-2022</t>
        </is>
      </c>
      <c r="B763" s="1" t="n">
        <v>44816</v>
      </c>
      <c r="C763" s="1" t="n">
        <v>45849</v>
      </c>
      <c r="D763" t="inlineStr">
        <is>
          <t>VÄSTERBOTTENS LÄN</t>
        </is>
      </c>
      <c r="E763" t="inlineStr">
        <is>
          <t>LYCKSELE</t>
        </is>
      </c>
      <c r="F763" t="inlineStr">
        <is>
          <t>Sveaskog</t>
        </is>
      </c>
      <c r="G763" t="n">
        <v>18.1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39404-2022</t>
        </is>
      </c>
      <c r="B764" s="1" t="n">
        <v>44818</v>
      </c>
      <c r="C764" s="1" t="n">
        <v>45849</v>
      </c>
      <c r="D764" t="inlineStr">
        <is>
          <t>VÄSTERBOTTENS LÄN</t>
        </is>
      </c>
      <c r="E764" t="inlineStr">
        <is>
          <t>LYCKSELE</t>
        </is>
      </c>
      <c r="F764" t="inlineStr">
        <is>
          <t>SCA</t>
        </is>
      </c>
      <c r="G764" t="n">
        <v>1.6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40262-2022</t>
        </is>
      </c>
      <c r="B765" s="1" t="n">
        <v>44820</v>
      </c>
      <c r="C765" s="1" t="n">
        <v>45849</v>
      </c>
      <c r="D765" t="inlineStr">
        <is>
          <t>VÄSTERBOTTENS LÄN</t>
        </is>
      </c>
      <c r="E765" t="inlineStr">
        <is>
          <t>LYCKSELE</t>
        </is>
      </c>
      <c r="G765" t="n">
        <v>2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41101-2022</t>
        </is>
      </c>
      <c r="B766" s="1" t="n">
        <v>44820</v>
      </c>
      <c r="C766" s="1" t="n">
        <v>45849</v>
      </c>
      <c r="D766" t="inlineStr">
        <is>
          <t>VÄSTERBOTTENS LÄN</t>
        </is>
      </c>
      <c r="E766" t="inlineStr">
        <is>
          <t>LYCKSELE</t>
        </is>
      </c>
      <c r="G766" t="n">
        <v>13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40497-2022</t>
        </is>
      </c>
      <c r="B767" s="1" t="n">
        <v>44823</v>
      </c>
      <c r="C767" s="1" t="n">
        <v>45849</v>
      </c>
      <c r="D767" t="inlineStr">
        <is>
          <t>VÄSTERBOTTENS LÄN</t>
        </is>
      </c>
      <c r="E767" t="inlineStr">
        <is>
          <t>LYCKSELE</t>
        </is>
      </c>
      <c r="F767" t="inlineStr">
        <is>
          <t>Naturvårdsverket</t>
        </is>
      </c>
      <c r="G767" t="n">
        <v>4.9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41256-2022</t>
        </is>
      </c>
      <c r="B768" s="1" t="n">
        <v>44826</v>
      </c>
      <c r="C768" s="1" t="n">
        <v>45849</v>
      </c>
      <c r="D768" t="inlineStr">
        <is>
          <t>VÄSTERBOTTENS LÄN</t>
        </is>
      </c>
      <c r="E768" t="inlineStr">
        <is>
          <t>LYCKSELE</t>
        </is>
      </c>
      <c r="G768" t="n">
        <v>3.3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41280-2022</t>
        </is>
      </c>
      <c r="B769" s="1" t="n">
        <v>44826</v>
      </c>
      <c r="C769" s="1" t="n">
        <v>45849</v>
      </c>
      <c r="D769" t="inlineStr">
        <is>
          <t>VÄSTERBOTTENS LÄN</t>
        </is>
      </c>
      <c r="E769" t="inlineStr">
        <is>
          <t>LYCKSELE</t>
        </is>
      </c>
      <c r="G769" t="n">
        <v>3.3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41358-2022</t>
        </is>
      </c>
      <c r="B770" s="1" t="n">
        <v>44826</v>
      </c>
      <c r="C770" s="1" t="n">
        <v>45849</v>
      </c>
      <c r="D770" t="inlineStr">
        <is>
          <t>VÄSTERBOTTENS LÄN</t>
        </is>
      </c>
      <c r="E770" t="inlineStr">
        <is>
          <t>LYCKSELE</t>
        </is>
      </c>
      <c r="G770" t="n">
        <v>6.2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41419-2022</t>
        </is>
      </c>
      <c r="B771" s="1" t="n">
        <v>44826</v>
      </c>
      <c r="C771" s="1" t="n">
        <v>45849</v>
      </c>
      <c r="D771" t="inlineStr">
        <is>
          <t>VÄSTERBOTTENS LÄN</t>
        </is>
      </c>
      <c r="E771" t="inlineStr">
        <is>
          <t>LYCKSELE</t>
        </is>
      </c>
      <c r="F771" t="inlineStr">
        <is>
          <t>Naturvårdsverket</t>
        </is>
      </c>
      <c r="G771" t="n">
        <v>32.1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41992-2022</t>
        </is>
      </c>
      <c r="B772" s="1" t="n">
        <v>44830</v>
      </c>
      <c r="C772" s="1" t="n">
        <v>45849</v>
      </c>
      <c r="D772" t="inlineStr">
        <is>
          <t>VÄSTERBOTTENS LÄN</t>
        </is>
      </c>
      <c r="E772" t="inlineStr">
        <is>
          <t>LYCKSELE</t>
        </is>
      </c>
      <c r="F772" t="inlineStr">
        <is>
          <t>Holmen skog AB</t>
        </is>
      </c>
      <c r="G772" t="n">
        <v>3.5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42190-2022</t>
        </is>
      </c>
      <c r="B773" s="1" t="n">
        <v>44830</v>
      </c>
      <c r="C773" s="1" t="n">
        <v>45849</v>
      </c>
      <c r="D773" t="inlineStr">
        <is>
          <t>VÄSTERBOTTENS LÄN</t>
        </is>
      </c>
      <c r="E773" t="inlineStr">
        <is>
          <t>LYCKSELE</t>
        </is>
      </c>
      <c r="G773" t="n">
        <v>4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42208-2022</t>
        </is>
      </c>
      <c r="B774" s="1" t="n">
        <v>44830</v>
      </c>
      <c r="C774" s="1" t="n">
        <v>45849</v>
      </c>
      <c r="D774" t="inlineStr">
        <is>
          <t>VÄSTERBOTTENS LÄN</t>
        </is>
      </c>
      <c r="E774" t="inlineStr">
        <is>
          <t>LYCKSELE</t>
        </is>
      </c>
      <c r="G774" t="n">
        <v>3.9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42195-2022</t>
        </is>
      </c>
      <c r="B775" s="1" t="n">
        <v>44830</v>
      </c>
      <c r="C775" s="1" t="n">
        <v>45849</v>
      </c>
      <c r="D775" t="inlineStr">
        <is>
          <t>VÄSTERBOTTENS LÄN</t>
        </is>
      </c>
      <c r="E775" t="inlineStr">
        <is>
          <t>LYCKSELE</t>
        </is>
      </c>
      <c r="G775" t="n">
        <v>2.1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42216-2022</t>
        </is>
      </c>
      <c r="B776" s="1" t="n">
        <v>44830</v>
      </c>
      <c r="C776" s="1" t="n">
        <v>45849</v>
      </c>
      <c r="D776" t="inlineStr">
        <is>
          <t>VÄSTERBOTTENS LÄN</t>
        </is>
      </c>
      <c r="E776" t="inlineStr">
        <is>
          <t>LYCKSELE</t>
        </is>
      </c>
      <c r="G776" t="n">
        <v>15.9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43328-2022</t>
        </is>
      </c>
      <c r="B777" s="1" t="n">
        <v>44834</v>
      </c>
      <c r="C777" s="1" t="n">
        <v>45849</v>
      </c>
      <c r="D777" t="inlineStr">
        <is>
          <t>VÄSTERBOTTENS LÄN</t>
        </is>
      </c>
      <c r="E777" t="inlineStr">
        <is>
          <t>LYCKSELE</t>
        </is>
      </c>
      <c r="F777" t="inlineStr">
        <is>
          <t>Sveaskog</t>
        </is>
      </c>
      <c r="G777" t="n">
        <v>22.2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43556-2022</t>
        </is>
      </c>
      <c r="B778" s="1" t="n">
        <v>44837</v>
      </c>
      <c r="C778" s="1" t="n">
        <v>45849</v>
      </c>
      <c r="D778" t="inlineStr">
        <is>
          <t>VÄSTERBOTTENS LÄN</t>
        </is>
      </c>
      <c r="E778" t="inlineStr">
        <is>
          <t>LYCKSELE</t>
        </is>
      </c>
      <c r="G778" t="n">
        <v>2.7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44097-2022</t>
        </is>
      </c>
      <c r="B779" s="1" t="n">
        <v>44839</v>
      </c>
      <c r="C779" s="1" t="n">
        <v>45849</v>
      </c>
      <c r="D779" t="inlineStr">
        <is>
          <t>VÄSTERBOTTENS LÄN</t>
        </is>
      </c>
      <c r="E779" t="inlineStr">
        <is>
          <t>LYCKSELE</t>
        </is>
      </c>
      <c r="F779" t="inlineStr">
        <is>
          <t>Holmen skog AB</t>
        </is>
      </c>
      <c r="G779" t="n">
        <v>3.1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44139-2022</t>
        </is>
      </c>
      <c r="B780" s="1" t="n">
        <v>44839</v>
      </c>
      <c r="C780" s="1" t="n">
        <v>45849</v>
      </c>
      <c r="D780" t="inlineStr">
        <is>
          <t>VÄSTERBOTTENS LÄN</t>
        </is>
      </c>
      <c r="E780" t="inlineStr">
        <is>
          <t>LYCKSELE</t>
        </is>
      </c>
      <c r="F780" t="inlineStr">
        <is>
          <t>Naturvårdsverket</t>
        </is>
      </c>
      <c r="G780" t="n">
        <v>3.5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44394-2022</t>
        </is>
      </c>
      <c r="B781" s="1" t="n">
        <v>44839</v>
      </c>
      <c r="C781" s="1" t="n">
        <v>45849</v>
      </c>
      <c r="D781" t="inlineStr">
        <is>
          <t>VÄSTERBOTTENS LÄN</t>
        </is>
      </c>
      <c r="E781" t="inlineStr">
        <is>
          <t>LYCKSELE</t>
        </is>
      </c>
      <c r="F781" t="inlineStr">
        <is>
          <t>Holmen skog AB</t>
        </is>
      </c>
      <c r="G781" t="n">
        <v>3.5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44581-2022</t>
        </is>
      </c>
      <c r="B782" s="1" t="n">
        <v>44840</v>
      </c>
      <c r="C782" s="1" t="n">
        <v>45849</v>
      </c>
      <c r="D782" t="inlineStr">
        <is>
          <t>VÄSTERBOTTENS LÄN</t>
        </is>
      </c>
      <c r="E782" t="inlineStr">
        <is>
          <t>LYCKSELE</t>
        </is>
      </c>
      <c r="G782" t="n">
        <v>7.2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44465-2022</t>
        </is>
      </c>
      <c r="B783" s="1" t="n">
        <v>44840</v>
      </c>
      <c r="C783" s="1" t="n">
        <v>45849</v>
      </c>
      <c r="D783" t="inlineStr">
        <is>
          <t>VÄSTERBOTTENS LÄN</t>
        </is>
      </c>
      <c r="E783" t="inlineStr">
        <is>
          <t>LYCKSELE</t>
        </is>
      </c>
      <c r="G783" t="n">
        <v>2.7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44479-2022</t>
        </is>
      </c>
      <c r="B784" s="1" t="n">
        <v>44840</v>
      </c>
      <c r="C784" s="1" t="n">
        <v>45849</v>
      </c>
      <c r="D784" t="inlineStr">
        <is>
          <t>VÄSTERBOTTENS LÄN</t>
        </is>
      </c>
      <c r="E784" t="inlineStr">
        <is>
          <t>LYCKSELE</t>
        </is>
      </c>
      <c r="F784" t="inlineStr">
        <is>
          <t>Holmen skog AB</t>
        </is>
      </c>
      <c r="G784" t="n">
        <v>2.1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44619-2022</t>
        </is>
      </c>
      <c r="B785" s="1" t="n">
        <v>44840</v>
      </c>
      <c r="C785" s="1" t="n">
        <v>45849</v>
      </c>
      <c r="D785" t="inlineStr">
        <is>
          <t>VÄSTERBOTTENS LÄN</t>
        </is>
      </c>
      <c r="E785" t="inlineStr">
        <is>
          <t>LYCKSELE</t>
        </is>
      </c>
      <c r="G785" t="n">
        <v>4.7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45180-2022</t>
        </is>
      </c>
      <c r="B786" s="1" t="n">
        <v>44844</v>
      </c>
      <c r="C786" s="1" t="n">
        <v>45849</v>
      </c>
      <c r="D786" t="inlineStr">
        <is>
          <t>VÄSTERBOTTENS LÄN</t>
        </is>
      </c>
      <c r="E786" t="inlineStr">
        <is>
          <t>LYCKSELE</t>
        </is>
      </c>
      <c r="G786" t="n">
        <v>5.5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45559-2022</t>
        </is>
      </c>
      <c r="B787" s="1" t="n">
        <v>44845</v>
      </c>
      <c r="C787" s="1" t="n">
        <v>45849</v>
      </c>
      <c r="D787" t="inlineStr">
        <is>
          <t>VÄSTERBOTTENS LÄN</t>
        </is>
      </c>
      <c r="E787" t="inlineStr">
        <is>
          <t>LYCKSELE</t>
        </is>
      </c>
      <c r="G787" t="n">
        <v>17.8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45661-2022</t>
        </is>
      </c>
      <c r="B788" s="1" t="n">
        <v>44845</v>
      </c>
      <c r="C788" s="1" t="n">
        <v>45849</v>
      </c>
      <c r="D788" t="inlineStr">
        <is>
          <t>VÄSTERBOTTENS LÄN</t>
        </is>
      </c>
      <c r="E788" t="inlineStr">
        <is>
          <t>LYCKSELE</t>
        </is>
      </c>
      <c r="F788" t="inlineStr">
        <is>
          <t>Sveaskog</t>
        </is>
      </c>
      <c r="G788" t="n">
        <v>11.1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45863-2022</t>
        </is>
      </c>
      <c r="B789" s="1" t="n">
        <v>44846</v>
      </c>
      <c r="C789" s="1" t="n">
        <v>45849</v>
      </c>
      <c r="D789" t="inlineStr">
        <is>
          <t>VÄSTERBOTTENS LÄN</t>
        </is>
      </c>
      <c r="E789" t="inlineStr">
        <is>
          <t>LYCKSELE</t>
        </is>
      </c>
      <c r="G789" t="n">
        <v>0.7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45964-2022</t>
        </is>
      </c>
      <c r="B790" s="1" t="n">
        <v>44846</v>
      </c>
      <c r="C790" s="1" t="n">
        <v>45849</v>
      </c>
      <c r="D790" t="inlineStr">
        <is>
          <t>VÄSTERBOTTENS LÄN</t>
        </is>
      </c>
      <c r="E790" t="inlineStr">
        <is>
          <t>LYCKSELE</t>
        </is>
      </c>
      <c r="F790" t="inlineStr">
        <is>
          <t>Holmen skog AB</t>
        </is>
      </c>
      <c r="G790" t="n">
        <v>1.2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45903-2022</t>
        </is>
      </c>
      <c r="B791" s="1" t="n">
        <v>44846</v>
      </c>
      <c r="C791" s="1" t="n">
        <v>45849</v>
      </c>
      <c r="D791" t="inlineStr">
        <is>
          <t>VÄSTERBOTTENS LÄN</t>
        </is>
      </c>
      <c r="E791" t="inlineStr">
        <is>
          <t>LYCKSELE</t>
        </is>
      </c>
      <c r="F791" t="inlineStr">
        <is>
          <t>Sveaskog</t>
        </is>
      </c>
      <c r="G791" t="n">
        <v>3.2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45906-2022</t>
        </is>
      </c>
      <c r="B792" s="1" t="n">
        <v>44846</v>
      </c>
      <c r="C792" s="1" t="n">
        <v>45849</v>
      </c>
      <c r="D792" t="inlineStr">
        <is>
          <t>VÄSTERBOTTENS LÄN</t>
        </is>
      </c>
      <c r="E792" t="inlineStr">
        <is>
          <t>LYCKSELE</t>
        </is>
      </c>
      <c r="F792" t="inlineStr">
        <is>
          <t>Sveaskog</t>
        </is>
      </c>
      <c r="G792" t="n">
        <v>1.7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46474-2022</t>
        </is>
      </c>
      <c r="B793" s="1" t="n">
        <v>44846</v>
      </c>
      <c r="C793" s="1" t="n">
        <v>45849</v>
      </c>
      <c r="D793" t="inlineStr">
        <is>
          <t>VÄSTERBOTTENS LÄN</t>
        </is>
      </c>
      <c r="E793" t="inlineStr">
        <is>
          <t>LYCKSELE</t>
        </is>
      </c>
      <c r="G793" t="n">
        <v>7.2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46541-2022</t>
        </is>
      </c>
      <c r="B794" s="1" t="n">
        <v>44847</v>
      </c>
      <c r="C794" s="1" t="n">
        <v>45849</v>
      </c>
      <c r="D794" t="inlineStr">
        <is>
          <t>VÄSTERBOTTENS LÄN</t>
        </is>
      </c>
      <c r="E794" t="inlineStr">
        <is>
          <t>LYCKSELE</t>
        </is>
      </c>
      <c r="G794" t="n">
        <v>2.8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47016-2022</t>
        </is>
      </c>
      <c r="B795" s="1" t="n">
        <v>44851</v>
      </c>
      <c r="C795" s="1" t="n">
        <v>45849</v>
      </c>
      <c r="D795" t="inlineStr">
        <is>
          <t>VÄSTERBOTTENS LÄN</t>
        </is>
      </c>
      <c r="E795" t="inlineStr">
        <is>
          <t>LYCKSELE</t>
        </is>
      </c>
      <c r="G795" t="n">
        <v>3.2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47712-2022</t>
        </is>
      </c>
      <c r="B796" s="1" t="n">
        <v>44854</v>
      </c>
      <c r="C796" s="1" t="n">
        <v>45849</v>
      </c>
      <c r="D796" t="inlineStr">
        <is>
          <t>VÄSTERBOTTENS LÄN</t>
        </is>
      </c>
      <c r="E796" t="inlineStr">
        <is>
          <t>LYCKSELE</t>
        </is>
      </c>
      <c r="F796" t="inlineStr">
        <is>
          <t>Sveaskog</t>
        </is>
      </c>
      <c r="G796" t="n">
        <v>1.1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47727-2022</t>
        </is>
      </c>
      <c r="B797" s="1" t="n">
        <v>44854</v>
      </c>
      <c r="C797" s="1" t="n">
        <v>45849</v>
      </c>
      <c r="D797" t="inlineStr">
        <is>
          <t>VÄSTERBOTTENS LÄN</t>
        </is>
      </c>
      <c r="E797" t="inlineStr">
        <is>
          <t>LYCKSELE</t>
        </is>
      </c>
      <c r="F797" t="inlineStr">
        <is>
          <t>Sveaskog</t>
        </is>
      </c>
      <c r="G797" t="n">
        <v>7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48071-2022</t>
        </is>
      </c>
      <c r="B798" s="1" t="n">
        <v>44856</v>
      </c>
      <c r="C798" s="1" t="n">
        <v>45849</v>
      </c>
      <c r="D798" t="inlineStr">
        <is>
          <t>VÄSTERBOTTENS LÄN</t>
        </is>
      </c>
      <c r="E798" t="inlineStr">
        <is>
          <t>LYCKSELE</t>
        </is>
      </c>
      <c r="F798" t="inlineStr">
        <is>
          <t>SCA</t>
        </is>
      </c>
      <c r="G798" t="n">
        <v>3.2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48077-2022</t>
        </is>
      </c>
      <c r="B799" s="1" t="n">
        <v>44856</v>
      </c>
      <c r="C799" s="1" t="n">
        <v>45849</v>
      </c>
      <c r="D799" t="inlineStr">
        <is>
          <t>VÄSTERBOTTENS LÄN</t>
        </is>
      </c>
      <c r="E799" t="inlineStr">
        <is>
          <t>LYCKSELE</t>
        </is>
      </c>
      <c r="F799" t="inlineStr">
        <is>
          <t>SCA</t>
        </is>
      </c>
      <c r="G799" t="n">
        <v>1.9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48678-2022</t>
        </is>
      </c>
      <c r="B800" s="1" t="n">
        <v>44859</v>
      </c>
      <c r="C800" s="1" t="n">
        <v>45849</v>
      </c>
      <c r="D800" t="inlineStr">
        <is>
          <t>VÄSTERBOTTENS LÄN</t>
        </is>
      </c>
      <c r="E800" t="inlineStr">
        <is>
          <t>LYCKSELE</t>
        </is>
      </c>
      <c r="F800" t="inlineStr">
        <is>
          <t>Holmen skog AB</t>
        </is>
      </c>
      <c r="G800" t="n">
        <v>2.2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48890-2022</t>
        </is>
      </c>
      <c r="B801" s="1" t="n">
        <v>44859</v>
      </c>
      <c r="C801" s="1" t="n">
        <v>45849</v>
      </c>
      <c r="D801" t="inlineStr">
        <is>
          <t>VÄSTERBOTTENS LÄN</t>
        </is>
      </c>
      <c r="E801" t="inlineStr">
        <is>
          <t>LYCKSELE</t>
        </is>
      </c>
      <c r="G801" t="n">
        <v>3.1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49514-2022</t>
        </is>
      </c>
      <c r="B802" s="1" t="n">
        <v>44861</v>
      </c>
      <c r="C802" s="1" t="n">
        <v>45849</v>
      </c>
      <c r="D802" t="inlineStr">
        <is>
          <t>VÄSTERBOTTENS LÄN</t>
        </is>
      </c>
      <c r="E802" t="inlineStr">
        <is>
          <t>LYCKSELE</t>
        </is>
      </c>
      <c r="F802" t="inlineStr">
        <is>
          <t>SCA</t>
        </is>
      </c>
      <c r="G802" t="n">
        <v>1.2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49341-2022</t>
        </is>
      </c>
      <c r="B803" s="1" t="n">
        <v>44861</v>
      </c>
      <c r="C803" s="1" t="n">
        <v>45849</v>
      </c>
      <c r="D803" t="inlineStr">
        <is>
          <t>VÄSTERBOTTENS LÄN</t>
        </is>
      </c>
      <c r="E803" t="inlineStr">
        <is>
          <t>LYCKSELE</t>
        </is>
      </c>
      <c r="F803" t="inlineStr">
        <is>
          <t>Sveaskog</t>
        </is>
      </c>
      <c r="G803" t="n">
        <v>29.1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51392-2022</t>
        </is>
      </c>
      <c r="B804" s="1" t="n">
        <v>44866</v>
      </c>
      <c r="C804" s="1" t="n">
        <v>45849</v>
      </c>
      <c r="D804" t="inlineStr">
        <is>
          <t>VÄSTERBOTTENS LÄN</t>
        </is>
      </c>
      <c r="E804" t="inlineStr">
        <is>
          <t>LYCKSELE</t>
        </is>
      </c>
      <c r="G804" t="n">
        <v>7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51387-2022</t>
        </is>
      </c>
      <c r="B805" s="1" t="n">
        <v>44866</v>
      </c>
      <c r="C805" s="1" t="n">
        <v>45849</v>
      </c>
      <c r="D805" t="inlineStr">
        <is>
          <t>VÄSTERBOTTENS LÄN</t>
        </is>
      </c>
      <c r="E805" t="inlineStr">
        <is>
          <t>LYCKSELE</t>
        </is>
      </c>
      <c r="G805" t="n">
        <v>1.8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50779-2022</t>
        </is>
      </c>
      <c r="B806" s="1" t="n">
        <v>44867</v>
      </c>
      <c r="C806" s="1" t="n">
        <v>45849</v>
      </c>
      <c r="D806" t="inlineStr">
        <is>
          <t>VÄSTERBOTTENS LÄN</t>
        </is>
      </c>
      <c r="E806" t="inlineStr">
        <is>
          <t>LYCKSELE</t>
        </is>
      </c>
      <c r="F806" t="inlineStr">
        <is>
          <t>Sveaskog</t>
        </is>
      </c>
      <c r="G806" t="n">
        <v>2.6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50973-2022</t>
        </is>
      </c>
      <c r="B807" s="1" t="n">
        <v>44867</v>
      </c>
      <c r="C807" s="1" t="n">
        <v>45849</v>
      </c>
      <c r="D807" t="inlineStr">
        <is>
          <t>VÄSTERBOTTENS LÄN</t>
        </is>
      </c>
      <c r="E807" t="inlineStr">
        <is>
          <t>LYCKSELE</t>
        </is>
      </c>
      <c r="G807" t="n">
        <v>2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52186-2022</t>
        </is>
      </c>
      <c r="B808" s="1" t="n">
        <v>44873</v>
      </c>
      <c r="C808" s="1" t="n">
        <v>45849</v>
      </c>
      <c r="D808" t="inlineStr">
        <is>
          <t>VÄSTERBOTTENS LÄN</t>
        </is>
      </c>
      <c r="E808" t="inlineStr">
        <is>
          <t>LYCKSELE</t>
        </is>
      </c>
      <c r="G808" t="n">
        <v>2.5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52370-2022</t>
        </is>
      </c>
      <c r="B809" s="1" t="n">
        <v>44874</v>
      </c>
      <c r="C809" s="1" t="n">
        <v>45849</v>
      </c>
      <c r="D809" t="inlineStr">
        <is>
          <t>VÄSTERBOTTENS LÄN</t>
        </is>
      </c>
      <c r="E809" t="inlineStr">
        <is>
          <t>LYCKSELE</t>
        </is>
      </c>
      <c r="F809" t="inlineStr">
        <is>
          <t>Sveaskog</t>
        </is>
      </c>
      <c r="G809" t="n">
        <v>3.1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53389-2022</t>
        </is>
      </c>
      <c r="B810" s="1" t="n">
        <v>44874</v>
      </c>
      <c r="C810" s="1" t="n">
        <v>45849</v>
      </c>
      <c r="D810" t="inlineStr">
        <is>
          <t>VÄSTERBOTTENS LÄN</t>
        </is>
      </c>
      <c r="E810" t="inlineStr">
        <is>
          <t>LYCKSELE</t>
        </is>
      </c>
      <c r="G810" t="n">
        <v>0.7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53369-2022</t>
        </is>
      </c>
      <c r="B811" s="1" t="n">
        <v>44874</v>
      </c>
      <c r="C811" s="1" t="n">
        <v>45849</v>
      </c>
      <c r="D811" t="inlineStr">
        <is>
          <t>VÄSTERBOTTENS LÄN</t>
        </is>
      </c>
      <c r="E811" t="inlineStr">
        <is>
          <t>LYCKSELE</t>
        </is>
      </c>
      <c r="G811" t="n">
        <v>9.1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52886-2022</t>
        </is>
      </c>
      <c r="B812" s="1" t="n">
        <v>44875</v>
      </c>
      <c r="C812" s="1" t="n">
        <v>45849</v>
      </c>
      <c r="D812" t="inlineStr">
        <is>
          <t>VÄSTERBOTTENS LÄN</t>
        </is>
      </c>
      <c r="E812" t="inlineStr">
        <is>
          <t>LYCKSELE</t>
        </is>
      </c>
      <c r="F812" t="inlineStr">
        <is>
          <t>Sveaskog</t>
        </is>
      </c>
      <c r="G812" t="n">
        <v>4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53027-2022</t>
        </is>
      </c>
      <c r="B813" s="1" t="n">
        <v>44875</v>
      </c>
      <c r="C813" s="1" t="n">
        <v>45849</v>
      </c>
      <c r="D813" t="inlineStr">
        <is>
          <t>VÄSTERBOTTENS LÄN</t>
        </is>
      </c>
      <c r="E813" t="inlineStr">
        <is>
          <t>LYCKSELE</t>
        </is>
      </c>
      <c r="F813" t="inlineStr">
        <is>
          <t>SCA</t>
        </is>
      </c>
      <c r="G813" t="n">
        <v>4.5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52956-2022</t>
        </is>
      </c>
      <c r="B814" s="1" t="n">
        <v>44875</v>
      </c>
      <c r="C814" s="1" t="n">
        <v>45849</v>
      </c>
      <c r="D814" t="inlineStr">
        <is>
          <t>VÄSTERBOTTENS LÄN</t>
        </is>
      </c>
      <c r="E814" t="inlineStr">
        <is>
          <t>LYCKSELE</t>
        </is>
      </c>
      <c r="F814" t="inlineStr">
        <is>
          <t>Holmen skog AB</t>
        </is>
      </c>
      <c r="G814" t="n">
        <v>6.4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53226-2022</t>
        </is>
      </c>
      <c r="B815" s="1" t="n">
        <v>44876</v>
      </c>
      <c r="C815" s="1" t="n">
        <v>45849</v>
      </c>
      <c r="D815" t="inlineStr">
        <is>
          <t>VÄSTERBOTTENS LÄN</t>
        </is>
      </c>
      <c r="E815" t="inlineStr">
        <is>
          <t>LYCKSELE</t>
        </is>
      </c>
      <c r="F815" t="inlineStr">
        <is>
          <t>Holmen skog AB</t>
        </is>
      </c>
      <c r="G815" t="n">
        <v>10.5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53241-2022</t>
        </is>
      </c>
      <c r="B816" s="1" t="n">
        <v>44876</v>
      </c>
      <c r="C816" s="1" t="n">
        <v>45849</v>
      </c>
      <c r="D816" t="inlineStr">
        <is>
          <t>VÄSTERBOTTENS LÄN</t>
        </is>
      </c>
      <c r="E816" t="inlineStr">
        <is>
          <t>LYCKSELE</t>
        </is>
      </c>
      <c r="F816" t="inlineStr">
        <is>
          <t>Holmen skog AB</t>
        </is>
      </c>
      <c r="G816" t="n">
        <v>2.1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53740-2022</t>
        </is>
      </c>
      <c r="B817" s="1" t="n">
        <v>44880</v>
      </c>
      <c r="C817" s="1" t="n">
        <v>45849</v>
      </c>
      <c r="D817" t="inlineStr">
        <is>
          <t>VÄSTERBOTTENS LÄN</t>
        </is>
      </c>
      <c r="E817" t="inlineStr">
        <is>
          <t>LYCKSELE</t>
        </is>
      </c>
      <c r="G817" t="n">
        <v>10.5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53919-2022</t>
        </is>
      </c>
      <c r="B818" s="1" t="n">
        <v>44880</v>
      </c>
      <c r="C818" s="1" t="n">
        <v>45849</v>
      </c>
      <c r="D818" t="inlineStr">
        <is>
          <t>VÄSTERBOTTENS LÄN</t>
        </is>
      </c>
      <c r="E818" t="inlineStr">
        <is>
          <t>LYCKSELE</t>
        </is>
      </c>
      <c r="G818" t="n">
        <v>1.1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54167-2022</t>
        </is>
      </c>
      <c r="B819" s="1" t="n">
        <v>44881</v>
      </c>
      <c r="C819" s="1" t="n">
        <v>45849</v>
      </c>
      <c r="D819" t="inlineStr">
        <is>
          <t>VÄSTERBOTTENS LÄN</t>
        </is>
      </c>
      <c r="E819" t="inlineStr">
        <is>
          <t>LYCKSELE</t>
        </is>
      </c>
      <c r="G819" t="n">
        <v>11.3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54288-2022</t>
        </is>
      </c>
      <c r="B820" s="1" t="n">
        <v>44882</v>
      </c>
      <c r="C820" s="1" t="n">
        <v>45849</v>
      </c>
      <c r="D820" t="inlineStr">
        <is>
          <t>VÄSTERBOTTENS LÄN</t>
        </is>
      </c>
      <c r="E820" t="inlineStr">
        <is>
          <t>LYCKSELE</t>
        </is>
      </c>
      <c r="F820" t="inlineStr">
        <is>
          <t>Holmen skog AB</t>
        </is>
      </c>
      <c r="G820" t="n">
        <v>3.3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55328-2022</t>
        </is>
      </c>
      <c r="B821" s="1" t="n">
        <v>44882</v>
      </c>
      <c r="C821" s="1" t="n">
        <v>45849</v>
      </c>
      <c r="D821" t="inlineStr">
        <is>
          <t>VÄSTERBOTTENS LÄN</t>
        </is>
      </c>
      <c r="E821" t="inlineStr">
        <is>
          <t>LYCKSELE</t>
        </is>
      </c>
      <c r="G821" t="n">
        <v>2.7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55334-2022</t>
        </is>
      </c>
      <c r="B822" s="1" t="n">
        <v>44882</v>
      </c>
      <c r="C822" s="1" t="n">
        <v>45849</v>
      </c>
      <c r="D822" t="inlineStr">
        <is>
          <t>VÄSTERBOTTENS LÄN</t>
        </is>
      </c>
      <c r="E822" t="inlineStr">
        <is>
          <t>LYCKSELE</t>
        </is>
      </c>
      <c r="G822" t="n">
        <v>6.9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54687-2022</t>
        </is>
      </c>
      <c r="B823" s="1" t="n">
        <v>44883</v>
      </c>
      <c r="C823" s="1" t="n">
        <v>45849</v>
      </c>
      <c r="D823" t="inlineStr">
        <is>
          <t>VÄSTERBOTTENS LÄN</t>
        </is>
      </c>
      <c r="E823" t="inlineStr">
        <is>
          <t>LYCKSELE</t>
        </is>
      </c>
      <c r="G823" t="n">
        <v>2.1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55170-2022</t>
        </is>
      </c>
      <c r="B824" s="1" t="n">
        <v>44886</v>
      </c>
      <c r="C824" s="1" t="n">
        <v>45849</v>
      </c>
      <c r="D824" t="inlineStr">
        <is>
          <t>VÄSTERBOTTENS LÄN</t>
        </is>
      </c>
      <c r="E824" t="inlineStr">
        <is>
          <t>LYCKSELE</t>
        </is>
      </c>
      <c r="F824" t="inlineStr">
        <is>
          <t>Holmen skog AB</t>
        </is>
      </c>
      <c r="G824" t="n">
        <v>9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55263-2022</t>
        </is>
      </c>
      <c r="B825" s="1" t="n">
        <v>44887</v>
      </c>
      <c r="C825" s="1" t="n">
        <v>45849</v>
      </c>
      <c r="D825" t="inlineStr">
        <is>
          <t>VÄSTERBOTTENS LÄN</t>
        </is>
      </c>
      <c r="E825" t="inlineStr">
        <is>
          <t>LYCKSELE</t>
        </is>
      </c>
      <c r="G825" t="n">
        <v>2.5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55456-2022</t>
        </is>
      </c>
      <c r="B826" s="1" t="n">
        <v>44887</v>
      </c>
      <c r="C826" s="1" t="n">
        <v>45849</v>
      </c>
      <c r="D826" t="inlineStr">
        <is>
          <t>VÄSTERBOTTENS LÄN</t>
        </is>
      </c>
      <c r="E826" t="inlineStr">
        <is>
          <t>LYCKSELE</t>
        </is>
      </c>
      <c r="F826" t="inlineStr">
        <is>
          <t>Holmen skog AB</t>
        </is>
      </c>
      <c r="G826" t="n">
        <v>3.2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55582-2022</t>
        </is>
      </c>
      <c r="B827" s="1" t="n">
        <v>44888</v>
      </c>
      <c r="C827" s="1" t="n">
        <v>45849</v>
      </c>
      <c r="D827" t="inlineStr">
        <is>
          <t>VÄSTERBOTTENS LÄN</t>
        </is>
      </c>
      <c r="E827" t="inlineStr">
        <is>
          <t>LYCKSELE</t>
        </is>
      </c>
      <c r="F827" t="inlineStr">
        <is>
          <t>Holmen skog AB</t>
        </is>
      </c>
      <c r="G827" t="n">
        <v>9.699999999999999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55798-2022</t>
        </is>
      </c>
      <c r="B828" s="1" t="n">
        <v>44888</v>
      </c>
      <c r="C828" s="1" t="n">
        <v>45849</v>
      </c>
      <c r="D828" t="inlineStr">
        <is>
          <t>VÄSTERBOTTENS LÄN</t>
        </is>
      </c>
      <c r="E828" t="inlineStr">
        <is>
          <t>LYCKSELE</t>
        </is>
      </c>
      <c r="F828" t="inlineStr">
        <is>
          <t>Holmen skog AB</t>
        </is>
      </c>
      <c r="G828" t="n">
        <v>6.3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55641-2022</t>
        </is>
      </c>
      <c r="B829" s="1" t="n">
        <v>44888</v>
      </c>
      <c r="C829" s="1" t="n">
        <v>45849</v>
      </c>
      <c r="D829" t="inlineStr">
        <is>
          <t>VÄSTERBOTTENS LÄN</t>
        </is>
      </c>
      <c r="E829" t="inlineStr">
        <is>
          <t>LYCKSELE</t>
        </is>
      </c>
      <c r="F829" t="inlineStr">
        <is>
          <t>Holmen skog AB</t>
        </is>
      </c>
      <c r="G829" t="n">
        <v>9.5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56804-2022</t>
        </is>
      </c>
      <c r="B830" s="1" t="n">
        <v>44888</v>
      </c>
      <c r="C830" s="1" t="n">
        <v>45849</v>
      </c>
      <c r="D830" t="inlineStr">
        <is>
          <t>VÄSTERBOTTENS LÄN</t>
        </is>
      </c>
      <c r="E830" t="inlineStr">
        <is>
          <t>LYCKSELE</t>
        </is>
      </c>
      <c r="G830" t="n">
        <v>2.5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56046-2022</t>
        </is>
      </c>
      <c r="B831" s="1" t="n">
        <v>44889</v>
      </c>
      <c r="C831" s="1" t="n">
        <v>45849</v>
      </c>
      <c r="D831" t="inlineStr">
        <is>
          <t>VÄSTERBOTTENS LÄN</t>
        </is>
      </c>
      <c r="E831" t="inlineStr">
        <is>
          <t>LYCKSELE</t>
        </is>
      </c>
      <c r="F831" t="inlineStr">
        <is>
          <t>Sveaskog</t>
        </is>
      </c>
      <c r="G831" t="n">
        <v>2.1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56055-2022</t>
        </is>
      </c>
      <c r="B832" s="1" t="n">
        <v>44889</v>
      </c>
      <c r="C832" s="1" t="n">
        <v>45849</v>
      </c>
      <c r="D832" t="inlineStr">
        <is>
          <t>VÄSTERBOTTENS LÄN</t>
        </is>
      </c>
      <c r="E832" t="inlineStr">
        <is>
          <t>LYCKSELE</t>
        </is>
      </c>
      <c r="F832" t="inlineStr">
        <is>
          <t>Holmen skog AB</t>
        </is>
      </c>
      <c r="G832" t="n">
        <v>7.9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56343-2022</t>
        </is>
      </c>
      <c r="B833" s="1" t="n">
        <v>44890</v>
      </c>
      <c r="C833" s="1" t="n">
        <v>45849</v>
      </c>
      <c r="D833" t="inlineStr">
        <is>
          <t>VÄSTERBOTTENS LÄN</t>
        </is>
      </c>
      <c r="E833" t="inlineStr">
        <is>
          <t>LYCKSELE</t>
        </is>
      </c>
      <c r="F833" t="inlineStr">
        <is>
          <t>Sveaskog</t>
        </is>
      </c>
      <c r="G833" t="n">
        <v>0.5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56973-2022</t>
        </is>
      </c>
      <c r="B834" s="1" t="n">
        <v>44894</v>
      </c>
      <c r="C834" s="1" t="n">
        <v>45849</v>
      </c>
      <c r="D834" t="inlineStr">
        <is>
          <t>VÄSTERBOTTENS LÄN</t>
        </is>
      </c>
      <c r="E834" t="inlineStr">
        <is>
          <t>LYCKSELE</t>
        </is>
      </c>
      <c r="F834" t="inlineStr">
        <is>
          <t>Holmen skog AB</t>
        </is>
      </c>
      <c r="G834" t="n">
        <v>3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57198-2022</t>
        </is>
      </c>
      <c r="B835" s="1" t="n">
        <v>44895</v>
      </c>
      <c r="C835" s="1" t="n">
        <v>45849</v>
      </c>
      <c r="D835" t="inlineStr">
        <is>
          <t>VÄSTERBOTTENS LÄN</t>
        </is>
      </c>
      <c r="E835" t="inlineStr">
        <is>
          <t>LYCKSELE</t>
        </is>
      </c>
      <c r="F835" t="inlineStr">
        <is>
          <t>Sveaskog</t>
        </is>
      </c>
      <c r="G835" t="n">
        <v>6.1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57252-2022</t>
        </is>
      </c>
      <c r="B836" s="1" t="n">
        <v>44895</v>
      </c>
      <c r="C836" s="1" t="n">
        <v>45849</v>
      </c>
      <c r="D836" t="inlineStr">
        <is>
          <t>VÄSTERBOTTENS LÄN</t>
        </is>
      </c>
      <c r="E836" t="inlineStr">
        <is>
          <t>LYCKSELE</t>
        </is>
      </c>
      <c r="F836" t="inlineStr">
        <is>
          <t>Holmen skog AB</t>
        </is>
      </c>
      <c r="G836" t="n">
        <v>4.6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58915-2022</t>
        </is>
      </c>
      <c r="B837" s="1" t="n">
        <v>44896</v>
      </c>
      <c r="C837" s="1" t="n">
        <v>45849</v>
      </c>
      <c r="D837" t="inlineStr">
        <is>
          <t>VÄSTERBOTTENS LÄN</t>
        </is>
      </c>
      <c r="E837" t="inlineStr">
        <is>
          <t>LYCKSELE</t>
        </is>
      </c>
      <c r="G837" t="n">
        <v>8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58920-2022</t>
        </is>
      </c>
      <c r="B838" s="1" t="n">
        <v>44896</v>
      </c>
      <c r="C838" s="1" t="n">
        <v>45849</v>
      </c>
      <c r="D838" t="inlineStr">
        <is>
          <t>VÄSTERBOTTENS LÄN</t>
        </is>
      </c>
      <c r="E838" t="inlineStr">
        <is>
          <t>LYCKSELE</t>
        </is>
      </c>
      <c r="G838" t="n">
        <v>20.5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59554-2022</t>
        </is>
      </c>
      <c r="B839" s="1" t="n">
        <v>44900</v>
      </c>
      <c r="C839" s="1" t="n">
        <v>45849</v>
      </c>
      <c r="D839" t="inlineStr">
        <is>
          <t>VÄSTERBOTTENS LÄN</t>
        </is>
      </c>
      <c r="E839" t="inlineStr">
        <is>
          <t>LYCKSELE</t>
        </is>
      </c>
      <c r="G839" t="n">
        <v>6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59566-2022</t>
        </is>
      </c>
      <c r="B840" s="1" t="n">
        <v>44900</v>
      </c>
      <c r="C840" s="1" t="n">
        <v>45849</v>
      </c>
      <c r="D840" t="inlineStr">
        <is>
          <t>VÄSTERBOTTENS LÄN</t>
        </is>
      </c>
      <c r="E840" t="inlineStr">
        <is>
          <t>LYCKSELE</t>
        </is>
      </c>
      <c r="G840" t="n">
        <v>3.7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59559-2022</t>
        </is>
      </c>
      <c r="B841" s="1" t="n">
        <v>44900</v>
      </c>
      <c r="C841" s="1" t="n">
        <v>45849</v>
      </c>
      <c r="D841" t="inlineStr">
        <is>
          <t>VÄSTERBOTTENS LÄN</t>
        </is>
      </c>
      <c r="E841" t="inlineStr">
        <is>
          <t>LYCKSELE</t>
        </is>
      </c>
      <c r="G841" t="n">
        <v>0.3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58439-2022</t>
        </is>
      </c>
      <c r="B842" s="1" t="n">
        <v>44901</v>
      </c>
      <c r="C842" s="1" t="n">
        <v>45849</v>
      </c>
      <c r="D842" t="inlineStr">
        <is>
          <t>VÄSTERBOTTENS LÄN</t>
        </is>
      </c>
      <c r="E842" t="inlineStr">
        <is>
          <t>LYCKSELE</t>
        </is>
      </c>
      <c r="F842" t="inlineStr">
        <is>
          <t>SCA</t>
        </is>
      </c>
      <c r="G842" t="n">
        <v>0.6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58440-2022</t>
        </is>
      </c>
      <c r="B843" s="1" t="n">
        <v>44901</v>
      </c>
      <c r="C843" s="1" t="n">
        <v>45849</v>
      </c>
      <c r="D843" t="inlineStr">
        <is>
          <t>VÄSTERBOTTENS LÄN</t>
        </is>
      </c>
      <c r="E843" t="inlineStr">
        <is>
          <t>LYCKSELE</t>
        </is>
      </c>
      <c r="F843" t="inlineStr">
        <is>
          <t>SCA</t>
        </is>
      </c>
      <c r="G843" t="n">
        <v>0.8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58594-2022</t>
        </is>
      </c>
      <c r="B844" s="1" t="n">
        <v>44902</v>
      </c>
      <c r="C844" s="1" t="n">
        <v>45849</v>
      </c>
      <c r="D844" t="inlineStr">
        <is>
          <t>VÄSTERBOTTENS LÄN</t>
        </is>
      </c>
      <c r="E844" t="inlineStr">
        <is>
          <t>LYCKSELE</t>
        </is>
      </c>
      <c r="F844" t="inlineStr">
        <is>
          <t>Sveaskog</t>
        </is>
      </c>
      <c r="G844" t="n">
        <v>1.2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58872-2022</t>
        </is>
      </c>
      <c r="B845" s="1" t="n">
        <v>44903</v>
      </c>
      <c r="C845" s="1" t="n">
        <v>45849</v>
      </c>
      <c r="D845" t="inlineStr">
        <is>
          <t>VÄSTERBOTTENS LÄN</t>
        </is>
      </c>
      <c r="E845" t="inlineStr">
        <is>
          <t>LYCKSELE</t>
        </is>
      </c>
      <c r="F845" t="inlineStr">
        <is>
          <t>Sveaskog</t>
        </is>
      </c>
      <c r="G845" t="n">
        <v>2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58961-2022</t>
        </is>
      </c>
      <c r="B846" s="1" t="n">
        <v>44903</v>
      </c>
      <c r="C846" s="1" t="n">
        <v>45849</v>
      </c>
      <c r="D846" t="inlineStr">
        <is>
          <t>VÄSTERBOTTENS LÄN</t>
        </is>
      </c>
      <c r="E846" t="inlineStr">
        <is>
          <t>LYCKSELE</t>
        </is>
      </c>
      <c r="F846" t="inlineStr">
        <is>
          <t>Holmen skog AB</t>
        </is>
      </c>
      <c r="G846" t="n">
        <v>5.1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58975-2022</t>
        </is>
      </c>
      <c r="B847" s="1" t="n">
        <v>44903</v>
      </c>
      <c r="C847" s="1" t="n">
        <v>45849</v>
      </c>
      <c r="D847" t="inlineStr">
        <is>
          <t>VÄSTERBOTTENS LÄN</t>
        </is>
      </c>
      <c r="E847" t="inlineStr">
        <is>
          <t>LYCKSELE</t>
        </is>
      </c>
      <c r="F847" t="inlineStr">
        <is>
          <t>Holmen skog AB</t>
        </is>
      </c>
      <c r="G847" t="n">
        <v>2.2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58854-2022</t>
        </is>
      </c>
      <c r="B848" s="1" t="n">
        <v>44903</v>
      </c>
      <c r="C848" s="1" t="n">
        <v>45849</v>
      </c>
      <c r="D848" t="inlineStr">
        <is>
          <t>VÄSTERBOTTENS LÄN</t>
        </is>
      </c>
      <c r="E848" t="inlineStr">
        <is>
          <t>LYCKSELE</t>
        </is>
      </c>
      <c r="F848" t="inlineStr">
        <is>
          <t>Sveaskog</t>
        </is>
      </c>
      <c r="G848" t="n">
        <v>4.4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59031-2022</t>
        </is>
      </c>
      <c r="B849" s="1" t="n">
        <v>44903</v>
      </c>
      <c r="C849" s="1" t="n">
        <v>45849</v>
      </c>
      <c r="D849" t="inlineStr">
        <is>
          <t>VÄSTERBOTTENS LÄN</t>
        </is>
      </c>
      <c r="E849" t="inlineStr">
        <is>
          <t>LYCKSELE</t>
        </is>
      </c>
      <c r="G849" t="n">
        <v>3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59102-2022</t>
        </is>
      </c>
      <c r="B850" s="1" t="n">
        <v>44904</v>
      </c>
      <c r="C850" s="1" t="n">
        <v>45849</v>
      </c>
      <c r="D850" t="inlineStr">
        <is>
          <t>VÄSTERBOTTENS LÄN</t>
        </is>
      </c>
      <c r="E850" t="inlineStr">
        <is>
          <t>LYCKSELE</t>
        </is>
      </c>
      <c r="F850" t="inlineStr">
        <is>
          <t>Sveaskog</t>
        </is>
      </c>
      <c r="G850" t="n">
        <v>8.5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59272-2022</t>
        </is>
      </c>
      <c r="B851" s="1" t="n">
        <v>44904</v>
      </c>
      <c r="C851" s="1" t="n">
        <v>45849</v>
      </c>
      <c r="D851" t="inlineStr">
        <is>
          <t>VÄSTERBOTTENS LÄN</t>
        </is>
      </c>
      <c r="E851" t="inlineStr">
        <is>
          <t>LYCKSELE</t>
        </is>
      </c>
      <c r="F851" t="inlineStr">
        <is>
          <t>Sveaskog</t>
        </is>
      </c>
      <c r="G851" t="n">
        <v>6.1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59330-2022</t>
        </is>
      </c>
      <c r="B852" s="1" t="n">
        <v>44904</v>
      </c>
      <c r="C852" s="1" t="n">
        <v>45849</v>
      </c>
      <c r="D852" t="inlineStr">
        <is>
          <t>VÄSTERBOTTENS LÄN</t>
        </is>
      </c>
      <c r="E852" t="inlineStr">
        <is>
          <t>LYCKSELE</t>
        </is>
      </c>
      <c r="F852" t="inlineStr">
        <is>
          <t>Sveaskog</t>
        </is>
      </c>
      <c r="G852" t="n">
        <v>4.4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59287-2022</t>
        </is>
      </c>
      <c r="B853" s="1" t="n">
        <v>44904</v>
      </c>
      <c r="C853" s="1" t="n">
        <v>45849</v>
      </c>
      <c r="D853" t="inlineStr">
        <is>
          <t>VÄSTERBOTTENS LÄN</t>
        </is>
      </c>
      <c r="E853" t="inlineStr">
        <is>
          <t>LYCKSELE</t>
        </is>
      </c>
      <c r="F853" t="inlineStr">
        <is>
          <t>Sveaskog</t>
        </is>
      </c>
      <c r="G853" t="n">
        <v>5.7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59329-2022</t>
        </is>
      </c>
      <c r="B854" s="1" t="n">
        <v>44904</v>
      </c>
      <c r="C854" s="1" t="n">
        <v>45849</v>
      </c>
      <c r="D854" t="inlineStr">
        <is>
          <t>VÄSTERBOTTENS LÄN</t>
        </is>
      </c>
      <c r="E854" t="inlineStr">
        <is>
          <t>LYCKSELE</t>
        </is>
      </c>
      <c r="F854" t="inlineStr">
        <is>
          <t>Sveaskog</t>
        </is>
      </c>
      <c r="G854" t="n">
        <v>1.3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59653-2022</t>
        </is>
      </c>
      <c r="B855" s="1" t="n">
        <v>44907</v>
      </c>
      <c r="C855" s="1" t="n">
        <v>45849</v>
      </c>
      <c r="D855" t="inlineStr">
        <is>
          <t>VÄSTERBOTTENS LÄN</t>
        </is>
      </c>
      <c r="E855" t="inlineStr">
        <is>
          <t>LYCKSELE</t>
        </is>
      </c>
      <c r="G855" t="n">
        <v>2.5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60859-2022</t>
        </is>
      </c>
      <c r="B856" s="1" t="n">
        <v>44908</v>
      </c>
      <c r="C856" s="1" t="n">
        <v>45849</v>
      </c>
      <c r="D856" t="inlineStr">
        <is>
          <t>VÄSTERBOTTENS LÄN</t>
        </is>
      </c>
      <c r="E856" t="inlineStr">
        <is>
          <t>LYCKSELE</t>
        </is>
      </c>
      <c r="G856" t="n">
        <v>3.4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60857-2022</t>
        </is>
      </c>
      <c r="B857" s="1" t="n">
        <v>44908</v>
      </c>
      <c r="C857" s="1" t="n">
        <v>45849</v>
      </c>
      <c r="D857" t="inlineStr">
        <is>
          <t>VÄSTERBOTTENS LÄN</t>
        </is>
      </c>
      <c r="E857" t="inlineStr">
        <is>
          <t>LYCKSELE</t>
        </is>
      </c>
      <c r="G857" t="n">
        <v>2.8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60117-2022</t>
        </is>
      </c>
      <c r="B858" s="1" t="n">
        <v>44909</v>
      </c>
      <c r="C858" s="1" t="n">
        <v>45849</v>
      </c>
      <c r="D858" t="inlineStr">
        <is>
          <t>VÄSTERBOTTENS LÄN</t>
        </is>
      </c>
      <c r="E858" t="inlineStr">
        <is>
          <t>LYCKSELE</t>
        </is>
      </c>
      <c r="F858" t="inlineStr">
        <is>
          <t>Sveaskog</t>
        </is>
      </c>
      <c r="G858" t="n">
        <v>1.8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60122-2022</t>
        </is>
      </c>
      <c r="B859" s="1" t="n">
        <v>44909</v>
      </c>
      <c r="C859" s="1" t="n">
        <v>45849</v>
      </c>
      <c r="D859" t="inlineStr">
        <is>
          <t>VÄSTERBOTTENS LÄN</t>
        </is>
      </c>
      <c r="E859" t="inlineStr">
        <is>
          <t>LYCKSELE</t>
        </is>
      </c>
      <c r="F859" t="inlineStr">
        <is>
          <t>Sveaskog</t>
        </is>
      </c>
      <c r="G859" t="n">
        <v>1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60131-2022</t>
        </is>
      </c>
      <c r="B860" s="1" t="n">
        <v>44909</v>
      </c>
      <c r="C860" s="1" t="n">
        <v>45849</v>
      </c>
      <c r="D860" t="inlineStr">
        <is>
          <t>VÄSTERBOTTENS LÄN</t>
        </is>
      </c>
      <c r="E860" t="inlineStr">
        <is>
          <t>LYCKSELE</t>
        </is>
      </c>
      <c r="F860" t="inlineStr">
        <is>
          <t>Sveaskog</t>
        </is>
      </c>
      <c r="G860" t="n">
        <v>2.7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60143-2022</t>
        </is>
      </c>
      <c r="B861" s="1" t="n">
        <v>44909</v>
      </c>
      <c r="C861" s="1" t="n">
        <v>45849</v>
      </c>
      <c r="D861" t="inlineStr">
        <is>
          <t>VÄSTERBOTTENS LÄN</t>
        </is>
      </c>
      <c r="E861" t="inlineStr">
        <is>
          <t>LYCKSELE</t>
        </is>
      </c>
      <c r="F861" t="inlineStr">
        <is>
          <t>Sveaskog</t>
        </is>
      </c>
      <c r="G861" t="n">
        <v>0.5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61281-2022</t>
        </is>
      </c>
      <c r="B862" s="1" t="n">
        <v>44909</v>
      </c>
      <c r="C862" s="1" t="n">
        <v>45849</v>
      </c>
      <c r="D862" t="inlineStr">
        <is>
          <t>VÄSTERBOTTENS LÄN</t>
        </is>
      </c>
      <c r="E862" t="inlineStr">
        <is>
          <t>LYCKSELE</t>
        </is>
      </c>
      <c r="G862" t="n">
        <v>0.2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61277-2022</t>
        </is>
      </c>
      <c r="B863" s="1" t="n">
        <v>44909</v>
      </c>
      <c r="C863" s="1" t="n">
        <v>45849</v>
      </c>
      <c r="D863" t="inlineStr">
        <is>
          <t>VÄSTERBOTTENS LÄN</t>
        </is>
      </c>
      <c r="E863" t="inlineStr">
        <is>
          <t>LYCKSELE</t>
        </is>
      </c>
      <c r="G863" t="n">
        <v>1.9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60267-2022</t>
        </is>
      </c>
      <c r="B864" s="1" t="n">
        <v>44910</v>
      </c>
      <c r="C864" s="1" t="n">
        <v>45849</v>
      </c>
      <c r="D864" t="inlineStr">
        <is>
          <t>VÄSTERBOTTENS LÄN</t>
        </is>
      </c>
      <c r="E864" t="inlineStr">
        <is>
          <t>LYCKSELE</t>
        </is>
      </c>
      <c r="F864" t="inlineStr">
        <is>
          <t>Sveaskog</t>
        </is>
      </c>
      <c r="G864" t="n">
        <v>3.5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60226-2022</t>
        </is>
      </c>
      <c r="B865" s="1" t="n">
        <v>44910</v>
      </c>
      <c r="C865" s="1" t="n">
        <v>45849</v>
      </c>
      <c r="D865" t="inlineStr">
        <is>
          <t>VÄSTERBOTTENS LÄN</t>
        </is>
      </c>
      <c r="E865" t="inlineStr">
        <is>
          <t>LYCKSELE</t>
        </is>
      </c>
      <c r="G865" t="n">
        <v>5.4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60330-2022</t>
        </is>
      </c>
      <c r="B866" s="1" t="n">
        <v>44910</v>
      </c>
      <c r="C866" s="1" t="n">
        <v>45849</v>
      </c>
      <c r="D866" t="inlineStr">
        <is>
          <t>VÄSTERBOTTENS LÄN</t>
        </is>
      </c>
      <c r="E866" t="inlineStr">
        <is>
          <t>LYCKSELE</t>
        </is>
      </c>
      <c r="G866" t="n">
        <v>2.7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60387-2022</t>
        </is>
      </c>
      <c r="B867" s="1" t="n">
        <v>44910</v>
      </c>
      <c r="C867" s="1" t="n">
        <v>45849</v>
      </c>
      <c r="D867" t="inlineStr">
        <is>
          <t>VÄSTERBOTTENS LÄN</t>
        </is>
      </c>
      <c r="E867" t="inlineStr">
        <is>
          <t>LYCKSELE</t>
        </is>
      </c>
      <c r="G867" t="n">
        <v>2.6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60272-2022</t>
        </is>
      </c>
      <c r="B868" s="1" t="n">
        <v>44910</v>
      </c>
      <c r="C868" s="1" t="n">
        <v>45849</v>
      </c>
      <c r="D868" t="inlineStr">
        <is>
          <t>VÄSTERBOTTENS LÄN</t>
        </is>
      </c>
      <c r="E868" t="inlineStr">
        <is>
          <t>LYCKSELE</t>
        </is>
      </c>
      <c r="F868" t="inlineStr">
        <is>
          <t>Sveaskog</t>
        </is>
      </c>
      <c r="G868" t="n">
        <v>7.4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60685-2022</t>
        </is>
      </c>
      <c r="B869" s="1" t="n">
        <v>44911</v>
      </c>
      <c r="C869" s="1" t="n">
        <v>45849</v>
      </c>
      <c r="D869" t="inlineStr">
        <is>
          <t>VÄSTERBOTTENS LÄN</t>
        </is>
      </c>
      <c r="E869" t="inlineStr">
        <is>
          <t>LYCKSELE</t>
        </is>
      </c>
      <c r="F869" t="inlineStr">
        <is>
          <t>SCA</t>
        </is>
      </c>
      <c r="G869" t="n">
        <v>1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60570-2022</t>
        </is>
      </c>
      <c r="B870" s="1" t="n">
        <v>44911</v>
      </c>
      <c r="C870" s="1" t="n">
        <v>45849</v>
      </c>
      <c r="D870" t="inlineStr">
        <is>
          <t>VÄSTERBOTTENS LÄN</t>
        </is>
      </c>
      <c r="E870" t="inlineStr">
        <is>
          <t>LYCKSELE</t>
        </is>
      </c>
      <c r="F870" t="inlineStr">
        <is>
          <t>Sveaskog</t>
        </is>
      </c>
      <c r="G870" t="n">
        <v>17.4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61799-2022</t>
        </is>
      </c>
      <c r="B871" s="1" t="n">
        <v>44911</v>
      </c>
      <c r="C871" s="1" t="n">
        <v>45849</v>
      </c>
      <c r="D871" t="inlineStr">
        <is>
          <t>VÄSTERBOTTENS LÄN</t>
        </is>
      </c>
      <c r="E871" t="inlineStr">
        <is>
          <t>LYCKSELE</t>
        </is>
      </c>
      <c r="G871" t="n">
        <v>4.9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60714-2022</t>
        </is>
      </c>
      <c r="B872" s="1" t="n">
        <v>44912</v>
      </c>
      <c r="C872" s="1" t="n">
        <v>45849</v>
      </c>
      <c r="D872" t="inlineStr">
        <is>
          <t>VÄSTERBOTTENS LÄN</t>
        </is>
      </c>
      <c r="E872" t="inlineStr">
        <is>
          <t>LYCKSELE</t>
        </is>
      </c>
      <c r="F872" t="inlineStr">
        <is>
          <t>Sveaskog</t>
        </is>
      </c>
      <c r="G872" t="n">
        <v>1.9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60723-2022</t>
        </is>
      </c>
      <c r="B873" s="1" t="n">
        <v>44913</v>
      </c>
      <c r="C873" s="1" t="n">
        <v>45849</v>
      </c>
      <c r="D873" t="inlineStr">
        <is>
          <t>VÄSTERBOTTENS LÄN</t>
        </is>
      </c>
      <c r="E873" t="inlineStr">
        <is>
          <t>LYCKSELE</t>
        </is>
      </c>
      <c r="G873" t="n">
        <v>14.9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61131-2022</t>
        </is>
      </c>
      <c r="B874" s="1" t="n">
        <v>44915</v>
      </c>
      <c r="C874" s="1" t="n">
        <v>45849</v>
      </c>
      <c r="D874" t="inlineStr">
        <is>
          <t>VÄSTERBOTTENS LÄN</t>
        </is>
      </c>
      <c r="E874" t="inlineStr">
        <is>
          <t>LYCKSELE</t>
        </is>
      </c>
      <c r="F874" t="inlineStr">
        <is>
          <t>Sveaskog</t>
        </is>
      </c>
      <c r="G874" t="n">
        <v>5.1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61390-2022</t>
        </is>
      </c>
      <c r="B875" s="1" t="n">
        <v>44915</v>
      </c>
      <c r="C875" s="1" t="n">
        <v>45849</v>
      </c>
      <c r="D875" t="inlineStr">
        <is>
          <t>VÄSTERBOTTENS LÄN</t>
        </is>
      </c>
      <c r="E875" t="inlineStr">
        <is>
          <t>LYCKSELE</t>
        </is>
      </c>
      <c r="F875" t="inlineStr">
        <is>
          <t>SCA</t>
        </is>
      </c>
      <c r="G875" t="n">
        <v>3.3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61651-2022</t>
        </is>
      </c>
      <c r="B876" s="1" t="n">
        <v>44916</v>
      </c>
      <c r="C876" s="1" t="n">
        <v>45849</v>
      </c>
      <c r="D876" t="inlineStr">
        <is>
          <t>VÄSTERBOTTENS LÄN</t>
        </is>
      </c>
      <c r="E876" t="inlineStr">
        <is>
          <t>LYCKSELE</t>
        </is>
      </c>
      <c r="G876" t="n">
        <v>1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61829-2022</t>
        </is>
      </c>
      <c r="B877" s="1" t="n">
        <v>44917</v>
      </c>
      <c r="C877" s="1" t="n">
        <v>45849</v>
      </c>
      <c r="D877" t="inlineStr">
        <is>
          <t>VÄSTERBOTTENS LÄN</t>
        </is>
      </c>
      <c r="E877" t="inlineStr">
        <is>
          <t>LYCKSELE</t>
        </is>
      </c>
      <c r="F877" t="inlineStr">
        <is>
          <t>Sveaskog</t>
        </is>
      </c>
      <c r="G877" t="n">
        <v>1.8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61837-2022</t>
        </is>
      </c>
      <c r="B878" s="1" t="n">
        <v>44917</v>
      </c>
      <c r="C878" s="1" t="n">
        <v>45849</v>
      </c>
      <c r="D878" t="inlineStr">
        <is>
          <t>VÄSTERBOTTENS LÄN</t>
        </is>
      </c>
      <c r="E878" t="inlineStr">
        <is>
          <t>LYCKSELE</t>
        </is>
      </c>
      <c r="F878" t="inlineStr">
        <is>
          <t>Sveaskog</t>
        </is>
      </c>
      <c r="G878" t="n">
        <v>4.1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62678-2022</t>
        </is>
      </c>
      <c r="B879" s="1" t="n">
        <v>44917</v>
      </c>
      <c r="C879" s="1" t="n">
        <v>45849</v>
      </c>
      <c r="D879" t="inlineStr">
        <is>
          <t>VÄSTERBOTTENS LÄN</t>
        </is>
      </c>
      <c r="E879" t="inlineStr">
        <is>
          <t>LYCKSELE</t>
        </is>
      </c>
      <c r="G879" t="n">
        <v>1.8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155-2023</t>
        </is>
      </c>
      <c r="B880" s="1" t="n">
        <v>44921</v>
      </c>
      <c r="C880" s="1" t="n">
        <v>45849</v>
      </c>
      <c r="D880" t="inlineStr">
        <is>
          <t>VÄSTERBOTTENS LÄN</t>
        </is>
      </c>
      <c r="E880" t="inlineStr">
        <is>
          <t>LYCKSELE</t>
        </is>
      </c>
      <c r="G880" t="n">
        <v>27.3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161-2023</t>
        </is>
      </c>
      <c r="B881" s="1" t="n">
        <v>44921</v>
      </c>
      <c r="C881" s="1" t="n">
        <v>45849</v>
      </c>
      <c r="D881" t="inlineStr">
        <is>
          <t>VÄSTERBOTTENS LÄN</t>
        </is>
      </c>
      <c r="E881" t="inlineStr">
        <is>
          <t>LYCKSELE</t>
        </is>
      </c>
      <c r="G881" t="n">
        <v>4.9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62547-2022</t>
        </is>
      </c>
      <c r="B882" s="1" t="n">
        <v>44924</v>
      </c>
      <c r="C882" s="1" t="n">
        <v>45849</v>
      </c>
      <c r="D882" t="inlineStr">
        <is>
          <t>VÄSTERBOTTENS LÄN</t>
        </is>
      </c>
      <c r="E882" t="inlineStr">
        <is>
          <t>LYCKSELE</t>
        </is>
      </c>
      <c r="F882" t="inlineStr">
        <is>
          <t>Sveaskog</t>
        </is>
      </c>
      <c r="G882" t="n">
        <v>4.1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408-2023</t>
        </is>
      </c>
      <c r="B883" s="1" t="n">
        <v>44924</v>
      </c>
      <c r="C883" s="1" t="n">
        <v>45849</v>
      </c>
      <c r="D883" t="inlineStr">
        <is>
          <t>VÄSTERBOTTENS LÄN</t>
        </is>
      </c>
      <c r="E883" t="inlineStr">
        <is>
          <t>LYCKSELE</t>
        </is>
      </c>
      <c r="G883" t="n">
        <v>11.9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62584-2022</t>
        </is>
      </c>
      <c r="B884" s="1" t="n">
        <v>44924</v>
      </c>
      <c r="C884" s="1" t="n">
        <v>45849</v>
      </c>
      <c r="D884" t="inlineStr">
        <is>
          <t>VÄSTERBOTTENS LÄN</t>
        </is>
      </c>
      <c r="E884" t="inlineStr">
        <is>
          <t>LYCKSELE</t>
        </is>
      </c>
      <c r="F884" t="inlineStr">
        <is>
          <t>SCA</t>
        </is>
      </c>
      <c r="G884" t="n">
        <v>1.7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62586-2022</t>
        </is>
      </c>
      <c r="B885" s="1" t="n">
        <v>44924</v>
      </c>
      <c r="C885" s="1" t="n">
        <v>45849</v>
      </c>
      <c r="D885" t="inlineStr">
        <is>
          <t>VÄSTERBOTTENS LÄN</t>
        </is>
      </c>
      <c r="E885" t="inlineStr">
        <is>
          <t>LYCKSELE</t>
        </is>
      </c>
      <c r="F885" t="inlineStr">
        <is>
          <t>SCA</t>
        </is>
      </c>
      <c r="G885" t="n">
        <v>2.8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62715-2022</t>
        </is>
      </c>
      <c r="B886" s="1" t="n">
        <v>44925</v>
      </c>
      <c r="C886" s="1" t="n">
        <v>45849</v>
      </c>
      <c r="D886" t="inlineStr">
        <is>
          <t>VÄSTERBOTTENS LÄN</t>
        </is>
      </c>
      <c r="E886" t="inlineStr">
        <is>
          <t>LYCKSELE</t>
        </is>
      </c>
      <c r="G886" t="n">
        <v>0.7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326-2023</t>
        </is>
      </c>
      <c r="B887" s="1" t="n">
        <v>44929</v>
      </c>
      <c r="C887" s="1" t="n">
        <v>45849</v>
      </c>
      <c r="D887" t="inlineStr">
        <is>
          <t>VÄSTERBOTTENS LÄN</t>
        </is>
      </c>
      <c r="E887" t="inlineStr">
        <is>
          <t>LYCKSELE</t>
        </is>
      </c>
      <c r="F887" t="inlineStr">
        <is>
          <t>Sveaskog</t>
        </is>
      </c>
      <c r="G887" t="n">
        <v>3.1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705-2023</t>
        </is>
      </c>
      <c r="B888" s="1" t="n">
        <v>44930</v>
      </c>
      <c r="C888" s="1" t="n">
        <v>45849</v>
      </c>
      <c r="D888" t="inlineStr">
        <is>
          <t>VÄSTERBOTTENS LÄN</t>
        </is>
      </c>
      <c r="E888" t="inlineStr">
        <is>
          <t>LYCKSELE</t>
        </is>
      </c>
      <c r="G888" t="n">
        <v>5.9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542-2023</t>
        </is>
      </c>
      <c r="B889" s="1" t="n">
        <v>44930</v>
      </c>
      <c r="C889" s="1" t="n">
        <v>45849</v>
      </c>
      <c r="D889" t="inlineStr">
        <is>
          <t>VÄSTERBOTTENS LÄN</t>
        </is>
      </c>
      <c r="E889" t="inlineStr">
        <is>
          <t>LYCKSELE</t>
        </is>
      </c>
      <c r="F889" t="inlineStr">
        <is>
          <t>Sveaskog</t>
        </is>
      </c>
      <c r="G889" t="n">
        <v>2.6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605-2023</t>
        </is>
      </c>
      <c r="B890" s="1" t="n">
        <v>44930</v>
      </c>
      <c r="C890" s="1" t="n">
        <v>45849</v>
      </c>
      <c r="D890" t="inlineStr">
        <is>
          <t>VÄSTERBOTTENS LÄN</t>
        </is>
      </c>
      <c r="E890" t="inlineStr">
        <is>
          <t>LYCKSELE</t>
        </is>
      </c>
      <c r="F890" t="inlineStr">
        <is>
          <t>Sveaskog</t>
        </is>
      </c>
      <c r="G890" t="n">
        <v>6.9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778-2023</t>
        </is>
      </c>
      <c r="B891" s="1" t="n">
        <v>44931</v>
      </c>
      <c r="C891" s="1" t="n">
        <v>45849</v>
      </c>
      <c r="D891" t="inlineStr">
        <is>
          <t>VÄSTERBOTTENS LÄN</t>
        </is>
      </c>
      <c r="E891" t="inlineStr">
        <is>
          <t>LYCKSELE</t>
        </is>
      </c>
      <c r="F891" t="inlineStr">
        <is>
          <t>Sveaskog</t>
        </is>
      </c>
      <c r="G891" t="n">
        <v>2.1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936-2023</t>
        </is>
      </c>
      <c r="B892" s="1" t="n">
        <v>44933</v>
      </c>
      <c r="C892" s="1" t="n">
        <v>45849</v>
      </c>
      <c r="D892" t="inlineStr">
        <is>
          <t>VÄSTERBOTTENS LÄN</t>
        </is>
      </c>
      <c r="E892" t="inlineStr">
        <is>
          <t>LYCKSELE</t>
        </is>
      </c>
      <c r="G892" t="n">
        <v>1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960-2023</t>
        </is>
      </c>
      <c r="B893" s="1" t="n">
        <v>44934</v>
      </c>
      <c r="C893" s="1" t="n">
        <v>45849</v>
      </c>
      <c r="D893" t="inlineStr">
        <is>
          <t>VÄSTERBOTTENS LÄN</t>
        </is>
      </c>
      <c r="E893" t="inlineStr">
        <is>
          <t>LYCKSELE</t>
        </is>
      </c>
      <c r="F893" t="inlineStr">
        <is>
          <t>Sveaskog</t>
        </is>
      </c>
      <c r="G893" t="n">
        <v>2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957-2023</t>
        </is>
      </c>
      <c r="B894" s="1" t="n">
        <v>44934</v>
      </c>
      <c r="C894" s="1" t="n">
        <v>45849</v>
      </c>
      <c r="D894" t="inlineStr">
        <is>
          <t>VÄSTERBOTTENS LÄN</t>
        </is>
      </c>
      <c r="E894" t="inlineStr">
        <is>
          <t>LYCKSELE</t>
        </is>
      </c>
      <c r="F894" t="inlineStr">
        <is>
          <t>Sveaskog</t>
        </is>
      </c>
      <c r="G894" t="n">
        <v>3.4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1276-2023</t>
        </is>
      </c>
      <c r="B895" s="1" t="n">
        <v>44936</v>
      </c>
      <c r="C895" s="1" t="n">
        <v>45849</v>
      </c>
      <c r="D895" t="inlineStr">
        <is>
          <t>VÄSTERBOTTENS LÄN</t>
        </is>
      </c>
      <c r="E895" t="inlineStr">
        <is>
          <t>LYCKSELE</t>
        </is>
      </c>
      <c r="F895" t="inlineStr">
        <is>
          <t>Sveaskog</t>
        </is>
      </c>
      <c r="G895" t="n">
        <v>4.5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1317-2023</t>
        </is>
      </c>
      <c r="B896" s="1" t="n">
        <v>44936</v>
      </c>
      <c r="C896" s="1" t="n">
        <v>45849</v>
      </c>
      <c r="D896" t="inlineStr">
        <is>
          <t>VÄSTERBOTTENS LÄN</t>
        </is>
      </c>
      <c r="E896" t="inlineStr">
        <is>
          <t>LYCKSELE</t>
        </is>
      </c>
      <c r="F896" t="inlineStr">
        <is>
          <t>Sveaskog</t>
        </is>
      </c>
      <c r="G896" t="n">
        <v>12.6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2191-2023</t>
        </is>
      </c>
      <c r="B897" s="1" t="n">
        <v>44942</v>
      </c>
      <c r="C897" s="1" t="n">
        <v>45849</v>
      </c>
      <c r="D897" t="inlineStr">
        <is>
          <t>VÄSTERBOTTENS LÄN</t>
        </is>
      </c>
      <c r="E897" t="inlineStr">
        <is>
          <t>LYCKSELE</t>
        </is>
      </c>
      <c r="G897" t="n">
        <v>5.3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2193-2023</t>
        </is>
      </c>
      <c r="B898" s="1" t="n">
        <v>44942</v>
      </c>
      <c r="C898" s="1" t="n">
        <v>45849</v>
      </c>
      <c r="D898" t="inlineStr">
        <is>
          <t>VÄSTERBOTTENS LÄN</t>
        </is>
      </c>
      <c r="E898" t="inlineStr">
        <is>
          <t>LYCKSELE</t>
        </is>
      </c>
      <c r="G898" t="n">
        <v>2.8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2758-2023</t>
        </is>
      </c>
      <c r="B899" s="1" t="n">
        <v>44943</v>
      </c>
      <c r="C899" s="1" t="n">
        <v>45849</v>
      </c>
      <c r="D899" t="inlineStr">
        <is>
          <t>VÄSTERBOTTENS LÄN</t>
        </is>
      </c>
      <c r="E899" t="inlineStr">
        <is>
          <t>LYCKSELE</t>
        </is>
      </c>
      <c r="G899" t="n">
        <v>0.1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2610-2023</t>
        </is>
      </c>
      <c r="B900" s="1" t="n">
        <v>44944</v>
      </c>
      <c r="C900" s="1" t="n">
        <v>45849</v>
      </c>
      <c r="D900" t="inlineStr">
        <is>
          <t>VÄSTERBOTTENS LÄN</t>
        </is>
      </c>
      <c r="E900" t="inlineStr">
        <is>
          <t>LYCKSELE</t>
        </is>
      </c>
      <c r="G900" t="n">
        <v>18.6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2859-2023</t>
        </is>
      </c>
      <c r="B901" s="1" t="n">
        <v>44945</v>
      </c>
      <c r="C901" s="1" t="n">
        <v>45849</v>
      </c>
      <c r="D901" t="inlineStr">
        <is>
          <t>VÄSTERBOTTENS LÄN</t>
        </is>
      </c>
      <c r="E901" t="inlineStr">
        <is>
          <t>LYCKSELE</t>
        </is>
      </c>
      <c r="F901" t="inlineStr">
        <is>
          <t>Kyrkan</t>
        </is>
      </c>
      <c r="G901" t="n">
        <v>9.1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3614-2023</t>
        </is>
      </c>
      <c r="B902" s="1" t="n">
        <v>44950</v>
      </c>
      <c r="C902" s="1" t="n">
        <v>45849</v>
      </c>
      <c r="D902" t="inlineStr">
        <is>
          <t>VÄSTERBOTTENS LÄN</t>
        </is>
      </c>
      <c r="E902" t="inlineStr">
        <is>
          <t>LYCKSELE</t>
        </is>
      </c>
      <c r="F902" t="inlineStr">
        <is>
          <t>Sveaskog</t>
        </is>
      </c>
      <c r="G902" t="n">
        <v>2.8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3540-2023</t>
        </is>
      </c>
      <c r="B903" s="1" t="n">
        <v>44950</v>
      </c>
      <c r="C903" s="1" t="n">
        <v>45849</v>
      </c>
      <c r="D903" t="inlineStr">
        <is>
          <t>VÄSTERBOTTENS LÄN</t>
        </is>
      </c>
      <c r="E903" t="inlineStr">
        <is>
          <t>LYCKSELE</t>
        </is>
      </c>
      <c r="F903" t="inlineStr">
        <is>
          <t>Sveaskog</t>
        </is>
      </c>
      <c r="G903" t="n">
        <v>2.2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4179-2023</t>
        </is>
      </c>
      <c r="B904" s="1" t="n">
        <v>44951</v>
      </c>
      <c r="C904" s="1" t="n">
        <v>45849</v>
      </c>
      <c r="D904" t="inlineStr">
        <is>
          <t>VÄSTERBOTTENS LÄN</t>
        </is>
      </c>
      <c r="E904" t="inlineStr">
        <is>
          <t>LYCKSELE</t>
        </is>
      </c>
      <c r="G904" t="n">
        <v>9.1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3947-2023</t>
        </is>
      </c>
      <c r="B905" s="1" t="n">
        <v>44952</v>
      </c>
      <c r="C905" s="1" t="n">
        <v>45849</v>
      </c>
      <c r="D905" t="inlineStr">
        <is>
          <t>VÄSTERBOTTENS LÄN</t>
        </is>
      </c>
      <c r="E905" t="inlineStr">
        <is>
          <t>LYCKSELE</t>
        </is>
      </c>
      <c r="F905" t="inlineStr">
        <is>
          <t>Sveaskog</t>
        </is>
      </c>
      <c r="G905" t="n">
        <v>4.5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4664-2023</t>
        </is>
      </c>
      <c r="B906" s="1" t="n">
        <v>44952</v>
      </c>
      <c r="C906" s="1" t="n">
        <v>45849</v>
      </c>
      <c r="D906" t="inlineStr">
        <is>
          <t>VÄSTERBOTTENS LÄN</t>
        </is>
      </c>
      <c r="E906" t="inlineStr">
        <is>
          <t>LYCKSELE</t>
        </is>
      </c>
      <c r="G906" t="n">
        <v>5.2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4056-2023</t>
        </is>
      </c>
      <c r="B907" s="1" t="n">
        <v>44952</v>
      </c>
      <c r="C907" s="1" t="n">
        <v>45849</v>
      </c>
      <c r="D907" t="inlineStr">
        <is>
          <t>VÄSTERBOTTENS LÄN</t>
        </is>
      </c>
      <c r="E907" t="inlineStr">
        <is>
          <t>LYCKSELE</t>
        </is>
      </c>
      <c r="F907" t="inlineStr">
        <is>
          <t>Sveaskog</t>
        </is>
      </c>
      <c r="G907" t="n">
        <v>2.8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4673-2023</t>
        </is>
      </c>
      <c r="B908" s="1" t="n">
        <v>44952</v>
      </c>
      <c r="C908" s="1" t="n">
        <v>45849</v>
      </c>
      <c r="D908" t="inlineStr">
        <is>
          <t>VÄSTERBOTTENS LÄN</t>
        </is>
      </c>
      <c r="E908" t="inlineStr">
        <is>
          <t>LYCKSELE</t>
        </is>
      </c>
      <c r="G908" t="n">
        <v>3.4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4666-2023</t>
        </is>
      </c>
      <c r="B909" s="1" t="n">
        <v>44953</v>
      </c>
      <c r="C909" s="1" t="n">
        <v>45849</v>
      </c>
      <c r="D909" t="inlineStr">
        <is>
          <t>VÄSTERBOTTENS LÄN</t>
        </is>
      </c>
      <c r="E909" t="inlineStr">
        <is>
          <t>LYCKSELE</t>
        </is>
      </c>
      <c r="G909" t="n">
        <v>2.9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5204-2023</t>
        </is>
      </c>
      <c r="B910" s="1" t="n">
        <v>44956</v>
      </c>
      <c r="C910" s="1" t="n">
        <v>45849</v>
      </c>
      <c r="D910" t="inlineStr">
        <is>
          <t>VÄSTERBOTTENS LÄN</t>
        </is>
      </c>
      <c r="E910" t="inlineStr">
        <is>
          <t>LYCKSELE</t>
        </is>
      </c>
      <c r="G910" t="n">
        <v>4.8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5361-2023</t>
        </is>
      </c>
      <c r="B911" s="1" t="n">
        <v>44956</v>
      </c>
      <c r="C911" s="1" t="n">
        <v>45849</v>
      </c>
      <c r="D911" t="inlineStr">
        <is>
          <t>VÄSTERBOTTENS LÄN</t>
        </is>
      </c>
      <c r="E911" t="inlineStr">
        <is>
          <t>LYCKSELE</t>
        </is>
      </c>
      <c r="G911" t="n">
        <v>21.1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4745-2023</t>
        </is>
      </c>
      <c r="B912" s="1" t="n">
        <v>44957</v>
      </c>
      <c r="C912" s="1" t="n">
        <v>45849</v>
      </c>
      <c r="D912" t="inlineStr">
        <is>
          <t>VÄSTERBOTTENS LÄN</t>
        </is>
      </c>
      <c r="E912" t="inlineStr">
        <is>
          <t>LYCKSELE</t>
        </is>
      </c>
      <c r="F912" t="inlineStr">
        <is>
          <t>Sveaskog</t>
        </is>
      </c>
      <c r="G912" t="n">
        <v>13.6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5094-2023</t>
        </is>
      </c>
      <c r="B913" s="1" t="n">
        <v>44958</v>
      </c>
      <c r="C913" s="1" t="n">
        <v>45849</v>
      </c>
      <c r="D913" t="inlineStr">
        <is>
          <t>VÄSTERBOTTENS LÄN</t>
        </is>
      </c>
      <c r="E913" t="inlineStr">
        <is>
          <t>LYCKSELE</t>
        </is>
      </c>
      <c r="F913" t="inlineStr">
        <is>
          <t>Sveaskog</t>
        </is>
      </c>
      <c r="G913" t="n">
        <v>15.9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5638-2023</t>
        </is>
      </c>
      <c r="B914" s="1" t="n">
        <v>44960</v>
      </c>
      <c r="C914" s="1" t="n">
        <v>45849</v>
      </c>
      <c r="D914" t="inlineStr">
        <is>
          <t>VÄSTERBOTTENS LÄN</t>
        </is>
      </c>
      <c r="E914" t="inlineStr">
        <is>
          <t>LYCKSELE</t>
        </is>
      </c>
      <c r="F914" t="inlineStr">
        <is>
          <t>Sveaskog</t>
        </is>
      </c>
      <c r="G914" t="n">
        <v>2.4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6684-2023</t>
        </is>
      </c>
      <c r="B915" s="1" t="n">
        <v>44963</v>
      </c>
      <c r="C915" s="1" t="n">
        <v>45849</v>
      </c>
      <c r="D915" t="inlineStr">
        <is>
          <t>VÄSTERBOTTENS LÄN</t>
        </is>
      </c>
      <c r="E915" t="inlineStr">
        <is>
          <t>LYCKSELE</t>
        </is>
      </c>
      <c r="G915" t="n">
        <v>2.7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6044-2023</t>
        </is>
      </c>
      <c r="B916" s="1" t="n">
        <v>44964</v>
      </c>
      <c r="C916" s="1" t="n">
        <v>45849</v>
      </c>
      <c r="D916" t="inlineStr">
        <is>
          <t>VÄSTERBOTTENS LÄN</t>
        </is>
      </c>
      <c r="E916" t="inlineStr">
        <is>
          <t>LYCKSELE</t>
        </is>
      </c>
      <c r="F916" t="inlineStr">
        <is>
          <t>Sveaskog</t>
        </is>
      </c>
      <c r="G916" t="n">
        <v>1.5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6906-2023</t>
        </is>
      </c>
      <c r="B917" s="1" t="n">
        <v>44967</v>
      </c>
      <c r="C917" s="1" t="n">
        <v>45849</v>
      </c>
      <c r="D917" t="inlineStr">
        <is>
          <t>VÄSTERBOTTENS LÄN</t>
        </is>
      </c>
      <c r="E917" t="inlineStr">
        <is>
          <t>LYCKSELE</t>
        </is>
      </c>
      <c r="F917" t="inlineStr">
        <is>
          <t>Holmen skog AB</t>
        </is>
      </c>
      <c r="G917" t="n">
        <v>2.9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7318-2023</t>
        </is>
      </c>
      <c r="B918" s="1" t="n">
        <v>44970</v>
      </c>
      <c r="C918" s="1" t="n">
        <v>45849</v>
      </c>
      <c r="D918" t="inlineStr">
        <is>
          <t>VÄSTERBOTTENS LÄN</t>
        </is>
      </c>
      <c r="E918" t="inlineStr">
        <is>
          <t>LYCKSELE</t>
        </is>
      </c>
      <c r="G918" t="n">
        <v>7.7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7768-2023</t>
        </is>
      </c>
      <c r="B919" s="1" t="n">
        <v>44973</v>
      </c>
      <c r="C919" s="1" t="n">
        <v>45849</v>
      </c>
      <c r="D919" t="inlineStr">
        <is>
          <t>VÄSTERBOTTENS LÄN</t>
        </is>
      </c>
      <c r="E919" t="inlineStr">
        <is>
          <t>LYCKSELE</t>
        </is>
      </c>
      <c r="G919" t="n">
        <v>2.3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  <c r="U919">
        <f>HYPERLINK("https://klasma.github.io/Logging_2481/knärot/A 7768-2023 karta knärot.png", "A 7768-2023")</f>
        <v/>
      </c>
      <c r="V919">
        <f>HYPERLINK("https://klasma.github.io/Logging_2481/klagomål/A 7768-2023 FSC-klagomål.docx", "A 7768-2023")</f>
        <v/>
      </c>
      <c r="W919">
        <f>HYPERLINK("https://klasma.github.io/Logging_2481/klagomålsmail/A 7768-2023 FSC-klagomål mail.docx", "A 7768-2023")</f>
        <v/>
      </c>
      <c r="X919">
        <f>HYPERLINK("https://klasma.github.io/Logging_2481/tillsyn/A 7768-2023 tillsynsbegäran.docx", "A 7768-2023")</f>
        <v/>
      </c>
      <c r="Y919">
        <f>HYPERLINK("https://klasma.github.io/Logging_2481/tillsynsmail/A 7768-2023 tillsynsbegäran mail.docx", "A 7768-2023")</f>
        <v/>
      </c>
    </row>
    <row r="920" ht="15" customHeight="1">
      <c r="A920" t="inlineStr">
        <is>
          <t>A 7822-2023</t>
        </is>
      </c>
      <c r="B920" s="1" t="n">
        <v>44973</v>
      </c>
      <c r="C920" s="1" t="n">
        <v>45849</v>
      </c>
      <c r="D920" t="inlineStr">
        <is>
          <t>VÄSTERBOTTENS LÄN</t>
        </is>
      </c>
      <c r="E920" t="inlineStr">
        <is>
          <t>LYCKSELE</t>
        </is>
      </c>
      <c r="G920" t="n">
        <v>2.5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7829-2023</t>
        </is>
      </c>
      <c r="B921" s="1" t="n">
        <v>44973</v>
      </c>
      <c r="C921" s="1" t="n">
        <v>45849</v>
      </c>
      <c r="D921" t="inlineStr">
        <is>
          <t>VÄSTERBOTTENS LÄN</t>
        </is>
      </c>
      <c r="E921" t="inlineStr">
        <is>
          <t>LYCKSELE</t>
        </is>
      </c>
      <c r="G921" t="n">
        <v>2.7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7818-2023</t>
        </is>
      </c>
      <c r="B922" s="1" t="n">
        <v>44973</v>
      </c>
      <c r="C922" s="1" t="n">
        <v>45849</v>
      </c>
      <c r="D922" t="inlineStr">
        <is>
          <t>VÄSTERBOTTENS LÄN</t>
        </is>
      </c>
      <c r="E922" t="inlineStr">
        <is>
          <t>LYCKSELE</t>
        </is>
      </c>
      <c r="G922" t="n">
        <v>3.8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7825-2023</t>
        </is>
      </c>
      <c r="B923" s="1" t="n">
        <v>44973</v>
      </c>
      <c r="C923" s="1" t="n">
        <v>45849</v>
      </c>
      <c r="D923" t="inlineStr">
        <is>
          <t>VÄSTERBOTTENS LÄN</t>
        </is>
      </c>
      <c r="E923" t="inlineStr">
        <is>
          <t>LYCKSELE</t>
        </is>
      </c>
      <c r="G923" t="n">
        <v>4.4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7834-2023</t>
        </is>
      </c>
      <c r="B924" s="1" t="n">
        <v>44973</v>
      </c>
      <c r="C924" s="1" t="n">
        <v>45849</v>
      </c>
      <c r="D924" t="inlineStr">
        <is>
          <t>VÄSTERBOTTENS LÄN</t>
        </is>
      </c>
      <c r="E924" t="inlineStr">
        <is>
          <t>LYCKSELE</t>
        </is>
      </c>
      <c r="G924" t="n">
        <v>2.1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7837-2023</t>
        </is>
      </c>
      <c r="B925" s="1" t="n">
        <v>44973</v>
      </c>
      <c r="C925" s="1" t="n">
        <v>45849</v>
      </c>
      <c r="D925" t="inlineStr">
        <is>
          <t>VÄSTERBOTTENS LÄN</t>
        </is>
      </c>
      <c r="E925" t="inlineStr">
        <is>
          <t>LYCKSELE</t>
        </is>
      </c>
      <c r="G925" t="n">
        <v>0.6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8359-2023</t>
        </is>
      </c>
      <c r="B926" s="1" t="n">
        <v>44977</v>
      </c>
      <c r="C926" s="1" t="n">
        <v>45849</v>
      </c>
      <c r="D926" t="inlineStr">
        <is>
          <t>VÄSTERBOTTENS LÄN</t>
        </is>
      </c>
      <c r="E926" t="inlineStr">
        <is>
          <t>LYCKSELE</t>
        </is>
      </c>
      <c r="G926" t="n">
        <v>2.6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8364-2023</t>
        </is>
      </c>
      <c r="B927" s="1" t="n">
        <v>44977</v>
      </c>
      <c r="C927" s="1" t="n">
        <v>45849</v>
      </c>
      <c r="D927" t="inlineStr">
        <is>
          <t>VÄSTERBOTTENS LÄN</t>
        </is>
      </c>
      <c r="E927" t="inlineStr">
        <is>
          <t>LYCKSELE</t>
        </is>
      </c>
      <c r="G927" t="n">
        <v>1.1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8917-2023</t>
        </is>
      </c>
      <c r="B928" s="1" t="n">
        <v>44979</v>
      </c>
      <c r="C928" s="1" t="n">
        <v>45849</v>
      </c>
      <c r="D928" t="inlineStr">
        <is>
          <t>VÄSTERBOTTENS LÄN</t>
        </is>
      </c>
      <c r="E928" t="inlineStr">
        <is>
          <t>LYCKSELE</t>
        </is>
      </c>
      <c r="G928" t="n">
        <v>12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9090-2023</t>
        </is>
      </c>
      <c r="B929" s="1" t="n">
        <v>44979</v>
      </c>
      <c r="C929" s="1" t="n">
        <v>45849</v>
      </c>
      <c r="D929" t="inlineStr">
        <is>
          <t>VÄSTERBOTTENS LÄN</t>
        </is>
      </c>
      <c r="E929" t="inlineStr">
        <is>
          <t>LYCKSELE</t>
        </is>
      </c>
      <c r="F929" t="inlineStr">
        <is>
          <t>SCA</t>
        </is>
      </c>
      <c r="G929" t="n">
        <v>10.5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10331-2023</t>
        </is>
      </c>
      <c r="B930" s="1" t="n">
        <v>44980</v>
      </c>
      <c r="C930" s="1" t="n">
        <v>45849</v>
      </c>
      <c r="D930" t="inlineStr">
        <is>
          <t>VÄSTERBOTTENS LÄN</t>
        </is>
      </c>
      <c r="E930" t="inlineStr">
        <is>
          <t>LYCKSELE</t>
        </is>
      </c>
      <c r="G930" t="n">
        <v>1.8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10341-2023</t>
        </is>
      </c>
      <c r="B931" s="1" t="n">
        <v>44980</v>
      </c>
      <c r="C931" s="1" t="n">
        <v>45849</v>
      </c>
      <c r="D931" t="inlineStr">
        <is>
          <t>VÄSTERBOTTENS LÄN</t>
        </is>
      </c>
      <c r="E931" t="inlineStr">
        <is>
          <t>LYCKSELE</t>
        </is>
      </c>
      <c r="G931" t="n">
        <v>0.5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10485-2023</t>
        </is>
      </c>
      <c r="B932" s="1" t="n">
        <v>44981</v>
      </c>
      <c r="C932" s="1" t="n">
        <v>45849</v>
      </c>
      <c r="D932" t="inlineStr">
        <is>
          <t>VÄSTERBOTTENS LÄN</t>
        </is>
      </c>
      <c r="E932" t="inlineStr">
        <is>
          <t>LYCKSELE</t>
        </is>
      </c>
      <c r="F932" t="inlineStr">
        <is>
          <t>Sveaskog</t>
        </is>
      </c>
      <c r="G932" t="n">
        <v>2.9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10953-2023</t>
        </is>
      </c>
      <c r="B933" s="1" t="n">
        <v>44985</v>
      </c>
      <c r="C933" s="1" t="n">
        <v>45849</v>
      </c>
      <c r="D933" t="inlineStr">
        <is>
          <t>VÄSTERBOTTENS LÄN</t>
        </is>
      </c>
      <c r="E933" t="inlineStr">
        <is>
          <t>LYCKSELE</t>
        </is>
      </c>
      <c r="G933" t="n">
        <v>1.4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10976-2023</t>
        </is>
      </c>
      <c r="B934" s="1" t="n">
        <v>44985</v>
      </c>
      <c r="C934" s="1" t="n">
        <v>45849</v>
      </c>
      <c r="D934" t="inlineStr">
        <is>
          <t>VÄSTERBOTTENS LÄN</t>
        </is>
      </c>
      <c r="E934" t="inlineStr">
        <is>
          <t>LYCKSELE</t>
        </is>
      </c>
      <c r="G934" t="n">
        <v>3.6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10767-2023</t>
        </is>
      </c>
      <c r="B935" s="1" t="n">
        <v>44988</v>
      </c>
      <c r="C935" s="1" t="n">
        <v>45849</v>
      </c>
      <c r="D935" t="inlineStr">
        <is>
          <t>VÄSTERBOTTENS LÄN</t>
        </is>
      </c>
      <c r="E935" t="inlineStr">
        <is>
          <t>LYCKSELE</t>
        </is>
      </c>
      <c r="F935" t="inlineStr">
        <is>
          <t>SCA</t>
        </is>
      </c>
      <c r="G935" t="n">
        <v>8.9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11049-2023</t>
        </is>
      </c>
      <c r="B936" s="1" t="n">
        <v>44991</v>
      </c>
      <c r="C936" s="1" t="n">
        <v>45849</v>
      </c>
      <c r="D936" t="inlineStr">
        <is>
          <t>VÄSTERBOTTENS LÄN</t>
        </is>
      </c>
      <c r="E936" t="inlineStr">
        <is>
          <t>LYCKSELE</t>
        </is>
      </c>
      <c r="F936" t="inlineStr">
        <is>
          <t>SCA</t>
        </is>
      </c>
      <c r="G936" t="n">
        <v>3.4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11298-2023</t>
        </is>
      </c>
      <c r="B937" s="1" t="n">
        <v>44992</v>
      </c>
      <c r="C937" s="1" t="n">
        <v>45849</v>
      </c>
      <c r="D937" t="inlineStr">
        <is>
          <t>VÄSTERBOTTENS LÄN</t>
        </is>
      </c>
      <c r="E937" t="inlineStr">
        <is>
          <t>LYCKSELE</t>
        </is>
      </c>
      <c r="G937" t="n">
        <v>9.199999999999999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11297-2023</t>
        </is>
      </c>
      <c r="B938" s="1" t="n">
        <v>44992</v>
      </c>
      <c r="C938" s="1" t="n">
        <v>45849</v>
      </c>
      <c r="D938" t="inlineStr">
        <is>
          <t>VÄSTERBOTTENS LÄN</t>
        </is>
      </c>
      <c r="E938" t="inlineStr">
        <is>
          <t>LYCKSELE</t>
        </is>
      </c>
      <c r="G938" t="n">
        <v>10.3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11314-2023</t>
        </is>
      </c>
      <c r="B939" s="1" t="n">
        <v>44993</v>
      </c>
      <c r="C939" s="1" t="n">
        <v>45849</v>
      </c>
      <c r="D939" t="inlineStr">
        <is>
          <t>VÄSTERBOTTENS LÄN</t>
        </is>
      </c>
      <c r="E939" t="inlineStr">
        <is>
          <t>LYCKSELE</t>
        </is>
      </c>
      <c r="F939" t="inlineStr">
        <is>
          <t>SCA</t>
        </is>
      </c>
      <c r="G939" t="n">
        <v>31.4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11604-2023</t>
        </is>
      </c>
      <c r="B940" s="1" t="n">
        <v>44994</v>
      </c>
      <c r="C940" s="1" t="n">
        <v>45849</v>
      </c>
      <c r="D940" t="inlineStr">
        <is>
          <t>VÄSTERBOTTENS LÄN</t>
        </is>
      </c>
      <c r="E940" t="inlineStr">
        <is>
          <t>LYCKSELE</t>
        </is>
      </c>
      <c r="G940" t="n">
        <v>4.3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11743-2023</t>
        </is>
      </c>
      <c r="B941" s="1" t="n">
        <v>44994</v>
      </c>
      <c r="C941" s="1" t="n">
        <v>45849</v>
      </c>
      <c r="D941" t="inlineStr">
        <is>
          <t>VÄSTERBOTTENS LÄN</t>
        </is>
      </c>
      <c r="E941" t="inlineStr">
        <is>
          <t>LYCKSELE</t>
        </is>
      </c>
      <c r="G941" t="n">
        <v>2.2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11822-2023</t>
        </is>
      </c>
      <c r="B942" s="1" t="n">
        <v>44994</v>
      </c>
      <c r="C942" s="1" t="n">
        <v>45849</v>
      </c>
      <c r="D942" t="inlineStr">
        <is>
          <t>VÄSTERBOTTENS LÄN</t>
        </is>
      </c>
      <c r="E942" t="inlineStr">
        <is>
          <t>LYCKSELE</t>
        </is>
      </c>
      <c r="F942" t="inlineStr">
        <is>
          <t>SCA</t>
        </is>
      </c>
      <c r="G942" t="n">
        <v>2.6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12052-2023</t>
        </is>
      </c>
      <c r="B943" s="1" t="n">
        <v>44995</v>
      </c>
      <c r="C943" s="1" t="n">
        <v>45849</v>
      </c>
      <c r="D943" t="inlineStr">
        <is>
          <t>VÄSTERBOTTENS LÄN</t>
        </is>
      </c>
      <c r="E943" t="inlineStr">
        <is>
          <t>LYCKSELE</t>
        </is>
      </c>
      <c r="F943" t="inlineStr">
        <is>
          <t>SCA</t>
        </is>
      </c>
      <c r="G943" t="n">
        <v>6.1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12368-2023</t>
        </is>
      </c>
      <c r="B944" s="1" t="n">
        <v>44998</v>
      </c>
      <c r="C944" s="1" t="n">
        <v>45849</v>
      </c>
      <c r="D944" t="inlineStr">
        <is>
          <t>VÄSTERBOTTENS LÄN</t>
        </is>
      </c>
      <c r="E944" t="inlineStr">
        <is>
          <t>LYCKSELE</t>
        </is>
      </c>
      <c r="G944" t="n">
        <v>2.9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12337-2023</t>
        </is>
      </c>
      <c r="B945" s="1" t="n">
        <v>44999</v>
      </c>
      <c r="C945" s="1" t="n">
        <v>45849</v>
      </c>
      <c r="D945" t="inlineStr">
        <is>
          <t>VÄSTERBOTTENS LÄN</t>
        </is>
      </c>
      <c r="E945" t="inlineStr">
        <is>
          <t>LYCKSELE</t>
        </is>
      </c>
      <c r="G945" t="n">
        <v>3.7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12582-2023</t>
        </is>
      </c>
      <c r="B946" s="1" t="n">
        <v>44999</v>
      </c>
      <c r="C946" s="1" t="n">
        <v>45849</v>
      </c>
      <c r="D946" t="inlineStr">
        <is>
          <t>VÄSTERBOTTENS LÄN</t>
        </is>
      </c>
      <c r="E946" t="inlineStr">
        <is>
          <t>LYCKSELE</t>
        </is>
      </c>
      <c r="G946" t="n">
        <v>3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13661-2023</t>
        </is>
      </c>
      <c r="B947" s="1" t="n">
        <v>45006</v>
      </c>
      <c r="C947" s="1" t="n">
        <v>45849</v>
      </c>
      <c r="D947" t="inlineStr">
        <is>
          <t>VÄSTERBOTTENS LÄN</t>
        </is>
      </c>
      <c r="E947" t="inlineStr">
        <is>
          <t>LYCKSELE</t>
        </is>
      </c>
      <c r="G947" t="n">
        <v>6.5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13566-2023</t>
        </is>
      </c>
      <c r="B948" s="1" t="n">
        <v>45006</v>
      </c>
      <c r="C948" s="1" t="n">
        <v>45849</v>
      </c>
      <c r="D948" t="inlineStr">
        <is>
          <t>VÄSTERBOTTENS LÄN</t>
        </is>
      </c>
      <c r="E948" t="inlineStr">
        <is>
          <t>LYCKSELE</t>
        </is>
      </c>
      <c r="G948" t="n">
        <v>1.3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13563-2023</t>
        </is>
      </c>
      <c r="B949" s="1" t="n">
        <v>45006</v>
      </c>
      <c r="C949" s="1" t="n">
        <v>45849</v>
      </c>
      <c r="D949" t="inlineStr">
        <is>
          <t>VÄSTERBOTTENS LÄN</t>
        </is>
      </c>
      <c r="E949" t="inlineStr">
        <is>
          <t>LYCKSELE</t>
        </is>
      </c>
      <c r="G949" t="n">
        <v>2.6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14652-2023</t>
        </is>
      </c>
      <c r="B950" s="1" t="n">
        <v>45013</v>
      </c>
      <c r="C950" s="1" t="n">
        <v>45849</v>
      </c>
      <c r="D950" t="inlineStr">
        <is>
          <t>VÄSTERBOTTENS LÄN</t>
        </is>
      </c>
      <c r="E950" t="inlineStr">
        <is>
          <t>LYCKSELE</t>
        </is>
      </c>
      <c r="F950" t="inlineStr">
        <is>
          <t>Holmen skog AB</t>
        </is>
      </c>
      <c r="G950" t="n">
        <v>2.3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14857-2023</t>
        </is>
      </c>
      <c r="B951" s="1" t="n">
        <v>45014</v>
      </c>
      <c r="C951" s="1" t="n">
        <v>45849</v>
      </c>
      <c r="D951" t="inlineStr">
        <is>
          <t>VÄSTERBOTTENS LÄN</t>
        </is>
      </c>
      <c r="E951" t="inlineStr">
        <is>
          <t>LYCKSELE</t>
        </is>
      </c>
      <c r="G951" t="n">
        <v>1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14854-2023</t>
        </is>
      </c>
      <c r="B952" s="1" t="n">
        <v>45014</v>
      </c>
      <c r="C952" s="1" t="n">
        <v>45849</v>
      </c>
      <c r="D952" t="inlineStr">
        <is>
          <t>VÄSTERBOTTENS LÄN</t>
        </is>
      </c>
      <c r="E952" t="inlineStr">
        <is>
          <t>LYCKSELE</t>
        </is>
      </c>
      <c r="G952" t="n">
        <v>2.4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14877-2023</t>
        </is>
      </c>
      <c r="B953" s="1" t="n">
        <v>45015</v>
      </c>
      <c r="C953" s="1" t="n">
        <v>45849</v>
      </c>
      <c r="D953" t="inlineStr">
        <is>
          <t>VÄSTERBOTTENS LÄN</t>
        </is>
      </c>
      <c r="E953" t="inlineStr">
        <is>
          <t>LYCKSELE</t>
        </is>
      </c>
      <c r="F953" t="inlineStr">
        <is>
          <t>SCA</t>
        </is>
      </c>
      <c r="G953" t="n">
        <v>4.4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15075-2023</t>
        </is>
      </c>
      <c r="B954" s="1" t="n">
        <v>45015</v>
      </c>
      <c r="C954" s="1" t="n">
        <v>45849</v>
      </c>
      <c r="D954" t="inlineStr">
        <is>
          <t>VÄSTERBOTTENS LÄN</t>
        </is>
      </c>
      <c r="E954" t="inlineStr">
        <is>
          <t>LYCKSELE</t>
        </is>
      </c>
      <c r="G954" t="n">
        <v>5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15046-2023</t>
        </is>
      </c>
      <c r="B955" s="1" t="n">
        <v>45015</v>
      </c>
      <c r="C955" s="1" t="n">
        <v>45849</v>
      </c>
      <c r="D955" t="inlineStr">
        <is>
          <t>VÄSTERBOTTENS LÄN</t>
        </is>
      </c>
      <c r="E955" t="inlineStr">
        <is>
          <t>LYCKSELE</t>
        </is>
      </c>
      <c r="G955" t="n">
        <v>13.4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15564-2023</t>
        </is>
      </c>
      <c r="B956" s="1" t="n">
        <v>45020</v>
      </c>
      <c r="C956" s="1" t="n">
        <v>45849</v>
      </c>
      <c r="D956" t="inlineStr">
        <is>
          <t>VÄSTERBOTTENS LÄN</t>
        </is>
      </c>
      <c r="E956" t="inlineStr">
        <is>
          <t>LYCKSELE</t>
        </is>
      </c>
      <c r="G956" t="n">
        <v>5.9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15621-2023</t>
        </is>
      </c>
      <c r="B957" s="1" t="n">
        <v>45020</v>
      </c>
      <c r="C957" s="1" t="n">
        <v>45849</v>
      </c>
      <c r="D957" t="inlineStr">
        <is>
          <t>VÄSTERBOTTENS LÄN</t>
        </is>
      </c>
      <c r="E957" t="inlineStr">
        <is>
          <t>LYCKSELE</t>
        </is>
      </c>
      <c r="G957" t="n">
        <v>3.8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15622-2023</t>
        </is>
      </c>
      <c r="B958" s="1" t="n">
        <v>45020</v>
      </c>
      <c r="C958" s="1" t="n">
        <v>45849</v>
      </c>
      <c r="D958" t="inlineStr">
        <is>
          <t>VÄSTERBOTTENS LÄN</t>
        </is>
      </c>
      <c r="E958" t="inlineStr">
        <is>
          <t>LYCKSELE</t>
        </is>
      </c>
      <c r="G958" t="n">
        <v>1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15888-2023</t>
        </is>
      </c>
      <c r="B959" s="1" t="n">
        <v>45021</v>
      </c>
      <c r="C959" s="1" t="n">
        <v>45849</v>
      </c>
      <c r="D959" t="inlineStr">
        <is>
          <t>VÄSTERBOTTENS LÄN</t>
        </is>
      </c>
      <c r="E959" t="inlineStr">
        <is>
          <t>LYCKSELE</t>
        </is>
      </c>
      <c r="G959" t="n">
        <v>20.5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15890-2023</t>
        </is>
      </c>
      <c r="B960" s="1" t="n">
        <v>45021</v>
      </c>
      <c r="C960" s="1" t="n">
        <v>45849</v>
      </c>
      <c r="D960" t="inlineStr">
        <is>
          <t>VÄSTERBOTTENS LÄN</t>
        </is>
      </c>
      <c r="E960" t="inlineStr">
        <is>
          <t>LYCKSELE</t>
        </is>
      </c>
      <c r="G960" t="n">
        <v>17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15809-2023</t>
        </is>
      </c>
      <c r="B961" s="1" t="n">
        <v>45021</v>
      </c>
      <c r="C961" s="1" t="n">
        <v>45849</v>
      </c>
      <c r="D961" t="inlineStr">
        <is>
          <t>VÄSTERBOTTENS LÄN</t>
        </is>
      </c>
      <c r="E961" t="inlineStr">
        <is>
          <t>LYCKSELE</t>
        </is>
      </c>
      <c r="G961" t="n">
        <v>5.4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15893-2023</t>
        </is>
      </c>
      <c r="B962" s="1" t="n">
        <v>45021</v>
      </c>
      <c r="C962" s="1" t="n">
        <v>45849</v>
      </c>
      <c r="D962" t="inlineStr">
        <is>
          <t>VÄSTERBOTTENS LÄN</t>
        </is>
      </c>
      <c r="E962" t="inlineStr">
        <is>
          <t>LYCKSELE</t>
        </is>
      </c>
      <c r="G962" t="n">
        <v>8.4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17396-2023</t>
        </is>
      </c>
      <c r="B963" s="1" t="n">
        <v>45035</v>
      </c>
      <c r="C963" s="1" t="n">
        <v>45849</v>
      </c>
      <c r="D963" t="inlineStr">
        <is>
          <t>VÄSTERBOTTENS LÄN</t>
        </is>
      </c>
      <c r="E963" t="inlineStr">
        <is>
          <t>LYCKSELE</t>
        </is>
      </c>
      <c r="G963" t="n">
        <v>1.3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17391-2023</t>
        </is>
      </c>
      <c r="B964" s="1" t="n">
        <v>45035</v>
      </c>
      <c r="C964" s="1" t="n">
        <v>45849</v>
      </c>
      <c r="D964" t="inlineStr">
        <is>
          <t>VÄSTERBOTTENS LÄN</t>
        </is>
      </c>
      <c r="E964" t="inlineStr">
        <is>
          <t>LYCKSELE</t>
        </is>
      </c>
      <c r="G964" t="n">
        <v>2.4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17397-2023</t>
        </is>
      </c>
      <c r="B965" s="1" t="n">
        <v>45035</v>
      </c>
      <c r="C965" s="1" t="n">
        <v>45849</v>
      </c>
      <c r="D965" t="inlineStr">
        <is>
          <t>VÄSTERBOTTENS LÄN</t>
        </is>
      </c>
      <c r="E965" t="inlineStr">
        <is>
          <t>LYCKSELE</t>
        </is>
      </c>
      <c r="G965" t="n">
        <v>1.1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17393-2023</t>
        </is>
      </c>
      <c r="B966" s="1" t="n">
        <v>45035</v>
      </c>
      <c r="C966" s="1" t="n">
        <v>45849</v>
      </c>
      <c r="D966" t="inlineStr">
        <is>
          <t>VÄSTERBOTTENS LÄN</t>
        </is>
      </c>
      <c r="E966" t="inlineStr">
        <is>
          <t>LYCKSELE</t>
        </is>
      </c>
      <c r="G966" t="n">
        <v>1.6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17690-2023</t>
        </is>
      </c>
      <c r="B967" s="1" t="n">
        <v>45035</v>
      </c>
      <c r="C967" s="1" t="n">
        <v>45849</v>
      </c>
      <c r="D967" t="inlineStr">
        <is>
          <t>VÄSTERBOTTENS LÄN</t>
        </is>
      </c>
      <c r="E967" t="inlineStr">
        <is>
          <t>LYCKSELE</t>
        </is>
      </c>
      <c r="G967" t="n">
        <v>2.8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18156-2023</t>
        </is>
      </c>
      <c r="B968" s="1" t="n">
        <v>45040</v>
      </c>
      <c r="C968" s="1" t="n">
        <v>45849</v>
      </c>
      <c r="D968" t="inlineStr">
        <is>
          <t>VÄSTERBOTTENS LÄN</t>
        </is>
      </c>
      <c r="E968" t="inlineStr">
        <is>
          <t>LYCKSELE</t>
        </is>
      </c>
      <c r="F968" t="inlineStr">
        <is>
          <t>SCA</t>
        </is>
      </c>
      <c r="G968" t="n">
        <v>22.9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18365-2023</t>
        </is>
      </c>
      <c r="B969" s="1" t="n">
        <v>45041</v>
      </c>
      <c r="C969" s="1" t="n">
        <v>45849</v>
      </c>
      <c r="D969" t="inlineStr">
        <is>
          <t>VÄSTERBOTTENS LÄN</t>
        </is>
      </c>
      <c r="E969" t="inlineStr">
        <is>
          <t>LYCKSELE</t>
        </is>
      </c>
      <c r="F969" t="inlineStr">
        <is>
          <t>SCA</t>
        </is>
      </c>
      <c r="G969" t="n">
        <v>22.4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18342-2023</t>
        </is>
      </c>
      <c r="B970" s="1" t="n">
        <v>45041</v>
      </c>
      <c r="C970" s="1" t="n">
        <v>45849</v>
      </c>
      <c r="D970" t="inlineStr">
        <is>
          <t>VÄSTERBOTTENS LÄN</t>
        </is>
      </c>
      <c r="E970" t="inlineStr">
        <is>
          <t>LYCKSELE</t>
        </is>
      </c>
      <c r="F970" t="inlineStr">
        <is>
          <t>Holmen skog AB</t>
        </is>
      </c>
      <c r="G970" t="n">
        <v>16.2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18587-2023</t>
        </is>
      </c>
      <c r="B971" s="1" t="n">
        <v>45041</v>
      </c>
      <c r="C971" s="1" t="n">
        <v>45849</v>
      </c>
      <c r="D971" t="inlineStr">
        <is>
          <t>VÄSTERBOTTENS LÄN</t>
        </is>
      </c>
      <c r="E971" t="inlineStr">
        <is>
          <t>LYCKSELE</t>
        </is>
      </c>
      <c r="G971" t="n">
        <v>2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18595-2023</t>
        </is>
      </c>
      <c r="B972" s="1" t="n">
        <v>45041</v>
      </c>
      <c r="C972" s="1" t="n">
        <v>45849</v>
      </c>
      <c r="D972" t="inlineStr">
        <is>
          <t>VÄSTERBOTTENS LÄN</t>
        </is>
      </c>
      <c r="E972" t="inlineStr">
        <is>
          <t>LYCKSELE</t>
        </is>
      </c>
      <c r="G972" t="n">
        <v>5.2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18610-2023</t>
        </is>
      </c>
      <c r="B973" s="1" t="n">
        <v>45041</v>
      </c>
      <c r="C973" s="1" t="n">
        <v>45849</v>
      </c>
      <c r="D973" t="inlineStr">
        <is>
          <t>VÄSTERBOTTENS LÄN</t>
        </is>
      </c>
      <c r="E973" t="inlineStr">
        <is>
          <t>LYCKSELE</t>
        </is>
      </c>
      <c r="G973" t="n">
        <v>14.5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18486-2023</t>
        </is>
      </c>
      <c r="B974" s="1" t="n">
        <v>45042</v>
      </c>
      <c r="C974" s="1" t="n">
        <v>45849</v>
      </c>
      <c r="D974" t="inlineStr">
        <is>
          <t>VÄSTERBOTTENS LÄN</t>
        </is>
      </c>
      <c r="E974" t="inlineStr">
        <is>
          <t>LYCKSELE</t>
        </is>
      </c>
      <c r="G974" t="n">
        <v>16.7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18899-2023</t>
        </is>
      </c>
      <c r="B975" s="1" t="n">
        <v>45043</v>
      </c>
      <c r="C975" s="1" t="n">
        <v>45849</v>
      </c>
      <c r="D975" t="inlineStr">
        <is>
          <t>VÄSTERBOTTENS LÄN</t>
        </is>
      </c>
      <c r="E975" t="inlineStr">
        <is>
          <t>LYCKSELE</t>
        </is>
      </c>
      <c r="G975" t="n">
        <v>2.1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19229-2023</t>
        </is>
      </c>
      <c r="B976" s="1" t="n">
        <v>45049</v>
      </c>
      <c r="C976" s="1" t="n">
        <v>45849</v>
      </c>
      <c r="D976" t="inlineStr">
        <is>
          <t>VÄSTERBOTTENS LÄN</t>
        </is>
      </c>
      <c r="E976" t="inlineStr">
        <is>
          <t>LYCKSELE</t>
        </is>
      </c>
      <c r="G976" t="n">
        <v>1.4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19233-2023</t>
        </is>
      </c>
      <c r="B977" s="1" t="n">
        <v>45049</v>
      </c>
      <c r="C977" s="1" t="n">
        <v>45849</v>
      </c>
      <c r="D977" t="inlineStr">
        <is>
          <t>VÄSTERBOTTENS LÄN</t>
        </is>
      </c>
      <c r="E977" t="inlineStr">
        <is>
          <t>LYCKSELE</t>
        </is>
      </c>
      <c r="G977" t="n">
        <v>1.9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19460-2023</t>
        </is>
      </c>
      <c r="B978" s="1" t="n">
        <v>45050</v>
      </c>
      <c r="C978" s="1" t="n">
        <v>45849</v>
      </c>
      <c r="D978" t="inlineStr">
        <is>
          <t>VÄSTERBOTTENS LÄN</t>
        </is>
      </c>
      <c r="E978" t="inlineStr">
        <is>
          <t>LYCKSELE</t>
        </is>
      </c>
      <c r="G978" t="n">
        <v>4.8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19882-2023</t>
        </is>
      </c>
      <c r="B979" s="1" t="n">
        <v>45054</v>
      </c>
      <c r="C979" s="1" t="n">
        <v>45849</v>
      </c>
      <c r="D979" t="inlineStr">
        <is>
          <t>VÄSTERBOTTENS LÄN</t>
        </is>
      </c>
      <c r="E979" t="inlineStr">
        <is>
          <t>LYCKSELE</t>
        </is>
      </c>
      <c r="F979" t="inlineStr">
        <is>
          <t>Holmen skog AB</t>
        </is>
      </c>
      <c r="G979" t="n">
        <v>9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21073-2023</t>
        </is>
      </c>
      <c r="B980" s="1" t="n">
        <v>45057</v>
      </c>
      <c r="C980" s="1" t="n">
        <v>45849</v>
      </c>
      <c r="D980" t="inlineStr">
        <is>
          <t>VÄSTERBOTTENS LÄN</t>
        </is>
      </c>
      <c r="E980" t="inlineStr">
        <is>
          <t>LYCKSELE</t>
        </is>
      </c>
      <c r="G980" t="n">
        <v>5.7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21210-2023</t>
        </is>
      </c>
      <c r="B981" s="1" t="n">
        <v>45058</v>
      </c>
      <c r="C981" s="1" t="n">
        <v>45849</v>
      </c>
      <c r="D981" t="inlineStr">
        <is>
          <t>VÄSTERBOTTENS LÄN</t>
        </is>
      </c>
      <c r="E981" t="inlineStr">
        <is>
          <t>LYCKSELE</t>
        </is>
      </c>
      <c r="G981" t="n">
        <v>1.4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21213-2023</t>
        </is>
      </c>
      <c r="B982" s="1" t="n">
        <v>45058</v>
      </c>
      <c r="C982" s="1" t="n">
        <v>45849</v>
      </c>
      <c r="D982" t="inlineStr">
        <is>
          <t>VÄSTERBOTTENS LÄN</t>
        </is>
      </c>
      <c r="E982" t="inlineStr">
        <is>
          <t>LYCKSELE</t>
        </is>
      </c>
      <c r="G982" t="n">
        <v>5.7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21186-2023</t>
        </is>
      </c>
      <c r="B983" s="1" t="n">
        <v>45058</v>
      </c>
      <c r="C983" s="1" t="n">
        <v>45849</v>
      </c>
      <c r="D983" t="inlineStr">
        <is>
          <t>VÄSTERBOTTENS LÄN</t>
        </is>
      </c>
      <c r="E983" t="inlineStr">
        <is>
          <t>LYCKSELE</t>
        </is>
      </c>
      <c r="G983" t="n">
        <v>23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20992-2023</t>
        </is>
      </c>
      <c r="B984" s="1" t="n">
        <v>45061</v>
      </c>
      <c r="C984" s="1" t="n">
        <v>45849</v>
      </c>
      <c r="D984" t="inlineStr">
        <is>
          <t>VÄSTERBOTTENS LÄN</t>
        </is>
      </c>
      <c r="E984" t="inlineStr">
        <is>
          <t>LYCKSELE</t>
        </is>
      </c>
      <c r="F984" t="inlineStr">
        <is>
          <t>Holmen skog AB</t>
        </is>
      </c>
      <c r="G984" t="n">
        <v>3.9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21105-2023</t>
        </is>
      </c>
      <c r="B985" s="1" t="n">
        <v>45062</v>
      </c>
      <c r="C985" s="1" t="n">
        <v>45849</v>
      </c>
      <c r="D985" t="inlineStr">
        <is>
          <t>VÄSTERBOTTENS LÄN</t>
        </is>
      </c>
      <c r="E985" t="inlineStr">
        <is>
          <t>LYCKSELE</t>
        </is>
      </c>
      <c r="F985" t="inlineStr">
        <is>
          <t>SCA</t>
        </is>
      </c>
      <c r="G985" t="n">
        <v>3.6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21109-2023</t>
        </is>
      </c>
      <c r="B986" s="1" t="n">
        <v>45062</v>
      </c>
      <c r="C986" s="1" t="n">
        <v>45849</v>
      </c>
      <c r="D986" t="inlineStr">
        <is>
          <t>VÄSTERBOTTENS LÄN</t>
        </is>
      </c>
      <c r="E986" t="inlineStr">
        <is>
          <t>LYCKSELE</t>
        </is>
      </c>
      <c r="F986" t="inlineStr">
        <is>
          <t>SCA</t>
        </is>
      </c>
      <c r="G986" t="n">
        <v>1.4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21368-2023</t>
        </is>
      </c>
      <c r="B987" s="1" t="n">
        <v>45063</v>
      </c>
      <c r="C987" s="1" t="n">
        <v>45849</v>
      </c>
      <c r="D987" t="inlineStr">
        <is>
          <t>VÄSTERBOTTENS LÄN</t>
        </is>
      </c>
      <c r="E987" t="inlineStr">
        <is>
          <t>LYCKSELE</t>
        </is>
      </c>
      <c r="F987" t="inlineStr">
        <is>
          <t>Naturvårdsverket</t>
        </is>
      </c>
      <c r="G987" t="n">
        <v>27.9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21502-2023</t>
        </is>
      </c>
      <c r="B988" s="1" t="n">
        <v>45063</v>
      </c>
      <c r="C988" s="1" t="n">
        <v>45849</v>
      </c>
      <c r="D988" t="inlineStr">
        <is>
          <t>VÄSTERBOTTENS LÄN</t>
        </is>
      </c>
      <c r="E988" t="inlineStr">
        <is>
          <t>LYCKSELE</t>
        </is>
      </c>
      <c r="G988" t="n">
        <v>11.4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21660-2023</t>
        </is>
      </c>
      <c r="B989" s="1" t="n">
        <v>45063</v>
      </c>
      <c r="C989" s="1" t="n">
        <v>45849</v>
      </c>
      <c r="D989" t="inlineStr">
        <is>
          <t>VÄSTERBOTTENS LÄN</t>
        </is>
      </c>
      <c r="E989" t="inlineStr">
        <is>
          <t>LYCKSELE</t>
        </is>
      </c>
      <c r="G989" t="n">
        <v>0.7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21664-2023</t>
        </is>
      </c>
      <c r="B990" s="1" t="n">
        <v>45064</v>
      </c>
      <c r="C990" s="1" t="n">
        <v>45849</v>
      </c>
      <c r="D990" t="inlineStr">
        <is>
          <t>VÄSTERBOTTENS LÄN</t>
        </is>
      </c>
      <c r="E990" t="inlineStr">
        <is>
          <t>LYCKSELE</t>
        </is>
      </c>
      <c r="G990" t="n">
        <v>4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22114-2023</t>
        </is>
      </c>
      <c r="B991" s="1" t="n">
        <v>45069</v>
      </c>
      <c r="C991" s="1" t="n">
        <v>45849</v>
      </c>
      <c r="D991" t="inlineStr">
        <is>
          <t>VÄSTERBOTTENS LÄN</t>
        </is>
      </c>
      <c r="E991" t="inlineStr">
        <is>
          <t>LYCKSELE</t>
        </is>
      </c>
      <c r="F991" t="inlineStr">
        <is>
          <t>Sveaskog</t>
        </is>
      </c>
      <c r="G991" t="n">
        <v>23.9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22112-2023</t>
        </is>
      </c>
      <c r="B992" s="1" t="n">
        <v>45069</v>
      </c>
      <c r="C992" s="1" t="n">
        <v>45849</v>
      </c>
      <c r="D992" t="inlineStr">
        <is>
          <t>VÄSTERBOTTENS LÄN</t>
        </is>
      </c>
      <c r="E992" t="inlineStr">
        <is>
          <t>LYCKSELE</t>
        </is>
      </c>
      <c r="F992" t="inlineStr">
        <is>
          <t>Sveaskog</t>
        </is>
      </c>
      <c r="G992" t="n">
        <v>5.5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22419-2023</t>
        </is>
      </c>
      <c r="B993" s="1" t="n">
        <v>45070</v>
      </c>
      <c r="C993" s="1" t="n">
        <v>45849</v>
      </c>
      <c r="D993" t="inlineStr">
        <is>
          <t>VÄSTERBOTTENS LÄN</t>
        </is>
      </c>
      <c r="E993" t="inlineStr">
        <is>
          <t>LYCKSELE</t>
        </is>
      </c>
      <c r="F993" t="inlineStr">
        <is>
          <t>Naturvårdsverket</t>
        </is>
      </c>
      <c r="G993" t="n">
        <v>9.4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22936-2023</t>
        </is>
      </c>
      <c r="B994" s="1" t="n">
        <v>45072</v>
      </c>
      <c r="C994" s="1" t="n">
        <v>45849</v>
      </c>
      <c r="D994" t="inlineStr">
        <is>
          <t>VÄSTERBOTTENS LÄN</t>
        </is>
      </c>
      <c r="E994" t="inlineStr">
        <is>
          <t>LYCKSELE</t>
        </is>
      </c>
      <c r="G994" t="n">
        <v>1.2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23296-2023</t>
        </is>
      </c>
      <c r="B995" s="1" t="n">
        <v>45075</v>
      </c>
      <c r="C995" s="1" t="n">
        <v>45849</v>
      </c>
      <c r="D995" t="inlineStr">
        <is>
          <t>VÄSTERBOTTENS LÄN</t>
        </is>
      </c>
      <c r="E995" t="inlineStr">
        <is>
          <t>LYCKSELE</t>
        </is>
      </c>
      <c r="F995" t="inlineStr">
        <is>
          <t>SCA</t>
        </is>
      </c>
      <c r="G995" t="n">
        <v>2.6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23295-2023</t>
        </is>
      </c>
      <c r="B996" s="1" t="n">
        <v>45075</v>
      </c>
      <c r="C996" s="1" t="n">
        <v>45849</v>
      </c>
      <c r="D996" t="inlineStr">
        <is>
          <t>VÄSTERBOTTENS LÄN</t>
        </is>
      </c>
      <c r="E996" t="inlineStr">
        <is>
          <t>LYCKSELE</t>
        </is>
      </c>
      <c r="F996" t="inlineStr">
        <is>
          <t>SCA</t>
        </is>
      </c>
      <c r="G996" t="n">
        <v>7.4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23297-2023</t>
        </is>
      </c>
      <c r="B997" s="1" t="n">
        <v>45075</v>
      </c>
      <c r="C997" s="1" t="n">
        <v>45849</v>
      </c>
      <c r="D997" t="inlineStr">
        <is>
          <t>VÄSTERBOTTENS LÄN</t>
        </is>
      </c>
      <c r="E997" t="inlineStr">
        <is>
          <t>LYCKSELE</t>
        </is>
      </c>
      <c r="F997" t="inlineStr">
        <is>
          <t>SCA</t>
        </is>
      </c>
      <c r="G997" t="n">
        <v>2.5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23411-2023</t>
        </is>
      </c>
      <c r="B998" s="1" t="n">
        <v>45076</v>
      </c>
      <c r="C998" s="1" t="n">
        <v>45849</v>
      </c>
      <c r="D998" t="inlineStr">
        <is>
          <t>VÄSTERBOTTENS LÄN</t>
        </is>
      </c>
      <c r="E998" t="inlineStr">
        <is>
          <t>LYCKSELE</t>
        </is>
      </c>
      <c r="G998" t="n">
        <v>11.4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23769-2023</t>
        </is>
      </c>
      <c r="B999" s="1" t="n">
        <v>45078</v>
      </c>
      <c r="C999" s="1" t="n">
        <v>45849</v>
      </c>
      <c r="D999" t="inlineStr">
        <is>
          <t>VÄSTERBOTTENS LÄN</t>
        </is>
      </c>
      <c r="E999" t="inlineStr">
        <is>
          <t>LYCKSELE</t>
        </is>
      </c>
      <c r="F999" t="inlineStr">
        <is>
          <t>SCA</t>
        </is>
      </c>
      <c r="G999" t="n">
        <v>1.8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23768-2023</t>
        </is>
      </c>
      <c r="B1000" s="1" t="n">
        <v>45078</v>
      </c>
      <c r="C1000" s="1" t="n">
        <v>45849</v>
      </c>
      <c r="D1000" t="inlineStr">
        <is>
          <t>VÄSTERBOTTENS LÄN</t>
        </is>
      </c>
      <c r="E1000" t="inlineStr">
        <is>
          <t>LYCKSELE</t>
        </is>
      </c>
      <c r="F1000" t="inlineStr">
        <is>
          <t>SCA</t>
        </is>
      </c>
      <c r="G1000" t="n">
        <v>3.2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24460-2023</t>
        </is>
      </c>
      <c r="B1001" s="1" t="n">
        <v>45077</v>
      </c>
      <c r="C1001" s="1" t="n">
        <v>45849</v>
      </c>
      <c r="D1001" t="inlineStr">
        <is>
          <t>VÄSTERBOTTENS LÄN</t>
        </is>
      </c>
      <c r="E1001" t="inlineStr">
        <is>
          <t>LYCKSELE</t>
        </is>
      </c>
      <c r="G1001" t="n">
        <v>3.7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24041-2023</t>
        </is>
      </c>
      <c r="B1002" s="1" t="n">
        <v>45078</v>
      </c>
      <c r="C1002" s="1" t="n">
        <v>45849</v>
      </c>
      <c r="D1002" t="inlineStr">
        <is>
          <t>VÄSTERBOTTENS LÄN</t>
        </is>
      </c>
      <c r="E1002" t="inlineStr">
        <is>
          <t>LYCKSELE</t>
        </is>
      </c>
      <c r="F1002" t="inlineStr">
        <is>
          <t>SCA</t>
        </is>
      </c>
      <c r="G1002" t="n">
        <v>1.5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24234-2023</t>
        </is>
      </c>
      <c r="B1003" s="1" t="n">
        <v>45079</v>
      </c>
      <c r="C1003" s="1" t="n">
        <v>45849</v>
      </c>
      <c r="D1003" t="inlineStr">
        <is>
          <t>VÄSTERBOTTENS LÄN</t>
        </is>
      </c>
      <c r="E1003" t="inlineStr">
        <is>
          <t>LYCKSELE</t>
        </is>
      </c>
      <c r="G1003" t="n">
        <v>3.3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24289-2023</t>
        </is>
      </c>
      <c r="B1004" s="1" t="n">
        <v>45080</v>
      </c>
      <c r="C1004" s="1" t="n">
        <v>45849</v>
      </c>
      <c r="D1004" t="inlineStr">
        <is>
          <t>VÄSTERBOTTENS LÄN</t>
        </is>
      </c>
      <c r="E1004" t="inlineStr">
        <is>
          <t>LYCKSELE</t>
        </is>
      </c>
      <c r="G1004" t="n">
        <v>1.1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24547-2023</t>
        </is>
      </c>
      <c r="B1005" s="1" t="n">
        <v>45082</v>
      </c>
      <c r="C1005" s="1" t="n">
        <v>45849</v>
      </c>
      <c r="D1005" t="inlineStr">
        <is>
          <t>VÄSTERBOTTENS LÄN</t>
        </is>
      </c>
      <c r="E1005" t="inlineStr">
        <is>
          <t>LYCKSELE</t>
        </is>
      </c>
      <c r="F1005" t="inlineStr">
        <is>
          <t>SCA</t>
        </is>
      </c>
      <c r="G1005" t="n">
        <v>3.4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24818-2023</t>
        </is>
      </c>
      <c r="B1006" s="1" t="n">
        <v>45085</v>
      </c>
      <c r="C1006" s="1" t="n">
        <v>45849</v>
      </c>
      <c r="D1006" t="inlineStr">
        <is>
          <t>VÄSTERBOTTENS LÄN</t>
        </is>
      </c>
      <c r="E1006" t="inlineStr">
        <is>
          <t>LYCKSELE</t>
        </is>
      </c>
      <c r="G1006" t="n">
        <v>4.7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25768-2023</t>
        </is>
      </c>
      <c r="B1007" s="1" t="n">
        <v>45085</v>
      </c>
      <c r="C1007" s="1" t="n">
        <v>45849</v>
      </c>
      <c r="D1007" t="inlineStr">
        <is>
          <t>VÄSTERBOTTENS LÄN</t>
        </is>
      </c>
      <c r="E1007" t="inlineStr">
        <is>
          <t>LYCKSELE</t>
        </is>
      </c>
      <c r="G1007" t="n">
        <v>16.1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25765-2023</t>
        </is>
      </c>
      <c r="B1008" s="1" t="n">
        <v>45085</v>
      </c>
      <c r="C1008" s="1" t="n">
        <v>45849</v>
      </c>
      <c r="D1008" t="inlineStr">
        <is>
          <t>VÄSTERBOTTENS LÄN</t>
        </is>
      </c>
      <c r="E1008" t="inlineStr">
        <is>
          <t>LYCKSELE</t>
        </is>
      </c>
      <c r="G1008" t="n">
        <v>1.8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25145-2023</t>
        </is>
      </c>
      <c r="B1009" s="1" t="n">
        <v>45086</v>
      </c>
      <c r="C1009" s="1" t="n">
        <v>45849</v>
      </c>
      <c r="D1009" t="inlineStr">
        <is>
          <t>VÄSTERBOTTENS LÄN</t>
        </is>
      </c>
      <c r="E1009" t="inlineStr">
        <is>
          <t>LYCKSELE</t>
        </is>
      </c>
      <c r="G1009" t="n">
        <v>2.5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26329-2023</t>
        </is>
      </c>
      <c r="B1010" s="1" t="n">
        <v>45086</v>
      </c>
      <c r="C1010" s="1" t="n">
        <v>45849</v>
      </c>
      <c r="D1010" t="inlineStr">
        <is>
          <t>VÄSTERBOTTENS LÄN</t>
        </is>
      </c>
      <c r="E1010" t="inlineStr">
        <is>
          <t>LYCKSELE</t>
        </is>
      </c>
      <c r="G1010" t="n">
        <v>3.1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26328-2023</t>
        </is>
      </c>
      <c r="B1011" s="1" t="n">
        <v>45086</v>
      </c>
      <c r="C1011" s="1" t="n">
        <v>45849</v>
      </c>
      <c r="D1011" t="inlineStr">
        <is>
          <t>VÄSTERBOTTENS LÄN</t>
        </is>
      </c>
      <c r="E1011" t="inlineStr">
        <is>
          <t>LYCKSELE</t>
        </is>
      </c>
      <c r="G1011" t="n">
        <v>1.7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25451-2023</t>
        </is>
      </c>
      <c r="B1012" s="1" t="n">
        <v>45089</v>
      </c>
      <c r="C1012" s="1" t="n">
        <v>45849</v>
      </c>
      <c r="D1012" t="inlineStr">
        <is>
          <t>VÄSTERBOTTENS LÄN</t>
        </is>
      </c>
      <c r="E1012" t="inlineStr">
        <is>
          <t>LYCKSELE</t>
        </is>
      </c>
      <c r="F1012" t="inlineStr">
        <is>
          <t>Sveaskog</t>
        </is>
      </c>
      <c r="G1012" t="n">
        <v>9.4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25476-2023</t>
        </is>
      </c>
      <c r="B1013" s="1" t="n">
        <v>45089</v>
      </c>
      <c r="C1013" s="1" t="n">
        <v>45849</v>
      </c>
      <c r="D1013" t="inlineStr">
        <is>
          <t>VÄSTERBOTTENS LÄN</t>
        </is>
      </c>
      <c r="E1013" t="inlineStr">
        <is>
          <t>LYCKSELE</t>
        </is>
      </c>
      <c r="F1013" t="inlineStr">
        <is>
          <t>Sveaskog</t>
        </is>
      </c>
      <c r="G1013" t="n">
        <v>1.1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25413-2023</t>
        </is>
      </c>
      <c r="B1014" s="1" t="n">
        <v>45089</v>
      </c>
      <c r="C1014" s="1" t="n">
        <v>45849</v>
      </c>
      <c r="D1014" t="inlineStr">
        <is>
          <t>VÄSTERBOTTENS LÄN</t>
        </is>
      </c>
      <c r="E1014" t="inlineStr">
        <is>
          <t>LYCKSELE</t>
        </is>
      </c>
      <c r="F1014" t="inlineStr">
        <is>
          <t>Holmen skog AB</t>
        </is>
      </c>
      <c r="G1014" t="n">
        <v>7.9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25473-2023</t>
        </is>
      </c>
      <c r="B1015" s="1" t="n">
        <v>45089</v>
      </c>
      <c r="C1015" s="1" t="n">
        <v>45849</v>
      </c>
      <c r="D1015" t="inlineStr">
        <is>
          <t>VÄSTERBOTTENS LÄN</t>
        </is>
      </c>
      <c r="E1015" t="inlineStr">
        <is>
          <t>LYCKSELE</t>
        </is>
      </c>
      <c r="F1015" t="inlineStr">
        <is>
          <t>Sveaskog</t>
        </is>
      </c>
      <c r="G1015" t="n">
        <v>6.7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25478-2023</t>
        </is>
      </c>
      <c r="B1016" s="1" t="n">
        <v>45089</v>
      </c>
      <c r="C1016" s="1" t="n">
        <v>45849</v>
      </c>
      <c r="D1016" t="inlineStr">
        <is>
          <t>VÄSTERBOTTENS LÄN</t>
        </is>
      </c>
      <c r="E1016" t="inlineStr">
        <is>
          <t>LYCKSELE</t>
        </is>
      </c>
      <c r="F1016" t="inlineStr">
        <is>
          <t>Sveaskog</t>
        </is>
      </c>
      <c r="G1016" t="n">
        <v>1.2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25679-2023</t>
        </is>
      </c>
      <c r="B1017" s="1" t="n">
        <v>45090</v>
      </c>
      <c r="C1017" s="1" t="n">
        <v>45849</v>
      </c>
      <c r="D1017" t="inlineStr">
        <is>
          <t>VÄSTERBOTTENS LÄN</t>
        </is>
      </c>
      <c r="E1017" t="inlineStr">
        <is>
          <t>LYCKSELE</t>
        </is>
      </c>
      <c r="F1017" t="inlineStr">
        <is>
          <t>SCA</t>
        </is>
      </c>
      <c r="G1017" t="n">
        <v>1.1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25899-2023</t>
        </is>
      </c>
      <c r="B1018" s="1" t="n">
        <v>45090</v>
      </c>
      <c r="C1018" s="1" t="n">
        <v>45849</v>
      </c>
      <c r="D1018" t="inlineStr">
        <is>
          <t>VÄSTERBOTTENS LÄN</t>
        </is>
      </c>
      <c r="E1018" t="inlineStr">
        <is>
          <t>LYCKSELE</t>
        </is>
      </c>
      <c r="F1018" t="inlineStr">
        <is>
          <t>Sveaskog</t>
        </is>
      </c>
      <c r="G1018" t="n">
        <v>7.8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26218-2023</t>
        </is>
      </c>
      <c r="B1019" s="1" t="n">
        <v>45091</v>
      </c>
      <c r="C1019" s="1" t="n">
        <v>45849</v>
      </c>
      <c r="D1019" t="inlineStr">
        <is>
          <t>VÄSTERBOTTENS LÄN</t>
        </is>
      </c>
      <c r="E1019" t="inlineStr">
        <is>
          <t>LYCKSELE</t>
        </is>
      </c>
      <c r="G1019" t="n">
        <v>1.9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26355-2023</t>
        </is>
      </c>
      <c r="B1020" s="1" t="n">
        <v>45092</v>
      </c>
      <c r="C1020" s="1" t="n">
        <v>45849</v>
      </c>
      <c r="D1020" t="inlineStr">
        <is>
          <t>VÄSTERBOTTENS LÄN</t>
        </is>
      </c>
      <c r="E1020" t="inlineStr">
        <is>
          <t>LYCKSELE</t>
        </is>
      </c>
      <c r="F1020" t="inlineStr">
        <is>
          <t>SCA</t>
        </is>
      </c>
      <c r="G1020" t="n">
        <v>1.5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26358-2023</t>
        </is>
      </c>
      <c r="B1021" s="1" t="n">
        <v>45091</v>
      </c>
      <c r="C1021" s="1" t="n">
        <v>45849</v>
      </c>
      <c r="D1021" t="inlineStr">
        <is>
          <t>VÄSTERBOTTENS LÄN</t>
        </is>
      </c>
      <c r="E1021" t="inlineStr">
        <is>
          <t>LYCKSELE</t>
        </is>
      </c>
      <c r="F1021" t="inlineStr">
        <is>
          <t>SCA</t>
        </is>
      </c>
      <c r="G1021" t="n">
        <v>1.8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26354-2023</t>
        </is>
      </c>
      <c r="B1022" s="1" t="n">
        <v>45092</v>
      </c>
      <c r="C1022" s="1" t="n">
        <v>45849</v>
      </c>
      <c r="D1022" t="inlineStr">
        <is>
          <t>VÄSTERBOTTENS LÄN</t>
        </is>
      </c>
      <c r="E1022" t="inlineStr">
        <is>
          <t>LYCKSELE</t>
        </is>
      </c>
      <c r="F1022" t="inlineStr">
        <is>
          <t>SCA</t>
        </is>
      </c>
      <c r="G1022" t="n">
        <v>3.6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26357-2023</t>
        </is>
      </c>
      <c r="B1023" s="1" t="n">
        <v>45091</v>
      </c>
      <c r="C1023" s="1" t="n">
        <v>45849</v>
      </c>
      <c r="D1023" t="inlineStr">
        <is>
          <t>VÄSTERBOTTENS LÄN</t>
        </is>
      </c>
      <c r="E1023" t="inlineStr">
        <is>
          <t>LYCKSELE</t>
        </is>
      </c>
      <c r="F1023" t="inlineStr">
        <is>
          <t>SCA</t>
        </is>
      </c>
      <c r="G1023" t="n">
        <v>2.6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26356-2023</t>
        </is>
      </c>
      <c r="B1024" s="1" t="n">
        <v>45091</v>
      </c>
      <c r="C1024" s="1" t="n">
        <v>45849</v>
      </c>
      <c r="D1024" t="inlineStr">
        <is>
          <t>VÄSTERBOTTENS LÄN</t>
        </is>
      </c>
      <c r="E1024" t="inlineStr">
        <is>
          <t>LYCKSELE</t>
        </is>
      </c>
      <c r="F1024" t="inlineStr">
        <is>
          <t>SCA</t>
        </is>
      </c>
      <c r="G1024" t="n">
        <v>2.6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26420-2023</t>
        </is>
      </c>
      <c r="B1025" s="1" t="n">
        <v>45092</v>
      </c>
      <c r="C1025" s="1" t="n">
        <v>45849</v>
      </c>
      <c r="D1025" t="inlineStr">
        <is>
          <t>VÄSTERBOTTENS LÄN</t>
        </is>
      </c>
      <c r="E1025" t="inlineStr">
        <is>
          <t>LYCKSELE</t>
        </is>
      </c>
      <c r="F1025" t="inlineStr">
        <is>
          <t>Holmen skog AB</t>
        </is>
      </c>
      <c r="G1025" t="n">
        <v>14.2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26848-2023</t>
        </is>
      </c>
      <c r="B1026" s="1" t="n">
        <v>45093</v>
      </c>
      <c r="C1026" s="1" t="n">
        <v>45849</v>
      </c>
      <c r="D1026" t="inlineStr">
        <is>
          <t>VÄSTERBOTTENS LÄN</t>
        </is>
      </c>
      <c r="E1026" t="inlineStr">
        <is>
          <t>LYCKSELE</t>
        </is>
      </c>
      <c r="F1026" t="inlineStr">
        <is>
          <t>Sveaskog</t>
        </is>
      </c>
      <c r="G1026" t="n">
        <v>5.4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26856-2023</t>
        </is>
      </c>
      <c r="B1027" s="1" t="n">
        <v>45093</v>
      </c>
      <c r="C1027" s="1" t="n">
        <v>45849</v>
      </c>
      <c r="D1027" t="inlineStr">
        <is>
          <t>VÄSTERBOTTENS LÄN</t>
        </is>
      </c>
      <c r="E1027" t="inlineStr">
        <is>
          <t>LYCKSELE</t>
        </is>
      </c>
      <c r="F1027" t="inlineStr">
        <is>
          <t>Sveaskog</t>
        </is>
      </c>
      <c r="G1027" t="n">
        <v>5.4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26864-2023</t>
        </is>
      </c>
      <c r="B1028" s="1" t="n">
        <v>45093</v>
      </c>
      <c r="C1028" s="1" t="n">
        <v>45849</v>
      </c>
      <c r="D1028" t="inlineStr">
        <is>
          <t>VÄSTERBOTTENS LÄN</t>
        </is>
      </c>
      <c r="E1028" t="inlineStr">
        <is>
          <t>LYCKSELE</t>
        </is>
      </c>
      <c r="F1028" t="inlineStr">
        <is>
          <t>Sveaskog</t>
        </is>
      </c>
      <c r="G1028" t="n">
        <v>8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26868-2023</t>
        </is>
      </c>
      <c r="B1029" s="1" t="n">
        <v>45093</v>
      </c>
      <c r="C1029" s="1" t="n">
        <v>45849</v>
      </c>
      <c r="D1029" t="inlineStr">
        <is>
          <t>VÄSTERBOTTENS LÄN</t>
        </is>
      </c>
      <c r="E1029" t="inlineStr">
        <is>
          <t>LYCKSELE</t>
        </is>
      </c>
      <c r="F1029" t="inlineStr">
        <is>
          <t>Sveaskog</t>
        </is>
      </c>
      <c r="G1029" t="n">
        <v>7.8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26999-2023</t>
        </is>
      </c>
      <c r="B1030" s="1" t="n">
        <v>45093</v>
      </c>
      <c r="C1030" s="1" t="n">
        <v>45849</v>
      </c>
      <c r="D1030" t="inlineStr">
        <is>
          <t>VÄSTERBOTTENS LÄN</t>
        </is>
      </c>
      <c r="E1030" t="inlineStr">
        <is>
          <t>LYCKSELE</t>
        </is>
      </c>
      <c r="F1030" t="inlineStr">
        <is>
          <t>SCA</t>
        </is>
      </c>
      <c r="G1030" t="n">
        <v>2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27043-2023</t>
        </is>
      </c>
      <c r="B1031" s="1" t="n">
        <v>45095</v>
      </c>
      <c r="C1031" s="1" t="n">
        <v>45849</v>
      </c>
      <c r="D1031" t="inlineStr">
        <is>
          <t>VÄSTERBOTTENS LÄN</t>
        </is>
      </c>
      <c r="E1031" t="inlineStr">
        <is>
          <t>LYCKSELE</t>
        </is>
      </c>
      <c r="F1031" t="inlineStr">
        <is>
          <t>Holmen skog AB</t>
        </is>
      </c>
      <c r="G1031" t="n">
        <v>20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27185-2023</t>
        </is>
      </c>
      <c r="B1032" s="1" t="n">
        <v>45096</v>
      </c>
      <c r="C1032" s="1" t="n">
        <v>45849</v>
      </c>
      <c r="D1032" t="inlineStr">
        <is>
          <t>VÄSTERBOTTENS LÄN</t>
        </is>
      </c>
      <c r="E1032" t="inlineStr">
        <is>
          <t>LYCKSELE</t>
        </is>
      </c>
      <c r="F1032" t="inlineStr">
        <is>
          <t>Sveaskog</t>
        </is>
      </c>
      <c r="G1032" t="n">
        <v>14.1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27609-2023</t>
        </is>
      </c>
      <c r="B1033" s="1" t="n">
        <v>45097</v>
      </c>
      <c r="C1033" s="1" t="n">
        <v>45849</v>
      </c>
      <c r="D1033" t="inlineStr">
        <is>
          <t>VÄSTERBOTTENS LÄN</t>
        </is>
      </c>
      <c r="E1033" t="inlineStr">
        <is>
          <t>LYCKSELE</t>
        </is>
      </c>
      <c r="F1033" t="inlineStr">
        <is>
          <t>Holmen skog AB</t>
        </is>
      </c>
      <c r="G1033" t="n">
        <v>8.6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27595-2023</t>
        </is>
      </c>
      <c r="B1034" s="1" t="n">
        <v>45097</v>
      </c>
      <c r="C1034" s="1" t="n">
        <v>45849</v>
      </c>
      <c r="D1034" t="inlineStr">
        <is>
          <t>VÄSTERBOTTENS LÄN</t>
        </is>
      </c>
      <c r="E1034" t="inlineStr">
        <is>
          <t>LYCKSELE</t>
        </is>
      </c>
      <c r="F1034" t="inlineStr">
        <is>
          <t>Holmen skog AB</t>
        </is>
      </c>
      <c r="G1034" t="n">
        <v>1.3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27800-2023</t>
        </is>
      </c>
      <c r="B1035" s="1" t="n">
        <v>45098</v>
      </c>
      <c r="C1035" s="1" t="n">
        <v>45849</v>
      </c>
      <c r="D1035" t="inlineStr">
        <is>
          <t>VÄSTERBOTTENS LÄN</t>
        </is>
      </c>
      <c r="E1035" t="inlineStr">
        <is>
          <t>LYCKSELE</t>
        </is>
      </c>
      <c r="G1035" t="n">
        <v>4.6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27878-2023</t>
        </is>
      </c>
      <c r="B1036" s="1" t="n">
        <v>45098</v>
      </c>
      <c r="C1036" s="1" t="n">
        <v>45849</v>
      </c>
      <c r="D1036" t="inlineStr">
        <is>
          <t>VÄSTERBOTTENS LÄN</t>
        </is>
      </c>
      <c r="E1036" t="inlineStr">
        <is>
          <t>LYCKSELE</t>
        </is>
      </c>
      <c r="F1036" t="inlineStr">
        <is>
          <t>Sveaskog</t>
        </is>
      </c>
      <c r="G1036" t="n">
        <v>19.3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27869-2023</t>
        </is>
      </c>
      <c r="B1037" s="1" t="n">
        <v>45098</v>
      </c>
      <c r="C1037" s="1" t="n">
        <v>45849</v>
      </c>
      <c r="D1037" t="inlineStr">
        <is>
          <t>VÄSTERBOTTENS LÄN</t>
        </is>
      </c>
      <c r="E1037" t="inlineStr">
        <is>
          <t>LYCKSELE</t>
        </is>
      </c>
      <c r="F1037" t="inlineStr">
        <is>
          <t>Sveaskog</t>
        </is>
      </c>
      <c r="G1037" t="n">
        <v>13.7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27881-2023</t>
        </is>
      </c>
      <c r="B1038" s="1" t="n">
        <v>45098</v>
      </c>
      <c r="C1038" s="1" t="n">
        <v>45849</v>
      </c>
      <c r="D1038" t="inlineStr">
        <is>
          <t>VÄSTERBOTTENS LÄN</t>
        </is>
      </c>
      <c r="E1038" t="inlineStr">
        <is>
          <t>LYCKSELE</t>
        </is>
      </c>
      <c r="F1038" t="inlineStr">
        <is>
          <t>Sveaskog</t>
        </is>
      </c>
      <c r="G1038" t="n">
        <v>14.5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27884-2023</t>
        </is>
      </c>
      <c r="B1039" s="1" t="n">
        <v>45098</v>
      </c>
      <c r="C1039" s="1" t="n">
        <v>45849</v>
      </c>
      <c r="D1039" t="inlineStr">
        <is>
          <t>VÄSTERBOTTENS LÄN</t>
        </is>
      </c>
      <c r="E1039" t="inlineStr">
        <is>
          <t>LYCKSELE</t>
        </is>
      </c>
      <c r="F1039" t="inlineStr">
        <is>
          <t>Sveaskog</t>
        </is>
      </c>
      <c r="G1039" t="n">
        <v>31.1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27964-2023</t>
        </is>
      </c>
      <c r="B1040" s="1" t="n">
        <v>45098</v>
      </c>
      <c r="C1040" s="1" t="n">
        <v>45849</v>
      </c>
      <c r="D1040" t="inlineStr">
        <is>
          <t>VÄSTERBOTTENS LÄN</t>
        </is>
      </c>
      <c r="E1040" t="inlineStr">
        <is>
          <t>LYCKSELE</t>
        </is>
      </c>
      <c r="G1040" t="n">
        <v>0.8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28408-2023</t>
        </is>
      </c>
      <c r="B1041" s="1" t="n">
        <v>45101</v>
      </c>
      <c r="C1041" s="1" t="n">
        <v>45849</v>
      </c>
      <c r="D1041" t="inlineStr">
        <is>
          <t>VÄSTERBOTTENS LÄN</t>
        </is>
      </c>
      <c r="E1041" t="inlineStr">
        <is>
          <t>LYCKSELE</t>
        </is>
      </c>
      <c r="G1041" t="n">
        <v>5.7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28409-2023</t>
        </is>
      </c>
      <c r="B1042" s="1" t="n">
        <v>45101</v>
      </c>
      <c r="C1042" s="1" t="n">
        <v>45849</v>
      </c>
      <c r="D1042" t="inlineStr">
        <is>
          <t>VÄSTERBOTTENS LÄN</t>
        </is>
      </c>
      <c r="E1042" t="inlineStr">
        <is>
          <t>LYCKSELE</t>
        </is>
      </c>
      <c r="G1042" t="n">
        <v>12.9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28540-2023</t>
        </is>
      </c>
      <c r="B1043" s="1" t="n">
        <v>45103</v>
      </c>
      <c r="C1043" s="1" t="n">
        <v>45849</v>
      </c>
      <c r="D1043" t="inlineStr">
        <is>
          <t>VÄSTERBOTTENS LÄN</t>
        </is>
      </c>
      <c r="E1043" t="inlineStr">
        <is>
          <t>LYCKSELE</t>
        </is>
      </c>
      <c r="F1043" t="inlineStr">
        <is>
          <t>Sveaskog</t>
        </is>
      </c>
      <c r="G1043" t="n">
        <v>6.8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28552-2023</t>
        </is>
      </c>
      <c r="B1044" s="1" t="n">
        <v>45103</v>
      </c>
      <c r="C1044" s="1" t="n">
        <v>45849</v>
      </c>
      <c r="D1044" t="inlineStr">
        <is>
          <t>VÄSTERBOTTENS LÄN</t>
        </is>
      </c>
      <c r="E1044" t="inlineStr">
        <is>
          <t>LYCKSELE</t>
        </is>
      </c>
      <c r="F1044" t="inlineStr">
        <is>
          <t>Sveaskog</t>
        </is>
      </c>
      <c r="G1044" t="n">
        <v>8.699999999999999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28528-2023</t>
        </is>
      </c>
      <c r="B1045" s="1" t="n">
        <v>45103</v>
      </c>
      <c r="C1045" s="1" t="n">
        <v>45849</v>
      </c>
      <c r="D1045" t="inlineStr">
        <is>
          <t>VÄSTERBOTTENS LÄN</t>
        </is>
      </c>
      <c r="E1045" t="inlineStr">
        <is>
          <t>LYCKSELE</t>
        </is>
      </c>
      <c r="F1045" t="inlineStr">
        <is>
          <t>Sveaskog</t>
        </is>
      </c>
      <c r="G1045" t="n">
        <v>4.1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28536-2023</t>
        </is>
      </c>
      <c r="B1046" s="1" t="n">
        <v>45103</v>
      </c>
      <c r="C1046" s="1" t="n">
        <v>45849</v>
      </c>
      <c r="D1046" t="inlineStr">
        <is>
          <t>VÄSTERBOTTENS LÄN</t>
        </is>
      </c>
      <c r="E1046" t="inlineStr">
        <is>
          <t>LYCKSELE</t>
        </is>
      </c>
      <c r="F1046" t="inlineStr">
        <is>
          <t>Sveaskog</t>
        </is>
      </c>
      <c r="G1046" t="n">
        <v>5.8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28545-2023</t>
        </is>
      </c>
      <c r="B1047" s="1" t="n">
        <v>45103</v>
      </c>
      <c r="C1047" s="1" t="n">
        <v>45849</v>
      </c>
      <c r="D1047" t="inlineStr">
        <is>
          <t>VÄSTERBOTTENS LÄN</t>
        </is>
      </c>
      <c r="E1047" t="inlineStr">
        <is>
          <t>LYCKSELE</t>
        </is>
      </c>
      <c r="F1047" t="inlineStr">
        <is>
          <t>Sveaskog</t>
        </is>
      </c>
      <c r="G1047" t="n">
        <v>1.6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28737-2023</t>
        </is>
      </c>
      <c r="B1048" s="1" t="n">
        <v>45104</v>
      </c>
      <c r="C1048" s="1" t="n">
        <v>45849</v>
      </c>
      <c r="D1048" t="inlineStr">
        <is>
          <t>VÄSTERBOTTENS LÄN</t>
        </is>
      </c>
      <c r="E1048" t="inlineStr">
        <is>
          <t>LYCKSELE</t>
        </is>
      </c>
      <c r="G1048" t="n">
        <v>2.3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30401-2023</t>
        </is>
      </c>
      <c r="B1049" s="1" t="n">
        <v>45103</v>
      </c>
      <c r="C1049" s="1" t="n">
        <v>45849</v>
      </c>
      <c r="D1049" t="inlineStr">
        <is>
          <t>VÄSTERBOTTENS LÄN</t>
        </is>
      </c>
      <c r="E1049" t="inlineStr">
        <is>
          <t>LYCKSELE</t>
        </is>
      </c>
      <c r="G1049" t="n">
        <v>7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28525-2023</t>
        </is>
      </c>
      <c r="B1050" s="1" t="n">
        <v>45103</v>
      </c>
      <c r="C1050" s="1" t="n">
        <v>45849</v>
      </c>
      <c r="D1050" t="inlineStr">
        <is>
          <t>VÄSTERBOTTENS LÄN</t>
        </is>
      </c>
      <c r="E1050" t="inlineStr">
        <is>
          <t>LYCKSELE</t>
        </is>
      </c>
      <c r="F1050" t="inlineStr">
        <is>
          <t>Sveaskog</t>
        </is>
      </c>
      <c r="G1050" t="n">
        <v>1.4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28537-2023</t>
        </is>
      </c>
      <c r="B1051" s="1" t="n">
        <v>45103</v>
      </c>
      <c r="C1051" s="1" t="n">
        <v>45849</v>
      </c>
      <c r="D1051" t="inlineStr">
        <is>
          <t>VÄSTERBOTTENS LÄN</t>
        </is>
      </c>
      <c r="E1051" t="inlineStr">
        <is>
          <t>LYCKSELE</t>
        </is>
      </c>
      <c r="F1051" t="inlineStr">
        <is>
          <t>Sveaskog</t>
        </is>
      </c>
      <c r="G1051" t="n">
        <v>5.8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28550-2023</t>
        </is>
      </c>
      <c r="B1052" s="1" t="n">
        <v>45103</v>
      </c>
      <c r="C1052" s="1" t="n">
        <v>45849</v>
      </c>
      <c r="D1052" t="inlineStr">
        <is>
          <t>VÄSTERBOTTENS LÄN</t>
        </is>
      </c>
      <c r="E1052" t="inlineStr">
        <is>
          <t>LYCKSELE</t>
        </is>
      </c>
      <c r="F1052" t="inlineStr">
        <is>
          <t>Sveaskog</t>
        </is>
      </c>
      <c r="G1052" t="n">
        <v>8.300000000000001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30409-2023</t>
        </is>
      </c>
      <c r="B1053" s="1" t="n">
        <v>45103</v>
      </c>
      <c r="C1053" s="1" t="n">
        <v>45849</v>
      </c>
      <c r="D1053" t="inlineStr">
        <is>
          <t>VÄSTERBOTTENS LÄN</t>
        </is>
      </c>
      <c r="E1053" t="inlineStr">
        <is>
          <t>LYCKSELE</t>
        </is>
      </c>
      <c r="G1053" t="n">
        <v>3.3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31425-2023</t>
        </is>
      </c>
      <c r="B1054" s="1" t="n">
        <v>45104</v>
      </c>
      <c r="C1054" s="1" t="n">
        <v>45849</v>
      </c>
      <c r="D1054" t="inlineStr">
        <is>
          <t>VÄSTERBOTTENS LÄN</t>
        </is>
      </c>
      <c r="E1054" t="inlineStr">
        <is>
          <t>LYCKSELE</t>
        </is>
      </c>
      <c r="G1054" t="n">
        <v>1.3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29277-2023</t>
        </is>
      </c>
      <c r="B1055" s="1" t="n">
        <v>45105</v>
      </c>
      <c r="C1055" s="1" t="n">
        <v>45849</v>
      </c>
      <c r="D1055" t="inlineStr">
        <is>
          <t>VÄSTERBOTTENS LÄN</t>
        </is>
      </c>
      <c r="E1055" t="inlineStr">
        <is>
          <t>LYCKSELE</t>
        </is>
      </c>
      <c r="F1055" t="inlineStr">
        <is>
          <t>Naturvårdsverket</t>
        </is>
      </c>
      <c r="G1055" t="n">
        <v>6.4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29522-2023</t>
        </is>
      </c>
      <c r="B1056" s="1" t="n">
        <v>45106</v>
      </c>
      <c r="C1056" s="1" t="n">
        <v>45849</v>
      </c>
      <c r="D1056" t="inlineStr">
        <is>
          <t>VÄSTERBOTTENS LÄN</t>
        </is>
      </c>
      <c r="E1056" t="inlineStr">
        <is>
          <t>LYCKSELE</t>
        </is>
      </c>
      <c r="F1056" t="inlineStr">
        <is>
          <t>Sveaskog</t>
        </is>
      </c>
      <c r="G1056" t="n">
        <v>3.8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29526-2023</t>
        </is>
      </c>
      <c r="B1057" s="1" t="n">
        <v>45106</v>
      </c>
      <c r="C1057" s="1" t="n">
        <v>45849</v>
      </c>
      <c r="D1057" t="inlineStr">
        <is>
          <t>VÄSTERBOTTENS LÄN</t>
        </is>
      </c>
      <c r="E1057" t="inlineStr">
        <is>
          <t>LYCKSELE</t>
        </is>
      </c>
      <c r="F1057" t="inlineStr">
        <is>
          <t>Sveaskog</t>
        </is>
      </c>
      <c r="G1057" t="n">
        <v>16.4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29530-2023</t>
        </is>
      </c>
      <c r="B1058" s="1" t="n">
        <v>45106</v>
      </c>
      <c r="C1058" s="1" t="n">
        <v>45849</v>
      </c>
      <c r="D1058" t="inlineStr">
        <is>
          <t>VÄSTERBOTTENS LÄN</t>
        </is>
      </c>
      <c r="E1058" t="inlineStr">
        <is>
          <t>LYCKSELE</t>
        </is>
      </c>
      <c r="F1058" t="inlineStr">
        <is>
          <t>Sveaskog</t>
        </is>
      </c>
      <c r="G1058" t="n">
        <v>9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29543-2023</t>
        </is>
      </c>
      <c r="B1059" s="1" t="n">
        <v>45106</v>
      </c>
      <c r="C1059" s="1" t="n">
        <v>45849</v>
      </c>
      <c r="D1059" t="inlineStr">
        <is>
          <t>VÄSTERBOTTENS LÄN</t>
        </is>
      </c>
      <c r="E1059" t="inlineStr">
        <is>
          <t>LYCKSELE</t>
        </is>
      </c>
      <c r="G1059" t="n">
        <v>4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29521-2023</t>
        </is>
      </c>
      <c r="B1060" s="1" t="n">
        <v>45106</v>
      </c>
      <c r="C1060" s="1" t="n">
        <v>45849</v>
      </c>
      <c r="D1060" t="inlineStr">
        <is>
          <t>VÄSTERBOTTENS LÄN</t>
        </is>
      </c>
      <c r="E1060" t="inlineStr">
        <is>
          <t>LYCKSELE</t>
        </is>
      </c>
      <c r="F1060" t="inlineStr">
        <is>
          <t>Sveaskog</t>
        </is>
      </c>
      <c r="G1060" t="n">
        <v>7.8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29516-2023</t>
        </is>
      </c>
      <c r="B1061" s="1" t="n">
        <v>45106</v>
      </c>
      <c r="C1061" s="1" t="n">
        <v>45849</v>
      </c>
      <c r="D1061" t="inlineStr">
        <is>
          <t>VÄSTERBOTTENS LÄN</t>
        </is>
      </c>
      <c r="E1061" t="inlineStr">
        <is>
          <t>LYCKSELE</t>
        </is>
      </c>
      <c r="F1061" t="inlineStr">
        <is>
          <t>Sveaskog</t>
        </is>
      </c>
      <c r="G1061" t="n">
        <v>29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29524-2023</t>
        </is>
      </c>
      <c r="B1062" s="1" t="n">
        <v>45106</v>
      </c>
      <c r="C1062" s="1" t="n">
        <v>45849</v>
      </c>
      <c r="D1062" t="inlineStr">
        <is>
          <t>VÄSTERBOTTENS LÄN</t>
        </is>
      </c>
      <c r="E1062" t="inlineStr">
        <is>
          <t>LYCKSELE</t>
        </is>
      </c>
      <c r="F1062" t="inlineStr">
        <is>
          <t>Holmen skog AB</t>
        </is>
      </c>
      <c r="G1062" t="n">
        <v>4.6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29546-2023</t>
        </is>
      </c>
      <c r="B1063" s="1" t="n">
        <v>45106</v>
      </c>
      <c r="C1063" s="1" t="n">
        <v>45849</v>
      </c>
      <c r="D1063" t="inlineStr">
        <is>
          <t>VÄSTERBOTTENS LÄN</t>
        </is>
      </c>
      <c r="E1063" t="inlineStr">
        <is>
          <t>LYCKSELE</t>
        </is>
      </c>
      <c r="F1063" t="inlineStr">
        <is>
          <t>Sveaskog</t>
        </is>
      </c>
      <c r="G1063" t="n">
        <v>13.3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29523-2023</t>
        </is>
      </c>
      <c r="B1064" s="1" t="n">
        <v>45106</v>
      </c>
      <c r="C1064" s="1" t="n">
        <v>45849</v>
      </c>
      <c r="D1064" t="inlineStr">
        <is>
          <t>VÄSTERBOTTENS LÄN</t>
        </is>
      </c>
      <c r="E1064" t="inlineStr">
        <is>
          <t>LYCKSELE</t>
        </is>
      </c>
      <c r="F1064" t="inlineStr">
        <is>
          <t>Sveaskog</t>
        </is>
      </c>
      <c r="G1064" t="n">
        <v>11.6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29538-2023</t>
        </is>
      </c>
      <c r="B1065" s="1" t="n">
        <v>45106</v>
      </c>
      <c r="C1065" s="1" t="n">
        <v>45849</v>
      </c>
      <c r="D1065" t="inlineStr">
        <is>
          <t>VÄSTERBOTTENS LÄN</t>
        </is>
      </c>
      <c r="E1065" t="inlineStr">
        <is>
          <t>LYCKSELE</t>
        </is>
      </c>
      <c r="F1065" t="inlineStr">
        <is>
          <t>Sveaskog</t>
        </is>
      </c>
      <c r="G1065" t="n">
        <v>9.1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29675-2023</t>
        </is>
      </c>
      <c r="B1066" s="1" t="n">
        <v>45107</v>
      </c>
      <c r="C1066" s="1" t="n">
        <v>45849</v>
      </c>
      <c r="D1066" t="inlineStr">
        <is>
          <t>VÄSTERBOTTENS LÄN</t>
        </is>
      </c>
      <c r="E1066" t="inlineStr">
        <is>
          <t>LYCKSELE</t>
        </is>
      </c>
      <c r="F1066" t="inlineStr">
        <is>
          <t>Holmen skog AB</t>
        </is>
      </c>
      <c r="G1066" t="n">
        <v>7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29861-2023</t>
        </is>
      </c>
      <c r="B1067" s="1" t="n">
        <v>45107</v>
      </c>
      <c r="C1067" s="1" t="n">
        <v>45849</v>
      </c>
      <c r="D1067" t="inlineStr">
        <is>
          <t>VÄSTERBOTTENS LÄN</t>
        </is>
      </c>
      <c r="E1067" t="inlineStr">
        <is>
          <t>LYCKSELE</t>
        </is>
      </c>
      <c r="G1067" t="n">
        <v>10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29835-2023</t>
        </is>
      </c>
      <c r="B1068" s="1" t="n">
        <v>45107</v>
      </c>
      <c r="C1068" s="1" t="n">
        <v>45849</v>
      </c>
      <c r="D1068" t="inlineStr">
        <is>
          <t>VÄSTERBOTTENS LÄN</t>
        </is>
      </c>
      <c r="E1068" t="inlineStr">
        <is>
          <t>LYCKSELE</t>
        </is>
      </c>
      <c r="G1068" t="n">
        <v>17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29844-2023</t>
        </is>
      </c>
      <c r="B1069" s="1" t="n">
        <v>45107</v>
      </c>
      <c r="C1069" s="1" t="n">
        <v>45849</v>
      </c>
      <c r="D1069" t="inlineStr">
        <is>
          <t>VÄSTERBOTTENS LÄN</t>
        </is>
      </c>
      <c r="E1069" t="inlineStr">
        <is>
          <t>LYCKSELE</t>
        </is>
      </c>
      <c r="G1069" t="n">
        <v>4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30271-2023</t>
        </is>
      </c>
      <c r="B1070" s="1" t="n">
        <v>45110</v>
      </c>
      <c r="C1070" s="1" t="n">
        <v>45849</v>
      </c>
      <c r="D1070" t="inlineStr">
        <is>
          <t>VÄSTERBOTTENS LÄN</t>
        </is>
      </c>
      <c r="E1070" t="inlineStr">
        <is>
          <t>LYCKSELE</t>
        </is>
      </c>
      <c r="F1070" t="inlineStr">
        <is>
          <t>Sveaskog</t>
        </is>
      </c>
      <c r="G1070" t="n">
        <v>8.300000000000001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30270-2023</t>
        </is>
      </c>
      <c r="B1071" s="1" t="n">
        <v>45110</v>
      </c>
      <c r="C1071" s="1" t="n">
        <v>45849</v>
      </c>
      <c r="D1071" t="inlineStr">
        <is>
          <t>VÄSTERBOTTENS LÄN</t>
        </is>
      </c>
      <c r="E1071" t="inlineStr">
        <is>
          <t>LYCKSELE</t>
        </is>
      </c>
      <c r="F1071" t="inlineStr">
        <is>
          <t>Sveaskog</t>
        </is>
      </c>
      <c r="G1071" t="n">
        <v>13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30804-2023</t>
        </is>
      </c>
      <c r="B1072" s="1" t="n">
        <v>45112</v>
      </c>
      <c r="C1072" s="1" t="n">
        <v>45849</v>
      </c>
      <c r="D1072" t="inlineStr">
        <is>
          <t>VÄSTERBOTTENS LÄN</t>
        </is>
      </c>
      <c r="E1072" t="inlineStr">
        <is>
          <t>LYCKSELE</t>
        </is>
      </c>
      <c r="F1072" t="inlineStr">
        <is>
          <t>Sveaskog</t>
        </is>
      </c>
      <c r="G1072" t="n">
        <v>9.6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30803-2023</t>
        </is>
      </c>
      <c r="B1073" s="1" t="n">
        <v>45112</v>
      </c>
      <c r="C1073" s="1" t="n">
        <v>45849</v>
      </c>
      <c r="D1073" t="inlineStr">
        <is>
          <t>VÄSTERBOTTENS LÄN</t>
        </is>
      </c>
      <c r="E1073" t="inlineStr">
        <is>
          <t>LYCKSELE</t>
        </is>
      </c>
      <c r="F1073" t="inlineStr">
        <is>
          <t>Sveaskog</t>
        </is>
      </c>
      <c r="G1073" t="n">
        <v>5.1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30805-2023</t>
        </is>
      </c>
      <c r="B1074" s="1" t="n">
        <v>45112</v>
      </c>
      <c r="C1074" s="1" t="n">
        <v>45849</v>
      </c>
      <c r="D1074" t="inlineStr">
        <is>
          <t>VÄSTERBOTTENS LÄN</t>
        </is>
      </c>
      <c r="E1074" t="inlineStr">
        <is>
          <t>LYCKSELE</t>
        </is>
      </c>
      <c r="F1074" t="inlineStr">
        <is>
          <t>Sveaskog</t>
        </is>
      </c>
      <c r="G1074" t="n">
        <v>18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33019-2023</t>
        </is>
      </c>
      <c r="B1075" s="1" t="n">
        <v>45113</v>
      </c>
      <c r="C1075" s="1" t="n">
        <v>45849</v>
      </c>
      <c r="D1075" t="inlineStr">
        <is>
          <t>VÄSTERBOTTENS LÄN</t>
        </is>
      </c>
      <c r="E1075" t="inlineStr">
        <is>
          <t>LYCKSELE</t>
        </is>
      </c>
      <c r="G1075" t="n">
        <v>3.4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31410-2023</t>
        </is>
      </c>
      <c r="B1076" s="1" t="n">
        <v>45114</v>
      </c>
      <c r="C1076" s="1" t="n">
        <v>45849</v>
      </c>
      <c r="D1076" t="inlineStr">
        <is>
          <t>VÄSTERBOTTENS LÄN</t>
        </is>
      </c>
      <c r="E1076" t="inlineStr">
        <is>
          <t>LYCKSELE</t>
        </is>
      </c>
      <c r="F1076" t="inlineStr">
        <is>
          <t>Sveaskog</t>
        </is>
      </c>
      <c r="G1076" t="n">
        <v>7.5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31413-2023</t>
        </is>
      </c>
      <c r="B1077" s="1" t="n">
        <v>45114</v>
      </c>
      <c r="C1077" s="1" t="n">
        <v>45849</v>
      </c>
      <c r="D1077" t="inlineStr">
        <is>
          <t>VÄSTERBOTTENS LÄN</t>
        </is>
      </c>
      <c r="E1077" t="inlineStr">
        <is>
          <t>LYCKSELE</t>
        </is>
      </c>
      <c r="F1077" t="inlineStr">
        <is>
          <t>Sveaskog</t>
        </is>
      </c>
      <c r="G1077" t="n">
        <v>3.3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31412-2023</t>
        </is>
      </c>
      <c r="B1078" s="1" t="n">
        <v>45114</v>
      </c>
      <c r="C1078" s="1" t="n">
        <v>45849</v>
      </c>
      <c r="D1078" t="inlineStr">
        <is>
          <t>VÄSTERBOTTENS LÄN</t>
        </is>
      </c>
      <c r="E1078" t="inlineStr">
        <is>
          <t>LYCKSELE</t>
        </is>
      </c>
      <c r="F1078" t="inlineStr">
        <is>
          <t>Sveaskog</t>
        </is>
      </c>
      <c r="G1078" t="n">
        <v>1.5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31448-2023</t>
        </is>
      </c>
      <c r="B1079" s="1" t="n">
        <v>45114</v>
      </c>
      <c r="C1079" s="1" t="n">
        <v>45849</v>
      </c>
      <c r="D1079" t="inlineStr">
        <is>
          <t>VÄSTERBOTTENS LÄN</t>
        </is>
      </c>
      <c r="E1079" t="inlineStr">
        <is>
          <t>LYCKSELE</t>
        </is>
      </c>
      <c r="F1079" t="inlineStr">
        <is>
          <t>Holmen skog AB</t>
        </is>
      </c>
      <c r="G1079" t="n">
        <v>7.8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31683-2023</t>
        </is>
      </c>
      <c r="B1080" s="1" t="n">
        <v>45117</v>
      </c>
      <c r="C1080" s="1" t="n">
        <v>45849</v>
      </c>
      <c r="D1080" t="inlineStr">
        <is>
          <t>VÄSTERBOTTENS LÄN</t>
        </is>
      </c>
      <c r="E1080" t="inlineStr">
        <is>
          <t>LYCKSELE</t>
        </is>
      </c>
      <c r="F1080" t="inlineStr">
        <is>
          <t>Holmen skog AB</t>
        </is>
      </c>
      <c r="G1080" t="n">
        <v>3.9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31689-2023</t>
        </is>
      </c>
      <c r="B1081" s="1" t="n">
        <v>45117</v>
      </c>
      <c r="C1081" s="1" t="n">
        <v>45849</v>
      </c>
      <c r="D1081" t="inlineStr">
        <is>
          <t>VÄSTERBOTTENS LÄN</t>
        </is>
      </c>
      <c r="E1081" t="inlineStr">
        <is>
          <t>LYCKSELE</t>
        </is>
      </c>
      <c r="F1081" t="inlineStr">
        <is>
          <t>Holmen skog AB</t>
        </is>
      </c>
      <c r="G1081" t="n">
        <v>3.7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31698-2023</t>
        </is>
      </c>
      <c r="B1082" s="1" t="n">
        <v>45117</v>
      </c>
      <c r="C1082" s="1" t="n">
        <v>45849</v>
      </c>
      <c r="D1082" t="inlineStr">
        <is>
          <t>VÄSTERBOTTENS LÄN</t>
        </is>
      </c>
      <c r="E1082" t="inlineStr">
        <is>
          <t>LYCKSELE</t>
        </is>
      </c>
      <c r="F1082" t="inlineStr">
        <is>
          <t>Holmen skog AB</t>
        </is>
      </c>
      <c r="G1082" t="n">
        <v>6.1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31840-2023</t>
        </is>
      </c>
      <c r="B1083" s="1" t="n">
        <v>45118</v>
      </c>
      <c r="C1083" s="1" t="n">
        <v>45849</v>
      </c>
      <c r="D1083" t="inlineStr">
        <is>
          <t>VÄSTERBOTTENS LÄN</t>
        </is>
      </c>
      <c r="E1083" t="inlineStr">
        <is>
          <t>LYCKSELE</t>
        </is>
      </c>
      <c r="G1083" t="n">
        <v>15.6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32861-2023</t>
        </is>
      </c>
      <c r="B1084" s="1" t="n">
        <v>45124</v>
      </c>
      <c r="C1084" s="1" t="n">
        <v>45849</v>
      </c>
      <c r="D1084" t="inlineStr">
        <is>
          <t>VÄSTERBOTTENS LÄN</t>
        </is>
      </c>
      <c r="E1084" t="inlineStr">
        <is>
          <t>LYCKSELE</t>
        </is>
      </c>
      <c r="F1084" t="inlineStr">
        <is>
          <t>Sveaskog</t>
        </is>
      </c>
      <c r="G1084" t="n">
        <v>22.5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32863-2023</t>
        </is>
      </c>
      <c r="B1085" s="1" t="n">
        <v>45124</v>
      </c>
      <c r="C1085" s="1" t="n">
        <v>45849</v>
      </c>
      <c r="D1085" t="inlineStr">
        <is>
          <t>VÄSTERBOTTENS LÄN</t>
        </is>
      </c>
      <c r="E1085" t="inlineStr">
        <is>
          <t>LYCKSELE</t>
        </is>
      </c>
      <c r="F1085" t="inlineStr">
        <is>
          <t>Sveaskog</t>
        </is>
      </c>
      <c r="G1085" t="n">
        <v>5.2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32802-2023</t>
        </is>
      </c>
      <c r="B1086" s="1" t="n">
        <v>45124</v>
      </c>
      <c r="C1086" s="1" t="n">
        <v>45849</v>
      </c>
      <c r="D1086" t="inlineStr">
        <is>
          <t>VÄSTERBOTTENS LÄN</t>
        </is>
      </c>
      <c r="E1086" t="inlineStr">
        <is>
          <t>LYCKSELE</t>
        </is>
      </c>
      <c r="G1086" t="n">
        <v>2.9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33156-2023</t>
        </is>
      </c>
      <c r="B1087" s="1" t="n">
        <v>45126</v>
      </c>
      <c r="C1087" s="1" t="n">
        <v>45849</v>
      </c>
      <c r="D1087" t="inlineStr">
        <is>
          <t>VÄSTERBOTTENS LÄN</t>
        </is>
      </c>
      <c r="E1087" t="inlineStr">
        <is>
          <t>LYCKSELE</t>
        </is>
      </c>
      <c r="F1087" t="inlineStr">
        <is>
          <t>Sveaskog</t>
        </is>
      </c>
      <c r="G1087" t="n">
        <v>12.8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33160-2023</t>
        </is>
      </c>
      <c r="B1088" s="1" t="n">
        <v>45126</v>
      </c>
      <c r="C1088" s="1" t="n">
        <v>45849</v>
      </c>
      <c r="D1088" t="inlineStr">
        <is>
          <t>VÄSTERBOTTENS LÄN</t>
        </is>
      </c>
      <c r="E1088" t="inlineStr">
        <is>
          <t>LYCKSELE</t>
        </is>
      </c>
      <c r="F1088" t="inlineStr">
        <is>
          <t>Sveaskog</t>
        </is>
      </c>
      <c r="G1088" t="n">
        <v>2.6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33153-2023</t>
        </is>
      </c>
      <c r="B1089" s="1" t="n">
        <v>45126</v>
      </c>
      <c r="C1089" s="1" t="n">
        <v>45849</v>
      </c>
      <c r="D1089" t="inlineStr">
        <is>
          <t>VÄSTERBOTTENS LÄN</t>
        </is>
      </c>
      <c r="E1089" t="inlineStr">
        <is>
          <t>LYCKSELE</t>
        </is>
      </c>
      <c r="F1089" t="inlineStr">
        <is>
          <t>Sveaskog</t>
        </is>
      </c>
      <c r="G1089" t="n">
        <v>13.9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33157-2023</t>
        </is>
      </c>
      <c r="B1090" s="1" t="n">
        <v>45126</v>
      </c>
      <c r="C1090" s="1" t="n">
        <v>45849</v>
      </c>
      <c r="D1090" t="inlineStr">
        <is>
          <t>VÄSTERBOTTENS LÄN</t>
        </is>
      </c>
      <c r="E1090" t="inlineStr">
        <is>
          <t>LYCKSELE</t>
        </is>
      </c>
      <c r="F1090" t="inlineStr">
        <is>
          <t>Sveaskog</t>
        </is>
      </c>
      <c r="G1090" t="n">
        <v>4.6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33155-2023</t>
        </is>
      </c>
      <c r="B1091" s="1" t="n">
        <v>45126</v>
      </c>
      <c r="C1091" s="1" t="n">
        <v>45849</v>
      </c>
      <c r="D1091" t="inlineStr">
        <is>
          <t>VÄSTERBOTTENS LÄN</t>
        </is>
      </c>
      <c r="E1091" t="inlineStr">
        <is>
          <t>LYCKSELE</t>
        </is>
      </c>
      <c r="F1091" t="inlineStr">
        <is>
          <t>Sveaskog</t>
        </is>
      </c>
      <c r="G1091" t="n">
        <v>4.8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33159-2023</t>
        </is>
      </c>
      <c r="B1092" s="1" t="n">
        <v>45126</v>
      </c>
      <c r="C1092" s="1" t="n">
        <v>45849</v>
      </c>
      <c r="D1092" t="inlineStr">
        <is>
          <t>VÄSTERBOTTENS LÄN</t>
        </is>
      </c>
      <c r="E1092" t="inlineStr">
        <is>
          <t>LYCKSELE</t>
        </is>
      </c>
      <c r="F1092" t="inlineStr">
        <is>
          <t>Sveaskog</t>
        </is>
      </c>
      <c r="G1092" t="n">
        <v>3.2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34214-2023</t>
        </is>
      </c>
      <c r="B1093" s="1" t="n">
        <v>45126</v>
      </c>
      <c r="C1093" s="1" t="n">
        <v>45849</v>
      </c>
      <c r="D1093" t="inlineStr">
        <is>
          <t>VÄSTERBOTTENS LÄN</t>
        </is>
      </c>
      <c r="E1093" t="inlineStr">
        <is>
          <t>LYCKSELE</t>
        </is>
      </c>
      <c r="G1093" t="n">
        <v>23.6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33332-2023</t>
        </is>
      </c>
      <c r="B1094" s="1" t="n">
        <v>45127</v>
      </c>
      <c r="C1094" s="1" t="n">
        <v>45849</v>
      </c>
      <c r="D1094" t="inlineStr">
        <is>
          <t>VÄSTERBOTTENS LÄN</t>
        </is>
      </c>
      <c r="E1094" t="inlineStr">
        <is>
          <t>LYCKSELE</t>
        </is>
      </c>
      <c r="F1094" t="inlineStr">
        <is>
          <t>SCA</t>
        </is>
      </c>
      <c r="G1094" t="n">
        <v>0.7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33331-2023</t>
        </is>
      </c>
      <c r="B1095" s="1" t="n">
        <v>45127</v>
      </c>
      <c r="C1095" s="1" t="n">
        <v>45849</v>
      </c>
      <c r="D1095" t="inlineStr">
        <is>
          <t>VÄSTERBOTTENS LÄN</t>
        </is>
      </c>
      <c r="E1095" t="inlineStr">
        <is>
          <t>LYCKSELE</t>
        </is>
      </c>
      <c r="F1095" t="inlineStr">
        <is>
          <t>SCA</t>
        </is>
      </c>
      <c r="G1095" t="n">
        <v>1.2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33400-2023</t>
        </is>
      </c>
      <c r="B1096" s="1" t="n">
        <v>45128</v>
      </c>
      <c r="C1096" s="1" t="n">
        <v>45849</v>
      </c>
      <c r="D1096" t="inlineStr">
        <is>
          <t>VÄSTERBOTTENS LÄN</t>
        </is>
      </c>
      <c r="E1096" t="inlineStr">
        <is>
          <t>LYCKSELE</t>
        </is>
      </c>
      <c r="F1096" t="inlineStr">
        <is>
          <t>Holmen skog AB</t>
        </is>
      </c>
      <c r="G1096" t="n">
        <v>3.3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34060-2023</t>
        </is>
      </c>
      <c r="B1097" s="1" t="n">
        <v>45135</v>
      </c>
      <c r="C1097" s="1" t="n">
        <v>45849</v>
      </c>
      <c r="D1097" t="inlineStr">
        <is>
          <t>VÄSTERBOTTENS LÄN</t>
        </is>
      </c>
      <c r="E1097" t="inlineStr">
        <is>
          <t>LYCKSELE</t>
        </is>
      </c>
      <c r="F1097" t="inlineStr">
        <is>
          <t>Holmen skog AB</t>
        </is>
      </c>
      <c r="G1097" t="n">
        <v>5.5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34066-2023</t>
        </is>
      </c>
      <c r="B1098" s="1" t="n">
        <v>45135</v>
      </c>
      <c r="C1098" s="1" t="n">
        <v>45849</v>
      </c>
      <c r="D1098" t="inlineStr">
        <is>
          <t>VÄSTERBOTTENS LÄN</t>
        </is>
      </c>
      <c r="E1098" t="inlineStr">
        <is>
          <t>LYCKSELE</t>
        </is>
      </c>
      <c r="F1098" t="inlineStr">
        <is>
          <t>Sveaskog</t>
        </is>
      </c>
      <c r="G1098" t="n">
        <v>7.9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34043-2023</t>
        </is>
      </c>
      <c r="B1099" s="1" t="n">
        <v>45135</v>
      </c>
      <c r="C1099" s="1" t="n">
        <v>45849</v>
      </c>
      <c r="D1099" t="inlineStr">
        <is>
          <t>VÄSTERBOTTENS LÄN</t>
        </is>
      </c>
      <c r="E1099" t="inlineStr">
        <is>
          <t>LYCKSELE</t>
        </is>
      </c>
      <c r="F1099" t="inlineStr">
        <is>
          <t>Holmen skog AB</t>
        </is>
      </c>
      <c r="G1099" t="n">
        <v>1.6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34191-2023</t>
        </is>
      </c>
      <c r="B1100" s="1" t="n">
        <v>45138</v>
      </c>
      <c r="C1100" s="1" t="n">
        <v>45849</v>
      </c>
      <c r="D1100" t="inlineStr">
        <is>
          <t>VÄSTERBOTTENS LÄN</t>
        </is>
      </c>
      <c r="E1100" t="inlineStr">
        <is>
          <t>LYCKSELE</t>
        </is>
      </c>
      <c r="G1100" t="n">
        <v>0.5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34590-2023</t>
        </is>
      </c>
      <c r="B1101" s="1" t="n">
        <v>45140</v>
      </c>
      <c r="C1101" s="1" t="n">
        <v>45849</v>
      </c>
      <c r="D1101" t="inlineStr">
        <is>
          <t>VÄSTERBOTTENS LÄN</t>
        </is>
      </c>
      <c r="E1101" t="inlineStr">
        <is>
          <t>LYCKSELE</t>
        </is>
      </c>
      <c r="F1101" t="inlineStr">
        <is>
          <t>Sveaskog</t>
        </is>
      </c>
      <c r="G1101" t="n">
        <v>4.4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34567-2023</t>
        </is>
      </c>
      <c r="B1102" s="1" t="n">
        <v>45140</v>
      </c>
      <c r="C1102" s="1" t="n">
        <v>45849</v>
      </c>
      <c r="D1102" t="inlineStr">
        <is>
          <t>VÄSTERBOTTENS LÄN</t>
        </is>
      </c>
      <c r="E1102" t="inlineStr">
        <is>
          <t>LYCKSELE</t>
        </is>
      </c>
      <c r="F1102" t="inlineStr">
        <is>
          <t>Sveaskog</t>
        </is>
      </c>
      <c r="G1102" t="n">
        <v>1.3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34577-2023</t>
        </is>
      </c>
      <c r="B1103" s="1" t="n">
        <v>45140</v>
      </c>
      <c r="C1103" s="1" t="n">
        <v>45849</v>
      </c>
      <c r="D1103" t="inlineStr">
        <is>
          <t>VÄSTERBOTTENS LÄN</t>
        </is>
      </c>
      <c r="E1103" t="inlineStr">
        <is>
          <t>LYCKSELE</t>
        </is>
      </c>
      <c r="F1103" t="inlineStr">
        <is>
          <t>Sveaskog</t>
        </is>
      </c>
      <c r="G1103" t="n">
        <v>5.1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34584-2023</t>
        </is>
      </c>
      <c r="B1104" s="1" t="n">
        <v>45140</v>
      </c>
      <c r="C1104" s="1" t="n">
        <v>45849</v>
      </c>
      <c r="D1104" t="inlineStr">
        <is>
          <t>VÄSTERBOTTENS LÄN</t>
        </is>
      </c>
      <c r="E1104" t="inlineStr">
        <is>
          <t>LYCKSELE</t>
        </is>
      </c>
      <c r="F1104" t="inlineStr">
        <is>
          <t>Sveaskog</t>
        </is>
      </c>
      <c r="G1104" t="n">
        <v>1.7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34639-2023</t>
        </is>
      </c>
      <c r="B1105" s="1" t="n">
        <v>45140</v>
      </c>
      <c r="C1105" s="1" t="n">
        <v>45849</v>
      </c>
      <c r="D1105" t="inlineStr">
        <is>
          <t>VÄSTERBOTTENS LÄN</t>
        </is>
      </c>
      <c r="E1105" t="inlineStr">
        <is>
          <t>LYCKSELE</t>
        </is>
      </c>
      <c r="F1105" t="inlineStr">
        <is>
          <t>Sveaskog</t>
        </is>
      </c>
      <c r="G1105" t="n">
        <v>1.6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34527-2023</t>
        </is>
      </c>
      <c r="B1106" s="1" t="n">
        <v>45140</v>
      </c>
      <c r="C1106" s="1" t="n">
        <v>45849</v>
      </c>
      <c r="D1106" t="inlineStr">
        <is>
          <t>VÄSTERBOTTENS LÄN</t>
        </is>
      </c>
      <c r="E1106" t="inlineStr">
        <is>
          <t>LYCKSELE</t>
        </is>
      </c>
      <c r="F1106" t="inlineStr">
        <is>
          <t>Sveaskog</t>
        </is>
      </c>
      <c r="G1106" t="n">
        <v>5.4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34701-2023</t>
        </is>
      </c>
      <c r="B1107" s="1" t="n">
        <v>45141</v>
      </c>
      <c r="C1107" s="1" t="n">
        <v>45849</v>
      </c>
      <c r="D1107" t="inlineStr">
        <is>
          <t>VÄSTERBOTTENS LÄN</t>
        </is>
      </c>
      <c r="E1107" t="inlineStr">
        <is>
          <t>LYCKSELE</t>
        </is>
      </c>
      <c r="F1107" t="inlineStr">
        <is>
          <t>SCA</t>
        </is>
      </c>
      <c r="G1107" t="n">
        <v>2.3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34849-2023</t>
        </is>
      </c>
      <c r="B1108" s="1" t="n">
        <v>45142</v>
      </c>
      <c r="C1108" s="1" t="n">
        <v>45849</v>
      </c>
      <c r="D1108" t="inlineStr">
        <is>
          <t>VÄSTERBOTTENS LÄN</t>
        </is>
      </c>
      <c r="E1108" t="inlineStr">
        <is>
          <t>LYCKSELE</t>
        </is>
      </c>
      <c r="F1108" t="inlineStr">
        <is>
          <t>SCA</t>
        </is>
      </c>
      <c r="G1108" t="n">
        <v>2.7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34903-2023</t>
        </is>
      </c>
      <c r="B1109" s="1" t="n">
        <v>45142</v>
      </c>
      <c r="C1109" s="1" t="n">
        <v>45849</v>
      </c>
      <c r="D1109" t="inlineStr">
        <is>
          <t>VÄSTERBOTTENS LÄN</t>
        </is>
      </c>
      <c r="E1109" t="inlineStr">
        <is>
          <t>LYCKSELE</t>
        </is>
      </c>
      <c r="F1109" t="inlineStr">
        <is>
          <t>Holmen skog AB</t>
        </is>
      </c>
      <c r="G1109" t="n">
        <v>2.9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34929-2023</t>
        </is>
      </c>
      <c r="B1110" s="1" t="n">
        <v>45142</v>
      </c>
      <c r="C1110" s="1" t="n">
        <v>45849</v>
      </c>
      <c r="D1110" t="inlineStr">
        <is>
          <t>VÄSTERBOTTENS LÄN</t>
        </is>
      </c>
      <c r="E1110" t="inlineStr">
        <is>
          <t>LYCKSELE</t>
        </is>
      </c>
      <c r="F1110" t="inlineStr">
        <is>
          <t>Sveaskog</t>
        </is>
      </c>
      <c r="G1110" t="n">
        <v>1.5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34933-2023</t>
        </is>
      </c>
      <c r="B1111" s="1" t="n">
        <v>45142</v>
      </c>
      <c r="C1111" s="1" t="n">
        <v>45849</v>
      </c>
      <c r="D1111" t="inlineStr">
        <is>
          <t>VÄSTERBOTTENS LÄN</t>
        </is>
      </c>
      <c r="E1111" t="inlineStr">
        <is>
          <t>LYCKSELE</t>
        </is>
      </c>
      <c r="F1111" t="inlineStr">
        <is>
          <t>Sveaskog</t>
        </is>
      </c>
      <c r="G1111" t="n">
        <v>5.6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35227-2023</t>
        </is>
      </c>
      <c r="B1112" s="1" t="n">
        <v>45145</v>
      </c>
      <c r="C1112" s="1" t="n">
        <v>45849</v>
      </c>
      <c r="D1112" t="inlineStr">
        <is>
          <t>VÄSTERBOTTENS LÄN</t>
        </is>
      </c>
      <c r="E1112" t="inlineStr">
        <is>
          <t>LYCKSELE</t>
        </is>
      </c>
      <c r="F1112" t="inlineStr">
        <is>
          <t>Sveaskog</t>
        </is>
      </c>
      <c r="G1112" t="n">
        <v>4.6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35284-2023</t>
        </is>
      </c>
      <c r="B1113" s="1" t="n">
        <v>45145</v>
      </c>
      <c r="C1113" s="1" t="n">
        <v>45849</v>
      </c>
      <c r="D1113" t="inlineStr">
        <is>
          <t>VÄSTERBOTTENS LÄN</t>
        </is>
      </c>
      <c r="E1113" t="inlineStr">
        <is>
          <t>LYCKSELE</t>
        </is>
      </c>
      <c r="F1113" t="inlineStr">
        <is>
          <t>SCA</t>
        </is>
      </c>
      <c r="G1113" t="n">
        <v>0.5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35283-2023</t>
        </is>
      </c>
      <c r="B1114" s="1" t="n">
        <v>45145</v>
      </c>
      <c r="C1114" s="1" t="n">
        <v>45849</v>
      </c>
      <c r="D1114" t="inlineStr">
        <is>
          <t>VÄSTERBOTTENS LÄN</t>
        </is>
      </c>
      <c r="E1114" t="inlineStr">
        <is>
          <t>LYCKSELE</t>
        </is>
      </c>
      <c r="F1114" t="inlineStr">
        <is>
          <t>SCA</t>
        </is>
      </c>
      <c r="G1114" t="n">
        <v>0.1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35285-2023</t>
        </is>
      </c>
      <c r="B1115" s="1" t="n">
        <v>45145</v>
      </c>
      <c r="C1115" s="1" t="n">
        <v>45849</v>
      </c>
      <c r="D1115" t="inlineStr">
        <is>
          <t>VÄSTERBOTTENS LÄN</t>
        </is>
      </c>
      <c r="E1115" t="inlineStr">
        <is>
          <t>LYCKSELE</t>
        </is>
      </c>
      <c r="G1115" t="n">
        <v>1.1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35633-2023</t>
        </is>
      </c>
      <c r="B1116" s="1" t="n">
        <v>45146</v>
      </c>
      <c r="C1116" s="1" t="n">
        <v>45849</v>
      </c>
      <c r="D1116" t="inlineStr">
        <is>
          <t>VÄSTERBOTTENS LÄN</t>
        </is>
      </c>
      <c r="E1116" t="inlineStr">
        <is>
          <t>LYCKSELE</t>
        </is>
      </c>
      <c r="G1116" t="n">
        <v>0.2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35559-2023</t>
        </is>
      </c>
      <c r="B1117" s="1" t="n">
        <v>45147</v>
      </c>
      <c r="C1117" s="1" t="n">
        <v>45849</v>
      </c>
      <c r="D1117" t="inlineStr">
        <is>
          <t>VÄSTERBOTTENS LÄN</t>
        </is>
      </c>
      <c r="E1117" t="inlineStr">
        <is>
          <t>LYCKSELE</t>
        </is>
      </c>
      <c r="G1117" t="n">
        <v>7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35561-2023</t>
        </is>
      </c>
      <c r="B1118" s="1" t="n">
        <v>45147</v>
      </c>
      <c r="C1118" s="1" t="n">
        <v>45849</v>
      </c>
      <c r="D1118" t="inlineStr">
        <is>
          <t>VÄSTERBOTTENS LÄN</t>
        </is>
      </c>
      <c r="E1118" t="inlineStr">
        <is>
          <t>LYCKSELE</t>
        </is>
      </c>
      <c r="G1118" t="n">
        <v>3.5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35765-2023</t>
        </is>
      </c>
      <c r="B1119" s="1" t="n">
        <v>45148</v>
      </c>
      <c r="C1119" s="1" t="n">
        <v>45849</v>
      </c>
      <c r="D1119" t="inlineStr">
        <is>
          <t>VÄSTERBOTTENS LÄN</t>
        </is>
      </c>
      <c r="E1119" t="inlineStr">
        <is>
          <t>LYCKSELE</t>
        </is>
      </c>
      <c r="F1119" t="inlineStr">
        <is>
          <t>SCA</t>
        </is>
      </c>
      <c r="G1119" t="n">
        <v>3.8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36132-2023</t>
        </is>
      </c>
      <c r="B1120" s="1" t="n">
        <v>45149</v>
      </c>
      <c r="C1120" s="1" t="n">
        <v>45849</v>
      </c>
      <c r="D1120" t="inlineStr">
        <is>
          <t>VÄSTERBOTTENS LÄN</t>
        </is>
      </c>
      <c r="E1120" t="inlineStr">
        <is>
          <t>LYCKSELE</t>
        </is>
      </c>
      <c r="G1120" t="n">
        <v>4.3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36146-2023</t>
        </is>
      </c>
      <c r="B1121" s="1" t="n">
        <v>45149</v>
      </c>
      <c r="C1121" s="1" t="n">
        <v>45849</v>
      </c>
      <c r="D1121" t="inlineStr">
        <is>
          <t>VÄSTERBOTTENS LÄN</t>
        </is>
      </c>
      <c r="E1121" t="inlineStr">
        <is>
          <t>LYCKSELE</t>
        </is>
      </c>
      <c r="G1121" t="n">
        <v>2.3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36267-2023</t>
        </is>
      </c>
      <c r="B1122" s="1" t="n">
        <v>45152</v>
      </c>
      <c r="C1122" s="1" t="n">
        <v>45849</v>
      </c>
      <c r="D1122" t="inlineStr">
        <is>
          <t>VÄSTERBOTTENS LÄN</t>
        </is>
      </c>
      <c r="E1122" t="inlineStr">
        <is>
          <t>LYCKSELE</t>
        </is>
      </c>
      <c r="F1122" t="inlineStr">
        <is>
          <t>SCA</t>
        </is>
      </c>
      <c r="G1122" t="n">
        <v>3.5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36375-2023</t>
        </is>
      </c>
      <c r="B1123" s="1" t="n">
        <v>45152</v>
      </c>
      <c r="C1123" s="1" t="n">
        <v>45849</v>
      </c>
      <c r="D1123" t="inlineStr">
        <is>
          <t>VÄSTERBOTTENS LÄN</t>
        </is>
      </c>
      <c r="E1123" t="inlineStr">
        <is>
          <t>LYCKSELE</t>
        </is>
      </c>
      <c r="F1123" t="inlineStr">
        <is>
          <t>Holmen skog AB</t>
        </is>
      </c>
      <c r="G1123" t="n">
        <v>2.1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36335-2023</t>
        </is>
      </c>
      <c r="B1124" s="1" t="n">
        <v>45152</v>
      </c>
      <c r="C1124" s="1" t="n">
        <v>45849</v>
      </c>
      <c r="D1124" t="inlineStr">
        <is>
          <t>VÄSTERBOTTENS LÄN</t>
        </is>
      </c>
      <c r="E1124" t="inlineStr">
        <is>
          <t>LYCKSELE</t>
        </is>
      </c>
      <c r="F1124" t="inlineStr">
        <is>
          <t>Holmen skog AB</t>
        </is>
      </c>
      <c r="G1124" t="n">
        <v>2.8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36611-2023</t>
        </is>
      </c>
      <c r="B1125" s="1" t="n">
        <v>45152</v>
      </c>
      <c r="C1125" s="1" t="n">
        <v>45849</v>
      </c>
      <c r="D1125" t="inlineStr">
        <is>
          <t>VÄSTERBOTTENS LÄN</t>
        </is>
      </c>
      <c r="E1125" t="inlineStr">
        <is>
          <t>LYCKSELE</t>
        </is>
      </c>
      <c r="G1125" t="n">
        <v>3.7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36604-2023</t>
        </is>
      </c>
      <c r="B1126" s="1" t="n">
        <v>45152</v>
      </c>
      <c r="C1126" s="1" t="n">
        <v>45849</v>
      </c>
      <c r="D1126" t="inlineStr">
        <is>
          <t>VÄSTERBOTTENS LÄN</t>
        </is>
      </c>
      <c r="E1126" t="inlineStr">
        <is>
          <t>LYCKSELE</t>
        </is>
      </c>
      <c r="G1126" t="n">
        <v>4.7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36619-2023</t>
        </is>
      </c>
      <c r="B1127" s="1" t="n">
        <v>45152</v>
      </c>
      <c r="C1127" s="1" t="n">
        <v>45849</v>
      </c>
      <c r="D1127" t="inlineStr">
        <is>
          <t>VÄSTERBOTTENS LÄN</t>
        </is>
      </c>
      <c r="E1127" t="inlineStr">
        <is>
          <t>LYCKSELE</t>
        </is>
      </c>
      <c r="G1127" t="n">
        <v>3.9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36867-2023</t>
        </is>
      </c>
      <c r="B1128" s="1" t="n">
        <v>45154</v>
      </c>
      <c r="C1128" s="1" t="n">
        <v>45849</v>
      </c>
      <c r="D1128" t="inlineStr">
        <is>
          <t>VÄSTERBOTTENS LÄN</t>
        </is>
      </c>
      <c r="E1128" t="inlineStr">
        <is>
          <t>LYCKSELE</t>
        </is>
      </c>
      <c r="F1128" t="inlineStr">
        <is>
          <t>Sveaskog</t>
        </is>
      </c>
      <c r="G1128" t="n">
        <v>2.2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36875-2023</t>
        </is>
      </c>
      <c r="B1129" s="1" t="n">
        <v>45154</v>
      </c>
      <c r="C1129" s="1" t="n">
        <v>45849</v>
      </c>
      <c r="D1129" t="inlineStr">
        <is>
          <t>VÄSTERBOTTENS LÄN</t>
        </is>
      </c>
      <c r="E1129" t="inlineStr">
        <is>
          <t>LYCKSELE</t>
        </is>
      </c>
      <c r="F1129" t="inlineStr">
        <is>
          <t>Sveaskog</t>
        </is>
      </c>
      <c r="G1129" t="n">
        <v>3.3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36900-2023</t>
        </is>
      </c>
      <c r="B1130" s="1" t="n">
        <v>45154</v>
      </c>
      <c r="C1130" s="1" t="n">
        <v>45849</v>
      </c>
      <c r="D1130" t="inlineStr">
        <is>
          <t>VÄSTERBOTTENS LÄN</t>
        </is>
      </c>
      <c r="E1130" t="inlineStr">
        <is>
          <t>LYCKSELE</t>
        </is>
      </c>
      <c r="F1130" t="inlineStr">
        <is>
          <t>Holmen skog AB</t>
        </is>
      </c>
      <c r="G1130" t="n">
        <v>3.9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36851-2023</t>
        </is>
      </c>
      <c r="B1131" s="1" t="n">
        <v>45154</v>
      </c>
      <c r="C1131" s="1" t="n">
        <v>45849</v>
      </c>
      <c r="D1131" t="inlineStr">
        <is>
          <t>VÄSTERBOTTENS LÄN</t>
        </is>
      </c>
      <c r="E1131" t="inlineStr">
        <is>
          <t>LYCKSELE</t>
        </is>
      </c>
      <c r="G1131" t="n">
        <v>1.4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37262-2023</t>
        </is>
      </c>
      <c r="B1132" s="1" t="n">
        <v>45155</v>
      </c>
      <c r="C1132" s="1" t="n">
        <v>45849</v>
      </c>
      <c r="D1132" t="inlineStr">
        <is>
          <t>VÄSTERBOTTENS LÄN</t>
        </is>
      </c>
      <c r="E1132" t="inlineStr">
        <is>
          <t>LYCKSELE</t>
        </is>
      </c>
      <c r="F1132" t="inlineStr">
        <is>
          <t>SCA</t>
        </is>
      </c>
      <c r="G1132" t="n">
        <v>4.1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37271-2023</t>
        </is>
      </c>
      <c r="B1133" s="1" t="n">
        <v>45155</v>
      </c>
      <c r="C1133" s="1" t="n">
        <v>45849</v>
      </c>
      <c r="D1133" t="inlineStr">
        <is>
          <t>VÄSTERBOTTENS LÄN</t>
        </is>
      </c>
      <c r="E1133" t="inlineStr">
        <is>
          <t>LYCKSELE</t>
        </is>
      </c>
      <c r="F1133" t="inlineStr">
        <is>
          <t>SCA</t>
        </is>
      </c>
      <c r="G1133" t="n">
        <v>4.7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37491-2023</t>
        </is>
      </c>
      <c r="B1134" s="1" t="n">
        <v>45156</v>
      </c>
      <c r="C1134" s="1" t="n">
        <v>45849</v>
      </c>
      <c r="D1134" t="inlineStr">
        <is>
          <t>VÄSTERBOTTENS LÄN</t>
        </is>
      </c>
      <c r="E1134" t="inlineStr">
        <is>
          <t>LYCKSELE</t>
        </is>
      </c>
      <c r="F1134" t="inlineStr">
        <is>
          <t>SCA</t>
        </is>
      </c>
      <c r="G1134" t="n">
        <v>0.4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37840-2023</t>
        </is>
      </c>
      <c r="B1135" s="1" t="n">
        <v>45156</v>
      </c>
      <c r="C1135" s="1" t="n">
        <v>45849</v>
      </c>
      <c r="D1135" t="inlineStr">
        <is>
          <t>VÄSTERBOTTENS LÄN</t>
        </is>
      </c>
      <c r="E1135" t="inlineStr">
        <is>
          <t>LYCKSELE</t>
        </is>
      </c>
      <c r="G1135" t="n">
        <v>3.2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37842-2023</t>
        </is>
      </c>
      <c r="B1136" s="1" t="n">
        <v>45156</v>
      </c>
      <c r="C1136" s="1" t="n">
        <v>45849</v>
      </c>
      <c r="D1136" t="inlineStr">
        <is>
          <t>VÄSTERBOTTENS LÄN</t>
        </is>
      </c>
      <c r="E1136" t="inlineStr">
        <is>
          <t>LYCKSELE</t>
        </is>
      </c>
      <c r="G1136" t="n">
        <v>4.2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37607-2023</t>
        </is>
      </c>
      <c r="B1137" s="1" t="n">
        <v>45159</v>
      </c>
      <c r="C1137" s="1" t="n">
        <v>45849</v>
      </c>
      <c r="D1137" t="inlineStr">
        <is>
          <t>VÄSTERBOTTENS LÄN</t>
        </is>
      </c>
      <c r="E1137" t="inlineStr">
        <is>
          <t>LYCKSELE</t>
        </is>
      </c>
      <c r="F1137" t="inlineStr">
        <is>
          <t>Sveaskog</t>
        </is>
      </c>
      <c r="G1137" t="n">
        <v>3.1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38183-2023</t>
        </is>
      </c>
      <c r="B1138" s="1" t="n">
        <v>45161</v>
      </c>
      <c r="C1138" s="1" t="n">
        <v>45849</v>
      </c>
      <c r="D1138" t="inlineStr">
        <is>
          <t>VÄSTERBOTTENS LÄN</t>
        </is>
      </c>
      <c r="E1138" t="inlineStr">
        <is>
          <t>LYCKSELE</t>
        </is>
      </c>
      <c r="F1138" t="inlineStr">
        <is>
          <t>Holmen skog AB</t>
        </is>
      </c>
      <c r="G1138" t="n">
        <v>2.3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38250-2023</t>
        </is>
      </c>
      <c r="B1139" s="1" t="n">
        <v>45161</v>
      </c>
      <c r="C1139" s="1" t="n">
        <v>45849</v>
      </c>
      <c r="D1139" t="inlineStr">
        <is>
          <t>VÄSTERBOTTENS LÄN</t>
        </is>
      </c>
      <c r="E1139" t="inlineStr">
        <is>
          <t>LYCKSELE</t>
        </is>
      </c>
      <c r="G1139" t="n">
        <v>2.5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38236-2023</t>
        </is>
      </c>
      <c r="B1140" s="1" t="n">
        <v>45161</v>
      </c>
      <c r="C1140" s="1" t="n">
        <v>45849</v>
      </c>
      <c r="D1140" t="inlineStr">
        <is>
          <t>VÄSTERBOTTENS LÄN</t>
        </is>
      </c>
      <c r="E1140" t="inlineStr">
        <is>
          <t>LYCKSELE</t>
        </is>
      </c>
      <c r="F1140" t="inlineStr">
        <is>
          <t>Holmen skog AB</t>
        </is>
      </c>
      <c r="G1140" t="n">
        <v>9.5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39047-2023</t>
        </is>
      </c>
      <c r="B1141" s="1" t="n">
        <v>45164</v>
      </c>
      <c r="C1141" s="1" t="n">
        <v>45849</v>
      </c>
      <c r="D1141" t="inlineStr">
        <is>
          <t>VÄSTERBOTTENS LÄN</t>
        </is>
      </c>
      <c r="E1141" t="inlineStr">
        <is>
          <t>LYCKSELE</t>
        </is>
      </c>
      <c r="G1141" t="n">
        <v>3.4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39250-2023</t>
        </is>
      </c>
      <c r="B1142" s="1" t="n">
        <v>45166</v>
      </c>
      <c r="C1142" s="1" t="n">
        <v>45849</v>
      </c>
      <c r="D1142" t="inlineStr">
        <is>
          <t>VÄSTERBOTTENS LÄN</t>
        </is>
      </c>
      <c r="E1142" t="inlineStr">
        <is>
          <t>LYCKSELE</t>
        </is>
      </c>
      <c r="F1142" t="inlineStr">
        <is>
          <t>Holmen skog AB</t>
        </is>
      </c>
      <c r="G1142" t="n">
        <v>13.9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39409-2023</t>
        </is>
      </c>
      <c r="B1143" s="1" t="n">
        <v>45166</v>
      </c>
      <c r="C1143" s="1" t="n">
        <v>45849</v>
      </c>
      <c r="D1143" t="inlineStr">
        <is>
          <t>VÄSTERBOTTENS LÄN</t>
        </is>
      </c>
      <c r="E1143" t="inlineStr">
        <is>
          <t>LYCKSELE</t>
        </is>
      </c>
      <c r="F1143" t="inlineStr">
        <is>
          <t>Sveaskog</t>
        </is>
      </c>
      <c r="G1143" t="n">
        <v>12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39410-2023</t>
        </is>
      </c>
      <c r="B1144" s="1" t="n">
        <v>45166</v>
      </c>
      <c r="C1144" s="1" t="n">
        <v>45849</v>
      </c>
      <c r="D1144" t="inlineStr">
        <is>
          <t>VÄSTERBOTTENS LÄN</t>
        </is>
      </c>
      <c r="E1144" t="inlineStr">
        <is>
          <t>LYCKSELE</t>
        </is>
      </c>
      <c r="F1144" t="inlineStr">
        <is>
          <t>Sveaskog</t>
        </is>
      </c>
      <c r="G1144" t="n">
        <v>2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39393-2023</t>
        </is>
      </c>
      <c r="B1145" s="1" t="n">
        <v>45166</v>
      </c>
      <c r="C1145" s="1" t="n">
        <v>45849</v>
      </c>
      <c r="D1145" t="inlineStr">
        <is>
          <t>VÄSTERBOTTENS LÄN</t>
        </is>
      </c>
      <c r="E1145" t="inlineStr">
        <is>
          <t>LYCKSELE</t>
        </is>
      </c>
      <c r="F1145" t="inlineStr">
        <is>
          <t>Sveaskog</t>
        </is>
      </c>
      <c r="G1145" t="n">
        <v>15.2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39397-2023</t>
        </is>
      </c>
      <c r="B1146" s="1" t="n">
        <v>45166</v>
      </c>
      <c r="C1146" s="1" t="n">
        <v>45849</v>
      </c>
      <c r="D1146" t="inlineStr">
        <is>
          <t>VÄSTERBOTTENS LÄN</t>
        </is>
      </c>
      <c r="E1146" t="inlineStr">
        <is>
          <t>LYCKSELE</t>
        </is>
      </c>
      <c r="F1146" t="inlineStr">
        <is>
          <t>Sveaskog</t>
        </is>
      </c>
      <c r="G1146" t="n">
        <v>5.4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39402-2023</t>
        </is>
      </c>
      <c r="B1147" s="1" t="n">
        <v>45166</v>
      </c>
      <c r="C1147" s="1" t="n">
        <v>45849</v>
      </c>
      <c r="D1147" t="inlineStr">
        <is>
          <t>VÄSTERBOTTENS LÄN</t>
        </is>
      </c>
      <c r="E1147" t="inlineStr">
        <is>
          <t>LYCKSELE</t>
        </is>
      </c>
      <c r="F1147" t="inlineStr">
        <is>
          <t>Sveaskog</t>
        </is>
      </c>
      <c r="G1147" t="n">
        <v>4.4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39767-2023</t>
        </is>
      </c>
      <c r="B1148" s="1" t="n">
        <v>45167</v>
      </c>
      <c r="C1148" s="1" t="n">
        <v>45849</v>
      </c>
      <c r="D1148" t="inlineStr">
        <is>
          <t>VÄSTERBOTTENS LÄN</t>
        </is>
      </c>
      <c r="E1148" t="inlineStr">
        <is>
          <t>LYCKSELE</t>
        </is>
      </c>
      <c r="F1148" t="inlineStr">
        <is>
          <t>Sveaskog</t>
        </is>
      </c>
      <c r="G1148" t="n">
        <v>11.7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39965-2023</t>
        </is>
      </c>
      <c r="B1149" s="1" t="n">
        <v>45168</v>
      </c>
      <c r="C1149" s="1" t="n">
        <v>45849</v>
      </c>
      <c r="D1149" t="inlineStr">
        <is>
          <t>VÄSTERBOTTENS LÄN</t>
        </is>
      </c>
      <c r="E1149" t="inlineStr">
        <is>
          <t>LYCKSELE</t>
        </is>
      </c>
      <c r="F1149" t="inlineStr">
        <is>
          <t>Holmen skog AB</t>
        </is>
      </c>
      <c r="G1149" t="n">
        <v>2.1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40594-2023</t>
        </is>
      </c>
      <c r="B1150" s="1" t="n">
        <v>45170</v>
      </c>
      <c r="C1150" s="1" t="n">
        <v>45849</v>
      </c>
      <c r="D1150" t="inlineStr">
        <is>
          <t>VÄSTERBOTTENS LÄN</t>
        </is>
      </c>
      <c r="E1150" t="inlineStr">
        <is>
          <t>LYCKSELE</t>
        </is>
      </c>
      <c r="F1150" t="inlineStr">
        <is>
          <t>Holmen skog AB</t>
        </is>
      </c>
      <c r="G1150" t="n">
        <v>7.2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40524-2023</t>
        </is>
      </c>
      <c r="B1151" s="1" t="n">
        <v>45170</v>
      </c>
      <c r="C1151" s="1" t="n">
        <v>45849</v>
      </c>
      <c r="D1151" t="inlineStr">
        <is>
          <t>VÄSTERBOTTENS LÄN</t>
        </is>
      </c>
      <c r="E1151" t="inlineStr">
        <is>
          <t>LYCKSELE</t>
        </is>
      </c>
      <c r="F1151" t="inlineStr">
        <is>
          <t>Sveaskog</t>
        </is>
      </c>
      <c r="G1151" t="n">
        <v>45.7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40930-2023</t>
        </is>
      </c>
      <c r="B1152" s="1" t="n">
        <v>45173</v>
      </c>
      <c r="C1152" s="1" t="n">
        <v>45849</v>
      </c>
      <c r="D1152" t="inlineStr">
        <is>
          <t>VÄSTERBOTTENS LÄN</t>
        </is>
      </c>
      <c r="E1152" t="inlineStr">
        <is>
          <t>LYCKSELE</t>
        </is>
      </c>
      <c r="F1152" t="inlineStr">
        <is>
          <t>Holmen skog AB</t>
        </is>
      </c>
      <c r="G1152" t="n">
        <v>3.6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41361-2023</t>
        </is>
      </c>
      <c r="B1153" s="1" t="n">
        <v>45174</v>
      </c>
      <c r="C1153" s="1" t="n">
        <v>45849</v>
      </c>
      <c r="D1153" t="inlineStr">
        <is>
          <t>VÄSTERBOTTENS LÄN</t>
        </is>
      </c>
      <c r="E1153" t="inlineStr">
        <is>
          <t>LYCKSELE</t>
        </is>
      </c>
      <c r="F1153" t="inlineStr">
        <is>
          <t>Holmen skog AB</t>
        </is>
      </c>
      <c r="G1153" t="n">
        <v>6.6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41358-2023</t>
        </is>
      </c>
      <c r="B1154" s="1" t="n">
        <v>45174</v>
      </c>
      <c r="C1154" s="1" t="n">
        <v>45849</v>
      </c>
      <c r="D1154" t="inlineStr">
        <is>
          <t>VÄSTERBOTTENS LÄN</t>
        </is>
      </c>
      <c r="E1154" t="inlineStr">
        <is>
          <t>LYCKSELE</t>
        </is>
      </c>
      <c r="F1154" t="inlineStr">
        <is>
          <t>Holmen skog AB</t>
        </is>
      </c>
      <c r="G1154" t="n">
        <v>4.8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41356-2023</t>
        </is>
      </c>
      <c r="B1155" s="1" t="n">
        <v>45174</v>
      </c>
      <c r="C1155" s="1" t="n">
        <v>45849</v>
      </c>
      <c r="D1155" t="inlineStr">
        <is>
          <t>VÄSTERBOTTENS LÄN</t>
        </is>
      </c>
      <c r="E1155" t="inlineStr">
        <is>
          <t>LYCKSELE</t>
        </is>
      </c>
      <c r="F1155" t="inlineStr">
        <is>
          <t>Holmen skog AB</t>
        </is>
      </c>
      <c r="G1155" t="n">
        <v>2.6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42024-2023</t>
        </is>
      </c>
      <c r="B1156" s="1" t="n">
        <v>45174</v>
      </c>
      <c r="C1156" s="1" t="n">
        <v>45849</v>
      </c>
      <c r="D1156" t="inlineStr">
        <is>
          <t>VÄSTERBOTTENS LÄN</t>
        </is>
      </c>
      <c r="E1156" t="inlineStr">
        <is>
          <t>LYCKSELE</t>
        </is>
      </c>
      <c r="G1156" t="n">
        <v>2.6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41465-2023</t>
        </is>
      </c>
      <c r="B1157" s="1" t="n">
        <v>45175</v>
      </c>
      <c r="C1157" s="1" t="n">
        <v>45849</v>
      </c>
      <c r="D1157" t="inlineStr">
        <is>
          <t>VÄSTERBOTTENS LÄN</t>
        </is>
      </c>
      <c r="E1157" t="inlineStr">
        <is>
          <t>LYCKSELE</t>
        </is>
      </c>
      <c r="F1157" t="inlineStr">
        <is>
          <t>Sveaskog</t>
        </is>
      </c>
      <c r="G1157" t="n">
        <v>7.2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41419-2023</t>
        </is>
      </c>
      <c r="B1158" s="1" t="n">
        <v>45175</v>
      </c>
      <c r="C1158" s="1" t="n">
        <v>45849</v>
      </c>
      <c r="D1158" t="inlineStr">
        <is>
          <t>VÄSTERBOTTENS LÄN</t>
        </is>
      </c>
      <c r="E1158" t="inlineStr">
        <is>
          <t>LYCKSELE</t>
        </is>
      </c>
      <c r="F1158" t="inlineStr">
        <is>
          <t>Sveaskog</t>
        </is>
      </c>
      <c r="G1158" t="n">
        <v>4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41423-2023</t>
        </is>
      </c>
      <c r="B1159" s="1" t="n">
        <v>45175</v>
      </c>
      <c r="C1159" s="1" t="n">
        <v>45849</v>
      </c>
      <c r="D1159" t="inlineStr">
        <is>
          <t>VÄSTERBOTTENS LÄN</t>
        </is>
      </c>
      <c r="E1159" t="inlineStr">
        <is>
          <t>LYCKSELE</t>
        </is>
      </c>
      <c r="F1159" t="inlineStr">
        <is>
          <t>Sveaskog</t>
        </is>
      </c>
      <c r="G1159" t="n">
        <v>4.4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41728-2023</t>
        </is>
      </c>
      <c r="B1160" s="1" t="n">
        <v>45176</v>
      </c>
      <c r="C1160" s="1" t="n">
        <v>45849</v>
      </c>
      <c r="D1160" t="inlineStr">
        <is>
          <t>VÄSTERBOTTENS LÄN</t>
        </is>
      </c>
      <c r="E1160" t="inlineStr">
        <is>
          <t>LYCKSELE</t>
        </is>
      </c>
      <c r="G1160" t="n">
        <v>4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41703-2023</t>
        </is>
      </c>
      <c r="B1161" s="1" t="n">
        <v>45176</v>
      </c>
      <c r="C1161" s="1" t="n">
        <v>45849</v>
      </c>
      <c r="D1161" t="inlineStr">
        <is>
          <t>VÄSTERBOTTENS LÄN</t>
        </is>
      </c>
      <c r="E1161" t="inlineStr">
        <is>
          <t>LYCKSELE</t>
        </is>
      </c>
      <c r="G1161" t="n">
        <v>1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41707-2023</t>
        </is>
      </c>
      <c r="B1162" s="1" t="n">
        <v>45176</v>
      </c>
      <c r="C1162" s="1" t="n">
        <v>45849</v>
      </c>
      <c r="D1162" t="inlineStr">
        <is>
          <t>VÄSTERBOTTENS LÄN</t>
        </is>
      </c>
      <c r="E1162" t="inlineStr">
        <is>
          <t>LYCKSELE</t>
        </is>
      </c>
      <c r="F1162" t="inlineStr">
        <is>
          <t>Holmen skog AB</t>
        </is>
      </c>
      <c r="G1162" t="n">
        <v>4.1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41711-2023</t>
        </is>
      </c>
      <c r="B1163" s="1" t="n">
        <v>45176</v>
      </c>
      <c r="C1163" s="1" t="n">
        <v>45849</v>
      </c>
      <c r="D1163" t="inlineStr">
        <is>
          <t>VÄSTERBOTTENS LÄN</t>
        </is>
      </c>
      <c r="E1163" t="inlineStr">
        <is>
          <t>LYCKSELE</t>
        </is>
      </c>
      <c r="F1163" t="inlineStr">
        <is>
          <t>Holmen skog AB</t>
        </is>
      </c>
      <c r="G1163" t="n">
        <v>2.9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42457-2023</t>
        </is>
      </c>
      <c r="B1164" s="1" t="n">
        <v>45180</v>
      </c>
      <c r="C1164" s="1" t="n">
        <v>45849</v>
      </c>
      <c r="D1164" t="inlineStr">
        <is>
          <t>VÄSTERBOTTENS LÄN</t>
        </is>
      </c>
      <c r="E1164" t="inlineStr">
        <is>
          <t>LYCKSELE</t>
        </is>
      </c>
      <c r="F1164" t="inlineStr">
        <is>
          <t>Sveaskog</t>
        </is>
      </c>
      <c r="G1164" t="n">
        <v>9.300000000000001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42466-2023</t>
        </is>
      </c>
      <c r="B1165" s="1" t="n">
        <v>45180</v>
      </c>
      <c r="C1165" s="1" t="n">
        <v>45849</v>
      </c>
      <c r="D1165" t="inlineStr">
        <is>
          <t>VÄSTERBOTTENS LÄN</t>
        </is>
      </c>
      <c r="E1165" t="inlineStr">
        <is>
          <t>LYCKSELE</t>
        </is>
      </c>
      <c r="F1165" t="inlineStr">
        <is>
          <t>Holmen skog AB</t>
        </is>
      </c>
      <c r="G1165" t="n">
        <v>5.4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42475-2023</t>
        </is>
      </c>
      <c r="B1166" s="1" t="n">
        <v>45180</v>
      </c>
      <c r="C1166" s="1" t="n">
        <v>45849</v>
      </c>
      <c r="D1166" t="inlineStr">
        <is>
          <t>VÄSTERBOTTENS LÄN</t>
        </is>
      </c>
      <c r="E1166" t="inlineStr">
        <is>
          <t>LYCKSELE</t>
        </is>
      </c>
      <c r="F1166" t="inlineStr">
        <is>
          <t>Holmen skog AB</t>
        </is>
      </c>
      <c r="G1166" t="n">
        <v>2.8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42747-2023</t>
        </is>
      </c>
      <c r="B1167" s="1" t="n">
        <v>45181</v>
      </c>
      <c r="C1167" s="1" t="n">
        <v>45849</v>
      </c>
      <c r="D1167" t="inlineStr">
        <is>
          <t>VÄSTERBOTTENS LÄN</t>
        </is>
      </c>
      <c r="E1167" t="inlineStr">
        <is>
          <t>LYCKSELE</t>
        </is>
      </c>
      <c r="F1167" t="inlineStr">
        <is>
          <t>Sveaskog</t>
        </is>
      </c>
      <c r="G1167" t="n">
        <v>9.199999999999999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42814-2023</t>
        </is>
      </c>
      <c r="B1168" s="1" t="n">
        <v>45182</v>
      </c>
      <c r="C1168" s="1" t="n">
        <v>45849</v>
      </c>
      <c r="D1168" t="inlineStr">
        <is>
          <t>VÄSTERBOTTENS LÄN</t>
        </is>
      </c>
      <c r="E1168" t="inlineStr">
        <is>
          <t>LYCKSELE</t>
        </is>
      </c>
      <c r="G1168" t="n">
        <v>1.5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43134-2023</t>
        </is>
      </c>
      <c r="B1169" s="1" t="n">
        <v>45182</v>
      </c>
      <c r="C1169" s="1" t="n">
        <v>45849</v>
      </c>
      <c r="D1169" t="inlineStr">
        <is>
          <t>VÄSTERBOTTENS LÄN</t>
        </is>
      </c>
      <c r="E1169" t="inlineStr">
        <is>
          <t>LYCKSELE</t>
        </is>
      </c>
      <c r="F1169" t="inlineStr">
        <is>
          <t>SCA</t>
        </is>
      </c>
      <c r="G1169" t="n">
        <v>2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43298-2023</t>
        </is>
      </c>
      <c r="B1170" s="1" t="n">
        <v>45183</v>
      </c>
      <c r="C1170" s="1" t="n">
        <v>45849</v>
      </c>
      <c r="D1170" t="inlineStr">
        <is>
          <t>VÄSTERBOTTENS LÄN</t>
        </is>
      </c>
      <c r="E1170" t="inlineStr">
        <is>
          <t>LYCKSELE</t>
        </is>
      </c>
      <c r="G1170" t="n">
        <v>6.4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43496-2023</t>
        </is>
      </c>
      <c r="B1171" s="1" t="n">
        <v>45184</v>
      </c>
      <c r="C1171" s="1" t="n">
        <v>45849</v>
      </c>
      <c r="D1171" t="inlineStr">
        <is>
          <t>VÄSTERBOTTENS LÄN</t>
        </is>
      </c>
      <c r="E1171" t="inlineStr">
        <is>
          <t>LYCKSELE</t>
        </is>
      </c>
      <c r="F1171" t="inlineStr">
        <is>
          <t>Sveaskog</t>
        </is>
      </c>
      <c r="G1171" t="n">
        <v>14.4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43614-2023</t>
        </is>
      </c>
      <c r="B1172" s="1" t="n">
        <v>45184</v>
      </c>
      <c r="C1172" s="1" t="n">
        <v>45849</v>
      </c>
      <c r="D1172" t="inlineStr">
        <is>
          <t>VÄSTERBOTTENS LÄN</t>
        </is>
      </c>
      <c r="E1172" t="inlineStr">
        <is>
          <t>LYCKSELE</t>
        </is>
      </c>
      <c r="F1172" t="inlineStr">
        <is>
          <t>Sveaskog</t>
        </is>
      </c>
      <c r="G1172" t="n">
        <v>5.2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43561-2023</t>
        </is>
      </c>
      <c r="B1173" s="1" t="n">
        <v>45184</v>
      </c>
      <c r="C1173" s="1" t="n">
        <v>45849</v>
      </c>
      <c r="D1173" t="inlineStr">
        <is>
          <t>VÄSTERBOTTENS LÄN</t>
        </is>
      </c>
      <c r="E1173" t="inlineStr">
        <is>
          <t>LYCKSELE</t>
        </is>
      </c>
      <c r="F1173" t="inlineStr">
        <is>
          <t>Holmen skog AB</t>
        </is>
      </c>
      <c r="G1173" t="n">
        <v>5.5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43636-2023</t>
        </is>
      </c>
      <c r="B1174" s="1" t="n">
        <v>45186</v>
      </c>
      <c r="C1174" s="1" t="n">
        <v>45849</v>
      </c>
      <c r="D1174" t="inlineStr">
        <is>
          <t>VÄSTERBOTTENS LÄN</t>
        </is>
      </c>
      <c r="E1174" t="inlineStr">
        <is>
          <t>LYCKSELE</t>
        </is>
      </c>
      <c r="G1174" t="n">
        <v>2.3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43671-2023</t>
        </is>
      </c>
      <c r="B1175" s="1" t="n">
        <v>45187</v>
      </c>
      <c r="C1175" s="1" t="n">
        <v>45849</v>
      </c>
      <c r="D1175" t="inlineStr">
        <is>
          <t>VÄSTERBOTTENS LÄN</t>
        </is>
      </c>
      <c r="E1175" t="inlineStr">
        <is>
          <t>LYCKSELE</t>
        </is>
      </c>
      <c r="F1175" t="inlineStr">
        <is>
          <t>Holmen skog AB</t>
        </is>
      </c>
      <c r="G1175" t="n">
        <v>1.8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43878-2023</t>
        </is>
      </c>
      <c r="B1176" s="1" t="n">
        <v>45187</v>
      </c>
      <c r="C1176" s="1" t="n">
        <v>45849</v>
      </c>
      <c r="D1176" t="inlineStr">
        <is>
          <t>VÄSTERBOTTENS LÄN</t>
        </is>
      </c>
      <c r="E1176" t="inlineStr">
        <is>
          <t>LYCKSELE</t>
        </is>
      </c>
      <c r="G1176" t="n">
        <v>3.6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43727-2023</t>
        </is>
      </c>
      <c r="B1177" s="1" t="n">
        <v>45187</v>
      </c>
      <c r="C1177" s="1" t="n">
        <v>45849</v>
      </c>
      <c r="D1177" t="inlineStr">
        <is>
          <t>VÄSTERBOTTENS LÄN</t>
        </is>
      </c>
      <c r="E1177" t="inlineStr">
        <is>
          <t>LYCKSELE</t>
        </is>
      </c>
      <c r="F1177" t="inlineStr">
        <is>
          <t>Sveaskog</t>
        </is>
      </c>
      <c r="G1177" t="n">
        <v>3.8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43702-2023</t>
        </is>
      </c>
      <c r="B1178" s="1" t="n">
        <v>45187</v>
      </c>
      <c r="C1178" s="1" t="n">
        <v>45849</v>
      </c>
      <c r="D1178" t="inlineStr">
        <is>
          <t>VÄSTERBOTTENS LÄN</t>
        </is>
      </c>
      <c r="E1178" t="inlineStr">
        <is>
          <t>LYCKSELE</t>
        </is>
      </c>
      <c r="F1178" t="inlineStr">
        <is>
          <t>Sveaskog</t>
        </is>
      </c>
      <c r="G1178" t="n">
        <v>9.6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43875-2023</t>
        </is>
      </c>
      <c r="B1179" s="1" t="n">
        <v>45187</v>
      </c>
      <c r="C1179" s="1" t="n">
        <v>45849</v>
      </c>
      <c r="D1179" t="inlineStr">
        <is>
          <t>VÄSTERBOTTENS LÄN</t>
        </is>
      </c>
      <c r="E1179" t="inlineStr">
        <is>
          <t>LYCKSELE</t>
        </is>
      </c>
      <c r="G1179" t="n">
        <v>1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43973-2023</t>
        </is>
      </c>
      <c r="B1180" s="1" t="n">
        <v>45187</v>
      </c>
      <c r="C1180" s="1" t="n">
        <v>45849</v>
      </c>
      <c r="D1180" t="inlineStr">
        <is>
          <t>VÄSTERBOTTENS LÄN</t>
        </is>
      </c>
      <c r="E1180" t="inlineStr">
        <is>
          <t>LYCKSELE</t>
        </is>
      </c>
      <c r="F1180" t="inlineStr">
        <is>
          <t>SCA</t>
        </is>
      </c>
      <c r="G1180" t="n">
        <v>1.9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44332-2023</t>
        </is>
      </c>
      <c r="B1181" s="1" t="n">
        <v>45188</v>
      </c>
      <c r="C1181" s="1" t="n">
        <v>45849</v>
      </c>
      <c r="D1181" t="inlineStr">
        <is>
          <t>VÄSTERBOTTENS LÄN</t>
        </is>
      </c>
      <c r="E1181" t="inlineStr">
        <is>
          <t>LYCKSELE</t>
        </is>
      </c>
      <c r="F1181" t="inlineStr">
        <is>
          <t>Sveaskog</t>
        </is>
      </c>
      <c r="G1181" t="n">
        <v>4.8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44375-2023</t>
        </is>
      </c>
      <c r="B1182" s="1" t="n">
        <v>45189</v>
      </c>
      <c r="C1182" s="1" t="n">
        <v>45849</v>
      </c>
      <c r="D1182" t="inlineStr">
        <is>
          <t>VÄSTERBOTTENS LÄN</t>
        </is>
      </c>
      <c r="E1182" t="inlineStr">
        <is>
          <t>LYCKSELE</t>
        </is>
      </c>
      <c r="G1182" t="n">
        <v>4.2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44755-2023</t>
        </is>
      </c>
      <c r="B1183" s="1" t="n">
        <v>45190</v>
      </c>
      <c r="C1183" s="1" t="n">
        <v>45849</v>
      </c>
      <c r="D1183" t="inlineStr">
        <is>
          <t>VÄSTERBOTTENS LÄN</t>
        </is>
      </c>
      <c r="E1183" t="inlineStr">
        <is>
          <t>LYCKSELE</t>
        </is>
      </c>
      <c r="F1183" t="inlineStr">
        <is>
          <t>Sveaskog</t>
        </is>
      </c>
      <c r="G1183" t="n">
        <v>2.4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44851-2023</t>
        </is>
      </c>
      <c r="B1184" s="1" t="n">
        <v>45190</v>
      </c>
      <c r="C1184" s="1" t="n">
        <v>45849</v>
      </c>
      <c r="D1184" t="inlineStr">
        <is>
          <t>VÄSTERBOTTENS LÄN</t>
        </is>
      </c>
      <c r="E1184" t="inlineStr">
        <is>
          <t>LYCKSELE</t>
        </is>
      </c>
      <c r="F1184" t="inlineStr">
        <is>
          <t>Sveaskog</t>
        </is>
      </c>
      <c r="G1184" t="n">
        <v>8.199999999999999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44892-2023</t>
        </is>
      </c>
      <c r="B1185" s="1" t="n">
        <v>45190</v>
      </c>
      <c r="C1185" s="1" t="n">
        <v>45849</v>
      </c>
      <c r="D1185" t="inlineStr">
        <is>
          <t>VÄSTERBOTTENS LÄN</t>
        </is>
      </c>
      <c r="E1185" t="inlineStr">
        <is>
          <t>LYCKSELE</t>
        </is>
      </c>
      <c r="F1185" t="inlineStr">
        <is>
          <t>Sveaskog</t>
        </is>
      </c>
      <c r="G1185" t="n">
        <v>3.2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46072-2023</t>
        </is>
      </c>
      <c r="B1186" s="1" t="n">
        <v>45190</v>
      </c>
      <c r="C1186" s="1" t="n">
        <v>45849</v>
      </c>
      <c r="D1186" t="inlineStr">
        <is>
          <t>VÄSTERBOTTENS LÄN</t>
        </is>
      </c>
      <c r="E1186" t="inlineStr">
        <is>
          <t>LYCKSELE</t>
        </is>
      </c>
      <c r="G1186" t="n">
        <v>7.1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45130-2023</t>
        </is>
      </c>
      <c r="B1187" s="1" t="n">
        <v>45191</v>
      </c>
      <c r="C1187" s="1" t="n">
        <v>45849</v>
      </c>
      <c r="D1187" t="inlineStr">
        <is>
          <t>VÄSTERBOTTENS LÄN</t>
        </is>
      </c>
      <c r="E1187" t="inlineStr">
        <is>
          <t>LYCKSELE</t>
        </is>
      </c>
      <c r="F1187" t="inlineStr">
        <is>
          <t>Sveaskog</t>
        </is>
      </c>
      <c r="G1187" t="n">
        <v>1.1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46132-2023</t>
        </is>
      </c>
      <c r="B1188" s="1" t="n">
        <v>45196</v>
      </c>
      <c r="C1188" s="1" t="n">
        <v>45849</v>
      </c>
      <c r="D1188" t="inlineStr">
        <is>
          <t>VÄSTERBOTTENS LÄN</t>
        </is>
      </c>
      <c r="E1188" t="inlineStr">
        <is>
          <t>LYCKSELE</t>
        </is>
      </c>
      <c r="F1188" t="inlineStr">
        <is>
          <t>Sveaskog</t>
        </is>
      </c>
      <c r="G1188" t="n">
        <v>5.4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46176-2023</t>
        </is>
      </c>
      <c r="B1189" s="1" t="n">
        <v>45196</v>
      </c>
      <c r="C1189" s="1" t="n">
        <v>45849</v>
      </c>
      <c r="D1189" t="inlineStr">
        <is>
          <t>VÄSTERBOTTENS LÄN</t>
        </is>
      </c>
      <c r="E1189" t="inlineStr">
        <is>
          <t>LYCKSELE</t>
        </is>
      </c>
      <c r="F1189" t="inlineStr">
        <is>
          <t>Sveaskog</t>
        </is>
      </c>
      <c r="G1189" t="n">
        <v>5.5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46183-2023</t>
        </is>
      </c>
      <c r="B1190" s="1" t="n">
        <v>45196</v>
      </c>
      <c r="C1190" s="1" t="n">
        <v>45849</v>
      </c>
      <c r="D1190" t="inlineStr">
        <is>
          <t>VÄSTERBOTTENS LÄN</t>
        </is>
      </c>
      <c r="E1190" t="inlineStr">
        <is>
          <t>LYCKSELE</t>
        </is>
      </c>
      <c r="F1190" t="inlineStr">
        <is>
          <t>Sveaskog</t>
        </is>
      </c>
      <c r="G1190" t="n">
        <v>6.1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46638-2023</t>
        </is>
      </c>
      <c r="B1191" s="1" t="n">
        <v>45198</v>
      </c>
      <c r="C1191" s="1" t="n">
        <v>45849</v>
      </c>
      <c r="D1191" t="inlineStr">
        <is>
          <t>VÄSTERBOTTENS LÄN</t>
        </is>
      </c>
      <c r="E1191" t="inlineStr">
        <is>
          <t>LYCKSELE</t>
        </is>
      </c>
      <c r="F1191" t="inlineStr">
        <is>
          <t>Sveaskog</t>
        </is>
      </c>
      <c r="G1191" t="n">
        <v>1.4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46826-2023</t>
        </is>
      </c>
      <c r="B1192" s="1" t="n">
        <v>45199</v>
      </c>
      <c r="C1192" s="1" t="n">
        <v>45849</v>
      </c>
      <c r="D1192" t="inlineStr">
        <is>
          <t>VÄSTERBOTTENS LÄN</t>
        </is>
      </c>
      <c r="E1192" t="inlineStr">
        <is>
          <t>LYCKSELE</t>
        </is>
      </c>
      <c r="F1192" t="inlineStr">
        <is>
          <t>SCA</t>
        </is>
      </c>
      <c r="G1192" t="n">
        <v>2.7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46897-2023</t>
        </is>
      </c>
      <c r="B1193" s="1" t="n">
        <v>45201</v>
      </c>
      <c r="C1193" s="1" t="n">
        <v>45849</v>
      </c>
      <c r="D1193" t="inlineStr">
        <is>
          <t>VÄSTERBOTTENS LÄN</t>
        </is>
      </c>
      <c r="E1193" t="inlineStr">
        <is>
          <t>LYCKSELE</t>
        </is>
      </c>
      <c r="F1193" t="inlineStr">
        <is>
          <t>Sveaskog</t>
        </is>
      </c>
      <c r="G1193" t="n">
        <v>1.7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46896-2023</t>
        </is>
      </c>
      <c r="B1194" s="1" t="n">
        <v>45201</v>
      </c>
      <c r="C1194" s="1" t="n">
        <v>45849</v>
      </c>
      <c r="D1194" t="inlineStr">
        <is>
          <t>VÄSTERBOTTENS LÄN</t>
        </is>
      </c>
      <c r="E1194" t="inlineStr">
        <is>
          <t>LYCKSELE</t>
        </is>
      </c>
      <c r="F1194" t="inlineStr">
        <is>
          <t>Sveaskog</t>
        </is>
      </c>
      <c r="G1194" t="n">
        <v>1.5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47117-2023</t>
        </is>
      </c>
      <c r="B1195" s="1" t="n">
        <v>45201</v>
      </c>
      <c r="C1195" s="1" t="n">
        <v>45849</v>
      </c>
      <c r="D1195" t="inlineStr">
        <is>
          <t>VÄSTERBOTTENS LÄN</t>
        </is>
      </c>
      <c r="E1195" t="inlineStr">
        <is>
          <t>LYCKSELE</t>
        </is>
      </c>
      <c r="G1195" t="n">
        <v>1.5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47096-2023</t>
        </is>
      </c>
      <c r="B1196" s="1" t="n">
        <v>45201</v>
      </c>
      <c r="C1196" s="1" t="n">
        <v>45849</v>
      </c>
      <c r="D1196" t="inlineStr">
        <is>
          <t>VÄSTERBOTTENS LÄN</t>
        </is>
      </c>
      <c r="E1196" t="inlineStr">
        <is>
          <t>LYCKSELE</t>
        </is>
      </c>
      <c r="G1196" t="n">
        <v>1.3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48876-2023</t>
        </is>
      </c>
      <c r="B1197" s="1" t="n">
        <v>45203</v>
      </c>
      <c r="C1197" s="1" t="n">
        <v>45849</v>
      </c>
      <c r="D1197" t="inlineStr">
        <is>
          <t>VÄSTERBOTTENS LÄN</t>
        </is>
      </c>
      <c r="E1197" t="inlineStr">
        <is>
          <t>LYCKSELE</t>
        </is>
      </c>
      <c r="G1197" t="n">
        <v>9.9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47982-2023</t>
        </is>
      </c>
      <c r="B1198" s="1" t="n">
        <v>45204</v>
      </c>
      <c r="C1198" s="1" t="n">
        <v>45849</v>
      </c>
      <c r="D1198" t="inlineStr">
        <is>
          <t>VÄSTERBOTTENS LÄN</t>
        </is>
      </c>
      <c r="E1198" t="inlineStr">
        <is>
          <t>LYCKSELE</t>
        </is>
      </c>
      <c r="F1198" t="inlineStr">
        <is>
          <t>Sveaskog</t>
        </is>
      </c>
      <c r="G1198" t="n">
        <v>3.7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48008-2023</t>
        </is>
      </c>
      <c r="B1199" s="1" t="n">
        <v>45204</v>
      </c>
      <c r="C1199" s="1" t="n">
        <v>45849</v>
      </c>
      <c r="D1199" t="inlineStr">
        <is>
          <t>VÄSTERBOTTENS LÄN</t>
        </is>
      </c>
      <c r="E1199" t="inlineStr">
        <is>
          <t>LYCKSELE</t>
        </is>
      </c>
      <c r="F1199" t="inlineStr">
        <is>
          <t>Sveaskog</t>
        </is>
      </c>
      <c r="G1199" t="n">
        <v>1.8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48230-2023</t>
        </is>
      </c>
      <c r="B1200" s="1" t="n">
        <v>45205</v>
      </c>
      <c r="C1200" s="1" t="n">
        <v>45849</v>
      </c>
      <c r="D1200" t="inlineStr">
        <is>
          <t>VÄSTERBOTTENS LÄN</t>
        </is>
      </c>
      <c r="E1200" t="inlineStr">
        <is>
          <t>LYCKSELE</t>
        </is>
      </c>
      <c r="F1200" t="inlineStr">
        <is>
          <t>Holmen skog AB</t>
        </is>
      </c>
      <c r="G1200" t="n">
        <v>7.2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48534-2023</t>
        </is>
      </c>
      <c r="B1201" s="1" t="n">
        <v>45208</v>
      </c>
      <c r="C1201" s="1" t="n">
        <v>45849</v>
      </c>
      <c r="D1201" t="inlineStr">
        <is>
          <t>VÄSTERBOTTENS LÄN</t>
        </is>
      </c>
      <c r="E1201" t="inlineStr">
        <is>
          <t>LYCKSELE</t>
        </is>
      </c>
      <c r="G1201" t="n">
        <v>7.1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48542-2023</t>
        </is>
      </c>
      <c r="B1202" s="1" t="n">
        <v>45208</v>
      </c>
      <c r="C1202" s="1" t="n">
        <v>45849</v>
      </c>
      <c r="D1202" t="inlineStr">
        <is>
          <t>VÄSTERBOTTENS LÄN</t>
        </is>
      </c>
      <c r="E1202" t="inlineStr">
        <is>
          <t>LYCKSELE</t>
        </is>
      </c>
      <c r="G1202" t="n">
        <v>5.5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48992-2023</t>
        </is>
      </c>
      <c r="B1203" s="1" t="n">
        <v>45209</v>
      </c>
      <c r="C1203" s="1" t="n">
        <v>45849</v>
      </c>
      <c r="D1203" t="inlineStr">
        <is>
          <t>VÄSTERBOTTENS LÄN</t>
        </is>
      </c>
      <c r="E1203" t="inlineStr">
        <is>
          <t>LYCKSELE</t>
        </is>
      </c>
      <c r="G1203" t="n">
        <v>4.6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49175-2023</t>
        </is>
      </c>
      <c r="B1204" s="1" t="n">
        <v>45210</v>
      </c>
      <c r="C1204" s="1" t="n">
        <v>45849</v>
      </c>
      <c r="D1204" t="inlineStr">
        <is>
          <t>VÄSTERBOTTENS LÄN</t>
        </is>
      </c>
      <c r="E1204" t="inlineStr">
        <is>
          <t>LYCKSELE</t>
        </is>
      </c>
      <c r="G1204" t="n">
        <v>5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49335-2023</t>
        </is>
      </c>
      <c r="B1205" s="1" t="n">
        <v>45211</v>
      </c>
      <c r="C1205" s="1" t="n">
        <v>45849</v>
      </c>
      <c r="D1205" t="inlineStr">
        <is>
          <t>VÄSTERBOTTENS LÄN</t>
        </is>
      </c>
      <c r="E1205" t="inlineStr">
        <is>
          <t>LYCKSELE</t>
        </is>
      </c>
      <c r="F1205" t="inlineStr">
        <is>
          <t>SCA</t>
        </is>
      </c>
      <c r="G1205" t="n">
        <v>1.3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49407-2023</t>
        </is>
      </c>
      <c r="B1206" s="1" t="n">
        <v>45211</v>
      </c>
      <c r="C1206" s="1" t="n">
        <v>45849</v>
      </c>
      <c r="D1206" t="inlineStr">
        <is>
          <t>VÄSTERBOTTENS LÄN</t>
        </is>
      </c>
      <c r="E1206" t="inlineStr">
        <is>
          <t>LYCKSELE</t>
        </is>
      </c>
      <c r="F1206" t="inlineStr">
        <is>
          <t>Sveaskog</t>
        </is>
      </c>
      <c r="G1206" t="n">
        <v>8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49492-2023</t>
        </is>
      </c>
      <c r="B1207" s="1" t="n">
        <v>45211</v>
      </c>
      <c r="C1207" s="1" t="n">
        <v>45849</v>
      </c>
      <c r="D1207" t="inlineStr">
        <is>
          <t>VÄSTERBOTTENS LÄN</t>
        </is>
      </c>
      <c r="E1207" t="inlineStr">
        <is>
          <t>LYCKSELE</t>
        </is>
      </c>
      <c r="F1207" t="inlineStr">
        <is>
          <t>Sveaskog</t>
        </is>
      </c>
      <c r="G1207" t="n">
        <v>3.6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49631-2023</t>
        </is>
      </c>
      <c r="B1208" s="1" t="n">
        <v>45211</v>
      </c>
      <c r="C1208" s="1" t="n">
        <v>45849</v>
      </c>
      <c r="D1208" t="inlineStr">
        <is>
          <t>VÄSTERBOTTENS LÄN</t>
        </is>
      </c>
      <c r="E1208" t="inlineStr">
        <is>
          <t>LYCKSELE</t>
        </is>
      </c>
      <c r="F1208" t="inlineStr">
        <is>
          <t>Kommuner</t>
        </is>
      </c>
      <c r="G1208" t="n">
        <v>0.1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50004-2023</t>
        </is>
      </c>
      <c r="B1209" s="1" t="n">
        <v>45215</v>
      </c>
      <c r="C1209" s="1" t="n">
        <v>45849</v>
      </c>
      <c r="D1209" t="inlineStr">
        <is>
          <t>VÄSTERBOTTENS LÄN</t>
        </is>
      </c>
      <c r="E1209" t="inlineStr">
        <is>
          <t>LYCKSELE</t>
        </is>
      </c>
      <c r="G1209" t="n">
        <v>2.3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50545-2023</t>
        </is>
      </c>
      <c r="B1210" s="1" t="n">
        <v>45217</v>
      </c>
      <c r="C1210" s="1" t="n">
        <v>45849</v>
      </c>
      <c r="D1210" t="inlineStr">
        <is>
          <t>VÄSTERBOTTENS LÄN</t>
        </is>
      </c>
      <c r="E1210" t="inlineStr">
        <is>
          <t>LYCKSELE</t>
        </is>
      </c>
      <c r="F1210" t="inlineStr">
        <is>
          <t>Sveaskog</t>
        </is>
      </c>
      <c r="G1210" t="n">
        <v>20.2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50555-2023</t>
        </is>
      </c>
      <c r="B1211" s="1" t="n">
        <v>45217</v>
      </c>
      <c r="C1211" s="1" t="n">
        <v>45849</v>
      </c>
      <c r="D1211" t="inlineStr">
        <is>
          <t>VÄSTERBOTTENS LÄN</t>
        </is>
      </c>
      <c r="E1211" t="inlineStr">
        <is>
          <t>LYCKSELE</t>
        </is>
      </c>
      <c r="F1211" t="inlineStr">
        <is>
          <t>Sveaskog</t>
        </is>
      </c>
      <c r="G1211" t="n">
        <v>10.3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50560-2023</t>
        </is>
      </c>
      <c r="B1212" s="1" t="n">
        <v>45217</v>
      </c>
      <c r="C1212" s="1" t="n">
        <v>45849</v>
      </c>
      <c r="D1212" t="inlineStr">
        <is>
          <t>VÄSTERBOTTENS LÄN</t>
        </is>
      </c>
      <c r="E1212" t="inlineStr">
        <is>
          <t>LYCKSELE</t>
        </is>
      </c>
      <c r="F1212" t="inlineStr">
        <is>
          <t>Sveaskog</t>
        </is>
      </c>
      <c r="G1212" t="n">
        <v>3.7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50600-2023</t>
        </is>
      </c>
      <c r="B1213" s="1" t="n">
        <v>45217</v>
      </c>
      <c r="C1213" s="1" t="n">
        <v>45849</v>
      </c>
      <c r="D1213" t="inlineStr">
        <is>
          <t>VÄSTERBOTTENS LÄN</t>
        </is>
      </c>
      <c r="E1213" t="inlineStr">
        <is>
          <t>LYCKSELE</t>
        </is>
      </c>
      <c r="F1213" t="inlineStr">
        <is>
          <t>Sveaskog</t>
        </is>
      </c>
      <c r="G1213" t="n">
        <v>6.5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50814-2023</t>
        </is>
      </c>
      <c r="B1214" s="1" t="n">
        <v>45217</v>
      </c>
      <c r="C1214" s="1" t="n">
        <v>45849</v>
      </c>
      <c r="D1214" t="inlineStr">
        <is>
          <t>VÄSTERBOTTENS LÄN</t>
        </is>
      </c>
      <c r="E1214" t="inlineStr">
        <is>
          <t>LYCKSELE</t>
        </is>
      </c>
      <c r="F1214" t="inlineStr">
        <is>
          <t>Sveaskog</t>
        </is>
      </c>
      <c r="G1214" t="n">
        <v>10.2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50565-2023</t>
        </is>
      </c>
      <c r="B1215" s="1" t="n">
        <v>45217</v>
      </c>
      <c r="C1215" s="1" t="n">
        <v>45849</v>
      </c>
      <c r="D1215" t="inlineStr">
        <is>
          <t>VÄSTERBOTTENS LÄN</t>
        </is>
      </c>
      <c r="E1215" t="inlineStr">
        <is>
          <t>LYCKSELE</t>
        </is>
      </c>
      <c r="F1215" t="inlineStr">
        <is>
          <t>Sveaskog</t>
        </is>
      </c>
      <c r="G1215" t="n">
        <v>5.6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50573-2023</t>
        </is>
      </c>
      <c r="B1216" s="1" t="n">
        <v>45217</v>
      </c>
      <c r="C1216" s="1" t="n">
        <v>45849</v>
      </c>
      <c r="D1216" t="inlineStr">
        <is>
          <t>VÄSTERBOTTENS LÄN</t>
        </is>
      </c>
      <c r="E1216" t="inlineStr">
        <is>
          <t>LYCKSELE</t>
        </is>
      </c>
      <c r="F1216" t="inlineStr">
        <is>
          <t>Sveaskog</t>
        </is>
      </c>
      <c r="G1216" t="n">
        <v>3.1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50578-2023</t>
        </is>
      </c>
      <c r="B1217" s="1" t="n">
        <v>45217</v>
      </c>
      <c r="C1217" s="1" t="n">
        <v>45849</v>
      </c>
      <c r="D1217" t="inlineStr">
        <is>
          <t>VÄSTERBOTTENS LÄN</t>
        </is>
      </c>
      <c r="E1217" t="inlineStr">
        <is>
          <t>LYCKSELE</t>
        </is>
      </c>
      <c r="F1217" t="inlineStr">
        <is>
          <t>Sveaskog</t>
        </is>
      </c>
      <c r="G1217" t="n">
        <v>2.4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50583-2023</t>
        </is>
      </c>
      <c r="B1218" s="1" t="n">
        <v>45217</v>
      </c>
      <c r="C1218" s="1" t="n">
        <v>45849</v>
      </c>
      <c r="D1218" t="inlineStr">
        <is>
          <t>VÄSTERBOTTENS LÄN</t>
        </is>
      </c>
      <c r="E1218" t="inlineStr">
        <is>
          <t>LYCKSELE</t>
        </is>
      </c>
      <c r="F1218" t="inlineStr">
        <is>
          <t>Sveaskog</t>
        </is>
      </c>
      <c r="G1218" t="n">
        <v>9.5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51048-2023</t>
        </is>
      </c>
      <c r="B1219" s="1" t="n">
        <v>45218</v>
      </c>
      <c r="C1219" s="1" t="n">
        <v>45849</v>
      </c>
      <c r="D1219" t="inlineStr">
        <is>
          <t>VÄSTERBOTTENS LÄN</t>
        </is>
      </c>
      <c r="E1219" t="inlineStr">
        <is>
          <t>LYCKSELE</t>
        </is>
      </c>
      <c r="F1219" t="inlineStr">
        <is>
          <t>Sveaskog</t>
        </is>
      </c>
      <c r="G1219" t="n">
        <v>2.5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51038-2023</t>
        </is>
      </c>
      <c r="B1220" s="1" t="n">
        <v>45218</v>
      </c>
      <c r="C1220" s="1" t="n">
        <v>45849</v>
      </c>
      <c r="D1220" t="inlineStr">
        <is>
          <t>VÄSTERBOTTENS LÄN</t>
        </is>
      </c>
      <c r="E1220" t="inlineStr">
        <is>
          <t>LYCKSELE</t>
        </is>
      </c>
      <c r="F1220" t="inlineStr">
        <is>
          <t>Sveaskog</t>
        </is>
      </c>
      <c r="G1220" t="n">
        <v>20.8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51368-2023</t>
        </is>
      </c>
      <c r="B1221" s="1" t="n">
        <v>45219</v>
      </c>
      <c r="C1221" s="1" t="n">
        <v>45849</v>
      </c>
      <c r="D1221" t="inlineStr">
        <is>
          <t>VÄSTERBOTTENS LÄN</t>
        </is>
      </c>
      <c r="E1221" t="inlineStr">
        <is>
          <t>LYCKSELE</t>
        </is>
      </c>
      <c r="F1221" t="inlineStr">
        <is>
          <t>Holmen skog AB</t>
        </is>
      </c>
      <c r="G1221" t="n">
        <v>9.199999999999999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51953-2023</t>
        </is>
      </c>
      <c r="B1222" s="1" t="n">
        <v>45223</v>
      </c>
      <c r="C1222" s="1" t="n">
        <v>45849</v>
      </c>
      <c r="D1222" t="inlineStr">
        <is>
          <t>VÄSTERBOTTENS LÄN</t>
        </is>
      </c>
      <c r="E1222" t="inlineStr">
        <is>
          <t>LYCKSELE</t>
        </is>
      </c>
      <c r="F1222" t="inlineStr">
        <is>
          <t>Sveaskog</t>
        </is>
      </c>
      <c r="G1222" t="n">
        <v>3.5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51957-2023</t>
        </is>
      </c>
      <c r="B1223" s="1" t="n">
        <v>45223</v>
      </c>
      <c r="C1223" s="1" t="n">
        <v>45849</v>
      </c>
      <c r="D1223" t="inlineStr">
        <is>
          <t>VÄSTERBOTTENS LÄN</t>
        </is>
      </c>
      <c r="E1223" t="inlineStr">
        <is>
          <t>LYCKSELE</t>
        </is>
      </c>
      <c r="F1223" t="inlineStr">
        <is>
          <t>Sveaskog</t>
        </is>
      </c>
      <c r="G1223" t="n">
        <v>3.2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52002-2023</t>
        </is>
      </c>
      <c r="B1224" s="1" t="n">
        <v>45223</v>
      </c>
      <c r="C1224" s="1" t="n">
        <v>45849</v>
      </c>
      <c r="D1224" t="inlineStr">
        <is>
          <t>VÄSTERBOTTENS LÄN</t>
        </is>
      </c>
      <c r="E1224" t="inlineStr">
        <is>
          <t>LYCKSELE</t>
        </is>
      </c>
      <c r="F1224" t="inlineStr">
        <is>
          <t>Sveaskog</t>
        </is>
      </c>
      <c r="G1224" t="n">
        <v>8.199999999999999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52019-2023</t>
        </is>
      </c>
      <c r="B1225" s="1" t="n">
        <v>45223</v>
      </c>
      <c r="C1225" s="1" t="n">
        <v>45849</v>
      </c>
      <c r="D1225" t="inlineStr">
        <is>
          <t>VÄSTERBOTTENS LÄN</t>
        </is>
      </c>
      <c r="E1225" t="inlineStr">
        <is>
          <t>LYCKSELE</t>
        </is>
      </c>
      <c r="F1225" t="inlineStr">
        <is>
          <t>Sveaskog</t>
        </is>
      </c>
      <c r="G1225" t="n">
        <v>3.6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52132-2023</t>
        </is>
      </c>
      <c r="B1226" s="1" t="n">
        <v>45224</v>
      </c>
      <c r="C1226" s="1" t="n">
        <v>45849</v>
      </c>
      <c r="D1226" t="inlineStr">
        <is>
          <t>VÄSTERBOTTENS LÄN</t>
        </is>
      </c>
      <c r="E1226" t="inlineStr">
        <is>
          <t>LYCKSELE</t>
        </is>
      </c>
      <c r="F1226" t="inlineStr">
        <is>
          <t>SCA</t>
        </is>
      </c>
      <c r="G1226" t="n">
        <v>2.3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52039-2023</t>
        </is>
      </c>
      <c r="B1227" s="1" t="n">
        <v>45223</v>
      </c>
      <c r="C1227" s="1" t="n">
        <v>45849</v>
      </c>
      <c r="D1227" t="inlineStr">
        <is>
          <t>VÄSTERBOTTENS LÄN</t>
        </is>
      </c>
      <c r="E1227" t="inlineStr">
        <is>
          <t>LYCKSELE</t>
        </is>
      </c>
      <c r="F1227" t="inlineStr">
        <is>
          <t>Sveaskog</t>
        </is>
      </c>
      <c r="G1227" t="n">
        <v>4.4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53496-2023</t>
        </is>
      </c>
      <c r="B1228" s="1" t="n">
        <v>45223</v>
      </c>
      <c r="C1228" s="1" t="n">
        <v>45849</v>
      </c>
      <c r="D1228" t="inlineStr">
        <is>
          <t>VÄSTERBOTTENS LÄN</t>
        </is>
      </c>
      <c r="E1228" t="inlineStr">
        <is>
          <t>LYCKSELE</t>
        </is>
      </c>
      <c r="G1228" t="n">
        <v>4.8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53501-2023</t>
        </is>
      </c>
      <c r="B1229" s="1" t="n">
        <v>45223</v>
      </c>
      <c r="C1229" s="1" t="n">
        <v>45849</v>
      </c>
      <c r="D1229" t="inlineStr">
        <is>
          <t>VÄSTERBOTTENS LÄN</t>
        </is>
      </c>
      <c r="E1229" t="inlineStr">
        <is>
          <t>LYCKSELE</t>
        </is>
      </c>
      <c r="G1229" t="n">
        <v>6.3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52205-2023</t>
        </is>
      </c>
      <c r="B1230" s="1" t="n">
        <v>45224</v>
      </c>
      <c r="C1230" s="1" t="n">
        <v>45849</v>
      </c>
      <c r="D1230" t="inlineStr">
        <is>
          <t>VÄSTERBOTTENS LÄN</t>
        </is>
      </c>
      <c r="E1230" t="inlineStr">
        <is>
          <t>LYCKSELE</t>
        </is>
      </c>
      <c r="F1230" t="inlineStr">
        <is>
          <t>Sveaskog</t>
        </is>
      </c>
      <c r="G1230" t="n">
        <v>4.7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52547-2023</t>
        </is>
      </c>
      <c r="B1231" s="1" t="n">
        <v>45225</v>
      </c>
      <c r="C1231" s="1" t="n">
        <v>45849</v>
      </c>
      <c r="D1231" t="inlineStr">
        <is>
          <t>VÄSTERBOTTENS LÄN</t>
        </is>
      </c>
      <c r="E1231" t="inlineStr">
        <is>
          <t>LYCKSELE</t>
        </is>
      </c>
      <c r="F1231" t="inlineStr">
        <is>
          <t>Sveaskog</t>
        </is>
      </c>
      <c r="G1231" t="n">
        <v>1.7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52727-2023</t>
        </is>
      </c>
      <c r="B1232" s="1" t="n">
        <v>45226</v>
      </c>
      <c r="C1232" s="1" t="n">
        <v>45849</v>
      </c>
      <c r="D1232" t="inlineStr">
        <is>
          <t>VÄSTERBOTTENS LÄN</t>
        </is>
      </c>
      <c r="E1232" t="inlineStr">
        <is>
          <t>LYCKSELE</t>
        </is>
      </c>
      <c r="G1232" t="n">
        <v>4.6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54370-2023</t>
        </is>
      </c>
      <c r="B1233" s="1" t="n">
        <v>45225</v>
      </c>
      <c r="C1233" s="1" t="n">
        <v>45849</v>
      </c>
      <c r="D1233" t="inlineStr">
        <is>
          <t>VÄSTERBOTTENS LÄN</t>
        </is>
      </c>
      <c r="E1233" t="inlineStr">
        <is>
          <t>LYCKSELE</t>
        </is>
      </c>
      <c r="G1233" t="n">
        <v>2.8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52755-2023</t>
        </is>
      </c>
      <c r="B1234" s="1" t="n">
        <v>45226</v>
      </c>
      <c r="C1234" s="1" t="n">
        <v>45849</v>
      </c>
      <c r="D1234" t="inlineStr">
        <is>
          <t>VÄSTERBOTTENS LÄN</t>
        </is>
      </c>
      <c r="E1234" t="inlineStr">
        <is>
          <t>LYCKSELE</t>
        </is>
      </c>
      <c r="F1234" t="inlineStr">
        <is>
          <t>SCA</t>
        </is>
      </c>
      <c r="G1234" t="n">
        <v>1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54378-2023</t>
        </is>
      </c>
      <c r="B1235" s="1" t="n">
        <v>45225</v>
      </c>
      <c r="C1235" s="1" t="n">
        <v>45849</v>
      </c>
      <c r="D1235" t="inlineStr">
        <is>
          <t>VÄSTERBOTTENS LÄN</t>
        </is>
      </c>
      <c r="E1235" t="inlineStr">
        <is>
          <t>LYCKSELE</t>
        </is>
      </c>
      <c r="G1235" t="n">
        <v>2.5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52896-2023</t>
        </is>
      </c>
      <c r="B1236" s="1" t="n">
        <v>45226</v>
      </c>
      <c r="C1236" s="1" t="n">
        <v>45849</v>
      </c>
      <c r="D1236" t="inlineStr">
        <is>
          <t>VÄSTERBOTTENS LÄN</t>
        </is>
      </c>
      <c r="E1236" t="inlineStr">
        <is>
          <t>LYCKSELE</t>
        </is>
      </c>
      <c r="G1236" t="n">
        <v>14.2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54539-2023</t>
        </is>
      </c>
      <c r="B1237" s="1" t="n">
        <v>45226</v>
      </c>
      <c r="C1237" s="1" t="n">
        <v>45849</v>
      </c>
      <c r="D1237" t="inlineStr">
        <is>
          <t>VÄSTERBOTTENS LÄN</t>
        </is>
      </c>
      <c r="E1237" t="inlineStr">
        <is>
          <t>LYCKSELE</t>
        </is>
      </c>
      <c r="G1237" t="n">
        <v>1.6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52990-2023</t>
        </is>
      </c>
      <c r="B1238" s="1" t="n">
        <v>45226</v>
      </c>
      <c r="C1238" s="1" t="n">
        <v>45849</v>
      </c>
      <c r="D1238" t="inlineStr">
        <is>
          <t>VÄSTERBOTTENS LÄN</t>
        </is>
      </c>
      <c r="E1238" t="inlineStr">
        <is>
          <t>LYCKSELE</t>
        </is>
      </c>
      <c r="F1238" t="inlineStr">
        <is>
          <t>Sveaskog</t>
        </is>
      </c>
      <c r="G1238" t="n">
        <v>1.7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52927-2023</t>
        </is>
      </c>
      <c r="B1239" s="1" t="n">
        <v>45226</v>
      </c>
      <c r="C1239" s="1" t="n">
        <v>45849</v>
      </c>
      <c r="D1239" t="inlineStr">
        <is>
          <t>VÄSTERBOTTENS LÄN</t>
        </is>
      </c>
      <c r="E1239" t="inlineStr">
        <is>
          <t>LYCKSELE</t>
        </is>
      </c>
      <c r="F1239" t="inlineStr">
        <is>
          <t>Sveaskog</t>
        </is>
      </c>
      <c r="G1239" t="n">
        <v>26.5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53035-2023</t>
        </is>
      </c>
      <c r="B1240" s="1" t="n">
        <v>45227</v>
      </c>
      <c r="C1240" s="1" t="n">
        <v>45849</v>
      </c>
      <c r="D1240" t="inlineStr">
        <is>
          <t>VÄSTERBOTTENS LÄN</t>
        </is>
      </c>
      <c r="E1240" t="inlineStr">
        <is>
          <t>LYCKSELE</t>
        </is>
      </c>
      <c r="F1240" t="inlineStr">
        <is>
          <t>SCA</t>
        </is>
      </c>
      <c r="G1240" t="n">
        <v>1.7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53037-2023</t>
        </is>
      </c>
      <c r="B1241" s="1" t="n">
        <v>45226</v>
      </c>
      <c r="C1241" s="1" t="n">
        <v>45849</v>
      </c>
      <c r="D1241" t="inlineStr">
        <is>
          <t>VÄSTERBOTTENS LÄN</t>
        </is>
      </c>
      <c r="E1241" t="inlineStr">
        <is>
          <t>LYCKSELE</t>
        </is>
      </c>
      <c r="F1241" t="inlineStr">
        <is>
          <t>SCA</t>
        </is>
      </c>
      <c r="G1241" t="n">
        <v>7.4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53036-2023</t>
        </is>
      </c>
      <c r="B1242" s="1" t="n">
        <v>45227</v>
      </c>
      <c r="C1242" s="1" t="n">
        <v>45849</v>
      </c>
      <c r="D1242" t="inlineStr">
        <is>
          <t>VÄSTERBOTTENS LÄN</t>
        </is>
      </c>
      <c r="E1242" t="inlineStr">
        <is>
          <t>LYCKSELE</t>
        </is>
      </c>
      <c r="F1242" t="inlineStr">
        <is>
          <t>SCA</t>
        </is>
      </c>
      <c r="G1242" t="n">
        <v>1.5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54840-2023</t>
        </is>
      </c>
      <c r="B1243" s="1" t="n">
        <v>45229</v>
      </c>
      <c r="C1243" s="1" t="n">
        <v>45849</v>
      </c>
      <c r="D1243" t="inlineStr">
        <is>
          <t>VÄSTERBOTTENS LÄN</t>
        </is>
      </c>
      <c r="E1243" t="inlineStr">
        <is>
          <t>LYCKSELE</t>
        </is>
      </c>
      <c r="G1243" t="n">
        <v>1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53571-2023</t>
        </is>
      </c>
      <c r="B1244" s="1" t="n">
        <v>45230</v>
      </c>
      <c r="C1244" s="1" t="n">
        <v>45849</v>
      </c>
      <c r="D1244" t="inlineStr">
        <is>
          <t>VÄSTERBOTTENS LÄN</t>
        </is>
      </c>
      <c r="E1244" t="inlineStr">
        <is>
          <t>LYCKSELE</t>
        </is>
      </c>
      <c r="F1244" t="inlineStr">
        <is>
          <t>Sveaskog</t>
        </is>
      </c>
      <c r="G1244" t="n">
        <v>10.1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53582-2023</t>
        </is>
      </c>
      <c r="B1245" s="1" t="n">
        <v>45230</v>
      </c>
      <c r="C1245" s="1" t="n">
        <v>45849</v>
      </c>
      <c r="D1245" t="inlineStr">
        <is>
          <t>VÄSTERBOTTENS LÄN</t>
        </is>
      </c>
      <c r="E1245" t="inlineStr">
        <is>
          <t>LYCKSELE</t>
        </is>
      </c>
      <c r="F1245" t="inlineStr">
        <is>
          <t>Sveaskog</t>
        </is>
      </c>
      <c r="G1245" t="n">
        <v>11.2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53813-2023</t>
        </is>
      </c>
      <c r="B1246" s="1" t="n">
        <v>45231</v>
      </c>
      <c r="C1246" s="1" t="n">
        <v>45849</v>
      </c>
      <c r="D1246" t="inlineStr">
        <is>
          <t>VÄSTERBOTTENS LÄN</t>
        </is>
      </c>
      <c r="E1246" t="inlineStr">
        <is>
          <t>LYCKSELE</t>
        </is>
      </c>
      <c r="F1246" t="inlineStr">
        <is>
          <t>Sveaskog</t>
        </is>
      </c>
      <c r="G1246" t="n">
        <v>7.9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53839-2023</t>
        </is>
      </c>
      <c r="B1247" s="1" t="n">
        <v>45231</v>
      </c>
      <c r="C1247" s="1" t="n">
        <v>45849</v>
      </c>
      <c r="D1247" t="inlineStr">
        <is>
          <t>VÄSTERBOTTENS LÄN</t>
        </is>
      </c>
      <c r="E1247" t="inlineStr">
        <is>
          <t>LYCKSELE</t>
        </is>
      </c>
      <c r="F1247" t="inlineStr">
        <is>
          <t>Sveaskog</t>
        </is>
      </c>
      <c r="G1247" t="n">
        <v>2.7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54226-2023</t>
        </is>
      </c>
      <c r="B1248" s="1" t="n">
        <v>45232</v>
      </c>
      <c r="C1248" s="1" t="n">
        <v>45849</v>
      </c>
      <c r="D1248" t="inlineStr">
        <is>
          <t>VÄSTERBOTTENS LÄN</t>
        </is>
      </c>
      <c r="E1248" t="inlineStr">
        <is>
          <t>LYCKSELE</t>
        </is>
      </c>
      <c r="F1248" t="inlineStr">
        <is>
          <t>Sveaskog</t>
        </is>
      </c>
      <c r="G1248" t="n">
        <v>1.9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54234-2023</t>
        </is>
      </c>
      <c r="B1249" s="1" t="n">
        <v>45232</v>
      </c>
      <c r="C1249" s="1" t="n">
        <v>45849</v>
      </c>
      <c r="D1249" t="inlineStr">
        <is>
          <t>VÄSTERBOTTENS LÄN</t>
        </is>
      </c>
      <c r="E1249" t="inlineStr">
        <is>
          <t>LYCKSELE</t>
        </is>
      </c>
      <c r="F1249" t="inlineStr">
        <is>
          <t>Holmen skog AB</t>
        </is>
      </c>
      <c r="G1249" t="n">
        <v>4.2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54242-2023</t>
        </is>
      </c>
      <c r="B1250" s="1" t="n">
        <v>45232</v>
      </c>
      <c r="C1250" s="1" t="n">
        <v>45849</v>
      </c>
      <c r="D1250" t="inlineStr">
        <is>
          <t>VÄSTERBOTTENS LÄN</t>
        </is>
      </c>
      <c r="E1250" t="inlineStr">
        <is>
          <t>LYCKSELE</t>
        </is>
      </c>
      <c r="F1250" t="inlineStr">
        <is>
          <t>Holmen skog AB</t>
        </is>
      </c>
      <c r="G1250" t="n">
        <v>4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54227-2023</t>
        </is>
      </c>
      <c r="B1251" s="1" t="n">
        <v>45232</v>
      </c>
      <c r="C1251" s="1" t="n">
        <v>45849</v>
      </c>
      <c r="D1251" t="inlineStr">
        <is>
          <t>VÄSTERBOTTENS LÄN</t>
        </is>
      </c>
      <c r="E1251" t="inlineStr">
        <is>
          <t>LYCKSELE</t>
        </is>
      </c>
      <c r="F1251" t="inlineStr">
        <is>
          <t>Sveaskog</t>
        </is>
      </c>
      <c r="G1251" t="n">
        <v>12.9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54446-2023</t>
        </is>
      </c>
      <c r="B1252" s="1" t="n">
        <v>45233</v>
      </c>
      <c r="C1252" s="1" t="n">
        <v>45849</v>
      </c>
      <c r="D1252" t="inlineStr">
        <is>
          <t>VÄSTERBOTTENS LÄN</t>
        </is>
      </c>
      <c r="E1252" t="inlineStr">
        <is>
          <t>LYCKSELE</t>
        </is>
      </c>
      <c r="G1252" t="n">
        <v>21.4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54893-2023</t>
        </is>
      </c>
      <c r="B1253" s="1" t="n">
        <v>45236</v>
      </c>
      <c r="C1253" s="1" t="n">
        <v>45849</v>
      </c>
      <c r="D1253" t="inlineStr">
        <is>
          <t>VÄSTERBOTTENS LÄN</t>
        </is>
      </c>
      <c r="E1253" t="inlineStr">
        <is>
          <t>LYCKSELE</t>
        </is>
      </c>
      <c r="F1253" t="inlineStr">
        <is>
          <t>Sveaskog</t>
        </is>
      </c>
      <c r="G1253" t="n">
        <v>6.5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54891-2023</t>
        </is>
      </c>
      <c r="B1254" s="1" t="n">
        <v>45236</v>
      </c>
      <c r="C1254" s="1" t="n">
        <v>45849</v>
      </c>
      <c r="D1254" t="inlineStr">
        <is>
          <t>VÄSTERBOTTENS LÄN</t>
        </is>
      </c>
      <c r="E1254" t="inlineStr">
        <is>
          <t>LYCKSELE</t>
        </is>
      </c>
      <c r="F1254" t="inlineStr">
        <is>
          <t>Sveaskog</t>
        </is>
      </c>
      <c r="G1254" t="n">
        <v>3.5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55142-2023</t>
        </is>
      </c>
      <c r="B1255" s="1" t="n">
        <v>45237</v>
      </c>
      <c r="C1255" s="1" t="n">
        <v>45849</v>
      </c>
      <c r="D1255" t="inlineStr">
        <is>
          <t>VÄSTERBOTTENS LÄN</t>
        </is>
      </c>
      <c r="E1255" t="inlineStr">
        <is>
          <t>LYCKSELE</t>
        </is>
      </c>
      <c r="F1255" t="inlineStr">
        <is>
          <t>Sveaskog</t>
        </is>
      </c>
      <c r="G1255" t="n">
        <v>25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55080-2023</t>
        </is>
      </c>
      <c r="B1256" s="1" t="n">
        <v>45237</v>
      </c>
      <c r="C1256" s="1" t="n">
        <v>45849</v>
      </c>
      <c r="D1256" t="inlineStr">
        <is>
          <t>VÄSTERBOTTENS LÄN</t>
        </is>
      </c>
      <c r="E1256" t="inlineStr">
        <is>
          <t>LYCKSELE</t>
        </is>
      </c>
      <c r="F1256" t="inlineStr">
        <is>
          <t>Sveaskog</t>
        </is>
      </c>
      <c r="G1256" t="n">
        <v>12.4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55239-2023</t>
        </is>
      </c>
      <c r="B1257" s="1" t="n">
        <v>45237</v>
      </c>
      <c r="C1257" s="1" t="n">
        <v>45849</v>
      </c>
      <c r="D1257" t="inlineStr">
        <is>
          <t>VÄSTERBOTTENS LÄN</t>
        </is>
      </c>
      <c r="E1257" t="inlineStr">
        <is>
          <t>LYCKSELE</t>
        </is>
      </c>
      <c r="F1257" t="inlineStr">
        <is>
          <t>Sveaskog</t>
        </is>
      </c>
      <c r="G1257" t="n">
        <v>3.5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55371-2023</t>
        </is>
      </c>
      <c r="B1258" s="1" t="n">
        <v>45238</v>
      </c>
      <c r="C1258" s="1" t="n">
        <v>45849</v>
      </c>
      <c r="D1258" t="inlineStr">
        <is>
          <t>VÄSTERBOTTENS LÄN</t>
        </is>
      </c>
      <c r="E1258" t="inlineStr">
        <is>
          <t>LYCKSELE</t>
        </is>
      </c>
      <c r="F1258" t="inlineStr">
        <is>
          <t>Sveaskog</t>
        </is>
      </c>
      <c r="G1258" t="n">
        <v>3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55388-2023</t>
        </is>
      </c>
      <c r="B1259" s="1" t="n">
        <v>45238</v>
      </c>
      <c r="C1259" s="1" t="n">
        <v>45849</v>
      </c>
      <c r="D1259" t="inlineStr">
        <is>
          <t>VÄSTERBOTTENS LÄN</t>
        </is>
      </c>
      <c r="E1259" t="inlineStr">
        <is>
          <t>LYCKSELE</t>
        </is>
      </c>
      <c r="F1259" t="inlineStr">
        <is>
          <t>Sveaskog</t>
        </is>
      </c>
      <c r="G1259" t="n">
        <v>2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55432-2023</t>
        </is>
      </c>
      <c r="B1260" s="1" t="n">
        <v>45238</v>
      </c>
      <c r="C1260" s="1" t="n">
        <v>45849</v>
      </c>
      <c r="D1260" t="inlineStr">
        <is>
          <t>VÄSTERBOTTENS LÄN</t>
        </is>
      </c>
      <c r="E1260" t="inlineStr">
        <is>
          <t>LYCKSELE</t>
        </is>
      </c>
      <c r="F1260" t="inlineStr">
        <is>
          <t>Sveaskog</t>
        </is>
      </c>
      <c r="G1260" t="n">
        <v>2.1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56518-2023</t>
        </is>
      </c>
      <c r="B1261" s="1" t="n">
        <v>45238</v>
      </c>
      <c r="C1261" s="1" t="n">
        <v>45849</v>
      </c>
      <c r="D1261" t="inlineStr">
        <is>
          <t>VÄSTERBOTTENS LÄN</t>
        </is>
      </c>
      <c r="E1261" t="inlineStr">
        <is>
          <t>LYCKSELE</t>
        </is>
      </c>
      <c r="G1261" t="n">
        <v>21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56543-2023</t>
        </is>
      </c>
      <c r="B1262" s="1" t="n">
        <v>45238</v>
      </c>
      <c r="C1262" s="1" t="n">
        <v>45849</v>
      </c>
      <c r="D1262" t="inlineStr">
        <is>
          <t>VÄSTERBOTTENS LÄN</t>
        </is>
      </c>
      <c r="E1262" t="inlineStr">
        <is>
          <t>LYCKSELE</t>
        </is>
      </c>
      <c r="G1262" t="n">
        <v>0.8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55377-2023</t>
        </is>
      </c>
      <c r="B1263" s="1" t="n">
        <v>45238</v>
      </c>
      <c r="C1263" s="1" t="n">
        <v>45849</v>
      </c>
      <c r="D1263" t="inlineStr">
        <is>
          <t>VÄSTERBOTTENS LÄN</t>
        </is>
      </c>
      <c r="E1263" t="inlineStr">
        <is>
          <t>LYCKSELE</t>
        </is>
      </c>
      <c r="F1263" t="inlineStr">
        <is>
          <t>Sveaskog</t>
        </is>
      </c>
      <c r="G1263" t="n">
        <v>2.1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56550-2023</t>
        </is>
      </c>
      <c r="B1264" s="1" t="n">
        <v>45238</v>
      </c>
      <c r="C1264" s="1" t="n">
        <v>45849</v>
      </c>
      <c r="D1264" t="inlineStr">
        <is>
          <t>VÄSTERBOTTENS LÄN</t>
        </is>
      </c>
      <c r="E1264" t="inlineStr">
        <is>
          <t>LYCKSELE</t>
        </is>
      </c>
      <c r="G1264" t="n">
        <v>7.5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55923-2023</t>
        </is>
      </c>
      <c r="B1265" s="1" t="n">
        <v>45240</v>
      </c>
      <c r="C1265" s="1" t="n">
        <v>45849</v>
      </c>
      <c r="D1265" t="inlineStr">
        <is>
          <t>VÄSTERBOTTENS LÄN</t>
        </is>
      </c>
      <c r="E1265" t="inlineStr">
        <is>
          <t>LYCKSELE</t>
        </is>
      </c>
      <c r="F1265" t="inlineStr">
        <is>
          <t>SCA</t>
        </is>
      </c>
      <c r="G1265" t="n">
        <v>5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57224-2023</t>
        </is>
      </c>
      <c r="B1266" s="1" t="n">
        <v>45239</v>
      </c>
      <c r="C1266" s="1" t="n">
        <v>45849</v>
      </c>
      <c r="D1266" t="inlineStr">
        <is>
          <t>VÄSTERBOTTENS LÄN</t>
        </is>
      </c>
      <c r="E1266" t="inlineStr">
        <is>
          <t>LYCKSELE</t>
        </is>
      </c>
      <c r="G1266" t="n">
        <v>3.1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56027-2023</t>
        </is>
      </c>
      <c r="B1267" s="1" t="n">
        <v>45240</v>
      </c>
      <c r="C1267" s="1" t="n">
        <v>45849</v>
      </c>
      <c r="D1267" t="inlineStr">
        <is>
          <t>VÄSTERBOTTENS LÄN</t>
        </is>
      </c>
      <c r="E1267" t="inlineStr">
        <is>
          <t>LYCKSELE</t>
        </is>
      </c>
      <c r="F1267" t="inlineStr">
        <is>
          <t>Sveaskog</t>
        </is>
      </c>
      <c r="G1267" t="n">
        <v>3.2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55938-2023</t>
        </is>
      </c>
      <c r="B1268" s="1" t="n">
        <v>45240</v>
      </c>
      <c r="C1268" s="1" t="n">
        <v>45849</v>
      </c>
      <c r="D1268" t="inlineStr">
        <is>
          <t>VÄSTERBOTTENS LÄN</t>
        </is>
      </c>
      <c r="E1268" t="inlineStr">
        <is>
          <t>LYCKSELE</t>
        </is>
      </c>
      <c r="G1268" t="n">
        <v>1.9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56494-2023</t>
        </is>
      </c>
      <c r="B1269" s="1" t="n">
        <v>45243</v>
      </c>
      <c r="C1269" s="1" t="n">
        <v>45849</v>
      </c>
      <c r="D1269" t="inlineStr">
        <is>
          <t>VÄSTERBOTTENS LÄN</t>
        </is>
      </c>
      <c r="E1269" t="inlineStr">
        <is>
          <t>LYCKSELE</t>
        </is>
      </c>
      <c r="F1269" t="inlineStr">
        <is>
          <t>Sveaskog</t>
        </is>
      </c>
      <c r="G1269" t="n">
        <v>4.6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57881-2023</t>
        </is>
      </c>
      <c r="B1270" s="1" t="n">
        <v>45244</v>
      </c>
      <c r="C1270" s="1" t="n">
        <v>45849</v>
      </c>
      <c r="D1270" t="inlineStr">
        <is>
          <t>VÄSTERBOTTENS LÄN</t>
        </is>
      </c>
      <c r="E1270" t="inlineStr">
        <is>
          <t>LYCKSELE</t>
        </is>
      </c>
      <c r="G1270" t="n">
        <v>3.7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57873-2023</t>
        </is>
      </c>
      <c r="B1271" s="1" t="n">
        <v>45244</v>
      </c>
      <c r="C1271" s="1" t="n">
        <v>45849</v>
      </c>
      <c r="D1271" t="inlineStr">
        <is>
          <t>VÄSTERBOTTENS LÄN</t>
        </is>
      </c>
      <c r="E1271" t="inlineStr">
        <is>
          <t>LYCKSELE</t>
        </is>
      </c>
      <c r="G1271" t="n">
        <v>4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57214-2023</t>
        </is>
      </c>
      <c r="B1272" s="1" t="n">
        <v>45245</v>
      </c>
      <c r="C1272" s="1" t="n">
        <v>45849</v>
      </c>
      <c r="D1272" t="inlineStr">
        <is>
          <t>VÄSTERBOTTENS LÄN</t>
        </is>
      </c>
      <c r="E1272" t="inlineStr">
        <is>
          <t>LYCKSELE</t>
        </is>
      </c>
      <c r="F1272" t="inlineStr">
        <is>
          <t>Sveaskog</t>
        </is>
      </c>
      <c r="G1272" t="n">
        <v>10.1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58192-2023</t>
        </is>
      </c>
      <c r="B1273" s="1" t="n">
        <v>45245</v>
      </c>
      <c r="C1273" s="1" t="n">
        <v>45849</v>
      </c>
      <c r="D1273" t="inlineStr">
        <is>
          <t>VÄSTERBOTTENS LÄN</t>
        </is>
      </c>
      <c r="E1273" t="inlineStr">
        <is>
          <t>LYCKSELE</t>
        </is>
      </c>
      <c r="G1273" t="n">
        <v>2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57443-2023</t>
        </is>
      </c>
      <c r="B1274" s="1" t="n">
        <v>45246</v>
      </c>
      <c r="C1274" s="1" t="n">
        <v>45849</v>
      </c>
      <c r="D1274" t="inlineStr">
        <is>
          <t>VÄSTERBOTTENS LÄN</t>
        </is>
      </c>
      <c r="E1274" t="inlineStr">
        <is>
          <t>LYCKSELE</t>
        </is>
      </c>
      <c r="F1274" t="inlineStr">
        <is>
          <t>Sveaskog</t>
        </is>
      </c>
      <c r="G1274" t="n">
        <v>10.1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57460-2023</t>
        </is>
      </c>
      <c r="B1275" s="1" t="n">
        <v>45246</v>
      </c>
      <c r="C1275" s="1" t="n">
        <v>45849</v>
      </c>
      <c r="D1275" t="inlineStr">
        <is>
          <t>VÄSTERBOTTENS LÄN</t>
        </is>
      </c>
      <c r="E1275" t="inlineStr">
        <is>
          <t>LYCKSELE</t>
        </is>
      </c>
      <c r="F1275" t="inlineStr">
        <is>
          <t>Sveaskog</t>
        </is>
      </c>
      <c r="G1275" t="n">
        <v>3.2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57441-2023</t>
        </is>
      </c>
      <c r="B1276" s="1" t="n">
        <v>45246</v>
      </c>
      <c r="C1276" s="1" t="n">
        <v>45849</v>
      </c>
      <c r="D1276" t="inlineStr">
        <is>
          <t>VÄSTERBOTTENS LÄN</t>
        </is>
      </c>
      <c r="E1276" t="inlineStr">
        <is>
          <t>LYCKSELE</t>
        </is>
      </c>
      <c r="F1276" t="inlineStr">
        <is>
          <t>Sveaskog</t>
        </is>
      </c>
      <c r="G1276" t="n">
        <v>18.6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57456-2023</t>
        </is>
      </c>
      <c r="B1277" s="1" t="n">
        <v>45246</v>
      </c>
      <c r="C1277" s="1" t="n">
        <v>45849</v>
      </c>
      <c r="D1277" t="inlineStr">
        <is>
          <t>VÄSTERBOTTENS LÄN</t>
        </is>
      </c>
      <c r="E1277" t="inlineStr">
        <is>
          <t>LYCKSELE</t>
        </is>
      </c>
      <c r="F1277" t="inlineStr">
        <is>
          <t>Sveaskog</t>
        </is>
      </c>
      <c r="G1277" t="n">
        <v>3.2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57767-2023</t>
        </is>
      </c>
      <c r="B1278" s="1" t="n">
        <v>45246</v>
      </c>
      <c r="C1278" s="1" t="n">
        <v>45849</v>
      </c>
      <c r="D1278" t="inlineStr">
        <is>
          <t>VÄSTERBOTTENS LÄN</t>
        </is>
      </c>
      <c r="E1278" t="inlineStr">
        <is>
          <t>LYCKSELE</t>
        </is>
      </c>
      <c r="F1278" t="inlineStr">
        <is>
          <t>Kommuner</t>
        </is>
      </c>
      <c r="G1278" t="n">
        <v>1.1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57848-2023</t>
        </is>
      </c>
      <c r="B1279" s="1" t="n">
        <v>45247</v>
      </c>
      <c r="C1279" s="1" t="n">
        <v>45849</v>
      </c>
      <c r="D1279" t="inlineStr">
        <is>
          <t>VÄSTERBOTTENS LÄN</t>
        </is>
      </c>
      <c r="E1279" t="inlineStr">
        <is>
          <t>LYCKSELE</t>
        </is>
      </c>
      <c r="F1279" t="inlineStr">
        <is>
          <t>Sveaskog</t>
        </is>
      </c>
      <c r="G1279" t="n">
        <v>2.9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58040-2023</t>
        </is>
      </c>
      <c r="B1280" s="1" t="n">
        <v>45247</v>
      </c>
      <c r="C1280" s="1" t="n">
        <v>45849</v>
      </c>
      <c r="D1280" t="inlineStr">
        <is>
          <t>VÄSTERBOTTENS LÄN</t>
        </is>
      </c>
      <c r="E1280" t="inlineStr">
        <is>
          <t>LYCKSELE</t>
        </is>
      </c>
      <c r="F1280" t="inlineStr">
        <is>
          <t>Sveaskog</t>
        </is>
      </c>
      <c r="G1280" t="n">
        <v>0.9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57845-2023</t>
        </is>
      </c>
      <c r="B1281" s="1" t="n">
        <v>45247</v>
      </c>
      <c r="C1281" s="1" t="n">
        <v>45849</v>
      </c>
      <c r="D1281" t="inlineStr">
        <is>
          <t>VÄSTERBOTTENS LÄN</t>
        </is>
      </c>
      <c r="E1281" t="inlineStr">
        <is>
          <t>LYCKSELE</t>
        </is>
      </c>
      <c r="F1281" t="inlineStr">
        <is>
          <t>Sveaskog</t>
        </is>
      </c>
      <c r="G1281" t="n">
        <v>2.9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58211-2023</t>
        </is>
      </c>
      <c r="B1282" s="1" t="n">
        <v>45250</v>
      </c>
      <c r="C1282" s="1" t="n">
        <v>45849</v>
      </c>
      <c r="D1282" t="inlineStr">
        <is>
          <t>VÄSTERBOTTENS LÄN</t>
        </is>
      </c>
      <c r="E1282" t="inlineStr">
        <is>
          <t>LYCKSELE</t>
        </is>
      </c>
      <c r="F1282" t="inlineStr">
        <is>
          <t>Sveaskog</t>
        </is>
      </c>
      <c r="G1282" t="n">
        <v>1.4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58460-2023</t>
        </is>
      </c>
      <c r="B1283" s="1" t="n">
        <v>45251</v>
      </c>
      <c r="C1283" s="1" t="n">
        <v>45849</v>
      </c>
      <c r="D1283" t="inlineStr">
        <is>
          <t>VÄSTERBOTTENS LÄN</t>
        </is>
      </c>
      <c r="E1283" t="inlineStr">
        <is>
          <t>LYCKSELE</t>
        </is>
      </c>
      <c r="F1283" t="inlineStr">
        <is>
          <t>SCA</t>
        </is>
      </c>
      <c r="G1283" t="n">
        <v>1.5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58249-2023</t>
        </is>
      </c>
      <c r="B1284" s="1" t="n">
        <v>45250</v>
      </c>
      <c r="C1284" s="1" t="n">
        <v>45849</v>
      </c>
      <c r="D1284" t="inlineStr">
        <is>
          <t>VÄSTERBOTTENS LÄN</t>
        </is>
      </c>
      <c r="E1284" t="inlineStr">
        <is>
          <t>LYCKSELE</t>
        </is>
      </c>
      <c r="F1284" t="inlineStr">
        <is>
          <t>Sveaskog</t>
        </is>
      </c>
      <c r="G1284" t="n">
        <v>5.4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58553-2023</t>
        </is>
      </c>
      <c r="B1285" s="1" t="n">
        <v>45251</v>
      </c>
      <c r="C1285" s="1" t="n">
        <v>45849</v>
      </c>
      <c r="D1285" t="inlineStr">
        <is>
          <t>VÄSTERBOTTENS LÄN</t>
        </is>
      </c>
      <c r="E1285" t="inlineStr">
        <is>
          <t>LYCKSELE</t>
        </is>
      </c>
      <c r="F1285" t="inlineStr">
        <is>
          <t>Sveaskog</t>
        </is>
      </c>
      <c r="G1285" t="n">
        <v>1.9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58598-2023</t>
        </is>
      </c>
      <c r="B1286" s="1" t="n">
        <v>45251</v>
      </c>
      <c r="C1286" s="1" t="n">
        <v>45849</v>
      </c>
      <c r="D1286" t="inlineStr">
        <is>
          <t>VÄSTERBOTTENS LÄN</t>
        </is>
      </c>
      <c r="E1286" t="inlineStr">
        <is>
          <t>LYCKSELE</t>
        </is>
      </c>
      <c r="F1286" t="inlineStr">
        <is>
          <t>Sveaskog</t>
        </is>
      </c>
      <c r="G1286" t="n">
        <v>2.5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59153-2023</t>
        </is>
      </c>
      <c r="B1287" s="1" t="n">
        <v>45253</v>
      </c>
      <c r="C1287" s="1" t="n">
        <v>45849</v>
      </c>
      <c r="D1287" t="inlineStr">
        <is>
          <t>VÄSTERBOTTENS LÄN</t>
        </is>
      </c>
      <c r="E1287" t="inlineStr">
        <is>
          <t>LYCKSELE</t>
        </is>
      </c>
      <c r="G1287" t="n">
        <v>2.6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59150-2023</t>
        </is>
      </c>
      <c r="B1288" s="1" t="n">
        <v>45253</v>
      </c>
      <c r="C1288" s="1" t="n">
        <v>45849</v>
      </c>
      <c r="D1288" t="inlineStr">
        <is>
          <t>VÄSTERBOTTENS LÄN</t>
        </is>
      </c>
      <c r="E1288" t="inlineStr">
        <is>
          <t>LYCKSELE</t>
        </is>
      </c>
      <c r="G1288" t="n">
        <v>6.5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59833-2023</t>
        </is>
      </c>
      <c r="B1289" s="1" t="n">
        <v>45253</v>
      </c>
      <c r="C1289" s="1" t="n">
        <v>45849</v>
      </c>
      <c r="D1289" t="inlineStr">
        <is>
          <t>VÄSTERBOTTENS LÄN</t>
        </is>
      </c>
      <c r="E1289" t="inlineStr">
        <is>
          <t>LYCKSELE</t>
        </is>
      </c>
      <c r="G1289" t="n">
        <v>6.9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60061-2023</t>
        </is>
      </c>
      <c r="B1290" s="1" t="n">
        <v>45258</v>
      </c>
      <c r="C1290" s="1" t="n">
        <v>45849</v>
      </c>
      <c r="D1290" t="inlineStr">
        <is>
          <t>VÄSTERBOTTENS LÄN</t>
        </is>
      </c>
      <c r="E1290" t="inlineStr">
        <is>
          <t>LYCKSELE</t>
        </is>
      </c>
      <c r="G1290" t="n">
        <v>4.4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61094-2023</t>
        </is>
      </c>
      <c r="B1291" s="1" t="n">
        <v>45261</v>
      </c>
      <c r="C1291" s="1" t="n">
        <v>45849</v>
      </c>
      <c r="D1291" t="inlineStr">
        <is>
          <t>VÄSTERBOTTENS LÄN</t>
        </is>
      </c>
      <c r="E1291" t="inlineStr">
        <is>
          <t>LYCKSELE</t>
        </is>
      </c>
      <c r="G1291" t="n">
        <v>0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61496-2023</t>
        </is>
      </c>
      <c r="B1292" s="1" t="n">
        <v>45264</v>
      </c>
      <c r="C1292" s="1" t="n">
        <v>45849</v>
      </c>
      <c r="D1292" t="inlineStr">
        <is>
          <t>VÄSTERBOTTENS LÄN</t>
        </is>
      </c>
      <c r="E1292" t="inlineStr">
        <is>
          <t>LYCKSELE</t>
        </is>
      </c>
      <c r="G1292" t="n">
        <v>0.5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61495-2023</t>
        </is>
      </c>
      <c r="B1293" s="1" t="n">
        <v>45264</v>
      </c>
      <c r="C1293" s="1" t="n">
        <v>45849</v>
      </c>
      <c r="D1293" t="inlineStr">
        <is>
          <t>VÄSTERBOTTENS LÄN</t>
        </is>
      </c>
      <c r="E1293" t="inlineStr">
        <is>
          <t>LYCKSELE</t>
        </is>
      </c>
      <c r="G1293" t="n">
        <v>2.5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61693-2023</t>
        </is>
      </c>
      <c r="B1294" s="1" t="n">
        <v>45265</v>
      </c>
      <c r="C1294" s="1" t="n">
        <v>45849</v>
      </c>
      <c r="D1294" t="inlineStr">
        <is>
          <t>VÄSTERBOTTENS LÄN</t>
        </is>
      </c>
      <c r="E1294" t="inlineStr">
        <is>
          <t>LYCKSELE</t>
        </is>
      </c>
      <c r="G1294" t="n">
        <v>13.4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61688-2023</t>
        </is>
      </c>
      <c r="B1295" s="1" t="n">
        <v>45265</v>
      </c>
      <c r="C1295" s="1" t="n">
        <v>45849</v>
      </c>
      <c r="D1295" t="inlineStr">
        <is>
          <t>VÄSTERBOTTENS LÄN</t>
        </is>
      </c>
      <c r="E1295" t="inlineStr">
        <is>
          <t>LYCKSELE</t>
        </is>
      </c>
      <c r="G1295" t="n">
        <v>1.8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61699-2023</t>
        </is>
      </c>
      <c r="B1296" s="1" t="n">
        <v>45265</v>
      </c>
      <c r="C1296" s="1" t="n">
        <v>45849</v>
      </c>
      <c r="D1296" t="inlineStr">
        <is>
          <t>VÄSTERBOTTENS LÄN</t>
        </is>
      </c>
      <c r="E1296" t="inlineStr">
        <is>
          <t>LYCKSELE</t>
        </is>
      </c>
      <c r="G1296" t="n">
        <v>28.4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61799-2023</t>
        </is>
      </c>
      <c r="B1297" s="1" t="n">
        <v>45266</v>
      </c>
      <c r="C1297" s="1" t="n">
        <v>45849</v>
      </c>
      <c r="D1297" t="inlineStr">
        <is>
          <t>VÄSTERBOTTENS LÄN</t>
        </is>
      </c>
      <c r="E1297" t="inlineStr">
        <is>
          <t>LYCKSELE</t>
        </is>
      </c>
      <c r="F1297" t="inlineStr">
        <is>
          <t>SCA</t>
        </is>
      </c>
      <c r="G1297" t="n">
        <v>3.3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61798-2023</t>
        </is>
      </c>
      <c r="B1298" s="1" t="n">
        <v>45266</v>
      </c>
      <c r="C1298" s="1" t="n">
        <v>45849</v>
      </c>
      <c r="D1298" t="inlineStr">
        <is>
          <t>VÄSTERBOTTENS LÄN</t>
        </is>
      </c>
      <c r="E1298" t="inlineStr">
        <is>
          <t>LYCKSELE</t>
        </is>
      </c>
      <c r="F1298" t="inlineStr">
        <is>
          <t>SCA</t>
        </is>
      </c>
      <c r="G1298" t="n">
        <v>13.2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62094-2023</t>
        </is>
      </c>
      <c r="B1299" s="1" t="n">
        <v>45266</v>
      </c>
      <c r="C1299" s="1" t="n">
        <v>45849</v>
      </c>
      <c r="D1299" t="inlineStr">
        <is>
          <t>VÄSTERBOTTENS LÄN</t>
        </is>
      </c>
      <c r="E1299" t="inlineStr">
        <is>
          <t>LYCKSELE</t>
        </is>
      </c>
      <c r="G1299" t="n">
        <v>2.3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62508-2023</t>
        </is>
      </c>
      <c r="B1300" s="1" t="n">
        <v>45268</v>
      </c>
      <c r="C1300" s="1" t="n">
        <v>45849</v>
      </c>
      <c r="D1300" t="inlineStr">
        <is>
          <t>VÄSTERBOTTENS LÄN</t>
        </is>
      </c>
      <c r="E1300" t="inlineStr">
        <is>
          <t>LYCKSELE</t>
        </is>
      </c>
      <c r="G1300" t="n">
        <v>1.8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62870-2023</t>
        </is>
      </c>
      <c r="B1301" s="1" t="n">
        <v>45271</v>
      </c>
      <c r="C1301" s="1" t="n">
        <v>45849</v>
      </c>
      <c r="D1301" t="inlineStr">
        <is>
          <t>VÄSTERBOTTENS LÄN</t>
        </is>
      </c>
      <c r="E1301" t="inlineStr">
        <is>
          <t>LYCKSELE</t>
        </is>
      </c>
      <c r="G1301" t="n">
        <v>4.3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62882-2023</t>
        </is>
      </c>
      <c r="B1302" s="1" t="n">
        <v>45271</v>
      </c>
      <c r="C1302" s="1" t="n">
        <v>45849</v>
      </c>
      <c r="D1302" t="inlineStr">
        <is>
          <t>VÄSTERBOTTENS LÄN</t>
        </is>
      </c>
      <c r="E1302" t="inlineStr">
        <is>
          <t>LYCKSELE</t>
        </is>
      </c>
      <c r="G1302" t="n">
        <v>3.8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62879-2023</t>
        </is>
      </c>
      <c r="B1303" s="1" t="n">
        <v>45271</v>
      </c>
      <c r="C1303" s="1" t="n">
        <v>45849</v>
      </c>
      <c r="D1303" t="inlineStr">
        <is>
          <t>VÄSTERBOTTENS LÄN</t>
        </is>
      </c>
      <c r="E1303" t="inlineStr">
        <is>
          <t>LYCKSELE</t>
        </is>
      </c>
      <c r="G1303" t="n">
        <v>3.3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62874-2023</t>
        </is>
      </c>
      <c r="B1304" s="1" t="n">
        <v>45271</v>
      </c>
      <c r="C1304" s="1" t="n">
        <v>45849</v>
      </c>
      <c r="D1304" t="inlineStr">
        <is>
          <t>VÄSTERBOTTENS LÄN</t>
        </is>
      </c>
      <c r="E1304" t="inlineStr">
        <is>
          <t>LYCKSELE</t>
        </is>
      </c>
      <c r="G1304" t="n">
        <v>4.4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62877-2023</t>
        </is>
      </c>
      <c r="B1305" s="1" t="n">
        <v>45271</v>
      </c>
      <c r="C1305" s="1" t="n">
        <v>45849</v>
      </c>
      <c r="D1305" t="inlineStr">
        <is>
          <t>VÄSTERBOTTENS LÄN</t>
        </is>
      </c>
      <c r="E1305" t="inlineStr">
        <is>
          <t>LYCKSELE</t>
        </is>
      </c>
      <c r="G1305" t="n">
        <v>1.7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62984-2023</t>
        </is>
      </c>
      <c r="B1306" s="1" t="n">
        <v>45272</v>
      </c>
      <c r="C1306" s="1" t="n">
        <v>45849</v>
      </c>
      <c r="D1306" t="inlineStr">
        <is>
          <t>VÄSTERBOTTENS LÄN</t>
        </is>
      </c>
      <c r="E1306" t="inlineStr">
        <is>
          <t>LYCKSELE</t>
        </is>
      </c>
      <c r="G1306" t="n">
        <v>9.4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63696-2023</t>
        </is>
      </c>
      <c r="B1307" s="1" t="n">
        <v>45275</v>
      </c>
      <c r="C1307" s="1" t="n">
        <v>45849</v>
      </c>
      <c r="D1307" t="inlineStr">
        <is>
          <t>VÄSTERBOTTENS LÄN</t>
        </is>
      </c>
      <c r="E1307" t="inlineStr">
        <is>
          <t>LYCKSELE</t>
        </is>
      </c>
      <c r="G1307" t="n">
        <v>2.3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64215-2023</t>
        </is>
      </c>
      <c r="B1308" s="1" t="n">
        <v>45279</v>
      </c>
      <c r="C1308" s="1" t="n">
        <v>45849</v>
      </c>
      <c r="D1308" t="inlineStr">
        <is>
          <t>VÄSTERBOTTENS LÄN</t>
        </is>
      </c>
      <c r="E1308" t="inlineStr">
        <is>
          <t>LYCKSELE</t>
        </is>
      </c>
      <c r="G1308" t="n">
        <v>10.6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64334-2023</t>
        </is>
      </c>
      <c r="B1309" s="1" t="n">
        <v>45279</v>
      </c>
      <c r="C1309" s="1" t="n">
        <v>45849</v>
      </c>
      <c r="D1309" t="inlineStr">
        <is>
          <t>VÄSTERBOTTENS LÄN</t>
        </is>
      </c>
      <c r="E1309" t="inlineStr">
        <is>
          <t>LYCKSELE</t>
        </is>
      </c>
      <c r="G1309" t="n">
        <v>4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64336-2023</t>
        </is>
      </c>
      <c r="B1310" s="1" t="n">
        <v>45279</v>
      </c>
      <c r="C1310" s="1" t="n">
        <v>45849</v>
      </c>
      <c r="D1310" t="inlineStr">
        <is>
          <t>VÄSTERBOTTENS LÄN</t>
        </is>
      </c>
      <c r="E1310" t="inlineStr">
        <is>
          <t>LYCKSELE</t>
        </is>
      </c>
      <c r="G1310" t="n">
        <v>6.4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64346-2023</t>
        </is>
      </c>
      <c r="B1311" s="1" t="n">
        <v>45279</v>
      </c>
      <c r="C1311" s="1" t="n">
        <v>45849</v>
      </c>
      <c r="D1311" t="inlineStr">
        <is>
          <t>VÄSTERBOTTENS LÄN</t>
        </is>
      </c>
      <c r="E1311" t="inlineStr">
        <is>
          <t>LYCKSELE</t>
        </is>
      </c>
      <c r="G1311" t="n">
        <v>5.8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64281-2023</t>
        </is>
      </c>
      <c r="B1312" s="1" t="n">
        <v>45279</v>
      </c>
      <c r="C1312" s="1" t="n">
        <v>45849</v>
      </c>
      <c r="D1312" t="inlineStr">
        <is>
          <t>VÄSTERBOTTENS LÄN</t>
        </is>
      </c>
      <c r="E1312" t="inlineStr">
        <is>
          <t>LYCKSELE</t>
        </is>
      </c>
      <c r="G1312" t="n">
        <v>8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64391-2023</t>
        </is>
      </c>
      <c r="B1313" s="1" t="n">
        <v>45280</v>
      </c>
      <c r="C1313" s="1" t="n">
        <v>45849</v>
      </c>
      <c r="D1313" t="inlineStr">
        <is>
          <t>VÄSTERBOTTENS LÄN</t>
        </is>
      </c>
      <c r="E1313" t="inlineStr">
        <is>
          <t>LYCKSELE</t>
        </is>
      </c>
      <c r="G1313" t="n">
        <v>5.8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64663-2023</t>
        </is>
      </c>
      <c r="B1314" s="1" t="n">
        <v>45281</v>
      </c>
      <c r="C1314" s="1" t="n">
        <v>45849</v>
      </c>
      <c r="D1314" t="inlineStr">
        <is>
          <t>VÄSTERBOTTENS LÄN</t>
        </is>
      </c>
      <c r="E1314" t="inlineStr">
        <is>
          <t>LYCKSELE</t>
        </is>
      </c>
      <c r="G1314" t="n">
        <v>1.8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64656-2023</t>
        </is>
      </c>
      <c r="B1315" s="1" t="n">
        <v>45281</v>
      </c>
      <c r="C1315" s="1" t="n">
        <v>45849</v>
      </c>
      <c r="D1315" t="inlineStr">
        <is>
          <t>VÄSTERBOTTENS LÄN</t>
        </is>
      </c>
      <c r="E1315" t="inlineStr">
        <is>
          <t>LYCKSELE</t>
        </is>
      </c>
      <c r="G1315" t="n">
        <v>12.3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64668-2023</t>
        </is>
      </c>
      <c r="B1316" s="1" t="n">
        <v>45281</v>
      </c>
      <c r="C1316" s="1" t="n">
        <v>45849</v>
      </c>
      <c r="D1316" t="inlineStr">
        <is>
          <t>VÄSTERBOTTENS LÄN</t>
        </is>
      </c>
      <c r="E1316" t="inlineStr">
        <is>
          <t>LYCKSELE</t>
        </is>
      </c>
      <c r="G1316" t="n">
        <v>5.5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175-2024</t>
        </is>
      </c>
      <c r="B1317" s="1" t="n">
        <v>45294</v>
      </c>
      <c r="C1317" s="1" t="n">
        <v>45849</v>
      </c>
      <c r="D1317" t="inlineStr">
        <is>
          <t>VÄSTERBOTTENS LÄN</t>
        </is>
      </c>
      <c r="E1317" t="inlineStr">
        <is>
          <t>LYCKSELE</t>
        </is>
      </c>
      <c r="F1317" t="inlineStr">
        <is>
          <t>Sveaskog</t>
        </is>
      </c>
      <c r="G1317" t="n">
        <v>4.6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169-2024</t>
        </is>
      </c>
      <c r="B1318" s="1" t="n">
        <v>45294</v>
      </c>
      <c r="C1318" s="1" t="n">
        <v>45849</v>
      </c>
      <c r="D1318" t="inlineStr">
        <is>
          <t>VÄSTERBOTTENS LÄN</t>
        </is>
      </c>
      <c r="E1318" t="inlineStr">
        <is>
          <t>LYCKSELE</t>
        </is>
      </c>
      <c r="G1318" t="n">
        <v>2.8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122-2024</t>
        </is>
      </c>
      <c r="B1319" s="1" t="n">
        <v>45294</v>
      </c>
      <c r="C1319" s="1" t="n">
        <v>45849</v>
      </c>
      <c r="D1319" t="inlineStr">
        <is>
          <t>VÄSTERBOTTENS LÄN</t>
        </is>
      </c>
      <c r="E1319" t="inlineStr">
        <is>
          <t>LYCKSELE</t>
        </is>
      </c>
      <c r="G1319" t="n">
        <v>6.8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134-2024</t>
        </is>
      </c>
      <c r="B1320" s="1" t="n">
        <v>45294</v>
      </c>
      <c r="C1320" s="1" t="n">
        <v>45849</v>
      </c>
      <c r="D1320" t="inlineStr">
        <is>
          <t>VÄSTERBOTTENS LÄN</t>
        </is>
      </c>
      <c r="E1320" t="inlineStr">
        <is>
          <t>LYCKSELE</t>
        </is>
      </c>
      <c r="G1320" t="n">
        <v>4.6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171-2024</t>
        </is>
      </c>
      <c r="B1321" s="1" t="n">
        <v>45294</v>
      </c>
      <c r="C1321" s="1" t="n">
        <v>45849</v>
      </c>
      <c r="D1321" t="inlineStr">
        <is>
          <t>VÄSTERBOTTENS LÄN</t>
        </is>
      </c>
      <c r="E1321" t="inlineStr">
        <is>
          <t>LYCKSELE</t>
        </is>
      </c>
      <c r="G1321" t="n">
        <v>1.1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395-2024</t>
        </is>
      </c>
      <c r="B1322" s="1" t="n">
        <v>45296</v>
      </c>
      <c r="C1322" s="1" t="n">
        <v>45849</v>
      </c>
      <c r="D1322" t="inlineStr">
        <is>
          <t>VÄSTERBOTTENS LÄN</t>
        </is>
      </c>
      <c r="E1322" t="inlineStr">
        <is>
          <t>LYCKSELE</t>
        </is>
      </c>
      <c r="G1322" t="n">
        <v>3.1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1009-2024</t>
        </is>
      </c>
      <c r="B1323" s="1" t="n">
        <v>45301</v>
      </c>
      <c r="C1323" s="1" t="n">
        <v>45849</v>
      </c>
      <c r="D1323" t="inlineStr">
        <is>
          <t>VÄSTERBOTTENS LÄN</t>
        </is>
      </c>
      <c r="E1323" t="inlineStr">
        <is>
          <t>LYCKSELE</t>
        </is>
      </c>
      <c r="G1323" t="n">
        <v>1.1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995-2024</t>
        </is>
      </c>
      <c r="B1324" s="1" t="n">
        <v>45301</v>
      </c>
      <c r="C1324" s="1" t="n">
        <v>45849</v>
      </c>
      <c r="D1324" t="inlineStr">
        <is>
          <t>VÄSTERBOTTENS LÄN</t>
        </is>
      </c>
      <c r="E1324" t="inlineStr">
        <is>
          <t>LYCKSELE</t>
        </is>
      </c>
      <c r="G1324" t="n">
        <v>3.6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1812-2024</t>
        </is>
      </c>
      <c r="B1325" s="1" t="n">
        <v>45307</v>
      </c>
      <c r="C1325" s="1" t="n">
        <v>45849</v>
      </c>
      <c r="D1325" t="inlineStr">
        <is>
          <t>VÄSTERBOTTENS LÄN</t>
        </is>
      </c>
      <c r="E1325" t="inlineStr">
        <is>
          <t>LYCKSELE</t>
        </is>
      </c>
      <c r="F1325" t="inlineStr">
        <is>
          <t>Sveaskog</t>
        </is>
      </c>
      <c r="G1325" t="n">
        <v>14.9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1962-2024</t>
        </is>
      </c>
      <c r="B1326" s="1" t="n">
        <v>45308</v>
      </c>
      <c r="C1326" s="1" t="n">
        <v>45849</v>
      </c>
      <c r="D1326" t="inlineStr">
        <is>
          <t>VÄSTERBOTTENS LÄN</t>
        </is>
      </c>
      <c r="E1326" t="inlineStr">
        <is>
          <t>LYCKSELE</t>
        </is>
      </c>
      <c r="F1326" t="inlineStr">
        <is>
          <t>Holmen skog AB</t>
        </is>
      </c>
      <c r="G1326" t="n">
        <v>9.300000000000001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2552-2024</t>
        </is>
      </c>
      <c r="B1327" s="1" t="n">
        <v>45313</v>
      </c>
      <c r="C1327" s="1" t="n">
        <v>45849</v>
      </c>
      <c r="D1327" t="inlineStr">
        <is>
          <t>VÄSTERBOTTENS LÄN</t>
        </is>
      </c>
      <c r="E1327" t="inlineStr">
        <is>
          <t>LYCKSELE</t>
        </is>
      </c>
      <c r="F1327" t="inlineStr">
        <is>
          <t>Naturvårdsverket</t>
        </is>
      </c>
      <c r="G1327" t="n">
        <v>1.5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3303-2024</t>
        </is>
      </c>
      <c r="B1328" s="1" t="n">
        <v>45316</v>
      </c>
      <c r="C1328" s="1" t="n">
        <v>45849</v>
      </c>
      <c r="D1328" t="inlineStr">
        <is>
          <t>VÄSTERBOTTENS LÄN</t>
        </is>
      </c>
      <c r="E1328" t="inlineStr">
        <is>
          <t>LYCKSELE</t>
        </is>
      </c>
      <c r="G1328" t="n">
        <v>2.1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3546-2024</t>
        </is>
      </c>
      <c r="B1329" s="1" t="n">
        <v>45320</v>
      </c>
      <c r="C1329" s="1" t="n">
        <v>45849</v>
      </c>
      <c r="D1329" t="inlineStr">
        <is>
          <t>VÄSTERBOTTENS LÄN</t>
        </is>
      </c>
      <c r="E1329" t="inlineStr">
        <is>
          <t>LYCKSELE</t>
        </is>
      </c>
      <c r="G1329" t="n">
        <v>4.2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3632-2024</t>
        </is>
      </c>
      <c r="B1330" s="1" t="n">
        <v>45320</v>
      </c>
      <c r="C1330" s="1" t="n">
        <v>45849</v>
      </c>
      <c r="D1330" t="inlineStr">
        <is>
          <t>VÄSTERBOTTENS LÄN</t>
        </is>
      </c>
      <c r="E1330" t="inlineStr">
        <is>
          <t>LYCKSELE</t>
        </is>
      </c>
      <c r="F1330" t="inlineStr">
        <is>
          <t>SCA</t>
        </is>
      </c>
      <c r="G1330" t="n">
        <v>1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4390-2024</t>
        </is>
      </c>
      <c r="B1331" s="1" t="n">
        <v>45327</v>
      </c>
      <c r="C1331" s="1" t="n">
        <v>45849</v>
      </c>
      <c r="D1331" t="inlineStr">
        <is>
          <t>VÄSTERBOTTENS LÄN</t>
        </is>
      </c>
      <c r="E1331" t="inlineStr">
        <is>
          <t>LYCKSELE</t>
        </is>
      </c>
      <c r="G1331" t="n">
        <v>0.6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4625-2024</t>
        </is>
      </c>
      <c r="B1332" s="1" t="n">
        <v>45328</v>
      </c>
      <c r="C1332" s="1" t="n">
        <v>45849</v>
      </c>
      <c r="D1332" t="inlineStr">
        <is>
          <t>VÄSTERBOTTENS LÄN</t>
        </is>
      </c>
      <c r="E1332" t="inlineStr">
        <is>
          <t>LYCKSELE</t>
        </is>
      </c>
      <c r="G1332" t="n">
        <v>5.4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5322-2024</t>
        </is>
      </c>
      <c r="B1333" s="1" t="n">
        <v>45331</v>
      </c>
      <c r="C1333" s="1" t="n">
        <v>45849</v>
      </c>
      <c r="D1333" t="inlineStr">
        <is>
          <t>VÄSTERBOTTENS LÄN</t>
        </is>
      </c>
      <c r="E1333" t="inlineStr">
        <is>
          <t>LYCKSELE</t>
        </is>
      </c>
      <c r="F1333" t="inlineStr">
        <is>
          <t>Sveaskog</t>
        </is>
      </c>
      <c r="G1333" t="n">
        <v>3.2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5323-2024</t>
        </is>
      </c>
      <c r="B1334" s="1" t="n">
        <v>45331</v>
      </c>
      <c r="C1334" s="1" t="n">
        <v>45849</v>
      </c>
      <c r="D1334" t="inlineStr">
        <is>
          <t>VÄSTERBOTTENS LÄN</t>
        </is>
      </c>
      <c r="E1334" t="inlineStr">
        <is>
          <t>LYCKSELE</t>
        </is>
      </c>
      <c r="F1334" t="inlineStr">
        <is>
          <t>Sveaskog</t>
        </is>
      </c>
      <c r="G1334" t="n">
        <v>5.3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6278-2024</t>
        </is>
      </c>
      <c r="B1335" s="1" t="n">
        <v>45337</v>
      </c>
      <c r="C1335" s="1" t="n">
        <v>45849</v>
      </c>
      <c r="D1335" t="inlineStr">
        <is>
          <t>VÄSTERBOTTENS LÄN</t>
        </is>
      </c>
      <c r="E1335" t="inlineStr">
        <is>
          <t>LYCKSELE</t>
        </is>
      </c>
      <c r="F1335" t="inlineStr">
        <is>
          <t>SCA</t>
        </is>
      </c>
      <c r="G1335" t="n">
        <v>23.3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6277-2024</t>
        </is>
      </c>
      <c r="B1336" s="1" t="n">
        <v>45337</v>
      </c>
      <c r="C1336" s="1" t="n">
        <v>45849</v>
      </c>
      <c r="D1336" t="inlineStr">
        <is>
          <t>VÄSTERBOTTENS LÄN</t>
        </is>
      </c>
      <c r="E1336" t="inlineStr">
        <is>
          <t>LYCKSELE</t>
        </is>
      </c>
      <c r="F1336" t="inlineStr">
        <is>
          <t>SCA</t>
        </is>
      </c>
      <c r="G1336" t="n">
        <v>40.3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6276-2024</t>
        </is>
      </c>
      <c r="B1337" s="1" t="n">
        <v>45337</v>
      </c>
      <c r="C1337" s="1" t="n">
        <v>45849</v>
      </c>
      <c r="D1337" t="inlineStr">
        <is>
          <t>VÄSTERBOTTENS LÄN</t>
        </is>
      </c>
      <c r="E1337" t="inlineStr">
        <is>
          <t>LYCKSELE</t>
        </is>
      </c>
      <c r="F1337" t="inlineStr">
        <is>
          <t>SCA</t>
        </is>
      </c>
      <c r="G1337" t="n">
        <v>13.1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6997-2024</t>
        </is>
      </c>
      <c r="B1338" s="1" t="n">
        <v>45343</v>
      </c>
      <c r="C1338" s="1" t="n">
        <v>45849</v>
      </c>
      <c r="D1338" t="inlineStr">
        <is>
          <t>VÄSTERBOTTENS LÄN</t>
        </is>
      </c>
      <c r="E1338" t="inlineStr">
        <is>
          <t>LYCKSELE</t>
        </is>
      </c>
      <c r="G1338" t="n">
        <v>14.1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7506-2024</t>
        </is>
      </c>
      <c r="B1339" s="1" t="n">
        <v>45347</v>
      </c>
      <c r="C1339" s="1" t="n">
        <v>45849</v>
      </c>
      <c r="D1339" t="inlineStr">
        <is>
          <t>VÄSTERBOTTENS LÄN</t>
        </is>
      </c>
      <c r="E1339" t="inlineStr">
        <is>
          <t>LYCKSELE</t>
        </is>
      </c>
      <c r="G1339" t="n">
        <v>8.4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7510-2024</t>
        </is>
      </c>
      <c r="B1340" s="1" t="n">
        <v>45347</v>
      </c>
      <c r="C1340" s="1" t="n">
        <v>45849</v>
      </c>
      <c r="D1340" t="inlineStr">
        <is>
          <t>VÄSTERBOTTENS LÄN</t>
        </is>
      </c>
      <c r="E1340" t="inlineStr">
        <is>
          <t>LYCKSELE</t>
        </is>
      </c>
      <c r="G1340" t="n">
        <v>57.1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7509-2024</t>
        </is>
      </c>
      <c r="B1341" s="1" t="n">
        <v>45347</v>
      </c>
      <c r="C1341" s="1" t="n">
        <v>45849</v>
      </c>
      <c r="D1341" t="inlineStr">
        <is>
          <t>VÄSTERBOTTENS LÄN</t>
        </is>
      </c>
      <c r="E1341" t="inlineStr">
        <is>
          <t>LYCKSELE</t>
        </is>
      </c>
      <c r="G1341" t="n">
        <v>6.4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7666-2024</t>
        </is>
      </c>
      <c r="B1342" s="1" t="n">
        <v>45348</v>
      </c>
      <c r="C1342" s="1" t="n">
        <v>45849</v>
      </c>
      <c r="D1342" t="inlineStr">
        <is>
          <t>VÄSTERBOTTENS LÄN</t>
        </is>
      </c>
      <c r="E1342" t="inlineStr">
        <is>
          <t>LYCKSELE</t>
        </is>
      </c>
      <c r="G1342" t="n">
        <v>3.7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8035-2024</t>
        </is>
      </c>
      <c r="B1343" s="1" t="n">
        <v>45350</v>
      </c>
      <c r="C1343" s="1" t="n">
        <v>45849</v>
      </c>
      <c r="D1343" t="inlineStr">
        <is>
          <t>VÄSTERBOTTENS LÄN</t>
        </is>
      </c>
      <c r="E1343" t="inlineStr">
        <is>
          <t>LYCKSELE</t>
        </is>
      </c>
      <c r="F1343" t="inlineStr">
        <is>
          <t>SCA</t>
        </is>
      </c>
      <c r="G1343" t="n">
        <v>2.5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8360-2024</t>
        </is>
      </c>
      <c r="B1344" s="1" t="n">
        <v>45352</v>
      </c>
      <c r="C1344" s="1" t="n">
        <v>45849</v>
      </c>
      <c r="D1344" t="inlineStr">
        <is>
          <t>VÄSTERBOTTENS LÄN</t>
        </is>
      </c>
      <c r="E1344" t="inlineStr">
        <is>
          <t>LYCKSELE</t>
        </is>
      </c>
      <c r="F1344" t="inlineStr">
        <is>
          <t>Sveaskog</t>
        </is>
      </c>
      <c r="G1344" t="n">
        <v>31.5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8727-2024</t>
        </is>
      </c>
      <c r="B1345" s="1" t="n">
        <v>45356</v>
      </c>
      <c r="C1345" s="1" t="n">
        <v>45849</v>
      </c>
      <c r="D1345" t="inlineStr">
        <is>
          <t>VÄSTERBOTTENS LÄN</t>
        </is>
      </c>
      <c r="E1345" t="inlineStr">
        <is>
          <t>LYCKSELE</t>
        </is>
      </c>
      <c r="G1345" t="n">
        <v>1.6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8964-2024</t>
        </is>
      </c>
      <c r="B1346" s="1" t="n">
        <v>45357</v>
      </c>
      <c r="C1346" s="1" t="n">
        <v>45849</v>
      </c>
      <c r="D1346" t="inlineStr">
        <is>
          <t>VÄSTERBOTTENS LÄN</t>
        </is>
      </c>
      <c r="E1346" t="inlineStr">
        <is>
          <t>LYCKSELE</t>
        </is>
      </c>
      <c r="G1346" t="n">
        <v>7.3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9289-2024</t>
        </is>
      </c>
      <c r="B1347" s="1" t="n">
        <v>45358</v>
      </c>
      <c r="C1347" s="1" t="n">
        <v>45849</v>
      </c>
      <c r="D1347" t="inlineStr">
        <is>
          <t>VÄSTERBOTTENS LÄN</t>
        </is>
      </c>
      <c r="E1347" t="inlineStr">
        <is>
          <t>LYCKSELE</t>
        </is>
      </c>
      <c r="G1347" t="n">
        <v>9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9976-2024</t>
        </is>
      </c>
      <c r="B1348" s="1" t="n">
        <v>45363</v>
      </c>
      <c r="C1348" s="1" t="n">
        <v>45849</v>
      </c>
      <c r="D1348" t="inlineStr">
        <is>
          <t>VÄSTERBOTTENS LÄN</t>
        </is>
      </c>
      <c r="E1348" t="inlineStr">
        <is>
          <t>LYCKSELE</t>
        </is>
      </c>
      <c r="F1348" t="inlineStr">
        <is>
          <t>Holmen skog AB</t>
        </is>
      </c>
      <c r="G1348" t="n">
        <v>2.9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9986-2024</t>
        </is>
      </c>
      <c r="B1349" s="1" t="n">
        <v>45363</v>
      </c>
      <c r="C1349" s="1" t="n">
        <v>45849</v>
      </c>
      <c r="D1349" t="inlineStr">
        <is>
          <t>VÄSTERBOTTENS LÄN</t>
        </is>
      </c>
      <c r="E1349" t="inlineStr">
        <is>
          <t>LYCKSELE</t>
        </is>
      </c>
      <c r="F1349" t="inlineStr">
        <is>
          <t>Holmen skog AB</t>
        </is>
      </c>
      <c r="G1349" t="n">
        <v>5.8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10208-2024</t>
        </is>
      </c>
      <c r="B1350" s="1" t="n">
        <v>45364</v>
      </c>
      <c r="C1350" s="1" t="n">
        <v>45849</v>
      </c>
      <c r="D1350" t="inlineStr">
        <is>
          <t>VÄSTERBOTTENS LÄN</t>
        </is>
      </c>
      <c r="E1350" t="inlineStr">
        <is>
          <t>LYCKSELE</t>
        </is>
      </c>
      <c r="G1350" t="n">
        <v>9.4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10259-2024</t>
        </is>
      </c>
      <c r="B1351" s="1" t="n">
        <v>45365</v>
      </c>
      <c r="C1351" s="1" t="n">
        <v>45849</v>
      </c>
      <c r="D1351" t="inlineStr">
        <is>
          <t>VÄSTERBOTTENS LÄN</t>
        </is>
      </c>
      <c r="E1351" t="inlineStr">
        <is>
          <t>LYCKSELE</t>
        </is>
      </c>
      <c r="F1351" t="inlineStr">
        <is>
          <t>Holmen skog AB</t>
        </is>
      </c>
      <c r="G1351" t="n">
        <v>7.9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10253-2024</t>
        </is>
      </c>
      <c r="B1352" s="1" t="n">
        <v>45365</v>
      </c>
      <c r="C1352" s="1" t="n">
        <v>45849</v>
      </c>
      <c r="D1352" t="inlineStr">
        <is>
          <t>VÄSTERBOTTENS LÄN</t>
        </is>
      </c>
      <c r="E1352" t="inlineStr">
        <is>
          <t>LYCKSELE</t>
        </is>
      </c>
      <c r="G1352" t="n">
        <v>6.4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10875-2024</t>
        </is>
      </c>
      <c r="B1353" s="1" t="n">
        <v>45370</v>
      </c>
      <c r="C1353" s="1" t="n">
        <v>45849</v>
      </c>
      <c r="D1353" t="inlineStr">
        <is>
          <t>VÄSTERBOTTENS LÄN</t>
        </is>
      </c>
      <c r="E1353" t="inlineStr">
        <is>
          <t>LYCKSELE</t>
        </is>
      </c>
      <c r="F1353" t="inlineStr">
        <is>
          <t>SCA</t>
        </is>
      </c>
      <c r="G1353" t="n">
        <v>7.8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11094-2024</t>
        </is>
      </c>
      <c r="B1354" s="1" t="n">
        <v>45370</v>
      </c>
      <c r="C1354" s="1" t="n">
        <v>45849</v>
      </c>
      <c r="D1354" t="inlineStr">
        <is>
          <t>VÄSTERBOTTENS LÄN</t>
        </is>
      </c>
      <c r="E1354" t="inlineStr">
        <is>
          <t>LYCKSELE</t>
        </is>
      </c>
      <c r="F1354" t="inlineStr">
        <is>
          <t>SCA</t>
        </is>
      </c>
      <c r="G1354" t="n">
        <v>4.9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11095-2024</t>
        </is>
      </c>
      <c r="B1355" s="1" t="n">
        <v>45370</v>
      </c>
      <c r="C1355" s="1" t="n">
        <v>45849</v>
      </c>
      <c r="D1355" t="inlineStr">
        <is>
          <t>VÄSTERBOTTENS LÄN</t>
        </is>
      </c>
      <c r="E1355" t="inlineStr">
        <is>
          <t>LYCKSELE</t>
        </is>
      </c>
      <c r="F1355" t="inlineStr">
        <is>
          <t>SCA</t>
        </is>
      </c>
      <c r="G1355" t="n">
        <v>4.8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11131-2024</t>
        </is>
      </c>
      <c r="B1356" s="1" t="n">
        <v>45371</v>
      </c>
      <c r="C1356" s="1" t="n">
        <v>45849</v>
      </c>
      <c r="D1356" t="inlineStr">
        <is>
          <t>VÄSTERBOTTENS LÄN</t>
        </is>
      </c>
      <c r="E1356" t="inlineStr">
        <is>
          <t>LYCKSELE</t>
        </is>
      </c>
      <c r="G1356" t="n">
        <v>10.4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11199-2024</t>
        </is>
      </c>
      <c r="B1357" s="1" t="n">
        <v>45371</v>
      </c>
      <c r="C1357" s="1" t="n">
        <v>45849</v>
      </c>
      <c r="D1357" t="inlineStr">
        <is>
          <t>VÄSTERBOTTENS LÄN</t>
        </is>
      </c>
      <c r="E1357" t="inlineStr">
        <is>
          <t>LYCKSELE</t>
        </is>
      </c>
      <c r="F1357" t="inlineStr">
        <is>
          <t>Holmen skog AB</t>
        </is>
      </c>
      <c r="G1357" t="n">
        <v>55.8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11240-2024</t>
        </is>
      </c>
      <c r="B1358" s="1" t="n">
        <v>45371</v>
      </c>
      <c r="C1358" s="1" t="n">
        <v>45849</v>
      </c>
      <c r="D1358" t="inlineStr">
        <is>
          <t>VÄSTERBOTTENS LÄN</t>
        </is>
      </c>
      <c r="E1358" t="inlineStr">
        <is>
          <t>LYCKSELE</t>
        </is>
      </c>
      <c r="F1358" t="inlineStr">
        <is>
          <t>Holmen skog AB</t>
        </is>
      </c>
      <c r="G1358" t="n">
        <v>1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11328-2024</t>
        </is>
      </c>
      <c r="B1359" s="1" t="n">
        <v>45371</v>
      </c>
      <c r="C1359" s="1" t="n">
        <v>45849</v>
      </c>
      <c r="D1359" t="inlineStr">
        <is>
          <t>VÄSTERBOTTENS LÄN</t>
        </is>
      </c>
      <c r="E1359" t="inlineStr">
        <is>
          <t>LYCKSELE</t>
        </is>
      </c>
      <c r="G1359" t="n">
        <v>10.9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11437-2024</t>
        </is>
      </c>
      <c r="B1360" s="1" t="n">
        <v>45372</v>
      </c>
      <c r="C1360" s="1" t="n">
        <v>45849</v>
      </c>
      <c r="D1360" t="inlineStr">
        <is>
          <t>VÄSTERBOTTENS LÄN</t>
        </is>
      </c>
      <c r="E1360" t="inlineStr">
        <is>
          <t>LYCKSELE</t>
        </is>
      </c>
      <c r="G1360" t="n">
        <v>1.2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11765-2024</t>
        </is>
      </c>
      <c r="B1361" s="1" t="n">
        <v>45373</v>
      </c>
      <c r="C1361" s="1" t="n">
        <v>45849</v>
      </c>
      <c r="D1361" t="inlineStr">
        <is>
          <t>VÄSTERBOTTENS LÄN</t>
        </is>
      </c>
      <c r="E1361" t="inlineStr">
        <is>
          <t>LYCKSELE</t>
        </is>
      </c>
      <c r="F1361" t="inlineStr">
        <is>
          <t>SCA</t>
        </is>
      </c>
      <c r="G1361" t="n">
        <v>2.5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11626-2024</t>
        </is>
      </c>
      <c r="B1362" s="1" t="n">
        <v>45373</v>
      </c>
      <c r="C1362" s="1" t="n">
        <v>45849</v>
      </c>
      <c r="D1362" t="inlineStr">
        <is>
          <t>VÄSTERBOTTENS LÄN</t>
        </is>
      </c>
      <c r="E1362" t="inlineStr">
        <is>
          <t>LYCKSELE</t>
        </is>
      </c>
      <c r="G1362" t="n">
        <v>0.1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11650-2024</t>
        </is>
      </c>
      <c r="B1363" s="1" t="n">
        <v>45373</v>
      </c>
      <c r="C1363" s="1" t="n">
        <v>45849</v>
      </c>
      <c r="D1363" t="inlineStr">
        <is>
          <t>VÄSTERBOTTENS LÄN</t>
        </is>
      </c>
      <c r="E1363" t="inlineStr">
        <is>
          <t>LYCKSELE</t>
        </is>
      </c>
      <c r="G1363" t="n">
        <v>2.2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11640-2024</t>
        </is>
      </c>
      <c r="B1364" s="1" t="n">
        <v>45373</v>
      </c>
      <c r="C1364" s="1" t="n">
        <v>45849</v>
      </c>
      <c r="D1364" t="inlineStr">
        <is>
          <t>VÄSTERBOTTENS LÄN</t>
        </is>
      </c>
      <c r="E1364" t="inlineStr">
        <is>
          <t>LYCKSELE</t>
        </is>
      </c>
      <c r="G1364" t="n">
        <v>0.5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12206-2024</t>
        </is>
      </c>
      <c r="B1365" s="1" t="n">
        <v>45377</v>
      </c>
      <c r="C1365" s="1" t="n">
        <v>45849</v>
      </c>
      <c r="D1365" t="inlineStr">
        <is>
          <t>VÄSTERBOTTENS LÄN</t>
        </is>
      </c>
      <c r="E1365" t="inlineStr">
        <is>
          <t>LYCKSELE</t>
        </is>
      </c>
      <c r="G1365" t="n">
        <v>3.6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12198-2024</t>
        </is>
      </c>
      <c r="B1366" s="1" t="n">
        <v>45377</v>
      </c>
      <c r="C1366" s="1" t="n">
        <v>45849</v>
      </c>
      <c r="D1366" t="inlineStr">
        <is>
          <t>VÄSTERBOTTENS LÄN</t>
        </is>
      </c>
      <c r="E1366" t="inlineStr">
        <is>
          <t>LYCKSELE</t>
        </is>
      </c>
      <c r="F1366" t="inlineStr">
        <is>
          <t>SCA</t>
        </is>
      </c>
      <c r="G1366" t="n">
        <v>4.9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12336-2024</t>
        </is>
      </c>
      <c r="B1367" s="1" t="n">
        <v>45378</v>
      </c>
      <c r="C1367" s="1" t="n">
        <v>45849</v>
      </c>
      <c r="D1367" t="inlineStr">
        <is>
          <t>VÄSTERBOTTENS LÄN</t>
        </is>
      </c>
      <c r="E1367" t="inlineStr">
        <is>
          <t>LYCKSELE</t>
        </is>
      </c>
      <c r="G1367" t="n">
        <v>1.1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12340-2024</t>
        </is>
      </c>
      <c r="B1368" s="1" t="n">
        <v>45378</v>
      </c>
      <c r="C1368" s="1" t="n">
        <v>45849</v>
      </c>
      <c r="D1368" t="inlineStr">
        <is>
          <t>VÄSTERBOTTENS LÄN</t>
        </is>
      </c>
      <c r="E1368" t="inlineStr">
        <is>
          <t>LYCKSELE</t>
        </is>
      </c>
      <c r="G1368" t="n">
        <v>2.9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12333-2024</t>
        </is>
      </c>
      <c r="B1369" s="1" t="n">
        <v>45378</v>
      </c>
      <c r="C1369" s="1" t="n">
        <v>45849</v>
      </c>
      <c r="D1369" t="inlineStr">
        <is>
          <t>VÄSTERBOTTENS LÄN</t>
        </is>
      </c>
      <c r="E1369" t="inlineStr">
        <is>
          <t>LYCKSELE</t>
        </is>
      </c>
      <c r="G1369" t="n">
        <v>2.3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12337-2024</t>
        </is>
      </c>
      <c r="B1370" s="1" t="n">
        <v>45378</v>
      </c>
      <c r="C1370" s="1" t="n">
        <v>45849</v>
      </c>
      <c r="D1370" t="inlineStr">
        <is>
          <t>VÄSTERBOTTENS LÄN</t>
        </is>
      </c>
      <c r="E1370" t="inlineStr">
        <is>
          <t>LYCKSELE</t>
        </is>
      </c>
      <c r="G1370" t="n">
        <v>8.1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12335-2024</t>
        </is>
      </c>
      <c r="B1371" s="1" t="n">
        <v>45378</v>
      </c>
      <c r="C1371" s="1" t="n">
        <v>45849</v>
      </c>
      <c r="D1371" t="inlineStr">
        <is>
          <t>VÄSTERBOTTENS LÄN</t>
        </is>
      </c>
      <c r="E1371" t="inlineStr">
        <is>
          <t>LYCKSELE</t>
        </is>
      </c>
      <c r="G1371" t="n">
        <v>1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12575-2024</t>
        </is>
      </c>
      <c r="B1372" s="1" t="n">
        <v>45379</v>
      </c>
      <c r="C1372" s="1" t="n">
        <v>45849</v>
      </c>
      <c r="D1372" t="inlineStr">
        <is>
          <t>VÄSTERBOTTENS LÄN</t>
        </is>
      </c>
      <c r="E1372" t="inlineStr">
        <is>
          <t>LYCKSELE</t>
        </is>
      </c>
      <c r="G1372" t="n">
        <v>4.3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14070-2024</t>
        </is>
      </c>
      <c r="B1373" s="1" t="n">
        <v>45392</v>
      </c>
      <c r="C1373" s="1" t="n">
        <v>45849</v>
      </c>
      <c r="D1373" t="inlineStr">
        <is>
          <t>VÄSTERBOTTENS LÄN</t>
        </is>
      </c>
      <c r="E1373" t="inlineStr">
        <is>
          <t>LYCKSELE</t>
        </is>
      </c>
      <c r="G1373" t="n">
        <v>1.5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14195-2024</t>
        </is>
      </c>
      <c r="B1374" s="1" t="n">
        <v>45393</v>
      </c>
      <c r="C1374" s="1" t="n">
        <v>45849</v>
      </c>
      <c r="D1374" t="inlineStr">
        <is>
          <t>VÄSTERBOTTENS LÄN</t>
        </is>
      </c>
      <c r="E1374" t="inlineStr">
        <is>
          <t>LYCKSELE</t>
        </is>
      </c>
      <c r="F1374" t="inlineStr">
        <is>
          <t>Holmen skog AB</t>
        </is>
      </c>
      <c r="G1374" t="n">
        <v>22.9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14299-2024</t>
        </is>
      </c>
      <c r="B1375" s="1" t="n">
        <v>45393</v>
      </c>
      <c r="C1375" s="1" t="n">
        <v>45849</v>
      </c>
      <c r="D1375" t="inlineStr">
        <is>
          <t>VÄSTERBOTTENS LÄN</t>
        </is>
      </c>
      <c r="E1375" t="inlineStr">
        <is>
          <t>LYCKSELE</t>
        </is>
      </c>
      <c r="G1375" t="n">
        <v>3.9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14303-2024</t>
        </is>
      </c>
      <c r="B1376" s="1" t="n">
        <v>45393</v>
      </c>
      <c r="C1376" s="1" t="n">
        <v>45849</v>
      </c>
      <c r="D1376" t="inlineStr">
        <is>
          <t>VÄSTERBOTTENS LÄN</t>
        </is>
      </c>
      <c r="E1376" t="inlineStr">
        <is>
          <t>LYCKSELE</t>
        </is>
      </c>
      <c r="G1376" t="n">
        <v>9.5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14343-2024</t>
        </is>
      </c>
      <c r="B1377" s="1" t="n">
        <v>45393</v>
      </c>
      <c r="C1377" s="1" t="n">
        <v>45849</v>
      </c>
      <c r="D1377" t="inlineStr">
        <is>
          <t>VÄSTERBOTTENS LÄN</t>
        </is>
      </c>
      <c r="E1377" t="inlineStr">
        <is>
          <t>LYCKSELE</t>
        </is>
      </c>
      <c r="G1377" t="n">
        <v>2.9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15209-2024</t>
        </is>
      </c>
      <c r="B1378" s="1" t="n">
        <v>45400</v>
      </c>
      <c r="C1378" s="1" t="n">
        <v>45849</v>
      </c>
      <c r="D1378" t="inlineStr">
        <is>
          <t>VÄSTERBOTTENS LÄN</t>
        </is>
      </c>
      <c r="E1378" t="inlineStr">
        <is>
          <t>LYCKSELE</t>
        </is>
      </c>
      <c r="F1378" t="inlineStr">
        <is>
          <t>Sveaskog</t>
        </is>
      </c>
      <c r="G1378" t="n">
        <v>3.8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15418-2024</t>
        </is>
      </c>
      <c r="B1379" s="1" t="n">
        <v>45401</v>
      </c>
      <c r="C1379" s="1" t="n">
        <v>45849</v>
      </c>
      <c r="D1379" t="inlineStr">
        <is>
          <t>VÄSTERBOTTENS LÄN</t>
        </is>
      </c>
      <c r="E1379" t="inlineStr">
        <is>
          <t>LYCKSELE</t>
        </is>
      </c>
      <c r="F1379" t="inlineStr">
        <is>
          <t>Holmen skog AB</t>
        </is>
      </c>
      <c r="G1379" t="n">
        <v>12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15432-2024</t>
        </is>
      </c>
      <c r="B1380" s="1" t="n">
        <v>45401</v>
      </c>
      <c r="C1380" s="1" t="n">
        <v>45849</v>
      </c>
      <c r="D1380" t="inlineStr">
        <is>
          <t>VÄSTERBOTTENS LÄN</t>
        </is>
      </c>
      <c r="E1380" t="inlineStr">
        <is>
          <t>LYCKSELE</t>
        </is>
      </c>
      <c r="F1380" t="inlineStr">
        <is>
          <t>Holmen skog AB</t>
        </is>
      </c>
      <c r="G1380" t="n">
        <v>10.3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16192-2024</t>
        </is>
      </c>
      <c r="B1381" s="1" t="n">
        <v>45406</v>
      </c>
      <c r="C1381" s="1" t="n">
        <v>45849</v>
      </c>
      <c r="D1381" t="inlineStr">
        <is>
          <t>VÄSTERBOTTENS LÄN</t>
        </is>
      </c>
      <c r="E1381" t="inlineStr">
        <is>
          <t>LYCKSELE</t>
        </is>
      </c>
      <c r="G1381" t="n">
        <v>3.3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16219-2024</t>
        </is>
      </c>
      <c r="B1382" s="1" t="n">
        <v>45407</v>
      </c>
      <c r="C1382" s="1" t="n">
        <v>45849</v>
      </c>
      <c r="D1382" t="inlineStr">
        <is>
          <t>VÄSTERBOTTENS LÄN</t>
        </is>
      </c>
      <c r="E1382" t="inlineStr">
        <is>
          <t>LYCKSELE</t>
        </is>
      </c>
      <c r="G1382" t="n">
        <v>4.9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16563-2024</t>
        </is>
      </c>
      <c r="B1383" s="1" t="n">
        <v>45408</v>
      </c>
      <c r="C1383" s="1" t="n">
        <v>45849</v>
      </c>
      <c r="D1383" t="inlineStr">
        <is>
          <t>VÄSTERBOTTENS LÄN</t>
        </is>
      </c>
      <c r="E1383" t="inlineStr">
        <is>
          <t>LYCKSELE</t>
        </is>
      </c>
      <c r="G1383" t="n">
        <v>2.3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16570-2024</t>
        </is>
      </c>
      <c r="B1384" s="1" t="n">
        <v>45408</v>
      </c>
      <c r="C1384" s="1" t="n">
        <v>45849</v>
      </c>
      <c r="D1384" t="inlineStr">
        <is>
          <t>VÄSTERBOTTENS LÄN</t>
        </is>
      </c>
      <c r="E1384" t="inlineStr">
        <is>
          <t>LYCKSELE</t>
        </is>
      </c>
      <c r="G1384" t="n">
        <v>8.800000000000001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16728-2024</t>
        </is>
      </c>
      <c r="B1385" s="1" t="n">
        <v>45410</v>
      </c>
      <c r="C1385" s="1" t="n">
        <v>45849</v>
      </c>
      <c r="D1385" t="inlineStr">
        <is>
          <t>VÄSTERBOTTENS LÄN</t>
        </is>
      </c>
      <c r="E1385" t="inlineStr">
        <is>
          <t>LYCKSELE</t>
        </is>
      </c>
      <c r="G1385" t="n">
        <v>2.7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16887-2024</t>
        </is>
      </c>
      <c r="B1386" s="1" t="n">
        <v>45411</v>
      </c>
      <c r="C1386" s="1" t="n">
        <v>45849</v>
      </c>
      <c r="D1386" t="inlineStr">
        <is>
          <t>VÄSTERBOTTENS LÄN</t>
        </is>
      </c>
      <c r="E1386" t="inlineStr">
        <is>
          <t>LYCKSELE</t>
        </is>
      </c>
      <c r="G1386" t="n">
        <v>6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17370-2024</t>
        </is>
      </c>
      <c r="B1387" s="1" t="n">
        <v>45414</v>
      </c>
      <c r="C1387" s="1" t="n">
        <v>45849</v>
      </c>
      <c r="D1387" t="inlineStr">
        <is>
          <t>VÄSTERBOTTENS LÄN</t>
        </is>
      </c>
      <c r="E1387" t="inlineStr">
        <is>
          <t>LYCKSELE</t>
        </is>
      </c>
      <c r="G1387" t="n">
        <v>12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17372-2024</t>
        </is>
      </c>
      <c r="B1388" s="1" t="n">
        <v>45414</v>
      </c>
      <c r="C1388" s="1" t="n">
        <v>45849</v>
      </c>
      <c r="D1388" t="inlineStr">
        <is>
          <t>VÄSTERBOTTENS LÄN</t>
        </is>
      </c>
      <c r="E1388" t="inlineStr">
        <is>
          <t>LYCKSELE</t>
        </is>
      </c>
      <c r="G1388" t="n">
        <v>3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17460-2024</t>
        </is>
      </c>
      <c r="B1389" s="1" t="n">
        <v>45415</v>
      </c>
      <c r="C1389" s="1" t="n">
        <v>45849</v>
      </c>
      <c r="D1389" t="inlineStr">
        <is>
          <t>VÄSTERBOTTENS LÄN</t>
        </is>
      </c>
      <c r="E1389" t="inlineStr">
        <is>
          <t>LYCKSELE</t>
        </is>
      </c>
      <c r="G1389" t="n">
        <v>3.6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18004-2024</t>
        </is>
      </c>
      <c r="B1390" s="1" t="n">
        <v>45419</v>
      </c>
      <c r="C1390" s="1" t="n">
        <v>45849</v>
      </c>
      <c r="D1390" t="inlineStr">
        <is>
          <t>VÄSTERBOTTENS LÄN</t>
        </is>
      </c>
      <c r="E1390" t="inlineStr">
        <is>
          <t>LYCKSELE</t>
        </is>
      </c>
      <c r="F1390" t="inlineStr">
        <is>
          <t>SCA</t>
        </is>
      </c>
      <c r="G1390" t="n">
        <v>0.6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18200-2024</t>
        </is>
      </c>
      <c r="B1391" s="1" t="n">
        <v>45420</v>
      </c>
      <c r="C1391" s="1" t="n">
        <v>45849</v>
      </c>
      <c r="D1391" t="inlineStr">
        <is>
          <t>VÄSTERBOTTENS LÄN</t>
        </is>
      </c>
      <c r="E1391" t="inlineStr">
        <is>
          <t>LYCKSELE</t>
        </is>
      </c>
      <c r="G1391" t="n">
        <v>5.3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18284-2024</t>
        </is>
      </c>
      <c r="B1392" s="1" t="n">
        <v>45422</v>
      </c>
      <c r="C1392" s="1" t="n">
        <v>45849</v>
      </c>
      <c r="D1392" t="inlineStr">
        <is>
          <t>VÄSTERBOTTENS LÄN</t>
        </is>
      </c>
      <c r="E1392" t="inlineStr">
        <is>
          <t>LYCKSELE</t>
        </is>
      </c>
      <c r="F1392" t="inlineStr">
        <is>
          <t>Holmen skog AB</t>
        </is>
      </c>
      <c r="G1392" t="n">
        <v>3.7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18283-2024</t>
        </is>
      </c>
      <c r="B1393" s="1" t="n">
        <v>45422</v>
      </c>
      <c r="C1393" s="1" t="n">
        <v>45849</v>
      </c>
      <c r="D1393" t="inlineStr">
        <is>
          <t>VÄSTERBOTTENS LÄN</t>
        </is>
      </c>
      <c r="E1393" t="inlineStr">
        <is>
          <t>LYCKSELE</t>
        </is>
      </c>
      <c r="F1393" t="inlineStr">
        <is>
          <t>Holmen skog AB</t>
        </is>
      </c>
      <c r="G1393" t="n">
        <v>2.1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18642-2024</t>
        </is>
      </c>
      <c r="B1394" s="1" t="n">
        <v>45426</v>
      </c>
      <c r="C1394" s="1" t="n">
        <v>45849</v>
      </c>
      <c r="D1394" t="inlineStr">
        <is>
          <t>VÄSTERBOTTENS LÄN</t>
        </is>
      </c>
      <c r="E1394" t="inlineStr">
        <is>
          <t>LYCKSELE</t>
        </is>
      </c>
      <c r="F1394" t="inlineStr">
        <is>
          <t>SCA</t>
        </is>
      </c>
      <c r="G1394" t="n">
        <v>6.7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18946-2024</t>
        </is>
      </c>
      <c r="B1395" s="1" t="n">
        <v>45427</v>
      </c>
      <c r="C1395" s="1" t="n">
        <v>45849</v>
      </c>
      <c r="D1395" t="inlineStr">
        <is>
          <t>VÄSTERBOTTENS LÄN</t>
        </is>
      </c>
      <c r="E1395" t="inlineStr">
        <is>
          <t>LYCKSELE</t>
        </is>
      </c>
      <c r="G1395" t="n">
        <v>6.2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19270-2024</t>
        </is>
      </c>
      <c r="B1396" s="1" t="n">
        <v>45428</v>
      </c>
      <c r="C1396" s="1" t="n">
        <v>45849</v>
      </c>
      <c r="D1396" t="inlineStr">
        <is>
          <t>VÄSTERBOTTENS LÄN</t>
        </is>
      </c>
      <c r="E1396" t="inlineStr">
        <is>
          <t>LYCKSELE</t>
        </is>
      </c>
      <c r="F1396" t="inlineStr">
        <is>
          <t>Holmen skog AB</t>
        </is>
      </c>
      <c r="G1396" t="n">
        <v>11.1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19390-2024</t>
        </is>
      </c>
      <c r="B1397" s="1" t="n">
        <v>45429</v>
      </c>
      <c r="C1397" s="1" t="n">
        <v>45849</v>
      </c>
      <c r="D1397" t="inlineStr">
        <is>
          <t>VÄSTERBOTTENS LÄN</t>
        </is>
      </c>
      <c r="E1397" t="inlineStr">
        <is>
          <t>LYCKSELE</t>
        </is>
      </c>
      <c r="F1397" t="inlineStr">
        <is>
          <t>Holmen skog AB</t>
        </is>
      </c>
      <c r="G1397" t="n">
        <v>2.4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19765-2024</t>
        </is>
      </c>
      <c r="B1398" s="1" t="n">
        <v>45432</v>
      </c>
      <c r="C1398" s="1" t="n">
        <v>45849</v>
      </c>
      <c r="D1398" t="inlineStr">
        <is>
          <t>VÄSTERBOTTENS LÄN</t>
        </is>
      </c>
      <c r="E1398" t="inlineStr">
        <is>
          <t>LYCKSELE</t>
        </is>
      </c>
      <c r="G1398" t="n">
        <v>3.7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20178-2024</t>
        </is>
      </c>
      <c r="B1399" s="1" t="n">
        <v>45434</v>
      </c>
      <c r="C1399" s="1" t="n">
        <v>45849</v>
      </c>
      <c r="D1399" t="inlineStr">
        <is>
          <t>VÄSTERBOTTENS LÄN</t>
        </is>
      </c>
      <c r="E1399" t="inlineStr">
        <is>
          <t>LYCKSELE</t>
        </is>
      </c>
      <c r="F1399" t="inlineStr">
        <is>
          <t>Holmen skog AB</t>
        </is>
      </c>
      <c r="G1399" t="n">
        <v>2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20518-2024</t>
        </is>
      </c>
      <c r="B1400" s="1" t="n">
        <v>45436</v>
      </c>
      <c r="C1400" s="1" t="n">
        <v>45849</v>
      </c>
      <c r="D1400" t="inlineStr">
        <is>
          <t>VÄSTERBOTTENS LÄN</t>
        </is>
      </c>
      <c r="E1400" t="inlineStr">
        <is>
          <t>LYCKSELE</t>
        </is>
      </c>
      <c r="F1400" t="inlineStr">
        <is>
          <t>SCA</t>
        </is>
      </c>
      <c r="G1400" t="n">
        <v>2.4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20664-2024</t>
        </is>
      </c>
      <c r="B1401" s="1" t="n">
        <v>45436</v>
      </c>
      <c r="C1401" s="1" t="n">
        <v>45849</v>
      </c>
      <c r="D1401" t="inlineStr">
        <is>
          <t>VÄSTERBOTTENS LÄN</t>
        </is>
      </c>
      <c r="E1401" t="inlineStr">
        <is>
          <t>LYCKSELE</t>
        </is>
      </c>
      <c r="F1401" t="inlineStr">
        <is>
          <t>Sveaskog</t>
        </is>
      </c>
      <c r="G1401" t="n">
        <v>6.6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21242-2024</t>
        </is>
      </c>
      <c r="B1402" s="1" t="n">
        <v>45440</v>
      </c>
      <c r="C1402" s="1" t="n">
        <v>45849</v>
      </c>
      <c r="D1402" t="inlineStr">
        <is>
          <t>VÄSTERBOTTENS LÄN</t>
        </is>
      </c>
      <c r="E1402" t="inlineStr">
        <is>
          <t>LYCKSELE</t>
        </is>
      </c>
      <c r="G1402" t="n">
        <v>34.6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21264-2024</t>
        </is>
      </c>
      <c r="B1403" s="1" t="n">
        <v>45440</v>
      </c>
      <c r="C1403" s="1" t="n">
        <v>45849</v>
      </c>
      <c r="D1403" t="inlineStr">
        <is>
          <t>VÄSTERBOTTENS LÄN</t>
        </is>
      </c>
      <c r="E1403" t="inlineStr">
        <is>
          <t>LYCKSELE</t>
        </is>
      </c>
      <c r="F1403" t="inlineStr">
        <is>
          <t>Sveaskog</t>
        </is>
      </c>
      <c r="G1403" t="n">
        <v>4.4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21119-2024</t>
        </is>
      </c>
      <c r="B1404" s="1" t="n">
        <v>45440</v>
      </c>
      <c r="C1404" s="1" t="n">
        <v>45849</v>
      </c>
      <c r="D1404" t="inlineStr">
        <is>
          <t>VÄSTERBOTTENS LÄN</t>
        </is>
      </c>
      <c r="E1404" t="inlineStr">
        <is>
          <t>LYCKSELE</t>
        </is>
      </c>
      <c r="F1404" t="inlineStr">
        <is>
          <t>Holmen skog AB</t>
        </is>
      </c>
      <c r="G1404" t="n">
        <v>4.9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21666-2024</t>
        </is>
      </c>
      <c r="B1405" s="1" t="n">
        <v>45441</v>
      </c>
      <c r="C1405" s="1" t="n">
        <v>45849</v>
      </c>
      <c r="D1405" t="inlineStr">
        <is>
          <t>VÄSTERBOTTENS LÄN</t>
        </is>
      </c>
      <c r="E1405" t="inlineStr">
        <is>
          <t>LYCKSELE</t>
        </is>
      </c>
      <c r="G1405" t="n">
        <v>2.6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21668-2024</t>
        </is>
      </c>
      <c r="B1406" s="1" t="n">
        <v>45441</v>
      </c>
      <c r="C1406" s="1" t="n">
        <v>45849</v>
      </c>
      <c r="D1406" t="inlineStr">
        <is>
          <t>VÄSTERBOTTENS LÄN</t>
        </is>
      </c>
      <c r="E1406" t="inlineStr">
        <is>
          <t>LYCKSELE</t>
        </is>
      </c>
      <c r="G1406" t="n">
        <v>0.4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21803-2024</t>
        </is>
      </c>
      <c r="B1407" s="1" t="n">
        <v>45442</v>
      </c>
      <c r="C1407" s="1" t="n">
        <v>45849</v>
      </c>
      <c r="D1407" t="inlineStr">
        <is>
          <t>VÄSTERBOTTENS LÄN</t>
        </is>
      </c>
      <c r="E1407" t="inlineStr">
        <is>
          <t>LYCKSELE</t>
        </is>
      </c>
      <c r="F1407" t="inlineStr">
        <is>
          <t>Holmen skog AB</t>
        </is>
      </c>
      <c r="G1407" t="n">
        <v>1.5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21819-2024</t>
        </is>
      </c>
      <c r="B1408" s="1" t="n">
        <v>45442</v>
      </c>
      <c r="C1408" s="1" t="n">
        <v>45849</v>
      </c>
      <c r="D1408" t="inlineStr">
        <is>
          <t>VÄSTERBOTTENS LÄN</t>
        </is>
      </c>
      <c r="E1408" t="inlineStr">
        <is>
          <t>LYCKSELE</t>
        </is>
      </c>
      <c r="F1408" t="inlineStr">
        <is>
          <t>Holmen skog AB</t>
        </is>
      </c>
      <c r="G1408" t="n">
        <v>4.6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22050-2024</t>
        </is>
      </c>
      <c r="B1409" s="1" t="n">
        <v>45443</v>
      </c>
      <c r="C1409" s="1" t="n">
        <v>45849</v>
      </c>
      <c r="D1409" t="inlineStr">
        <is>
          <t>VÄSTERBOTTENS LÄN</t>
        </is>
      </c>
      <c r="E1409" t="inlineStr">
        <is>
          <t>LYCKSELE</t>
        </is>
      </c>
      <c r="F1409" t="inlineStr">
        <is>
          <t>Holmen skog AB</t>
        </is>
      </c>
      <c r="G1409" t="n">
        <v>0.9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22000-2024</t>
        </is>
      </c>
      <c r="B1410" s="1" t="n">
        <v>45443</v>
      </c>
      <c r="C1410" s="1" t="n">
        <v>45849</v>
      </c>
      <c r="D1410" t="inlineStr">
        <is>
          <t>VÄSTERBOTTENS LÄN</t>
        </is>
      </c>
      <c r="E1410" t="inlineStr">
        <is>
          <t>LYCKSELE</t>
        </is>
      </c>
      <c r="F1410" t="inlineStr">
        <is>
          <t>Holmen skog AB</t>
        </is>
      </c>
      <c r="G1410" t="n">
        <v>3.2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21995-2024</t>
        </is>
      </c>
      <c r="B1411" s="1" t="n">
        <v>45443</v>
      </c>
      <c r="C1411" s="1" t="n">
        <v>45849</v>
      </c>
      <c r="D1411" t="inlineStr">
        <is>
          <t>VÄSTERBOTTENS LÄN</t>
        </is>
      </c>
      <c r="E1411" t="inlineStr">
        <is>
          <t>LYCKSELE</t>
        </is>
      </c>
      <c r="F1411" t="inlineStr">
        <is>
          <t>Holmen skog AB</t>
        </is>
      </c>
      <c r="G1411" t="n">
        <v>8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22053-2024</t>
        </is>
      </c>
      <c r="B1412" s="1" t="n">
        <v>45443</v>
      </c>
      <c r="C1412" s="1" t="n">
        <v>45849</v>
      </c>
      <c r="D1412" t="inlineStr">
        <is>
          <t>VÄSTERBOTTENS LÄN</t>
        </is>
      </c>
      <c r="E1412" t="inlineStr">
        <is>
          <t>LYCKSELE</t>
        </is>
      </c>
      <c r="F1412" t="inlineStr">
        <is>
          <t>Sveaskog</t>
        </is>
      </c>
      <c r="G1412" t="n">
        <v>1.2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22142-2024</t>
        </is>
      </c>
      <c r="B1413" s="1" t="n">
        <v>45445</v>
      </c>
      <c r="C1413" s="1" t="n">
        <v>45849</v>
      </c>
      <c r="D1413" t="inlineStr">
        <is>
          <t>VÄSTERBOTTENS LÄN</t>
        </is>
      </c>
      <c r="E1413" t="inlineStr">
        <is>
          <t>LYCKSELE</t>
        </is>
      </c>
      <c r="F1413" t="inlineStr">
        <is>
          <t>SCA</t>
        </is>
      </c>
      <c r="G1413" t="n">
        <v>1.5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22144-2024</t>
        </is>
      </c>
      <c r="B1414" s="1" t="n">
        <v>45445</v>
      </c>
      <c r="C1414" s="1" t="n">
        <v>45849</v>
      </c>
      <c r="D1414" t="inlineStr">
        <is>
          <t>VÄSTERBOTTENS LÄN</t>
        </is>
      </c>
      <c r="E1414" t="inlineStr">
        <is>
          <t>LYCKSELE</t>
        </is>
      </c>
      <c r="F1414" t="inlineStr">
        <is>
          <t>SCA</t>
        </is>
      </c>
      <c r="G1414" t="n">
        <v>4.1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22352-2024</t>
        </is>
      </c>
      <c r="B1415" s="1" t="n">
        <v>45446</v>
      </c>
      <c r="C1415" s="1" t="n">
        <v>45849</v>
      </c>
      <c r="D1415" t="inlineStr">
        <is>
          <t>VÄSTERBOTTENS LÄN</t>
        </is>
      </c>
      <c r="E1415" t="inlineStr">
        <is>
          <t>LYCKSELE</t>
        </is>
      </c>
      <c r="F1415" t="inlineStr">
        <is>
          <t>Sveaskog</t>
        </is>
      </c>
      <c r="G1415" t="n">
        <v>29.4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22711-2024</t>
        </is>
      </c>
      <c r="B1416" s="1" t="n">
        <v>45448</v>
      </c>
      <c r="C1416" s="1" t="n">
        <v>45849</v>
      </c>
      <c r="D1416" t="inlineStr">
        <is>
          <t>VÄSTERBOTTENS LÄN</t>
        </is>
      </c>
      <c r="E1416" t="inlineStr">
        <is>
          <t>LYCKSELE</t>
        </is>
      </c>
      <c r="F1416" t="inlineStr">
        <is>
          <t>Holmen skog AB</t>
        </is>
      </c>
      <c r="G1416" t="n">
        <v>5.3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23315-2024</t>
        </is>
      </c>
      <c r="B1417" s="1" t="n">
        <v>45453</v>
      </c>
      <c r="C1417" s="1" t="n">
        <v>45849</v>
      </c>
      <c r="D1417" t="inlineStr">
        <is>
          <t>VÄSTERBOTTENS LÄN</t>
        </is>
      </c>
      <c r="E1417" t="inlineStr">
        <is>
          <t>LYCKSELE</t>
        </is>
      </c>
      <c r="G1417" t="n">
        <v>7.3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23344-2024</t>
        </is>
      </c>
      <c r="B1418" s="1" t="n">
        <v>45453</v>
      </c>
      <c r="C1418" s="1" t="n">
        <v>45849</v>
      </c>
      <c r="D1418" t="inlineStr">
        <is>
          <t>VÄSTERBOTTENS LÄN</t>
        </is>
      </c>
      <c r="E1418" t="inlineStr">
        <is>
          <t>LYCKSELE</t>
        </is>
      </c>
      <c r="F1418" t="inlineStr">
        <is>
          <t>Sveaskog</t>
        </is>
      </c>
      <c r="G1418" t="n">
        <v>6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23352-2024</t>
        </is>
      </c>
      <c r="B1419" s="1" t="n">
        <v>45453</v>
      </c>
      <c r="C1419" s="1" t="n">
        <v>45849</v>
      </c>
      <c r="D1419" t="inlineStr">
        <is>
          <t>VÄSTERBOTTENS LÄN</t>
        </is>
      </c>
      <c r="E1419" t="inlineStr">
        <is>
          <t>LYCKSELE</t>
        </is>
      </c>
      <c r="G1419" t="n">
        <v>13.5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23326-2024</t>
        </is>
      </c>
      <c r="B1420" s="1" t="n">
        <v>45453</v>
      </c>
      <c r="C1420" s="1" t="n">
        <v>45849</v>
      </c>
      <c r="D1420" t="inlineStr">
        <is>
          <t>VÄSTERBOTTENS LÄN</t>
        </is>
      </c>
      <c r="E1420" t="inlineStr">
        <is>
          <t>LYCKSELE</t>
        </is>
      </c>
      <c r="G1420" t="n">
        <v>4.5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23456-2024</t>
        </is>
      </c>
      <c r="B1421" s="1" t="n">
        <v>45453</v>
      </c>
      <c r="C1421" s="1" t="n">
        <v>45849</v>
      </c>
      <c r="D1421" t="inlineStr">
        <is>
          <t>VÄSTERBOTTENS LÄN</t>
        </is>
      </c>
      <c r="E1421" t="inlineStr">
        <is>
          <t>LYCKSELE</t>
        </is>
      </c>
      <c r="F1421" t="inlineStr">
        <is>
          <t>Sveaskog</t>
        </is>
      </c>
      <c r="G1421" t="n">
        <v>14.7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23428-2024</t>
        </is>
      </c>
      <c r="B1422" s="1" t="n">
        <v>45453</v>
      </c>
      <c r="C1422" s="1" t="n">
        <v>45849</v>
      </c>
      <c r="D1422" t="inlineStr">
        <is>
          <t>VÄSTERBOTTENS LÄN</t>
        </is>
      </c>
      <c r="E1422" t="inlineStr">
        <is>
          <t>LYCKSELE</t>
        </is>
      </c>
      <c r="F1422" t="inlineStr">
        <is>
          <t>Sveaskog</t>
        </is>
      </c>
      <c r="G1422" t="n">
        <v>13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23594-2024</t>
        </is>
      </c>
      <c r="B1423" s="1" t="n">
        <v>45454</v>
      </c>
      <c r="C1423" s="1" t="n">
        <v>45849</v>
      </c>
      <c r="D1423" t="inlineStr">
        <is>
          <t>VÄSTERBOTTENS LÄN</t>
        </is>
      </c>
      <c r="E1423" t="inlineStr">
        <is>
          <t>LYCKSELE</t>
        </is>
      </c>
      <c r="G1423" t="n">
        <v>1.6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23596-2024</t>
        </is>
      </c>
      <c r="B1424" s="1" t="n">
        <v>45454</v>
      </c>
      <c r="C1424" s="1" t="n">
        <v>45849</v>
      </c>
      <c r="D1424" t="inlineStr">
        <is>
          <t>VÄSTERBOTTENS LÄN</t>
        </is>
      </c>
      <c r="E1424" t="inlineStr">
        <is>
          <t>LYCKSELE</t>
        </is>
      </c>
      <c r="G1424" t="n">
        <v>8.800000000000001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23568-2024</t>
        </is>
      </c>
      <c r="B1425" s="1" t="n">
        <v>45454</v>
      </c>
      <c r="C1425" s="1" t="n">
        <v>45849</v>
      </c>
      <c r="D1425" t="inlineStr">
        <is>
          <t>VÄSTERBOTTENS LÄN</t>
        </is>
      </c>
      <c r="E1425" t="inlineStr">
        <is>
          <t>LYCKSELE</t>
        </is>
      </c>
      <c r="G1425" t="n">
        <v>11.6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23962-2024</t>
        </is>
      </c>
      <c r="B1426" s="1" t="n">
        <v>45456</v>
      </c>
      <c r="C1426" s="1" t="n">
        <v>45849</v>
      </c>
      <c r="D1426" t="inlineStr">
        <is>
          <t>VÄSTERBOTTENS LÄN</t>
        </is>
      </c>
      <c r="E1426" t="inlineStr">
        <is>
          <t>LYCKSELE</t>
        </is>
      </c>
      <c r="F1426" t="inlineStr">
        <is>
          <t>SCA</t>
        </is>
      </c>
      <c r="G1426" t="n">
        <v>1.4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23971-2024</t>
        </is>
      </c>
      <c r="B1427" s="1" t="n">
        <v>45455</v>
      </c>
      <c r="C1427" s="1" t="n">
        <v>45849</v>
      </c>
      <c r="D1427" t="inlineStr">
        <is>
          <t>VÄSTERBOTTENS LÄN</t>
        </is>
      </c>
      <c r="E1427" t="inlineStr">
        <is>
          <t>LYCKSELE</t>
        </is>
      </c>
      <c r="F1427" t="inlineStr">
        <is>
          <t>SCA</t>
        </is>
      </c>
      <c r="G1427" t="n">
        <v>10.4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23967-2024</t>
        </is>
      </c>
      <c r="B1428" s="1" t="n">
        <v>45456</v>
      </c>
      <c r="C1428" s="1" t="n">
        <v>45849</v>
      </c>
      <c r="D1428" t="inlineStr">
        <is>
          <t>VÄSTERBOTTENS LÄN</t>
        </is>
      </c>
      <c r="E1428" t="inlineStr">
        <is>
          <t>LYCKSELE</t>
        </is>
      </c>
      <c r="F1428" t="inlineStr">
        <is>
          <t>SCA</t>
        </is>
      </c>
      <c r="G1428" t="n">
        <v>6.8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23973-2024</t>
        </is>
      </c>
      <c r="B1429" s="1" t="n">
        <v>45456</v>
      </c>
      <c r="C1429" s="1" t="n">
        <v>45849</v>
      </c>
      <c r="D1429" t="inlineStr">
        <is>
          <t>VÄSTERBOTTENS LÄN</t>
        </is>
      </c>
      <c r="E1429" t="inlineStr">
        <is>
          <t>LYCKSELE</t>
        </is>
      </c>
      <c r="F1429" t="inlineStr">
        <is>
          <t>SCA</t>
        </is>
      </c>
      <c r="G1429" t="n">
        <v>3.2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23972-2024</t>
        </is>
      </c>
      <c r="B1430" s="1" t="n">
        <v>45456</v>
      </c>
      <c r="C1430" s="1" t="n">
        <v>45849</v>
      </c>
      <c r="D1430" t="inlineStr">
        <is>
          <t>VÄSTERBOTTENS LÄN</t>
        </is>
      </c>
      <c r="E1430" t="inlineStr">
        <is>
          <t>LYCKSELE</t>
        </is>
      </c>
      <c r="F1430" t="inlineStr">
        <is>
          <t>SCA</t>
        </is>
      </c>
      <c r="G1430" t="n">
        <v>12.3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24156-2024</t>
        </is>
      </c>
      <c r="B1431" s="1" t="n">
        <v>45456</v>
      </c>
      <c r="C1431" s="1" t="n">
        <v>45849</v>
      </c>
      <c r="D1431" t="inlineStr">
        <is>
          <t>VÄSTERBOTTENS LÄN</t>
        </is>
      </c>
      <c r="E1431" t="inlineStr">
        <is>
          <t>LYCKSELE</t>
        </is>
      </c>
      <c r="F1431" t="inlineStr">
        <is>
          <t>Sveaskog</t>
        </is>
      </c>
      <c r="G1431" t="n">
        <v>2.9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24278-2024</t>
        </is>
      </c>
      <c r="B1432" s="1" t="n">
        <v>45457</v>
      </c>
      <c r="C1432" s="1" t="n">
        <v>45849</v>
      </c>
      <c r="D1432" t="inlineStr">
        <is>
          <t>VÄSTERBOTTENS LÄN</t>
        </is>
      </c>
      <c r="E1432" t="inlineStr">
        <is>
          <t>LYCKSELE</t>
        </is>
      </c>
      <c r="F1432" t="inlineStr">
        <is>
          <t>Holmen skog AB</t>
        </is>
      </c>
      <c r="G1432" t="n">
        <v>4.4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24338-2024</t>
        </is>
      </c>
      <c r="B1433" s="1" t="n">
        <v>45457</v>
      </c>
      <c r="C1433" s="1" t="n">
        <v>45849</v>
      </c>
      <c r="D1433" t="inlineStr">
        <is>
          <t>VÄSTERBOTTENS LÄN</t>
        </is>
      </c>
      <c r="E1433" t="inlineStr">
        <is>
          <t>LYCKSELE</t>
        </is>
      </c>
      <c r="F1433" t="inlineStr">
        <is>
          <t>Holmen skog AB</t>
        </is>
      </c>
      <c r="G1433" t="n">
        <v>4.6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24346-2024</t>
        </is>
      </c>
      <c r="B1434" s="1" t="n">
        <v>45457</v>
      </c>
      <c r="C1434" s="1" t="n">
        <v>45849</v>
      </c>
      <c r="D1434" t="inlineStr">
        <is>
          <t>VÄSTERBOTTENS LÄN</t>
        </is>
      </c>
      <c r="E1434" t="inlineStr">
        <is>
          <t>LYCKSELE</t>
        </is>
      </c>
      <c r="F1434" t="inlineStr">
        <is>
          <t>Holmen skog AB</t>
        </is>
      </c>
      <c r="G1434" t="n">
        <v>5.4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24257-2024</t>
        </is>
      </c>
      <c r="B1435" s="1" t="n">
        <v>45457</v>
      </c>
      <c r="C1435" s="1" t="n">
        <v>45849</v>
      </c>
      <c r="D1435" t="inlineStr">
        <is>
          <t>VÄSTERBOTTENS LÄN</t>
        </is>
      </c>
      <c r="E1435" t="inlineStr">
        <is>
          <t>LYCKSELE</t>
        </is>
      </c>
      <c r="F1435" t="inlineStr">
        <is>
          <t>Sveaskog</t>
        </is>
      </c>
      <c r="G1435" t="n">
        <v>2.5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24361-2024</t>
        </is>
      </c>
      <c r="B1436" s="1" t="n">
        <v>45457</v>
      </c>
      <c r="C1436" s="1" t="n">
        <v>45849</v>
      </c>
      <c r="D1436" t="inlineStr">
        <is>
          <t>VÄSTERBOTTENS LÄN</t>
        </is>
      </c>
      <c r="E1436" t="inlineStr">
        <is>
          <t>LYCKSELE</t>
        </is>
      </c>
      <c r="F1436" t="inlineStr">
        <is>
          <t>Sveaskog</t>
        </is>
      </c>
      <c r="G1436" t="n">
        <v>7.3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24377-2024</t>
        </is>
      </c>
      <c r="B1437" s="1" t="n">
        <v>45457</v>
      </c>
      <c r="C1437" s="1" t="n">
        <v>45849</v>
      </c>
      <c r="D1437" t="inlineStr">
        <is>
          <t>VÄSTERBOTTENS LÄN</t>
        </is>
      </c>
      <c r="E1437" t="inlineStr">
        <is>
          <t>LYCKSELE</t>
        </is>
      </c>
      <c r="F1437" t="inlineStr">
        <is>
          <t>Holmen skog AB</t>
        </is>
      </c>
      <c r="G1437" t="n">
        <v>3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24340-2024</t>
        </is>
      </c>
      <c r="B1438" s="1" t="n">
        <v>45457</v>
      </c>
      <c r="C1438" s="1" t="n">
        <v>45849</v>
      </c>
      <c r="D1438" t="inlineStr">
        <is>
          <t>VÄSTERBOTTENS LÄN</t>
        </is>
      </c>
      <c r="E1438" t="inlineStr">
        <is>
          <t>LYCKSELE</t>
        </is>
      </c>
      <c r="F1438" t="inlineStr">
        <is>
          <t>Sveaskog</t>
        </is>
      </c>
      <c r="G1438" t="n">
        <v>12.3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24812-2024</t>
        </is>
      </c>
      <c r="B1439" s="1" t="n">
        <v>45461</v>
      </c>
      <c r="C1439" s="1" t="n">
        <v>45849</v>
      </c>
      <c r="D1439" t="inlineStr">
        <is>
          <t>VÄSTERBOTTENS LÄN</t>
        </is>
      </c>
      <c r="E1439" t="inlineStr">
        <is>
          <t>LYCKSELE</t>
        </is>
      </c>
      <c r="F1439" t="inlineStr">
        <is>
          <t>SCA</t>
        </is>
      </c>
      <c r="G1439" t="n">
        <v>5.7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24663-2024</t>
        </is>
      </c>
      <c r="B1440" s="1" t="n">
        <v>45460</v>
      </c>
      <c r="C1440" s="1" t="n">
        <v>45849</v>
      </c>
      <c r="D1440" t="inlineStr">
        <is>
          <t>VÄSTERBOTTENS LÄN</t>
        </is>
      </c>
      <c r="E1440" t="inlineStr">
        <is>
          <t>LYCKSELE</t>
        </is>
      </c>
      <c r="G1440" t="n">
        <v>3.5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24660-2024</t>
        </is>
      </c>
      <c r="B1441" s="1" t="n">
        <v>45460</v>
      </c>
      <c r="C1441" s="1" t="n">
        <v>45849</v>
      </c>
      <c r="D1441" t="inlineStr">
        <is>
          <t>VÄSTERBOTTENS LÄN</t>
        </is>
      </c>
      <c r="E1441" t="inlineStr">
        <is>
          <t>LYCKSELE</t>
        </is>
      </c>
      <c r="G1441" t="n">
        <v>8.199999999999999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24810-2024</t>
        </is>
      </c>
      <c r="B1442" s="1" t="n">
        <v>45461</v>
      </c>
      <c r="C1442" s="1" t="n">
        <v>45849</v>
      </c>
      <c r="D1442" t="inlineStr">
        <is>
          <t>VÄSTERBOTTENS LÄN</t>
        </is>
      </c>
      <c r="E1442" t="inlineStr">
        <is>
          <t>LYCKSELE</t>
        </is>
      </c>
      <c r="F1442" t="inlineStr">
        <is>
          <t>SCA</t>
        </is>
      </c>
      <c r="G1442" t="n">
        <v>5.3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24813-2024</t>
        </is>
      </c>
      <c r="B1443" s="1" t="n">
        <v>45461</v>
      </c>
      <c r="C1443" s="1" t="n">
        <v>45849</v>
      </c>
      <c r="D1443" t="inlineStr">
        <is>
          <t>VÄSTERBOTTENS LÄN</t>
        </is>
      </c>
      <c r="E1443" t="inlineStr">
        <is>
          <t>LYCKSELE</t>
        </is>
      </c>
      <c r="F1443" t="inlineStr">
        <is>
          <t>SCA</t>
        </is>
      </c>
      <c r="G1443" t="n">
        <v>1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24645-2024</t>
        </is>
      </c>
      <c r="B1444" s="1" t="n">
        <v>45460</v>
      </c>
      <c r="C1444" s="1" t="n">
        <v>45849</v>
      </c>
      <c r="D1444" t="inlineStr">
        <is>
          <t>VÄSTERBOTTENS LÄN</t>
        </is>
      </c>
      <c r="E1444" t="inlineStr">
        <is>
          <t>LYCKSELE</t>
        </is>
      </c>
      <c r="G1444" t="n">
        <v>5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24678-2024</t>
        </is>
      </c>
      <c r="B1445" s="1" t="n">
        <v>45460</v>
      </c>
      <c r="C1445" s="1" t="n">
        <v>45849</v>
      </c>
      <c r="D1445" t="inlineStr">
        <is>
          <t>VÄSTERBOTTENS LÄN</t>
        </is>
      </c>
      <c r="E1445" t="inlineStr">
        <is>
          <t>LYCKSELE</t>
        </is>
      </c>
      <c r="G1445" t="n">
        <v>4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24906-2024</t>
        </is>
      </c>
      <c r="B1446" s="1" t="n">
        <v>45461</v>
      </c>
      <c r="C1446" s="1" t="n">
        <v>45849</v>
      </c>
      <c r="D1446" t="inlineStr">
        <is>
          <t>VÄSTERBOTTENS LÄN</t>
        </is>
      </c>
      <c r="E1446" t="inlineStr">
        <is>
          <t>LYCKSELE</t>
        </is>
      </c>
      <c r="F1446" t="inlineStr">
        <is>
          <t>Holmen skog AB</t>
        </is>
      </c>
      <c r="G1446" t="n">
        <v>3.5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25020-2024</t>
        </is>
      </c>
      <c r="B1447" s="1" t="n">
        <v>45462</v>
      </c>
      <c r="C1447" s="1" t="n">
        <v>45849</v>
      </c>
      <c r="D1447" t="inlineStr">
        <is>
          <t>VÄSTERBOTTENS LÄN</t>
        </is>
      </c>
      <c r="E1447" t="inlineStr">
        <is>
          <t>LYCKSELE</t>
        </is>
      </c>
      <c r="F1447" t="inlineStr">
        <is>
          <t>SCA</t>
        </is>
      </c>
      <c r="G1447" t="n">
        <v>1.5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25360-2024</t>
        </is>
      </c>
      <c r="B1448" s="1" t="n">
        <v>45462</v>
      </c>
      <c r="C1448" s="1" t="n">
        <v>45849</v>
      </c>
      <c r="D1448" t="inlineStr">
        <is>
          <t>VÄSTERBOTTENS LÄN</t>
        </is>
      </c>
      <c r="E1448" t="inlineStr">
        <is>
          <t>LYCKSELE</t>
        </is>
      </c>
      <c r="F1448" t="inlineStr">
        <is>
          <t>SCA</t>
        </is>
      </c>
      <c r="G1448" t="n">
        <v>8.1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25375-2024</t>
        </is>
      </c>
      <c r="B1449" s="1" t="n">
        <v>45463</v>
      </c>
      <c r="C1449" s="1" t="n">
        <v>45849</v>
      </c>
      <c r="D1449" t="inlineStr">
        <is>
          <t>VÄSTERBOTTENS LÄN</t>
        </is>
      </c>
      <c r="E1449" t="inlineStr">
        <is>
          <t>LYCKSELE</t>
        </is>
      </c>
      <c r="F1449" t="inlineStr">
        <is>
          <t>SCA</t>
        </is>
      </c>
      <c r="G1449" t="n">
        <v>10.9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25358-2024</t>
        </is>
      </c>
      <c r="B1450" s="1" t="n">
        <v>45462</v>
      </c>
      <c r="C1450" s="1" t="n">
        <v>45849</v>
      </c>
      <c r="D1450" t="inlineStr">
        <is>
          <t>VÄSTERBOTTENS LÄN</t>
        </is>
      </c>
      <c r="E1450" t="inlineStr">
        <is>
          <t>LYCKSELE</t>
        </is>
      </c>
      <c r="F1450" t="inlineStr">
        <is>
          <t>SCA</t>
        </is>
      </c>
      <c r="G1450" t="n">
        <v>4.1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25327-2024</t>
        </is>
      </c>
      <c r="B1451" s="1" t="n">
        <v>45462</v>
      </c>
      <c r="C1451" s="1" t="n">
        <v>45849</v>
      </c>
      <c r="D1451" t="inlineStr">
        <is>
          <t>VÄSTERBOTTENS LÄN</t>
        </is>
      </c>
      <c r="E1451" t="inlineStr">
        <is>
          <t>LYCKSELE</t>
        </is>
      </c>
      <c r="F1451" t="inlineStr">
        <is>
          <t>Sveaskog</t>
        </is>
      </c>
      <c r="G1451" t="n">
        <v>3.5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25170-2024</t>
        </is>
      </c>
      <c r="B1452" s="1" t="n">
        <v>45462</v>
      </c>
      <c r="C1452" s="1" t="n">
        <v>45849</v>
      </c>
      <c r="D1452" t="inlineStr">
        <is>
          <t>VÄSTERBOTTENS LÄN</t>
        </is>
      </c>
      <c r="E1452" t="inlineStr">
        <is>
          <t>LYCKSELE</t>
        </is>
      </c>
      <c r="G1452" t="n">
        <v>2.4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25081-2024</t>
        </is>
      </c>
      <c r="B1453" s="1" t="n">
        <v>45462</v>
      </c>
      <c r="C1453" s="1" t="n">
        <v>45849</v>
      </c>
      <c r="D1453" t="inlineStr">
        <is>
          <t>VÄSTERBOTTENS LÄN</t>
        </is>
      </c>
      <c r="E1453" t="inlineStr">
        <is>
          <t>LYCKSELE</t>
        </is>
      </c>
      <c r="G1453" t="n">
        <v>2.9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25686-2024</t>
        </is>
      </c>
      <c r="B1454" s="1" t="n">
        <v>45464</v>
      </c>
      <c r="C1454" s="1" t="n">
        <v>45849</v>
      </c>
      <c r="D1454" t="inlineStr">
        <is>
          <t>VÄSTERBOTTENS LÄN</t>
        </is>
      </c>
      <c r="E1454" t="inlineStr">
        <is>
          <t>LYCKSELE</t>
        </is>
      </c>
      <c r="G1454" t="n">
        <v>4.3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26076-2024</t>
        </is>
      </c>
      <c r="B1455" s="1" t="n">
        <v>45467</v>
      </c>
      <c r="C1455" s="1" t="n">
        <v>45849</v>
      </c>
      <c r="D1455" t="inlineStr">
        <is>
          <t>VÄSTERBOTTENS LÄN</t>
        </is>
      </c>
      <c r="E1455" t="inlineStr">
        <is>
          <t>LYCKSELE</t>
        </is>
      </c>
      <c r="F1455" t="inlineStr">
        <is>
          <t>Sveaskog</t>
        </is>
      </c>
      <c r="G1455" t="n">
        <v>12.8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26068-2024</t>
        </is>
      </c>
      <c r="B1456" s="1" t="n">
        <v>45467</v>
      </c>
      <c r="C1456" s="1" t="n">
        <v>45849</v>
      </c>
      <c r="D1456" t="inlineStr">
        <is>
          <t>VÄSTERBOTTENS LÄN</t>
        </is>
      </c>
      <c r="E1456" t="inlineStr">
        <is>
          <t>LYCKSELE</t>
        </is>
      </c>
      <c r="F1456" t="inlineStr">
        <is>
          <t>Sveaskog</t>
        </is>
      </c>
      <c r="G1456" t="n">
        <v>16.9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26071-2024</t>
        </is>
      </c>
      <c r="B1457" s="1" t="n">
        <v>45468</v>
      </c>
      <c r="C1457" s="1" t="n">
        <v>45849</v>
      </c>
      <c r="D1457" t="inlineStr">
        <is>
          <t>VÄSTERBOTTENS LÄN</t>
        </is>
      </c>
      <c r="E1457" t="inlineStr">
        <is>
          <t>LYCKSELE</t>
        </is>
      </c>
      <c r="G1457" t="n">
        <v>8.1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26318-2024</t>
        </is>
      </c>
      <c r="B1458" s="1" t="n">
        <v>45469</v>
      </c>
      <c r="C1458" s="1" t="n">
        <v>45849</v>
      </c>
      <c r="D1458" t="inlineStr">
        <is>
          <t>VÄSTERBOTTENS LÄN</t>
        </is>
      </c>
      <c r="E1458" t="inlineStr">
        <is>
          <t>LYCKSELE</t>
        </is>
      </c>
      <c r="F1458" t="inlineStr">
        <is>
          <t>SCA</t>
        </is>
      </c>
      <c r="G1458" t="n">
        <v>4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26205-2024</t>
        </is>
      </c>
      <c r="B1459" s="1" t="n">
        <v>45468</v>
      </c>
      <c r="C1459" s="1" t="n">
        <v>45849</v>
      </c>
      <c r="D1459" t="inlineStr">
        <is>
          <t>VÄSTERBOTTENS LÄN</t>
        </is>
      </c>
      <c r="E1459" t="inlineStr">
        <is>
          <t>LYCKSELE</t>
        </is>
      </c>
      <c r="G1459" t="n">
        <v>5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26498-2024</t>
        </is>
      </c>
      <c r="B1460" s="1" t="n">
        <v>45469</v>
      </c>
      <c r="C1460" s="1" t="n">
        <v>45849</v>
      </c>
      <c r="D1460" t="inlineStr">
        <is>
          <t>VÄSTERBOTTENS LÄN</t>
        </is>
      </c>
      <c r="E1460" t="inlineStr">
        <is>
          <t>LYCKSELE</t>
        </is>
      </c>
      <c r="F1460" t="inlineStr">
        <is>
          <t>Sveaskog</t>
        </is>
      </c>
      <c r="G1460" t="n">
        <v>7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26562-2024</t>
        </is>
      </c>
      <c r="B1461" s="1" t="n">
        <v>45469</v>
      </c>
      <c r="C1461" s="1" t="n">
        <v>45849</v>
      </c>
      <c r="D1461" t="inlineStr">
        <is>
          <t>VÄSTERBOTTENS LÄN</t>
        </is>
      </c>
      <c r="E1461" t="inlineStr">
        <is>
          <t>LYCKSELE</t>
        </is>
      </c>
      <c r="F1461" t="inlineStr">
        <is>
          <t>Sveaskog</t>
        </is>
      </c>
      <c r="G1461" t="n">
        <v>11.4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26460-2024</t>
        </is>
      </c>
      <c r="B1462" s="1" t="n">
        <v>45469</v>
      </c>
      <c r="C1462" s="1" t="n">
        <v>45849</v>
      </c>
      <c r="D1462" t="inlineStr">
        <is>
          <t>VÄSTERBOTTENS LÄN</t>
        </is>
      </c>
      <c r="E1462" t="inlineStr">
        <is>
          <t>LYCKSELE</t>
        </is>
      </c>
      <c r="F1462" t="inlineStr">
        <is>
          <t>Sveaskog</t>
        </is>
      </c>
      <c r="G1462" t="n">
        <v>1.4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26469-2024</t>
        </is>
      </c>
      <c r="B1463" s="1" t="n">
        <v>45469</v>
      </c>
      <c r="C1463" s="1" t="n">
        <v>45849</v>
      </c>
      <c r="D1463" t="inlineStr">
        <is>
          <t>VÄSTERBOTTENS LÄN</t>
        </is>
      </c>
      <c r="E1463" t="inlineStr">
        <is>
          <t>LYCKSELE</t>
        </is>
      </c>
      <c r="F1463" t="inlineStr">
        <is>
          <t>Sveaskog</t>
        </is>
      </c>
      <c r="G1463" t="n">
        <v>4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26483-2024</t>
        </is>
      </c>
      <c r="B1464" s="1" t="n">
        <v>45469</v>
      </c>
      <c r="C1464" s="1" t="n">
        <v>45849</v>
      </c>
      <c r="D1464" t="inlineStr">
        <is>
          <t>VÄSTERBOTTENS LÄN</t>
        </is>
      </c>
      <c r="E1464" t="inlineStr">
        <is>
          <t>LYCKSELE</t>
        </is>
      </c>
      <c r="F1464" t="inlineStr">
        <is>
          <t>Sveaskog</t>
        </is>
      </c>
      <c r="G1464" t="n">
        <v>0.2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26492-2024</t>
        </is>
      </c>
      <c r="B1465" s="1" t="n">
        <v>45469</v>
      </c>
      <c r="C1465" s="1" t="n">
        <v>45849</v>
      </c>
      <c r="D1465" t="inlineStr">
        <is>
          <t>VÄSTERBOTTENS LÄN</t>
        </is>
      </c>
      <c r="E1465" t="inlineStr">
        <is>
          <t>LYCKSELE</t>
        </is>
      </c>
      <c r="F1465" t="inlineStr">
        <is>
          <t>Sveaskog</t>
        </is>
      </c>
      <c r="G1465" t="n">
        <v>13.1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26659-2024</t>
        </is>
      </c>
      <c r="B1466" s="1" t="n">
        <v>45470</v>
      </c>
      <c r="C1466" s="1" t="n">
        <v>45849</v>
      </c>
      <c r="D1466" t="inlineStr">
        <is>
          <t>VÄSTERBOTTENS LÄN</t>
        </is>
      </c>
      <c r="E1466" t="inlineStr">
        <is>
          <t>LYCKSELE</t>
        </is>
      </c>
      <c r="F1466" t="inlineStr">
        <is>
          <t>SCA</t>
        </is>
      </c>
      <c r="G1466" t="n">
        <v>12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26531-2024</t>
        </is>
      </c>
      <c r="B1467" s="1" t="n">
        <v>45469</v>
      </c>
      <c r="C1467" s="1" t="n">
        <v>45849</v>
      </c>
      <c r="D1467" t="inlineStr">
        <is>
          <t>VÄSTERBOTTENS LÄN</t>
        </is>
      </c>
      <c r="E1467" t="inlineStr">
        <is>
          <t>LYCKSELE</t>
        </is>
      </c>
      <c r="G1467" t="n">
        <v>2.6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26908-2024</t>
        </is>
      </c>
      <c r="B1468" s="1" t="n">
        <v>45470</v>
      </c>
      <c r="C1468" s="1" t="n">
        <v>45849</v>
      </c>
      <c r="D1468" t="inlineStr">
        <is>
          <t>VÄSTERBOTTENS LÄN</t>
        </is>
      </c>
      <c r="E1468" t="inlineStr">
        <is>
          <t>LYCKSELE</t>
        </is>
      </c>
      <c r="G1468" t="n">
        <v>2.8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26904-2024</t>
        </is>
      </c>
      <c r="B1469" s="1" t="n">
        <v>45470</v>
      </c>
      <c r="C1469" s="1" t="n">
        <v>45849</v>
      </c>
      <c r="D1469" t="inlineStr">
        <is>
          <t>VÄSTERBOTTENS LÄN</t>
        </is>
      </c>
      <c r="E1469" t="inlineStr">
        <is>
          <t>LYCKSELE</t>
        </is>
      </c>
      <c r="G1469" t="n">
        <v>4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26717-2024</t>
        </is>
      </c>
      <c r="B1470" s="1" t="n">
        <v>45470</v>
      </c>
      <c r="C1470" s="1" t="n">
        <v>45849</v>
      </c>
      <c r="D1470" t="inlineStr">
        <is>
          <t>VÄSTERBOTTENS LÄN</t>
        </is>
      </c>
      <c r="E1470" t="inlineStr">
        <is>
          <t>LYCKSELE</t>
        </is>
      </c>
      <c r="F1470" t="inlineStr">
        <is>
          <t>Sveaskog</t>
        </is>
      </c>
      <c r="G1470" t="n">
        <v>2.8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26682-2024</t>
        </is>
      </c>
      <c r="B1471" s="1" t="n">
        <v>45470</v>
      </c>
      <c r="C1471" s="1" t="n">
        <v>45849</v>
      </c>
      <c r="D1471" t="inlineStr">
        <is>
          <t>VÄSTERBOTTENS LÄN</t>
        </is>
      </c>
      <c r="E1471" t="inlineStr">
        <is>
          <t>LYCKSELE</t>
        </is>
      </c>
      <c r="F1471" t="inlineStr">
        <is>
          <t>Sveaskog</t>
        </is>
      </c>
      <c r="G1471" t="n">
        <v>6.1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26750-2024</t>
        </is>
      </c>
      <c r="B1472" s="1" t="n">
        <v>45470</v>
      </c>
      <c r="C1472" s="1" t="n">
        <v>45849</v>
      </c>
      <c r="D1472" t="inlineStr">
        <is>
          <t>VÄSTERBOTTENS LÄN</t>
        </is>
      </c>
      <c r="E1472" t="inlineStr">
        <is>
          <t>LYCKSELE</t>
        </is>
      </c>
      <c r="F1472" t="inlineStr">
        <is>
          <t>Sveaskog</t>
        </is>
      </c>
      <c r="G1472" t="n">
        <v>3.4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26685-2024</t>
        </is>
      </c>
      <c r="B1473" s="1" t="n">
        <v>45470</v>
      </c>
      <c r="C1473" s="1" t="n">
        <v>45849</v>
      </c>
      <c r="D1473" t="inlineStr">
        <is>
          <t>VÄSTERBOTTENS LÄN</t>
        </is>
      </c>
      <c r="E1473" t="inlineStr">
        <is>
          <t>LYCKSELE</t>
        </is>
      </c>
      <c r="F1473" t="inlineStr">
        <is>
          <t>Sveaskog</t>
        </is>
      </c>
      <c r="G1473" t="n">
        <v>5.2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26679-2024</t>
        </is>
      </c>
      <c r="B1474" s="1" t="n">
        <v>45470</v>
      </c>
      <c r="C1474" s="1" t="n">
        <v>45849</v>
      </c>
      <c r="D1474" t="inlineStr">
        <is>
          <t>VÄSTERBOTTENS LÄN</t>
        </is>
      </c>
      <c r="E1474" t="inlineStr">
        <is>
          <t>LYCKSELE</t>
        </is>
      </c>
      <c r="F1474" t="inlineStr">
        <is>
          <t>Sveaskog</t>
        </is>
      </c>
      <c r="G1474" t="n">
        <v>3.2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27150-2024</t>
        </is>
      </c>
      <c r="B1475" s="1" t="n">
        <v>45471</v>
      </c>
      <c r="C1475" s="1" t="n">
        <v>45849</v>
      </c>
      <c r="D1475" t="inlineStr">
        <is>
          <t>VÄSTERBOTTENS LÄN</t>
        </is>
      </c>
      <c r="E1475" t="inlineStr">
        <is>
          <t>LYCKSELE</t>
        </is>
      </c>
      <c r="G1475" t="n">
        <v>9.300000000000001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27171-2024</t>
        </is>
      </c>
      <c r="B1476" s="1" t="n">
        <v>45471</v>
      </c>
      <c r="C1476" s="1" t="n">
        <v>45849</v>
      </c>
      <c r="D1476" t="inlineStr">
        <is>
          <t>VÄSTERBOTTENS LÄN</t>
        </is>
      </c>
      <c r="E1476" t="inlineStr">
        <is>
          <t>LYCKSELE</t>
        </is>
      </c>
      <c r="G1476" t="n">
        <v>2.5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27192-2024</t>
        </is>
      </c>
      <c r="B1477" s="1" t="n">
        <v>45471</v>
      </c>
      <c r="C1477" s="1" t="n">
        <v>45849</v>
      </c>
      <c r="D1477" t="inlineStr">
        <is>
          <t>VÄSTERBOTTENS LÄN</t>
        </is>
      </c>
      <c r="E1477" t="inlineStr">
        <is>
          <t>LYCKSELE</t>
        </is>
      </c>
      <c r="G1477" t="n">
        <v>12.4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27000-2024</t>
        </is>
      </c>
      <c r="B1478" s="1" t="n">
        <v>45471</v>
      </c>
      <c r="C1478" s="1" t="n">
        <v>45849</v>
      </c>
      <c r="D1478" t="inlineStr">
        <is>
          <t>VÄSTERBOTTENS LÄN</t>
        </is>
      </c>
      <c r="E1478" t="inlineStr">
        <is>
          <t>LYCKSELE</t>
        </is>
      </c>
      <c r="F1478" t="inlineStr">
        <is>
          <t>Sveaskog</t>
        </is>
      </c>
      <c r="G1478" t="n">
        <v>3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27056-2024</t>
        </is>
      </c>
      <c r="B1479" s="1" t="n">
        <v>45471</v>
      </c>
      <c r="C1479" s="1" t="n">
        <v>45849</v>
      </c>
      <c r="D1479" t="inlineStr">
        <is>
          <t>VÄSTERBOTTENS LÄN</t>
        </is>
      </c>
      <c r="E1479" t="inlineStr">
        <is>
          <t>LYCKSELE</t>
        </is>
      </c>
      <c r="F1479" t="inlineStr">
        <is>
          <t>Sveaskog</t>
        </is>
      </c>
      <c r="G1479" t="n">
        <v>11.8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27315-2024</t>
        </is>
      </c>
      <c r="B1480" s="1" t="n">
        <v>45472</v>
      </c>
      <c r="C1480" s="1" t="n">
        <v>45849</v>
      </c>
      <c r="D1480" t="inlineStr">
        <is>
          <t>VÄSTERBOTTENS LÄN</t>
        </is>
      </c>
      <c r="E1480" t="inlineStr">
        <is>
          <t>LYCKSELE</t>
        </is>
      </c>
      <c r="F1480" t="inlineStr">
        <is>
          <t>SCA</t>
        </is>
      </c>
      <c r="G1480" t="n">
        <v>19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27495-2024</t>
        </is>
      </c>
      <c r="B1481" s="1" t="n">
        <v>45474</v>
      </c>
      <c r="C1481" s="1" t="n">
        <v>45849</v>
      </c>
      <c r="D1481" t="inlineStr">
        <is>
          <t>VÄSTERBOTTENS LÄN</t>
        </is>
      </c>
      <c r="E1481" t="inlineStr">
        <is>
          <t>LYCKSELE</t>
        </is>
      </c>
      <c r="F1481" t="inlineStr">
        <is>
          <t>Sveaskog</t>
        </is>
      </c>
      <c r="G1481" t="n">
        <v>1.9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27574-2024</t>
        </is>
      </c>
      <c r="B1482" s="1" t="n">
        <v>45474</v>
      </c>
      <c r="C1482" s="1" t="n">
        <v>45849</v>
      </c>
      <c r="D1482" t="inlineStr">
        <is>
          <t>VÄSTERBOTTENS LÄN</t>
        </is>
      </c>
      <c r="E1482" t="inlineStr">
        <is>
          <t>LYCKSELE</t>
        </is>
      </c>
      <c r="F1482" t="inlineStr">
        <is>
          <t>Holmen skog AB</t>
        </is>
      </c>
      <c r="G1482" t="n">
        <v>13.3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27672-2024</t>
        </is>
      </c>
      <c r="B1483" s="1" t="n">
        <v>45475</v>
      </c>
      <c r="C1483" s="1" t="n">
        <v>45849</v>
      </c>
      <c r="D1483" t="inlineStr">
        <is>
          <t>VÄSTERBOTTENS LÄN</t>
        </is>
      </c>
      <c r="E1483" t="inlineStr">
        <is>
          <t>LYCKSELE</t>
        </is>
      </c>
      <c r="F1483" t="inlineStr">
        <is>
          <t>Naturvårdsverket</t>
        </is>
      </c>
      <c r="G1483" t="n">
        <v>3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27670-2024</t>
        </is>
      </c>
      <c r="B1484" s="1" t="n">
        <v>45475</v>
      </c>
      <c r="C1484" s="1" t="n">
        <v>45849</v>
      </c>
      <c r="D1484" t="inlineStr">
        <is>
          <t>VÄSTERBOTTENS LÄN</t>
        </is>
      </c>
      <c r="E1484" t="inlineStr">
        <is>
          <t>LYCKSELE</t>
        </is>
      </c>
      <c r="F1484" t="inlineStr">
        <is>
          <t>Naturvårdsverket</t>
        </is>
      </c>
      <c r="G1484" t="n">
        <v>1.7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27671-2024</t>
        </is>
      </c>
      <c r="B1485" s="1" t="n">
        <v>45475</v>
      </c>
      <c r="C1485" s="1" t="n">
        <v>45849</v>
      </c>
      <c r="D1485" t="inlineStr">
        <is>
          <t>VÄSTERBOTTENS LÄN</t>
        </is>
      </c>
      <c r="E1485" t="inlineStr">
        <is>
          <t>LYCKSELE</t>
        </is>
      </c>
      <c r="F1485" t="inlineStr">
        <is>
          <t>Naturvårdsverket</t>
        </is>
      </c>
      <c r="G1485" t="n">
        <v>0.9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27553-2024</t>
        </is>
      </c>
      <c r="B1486" s="1" t="n">
        <v>45474</v>
      </c>
      <c r="C1486" s="1" t="n">
        <v>45849</v>
      </c>
      <c r="D1486" t="inlineStr">
        <is>
          <t>VÄSTERBOTTENS LÄN</t>
        </is>
      </c>
      <c r="E1486" t="inlineStr">
        <is>
          <t>LYCKSELE</t>
        </is>
      </c>
      <c r="F1486" t="inlineStr">
        <is>
          <t>Sveaskog</t>
        </is>
      </c>
      <c r="G1486" t="n">
        <v>1.3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27931-2024</t>
        </is>
      </c>
      <c r="B1487" s="1" t="n">
        <v>45476</v>
      </c>
      <c r="C1487" s="1" t="n">
        <v>45849</v>
      </c>
      <c r="D1487" t="inlineStr">
        <is>
          <t>VÄSTERBOTTENS LÄN</t>
        </is>
      </c>
      <c r="E1487" t="inlineStr">
        <is>
          <t>LYCKSELE</t>
        </is>
      </c>
      <c r="F1487" t="inlineStr">
        <is>
          <t>Naturvårdsverket</t>
        </is>
      </c>
      <c r="G1487" t="n">
        <v>2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27818-2024</t>
        </is>
      </c>
      <c r="B1488" s="1" t="n">
        <v>45475</v>
      </c>
      <c r="C1488" s="1" t="n">
        <v>45849</v>
      </c>
      <c r="D1488" t="inlineStr">
        <is>
          <t>VÄSTERBOTTENS LÄN</t>
        </is>
      </c>
      <c r="E1488" t="inlineStr">
        <is>
          <t>LYCKSELE</t>
        </is>
      </c>
      <c r="G1488" t="n">
        <v>3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27929-2024</t>
        </is>
      </c>
      <c r="B1489" s="1" t="n">
        <v>45476</v>
      </c>
      <c r="C1489" s="1" t="n">
        <v>45849</v>
      </c>
      <c r="D1489" t="inlineStr">
        <is>
          <t>VÄSTERBOTTENS LÄN</t>
        </is>
      </c>
      <c r="E1489" t="inlineStr">
        <is>
          <t>LYCKSELE</t>
        </is>
      </c>
      <c r="F1489" t="inlineStr">
        <is>
          <t>Naturvårdsverket</t>
        </is>
      </c>
      <c r="G1489" t="n">
        <v>2.4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27932-2024</t>
        </is>
      </c>
      <c r="B1490" s="1" t="n">
        <v>45476</v>
      </c>
      <c r="C1490" s="1" t="n">
        <v>45849</v>
      </c>
      <c r="D1490" t="inlineStr">
        <is>
          <t>VÄSTERBOTTENS LÄN</t>
        </is>
      </c>
      <c r="E1490" t="inlineStr">
        <is>
          <t>LYCKSELE</t>
        </is>
      </c>
      <c r="F1490" t="inlineStr">
        <is>
          <t>Naturvårdsverket</t>
        </is>
      </c>
      <c r="G1490" t="n">
        <v>0.9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28341-2024</t>
        </is>
      </c>
      <c r="B1491" s="1" t="n">
        <v>45477</v>
      </c>
      <c r="C1491" s="1" t="n">
        <v>45849</v>
      </c>
      <c r="D1491" t="inlineStr">
        <is>
          <t>VÄSTERBOTTENS LÄN</t>
        </is>
      </c>
      <c r="E1491" t="inlineStr">
        <is>
          <t>LYCKSELE</t>
        </is>
      </c>
      <c r="F1491" t="inlineStr">
        <is>
          <t>Holmen skog AB</t>
        </is>
      </c>
      <c r="G1491" t="n">
        <v>12.4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28376-2024</t>
        </is>
      </c>
      <c r="B1492" s="1" t="n">
        <v>45477</v>
      </c>
      <c r="C1492" s="1" t="n">
        <v>45849</v>
      </c>
      <c r="D1492" t="inlineStr">
        <is>
          <t>VÄSTERBOTTENS LÄN</t>
        </is>
      </c>
      <c r="E1492" t="inlineStr">
        <is>
          <t>LYCKSELE</t>
        </is>
      </c>
      <c r="F1492" t="inlineStr">
        <is>
          <t>Sveaskog</t>
        </is>
      </c>
      <c r="G1492" t="n">
        <v>11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28679-2024</t>
        </is>
      </c>
      <c r="B1493" s="1" t="n">
        <v>45478</v>
      </c>
      <c r="C1493" s="1" t="n">
        <v>45849</v>
      </c>
      <c r="D1493" t="inlineStr">
        <is>
          <t>VÄSTERBOTTENS LÄN</t>
        </is>
      </c>
      <c r="E1493" t="inlineStr">
        <is>
          <t>LYCKSELE</t>
        </is>
      </c>
      <c r="F1493" t="inlineStr">
        <is>
          <t>Sveaskog</t>
        </is>
      </c>
      <c r="G1493" t="n">
        <v>1.1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28833-2024</t>
        </is>
      </c>
      <c r="B1494" s="1" t="n">
        <v>45478</v>
      </c>
      <c r="C1494" s="1" t="n">
        <v>45849</v>
      </c>
      <c r="D1494" t="inlineStr">
        <is>
          <t>VÄSTERBOTTENS LÄN</t>
        </is>
      </c>
      <c r="E1494" t="inlineStr">
        <is>
          <t>LYCKSELE</t>
        </is>
      </c>
      <c r="F1494" t="inlineStr">
        <is>
          <t>Sveaskog</t>
        </is>
      </c>
      <c r="G1494" t="n">
        <v>1.6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28672-2024</t>
        </is>
      </c>
      <c r="B1495" s="1" t="n">
        <v>45478</v>
      </c>
      <c r="C1495" s="1" t="n">
        <v>45849</v>
      </c>
      <c r="D1495" t="inlineStr">
        <is>
          <t>VÄSTERBOTTENS LÄN</t>
        </is>
      </c>
      <c r="E1495" t="inlineStr">
        <is>
          <t>LYCKSELE</t>
        </is>
      </c>
      <c r="F1495" t="inlineStr">
        <is>
          <t>Sveaskog</t>
        </is>
      </c>
      <c r="G1495" t="n">
        <v>7.1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28893-2024</t>
        </is>
      </c>
      <c r="B1496" s="1" t="n">
        <v>45480</v>
      </c>
      <c r="C1496" s="1" t="n">
        <v>45849</v>
      </c>
      <c r="D1496" t="inlineStr">
        <is>
          <t>VÄSTERBOTTENS LÄN</t>
        </is>
      </c>
      <c r="E1496" t="inlineStr">
        <is>
          <t>LYCKSELE</t>
        </is>
      </c>
      <c r="F1496" t="inlineStr">
        <is>
          <t>SCA</t>
        </is>
      </c>
      <c r="G1496" t="n">
        <v>2.2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28892-2024</t>
        </is>
      </c>
      <c r="B1497" s="1" t="n">
        <v>45480</v>
      </c>
      <c r="C1497" s="1" t="n">
        <v>45849</v>
      </c>
      <c r="D1497" t="inlineStr">
        <is>
          <t>VÄSTERBOTTENS LÄN</t>
        </is>
      </c>
      <c r="E1497" t="inlineStr">
        <is>
          <t>LYCKSELE</t>
        </is>
      </c>
      <c r="F1497" t="inlineStr">
        <is>
          <t>SCA</t>
        </is>
      </c>
      <c r="G1497" t="n">
        <v>1.1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28890-2024</t>
        </is>
      </c>
      <c r="B1498" s="1" t="n">
        <v>45480</v>
      </c>
      <c r="C1498" s="1" t="n">
        <v>45849</v>
      </c>
      <c r="D1498" t="inlineStr">
        <is>
          <t>VÄSTERBOTTENS LÄN</t>
        </is>
      </c>
      <c r="E1498" t="inlineStr">
        <is>
          <t>LYCKSELE</t>
        </is>
      </c>
      <c r="F1498" t="inlineStr">
        <is>
          <t>SCA</t>
        </is>
      </c>
      <c r="G1498" t="n">
        <v>1.1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29277-2024</t>
        </is>
      </c>
      <c r="B1499" s="1" t="n">
        <v>45483</v>
      </c>
      <c r="C1499" s="1" t="n">
        <v>45849</v>
      </c>
      <c r="D1499" t="inlineStr">
        <is>
          <t>VÄSTERBOTTENS LÄN</t>
        </is>
      </c>
      <c r="E1499" t="inlineStr">
        <is>
          <t>LYCKSELE</t>
        </is>
      </c>
      <c r="F1499" t="inlineStr">
        <is>
          <t>SCA</t>
        </is>
      </c>
      <c r="G1499" t="n">
        <v>4.4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29278-2024</t>
        </is>
      </c>
      <c r="B1500" s="1" t="n">
        <v>45483</v>
      </c>
      <c r="C1500" s="1" t="n">
        <v>45849</v>
      </c>
      <c r="D1500" t="inlineStr">
        <is>
          <t>VÄSTERBOTTENS LÄN</t>
        </is>
      </c>
      <c r="E1500" t="inlineStr">
        <is>
          <t>LYCKSELE</t>
        </is>
      </c>
      <c r="F1500" t="inlineStr">
        <is>
          <t>SCA</t>
        </is>
      </c>
      <c r="G1500" t="n">
        <v>4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29449-2024</t>
        </is>
      </c>
      <c r="B1501" s="1" t="n">
        <v>45484</v>
      </c>
      <c r="C1501" s="1" t="n">
        <v>45849</v>
      </c>
      <c r="D1501" t="inlineStr">
        <is>
          <t>VÄSTERBOTTENS LÄN</t>
        </is>
      </c>
      <c r="E1501" t="inlineStr">
        <is>
          <t>LYCKSELE</t>
        </is>
      </c>
      <c r="G1501" t="n">
        <v>3.2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29545-2024</t>
        </is>
      </c>
      <c r="B1502" s="1" t="n">
        <v>45484</v>
      </c>
      <c r="C1502" s="1" t="n">
        <v>45849</v>
      </c>
      <c r="D1502" t="inlineStr">
        <is>
          <t>VÄSTERBOTTENS LÄN</t>
        </is>
      </c>
      <c r="E1502" t="inlineStr">
        <is>
          <t>LYCKSELE</t>
        </is>
      </c>
      <c r="G1502" t="n">
        <v>1.2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29560-2024</t>
        </is>
      </c>
      <c r="B1503" s="1" t="n">
        <v>45484</v>
      </c>
      <c r="C1503" s="1" t="n">
        <v>45849</v>
      </c>
      <c r="D1503" t="inlineStr">
        <is>
          <t>VÄSTERBOTTENS LÄN</t>
        </is>
      </c>
      <c r="E1503" t="inlineStr">
        <is>
          <t>LYCKSELE</t>
        </is>
      </c>
      <c r="F1503" t="inlineStr">
        <is>
          <t>Holmen skog AB</t>
        </is>
      </c>
      <c r="G1503" t="n">
        <v>1.9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29531-2024</t>
        </is>
      </c>
      <c r="B1504" s="1" t="n">
        <v>45484</v>
      </c>
      <c r="C1504" s="1" t="n">
        <v>45849</v>
      </c>
      <c r="D1504" t="inlineStr">
        <is>
          <t>VÄSTERBOTTENS LÄN</t>
        </is>
      </c>
      <c r="E1504" t="inlineStr">
        <is>
          <t>LYCKSELE</t>
        </is>
      </c>
      <c r="G1504" t="n">
        <v>8.800000000000001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29515-2024</t>
        </is>
      </c>
      <c r="B1505" s="1" t="n">
        <v>45484</v>
      </c>
      <c r="C1505" s="1" t="n">
        <v>45849</v>
      </c>
      <c r="D1505" t="inlineStr">
        <is>
          <t>VÄSTERBOTTENS LÄN</t>
        </is>
      </c>
      <c r="E1505" t="inlineStr">
        <is>
          <t>LYCKSELE</t>
        </is>
      </c>
      <c r="F1505" t="inlineStr">
        <is>
          <t>Sveaskog</t>
        </is>
      </c>
      <c r="G1505" t="n">
        <v>23.4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29937-2024</t>
        </is>
      </c>
      <c r="B1506" s="1" t="n">
        <v>45488</v>
      </c>
      <c r="C1506" s="1" t="n">
        <v>45849</v>
      </c>
      <c r="D1506" t="inlineStr">
        <is>
          <t>VÄSTERBOTTENS LÄN</t>
        </is>
      </c>
      <c r="E1506" t="inlineStr">
        <is>
          <t>LYCKSELE</t>
        </is>
      </c>
      <c r="G1506" t="n">
        <v>0.6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30306-2024</t>
        </is>
      </c>
      <c r="B1507" s="1" t="n">
        <v>45490</v>
      </c>
      <c r="C1507" s="1" t="n">
        <v>45849</v>
      </c>
      <c r="D1507" t="inlineStr">
        <is>
          <t>VÄSTERBOTTENS LÄN</t>
        </is>
      </c>
      <c r="E1507" t="inlineStr">
        <is>
          <t>LYCKSELE</t>
        </is>
      </c>
      <c r="F1507" t="inlineStr">
        <is>
          <t>Holmen skog AB</t>
        </is>
      </c>
      <c r="G1507" t="n">
        <v>5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30428-2024</t>
        </is>
      </c>
      <c r="B1508" s="1" t="n">
        <v>45491</v>
      </c>
      <c r="C1508" s="1" t="n">
        <v>45849</v>
      </c>
      <c r="D1508" t="inlineStr">
        <is>
          <t>VÄSTERBOTTENS LÄN</t>
        </is>
      </c>
      <c r="E1508" t="inlineStr">
        <is>
          <t>LYCKSELE</t>
        </is>
      </c>
      <c r="F1508" t="inlineStr">
        <is>
          <t>Sveaskog</t>
        </is>
      </c>
      <c r="G1508" t="n">
        <v>18.5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30424-2024</t>
        </is>
      </c>
      <c r="B1509" s="1" t="n">
        <v>45491</v>
      </c>
      <c r="C1509" s="1" t="n">
        <v>45849</v>
      </c>
      <c r="D1509" t="inlineStr">
        <is>
          <t>VÄSTERBOTTENS LÄN</t>
        </is>
      </c>
      <c r="E1509" t="inlineStr">
        <is>
          <t>LYCKSELE</t>
        </is>
      </c>
      <c r="F1509" t="inlineStr">
        <is>
          <t>Sveaskog</t>
        </is>
      </c>
      <c r="G1509" t="n">
        <v>1.9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30420-2024</t>
        </is>
      </c>
      <c r="B1510" s="1" t="n">
        <v>45491</v>
      </c>
      <c r="C1510" s="1" t="n">
        <v>45849</v>
      </c>
      <c r="D1510" t="inlineStr">
        <is>
          <t>VÄSTERBOTTENS LÄN</t>
        </is>
      </c>
      <c r="E1510" t="inlineStr">
        <is>
          <t>LYCKSELE</t>
        </is>
      </c>
      <c r="F1510" t="inlineStr">
        <is>
          <t>Sveaskog</t>
        </is>
      </c>
      <c r="G1510" t="n">
        <v>31.2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30425-2024</t>
        </is>
      </c>
      <c r="B1511" s="1" t="n">
        <v>45491</v>
      </c>
      <c r="C1511" s="1" t="n">
        <v>45849</v>
      </c>
      <c r="D1511" t="inlineStr">
        <is>
          <t>VÄSTERBOTTENS LÄN</t>
        </is>
      </c>
      <c r="E1511" t="inlineStr">
        <is>
          <t>LYCKSELE</t>
        </is>
      </c>
      <c r="F1511" t="inlineStr">
        <is>
          <t>Sveaskog</t>
        </is>
      </c>
      <c r="G1511" t="n">
        <v>3.9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30421-2024</t>
        </is>
      </c>
      <c r="B1512" s="1" t="n">
        <v>45491</v>
      </c>
      <c r="C1512" s="1" t="n">
        <v>45849</v>
      </c>
      <c r="D1512" t="inlineStr">
        <is>
          <t>VÄSTERBOTTENS LÄN</t>
        </is>
      </c>
      <c r="E1512" t="inlineStr">
        <is>
          <t>LYCKSELE</t>
        </is>
      </c>
      <c r="F1512" t="inlineStr">
        <is>
          <t>Sveaskog</t>
        </is>
      </c>
      <c r="G1512" t="n">
        <v>2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30423-2024</t>
        </is>
      </c>
      <c r="B1513" s="1" t="n">
        <v>45491</v>
      </c>
      <c r="C1513" s="1" t="n">
        <v>45849</v>
      </c>
      <c r="D1513" t="inlineStr">
        <is>
          <t>VÄSTERBOTTENS LÄN</t>
        </is>
      </c>
      <c r="E1513" t="inlineStr">
        <is>
          <t>LYCKSELE</t>
        </is>
      </c>
      <c r="F1513" t="inlineStr">
        <is>
          <t>Sveaskog</t>
        </is>
      </c>
      <c r="G1513" t="n">
        <v>8.199999999999999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30422-2024</t>
        </is>
      </c>
      <c r="B1514" s="1" t="n">
        <v>45491</v>
      </c>
      <c r="C1514" s="1" t="n">
        <v>45849</v>
      </c>
      <c r="D1514" t="inlineStr">
        <is>
          <t>VÄSTERBOTTENS LÄN</t>
        </is>
      </c>
      <c r="E1514" t="inlineStr">
        <is>
          <t>LYCKSELE</t>
        </is>
      </c>
      <c r="F1514" t="inlineStr">
        <is>
          <t>Sveaskog</t>
        </is>
      </c>
      <c r="G1514" t="n">
        <v>33.9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30426-2024</t>
        </is>
      </c>
      <c r="B1515" s="1" t="n">
        <v>45491</v>
      </c>
      <c r="C1515" s="1" t="n">
        <v>45849</v>
      </c>
      <c r="D1515" t="inlineStr">
        <is>
          <t>VÄSTERBOTTENS LÄN</t>
        </is>
      </c>
      <c r="E1515" t="inlineStr">
        <is>
          <t>LYCKSELE</t>
        </is>
      </c>
      <c r="F1515" t="inlineStr">
        <is>
          <t>Sveaskog</t>
        </is>
      </c>
      <c r="G1515" t="n">
        <v>2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30430-2024</t>
        </is>
      </c>
      <c r="B1516" s="1" t="n">
        <v>45491</v>
      </c>
      <c r="C1516" s="1" t="n">
        <v>45849</v>
      </c>
      <c r="D1516" t="inlineStr">
        <is>
          <t>VÄSTERBOTTENS LÄN</t>
        </is>
      </c>
      <c r="E1516" t="inlineStr">
        <is>
          <t>LYCKSELE</t>
        </is>
      </c>
      <c r="F1516" t="inlineStr">
        <is>
          <t>Sveaskog</t>
        </is>
      </c>
      <c r="G1516" t="n">
        <v>7.9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30579-2024</t>
        </is>
      </c>
      <c r="B1517" s="1" t="n">
        <v>45493</v>
      </c>
      <c r="C1517" s="1" t="n">
        <v>45849</v>
      </c>
      <c r="D1517" t="inlineStr">
        <is>
          <t>VÄSTERBOTTENS LÄN</t>
        </is>
      </c>
      <c r="E1517" t="inlineStr">
        <is>
          <t>LYCKSELE</t>
        </is>
      </c>
      <c r="F1517" t="inlineStr">
        <is>
          <t>SCA</t>
        </is>
      </c>
      <c r="G1517" t="n">
        <v>4.8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30581-2024</t>
        </is>
      </c>
      <c r="B1518" s="1" t="n">
        <v>45493</v>
      </c>
      <c r="C1518" s="1" t="n">
        <v>45849</v>
      </c>
      <c r="D1518" t="inlineStr">
        <is>
          <t>VÄSTERBOTTENS LÄN</t>
        </is>
      </c>
      <c r="E1518" t="inlineStr">
        <is>
          <t>LYCKSELE</t>
        </is>
      </c>
      <c r="F1518" t="inlineStr">
        <is>
          <t>SCA</t>
        </is>
      </c>
      <c r="G1518" t="n">
        <v>1.3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30636-2024</t>
        </is>
      </c>
      <c r="B1519" s="1" t="n">
        <v>45495</v>
      </c>
      <c r="C1519" s="1" t="n">
        <v>45849</v>
      </c>
      <c r="D1519" t="inlineStr">
        <is>
          <t>VÄSTERBOTTENS LÄN</t>
        </is>
      </c>
      <c r="E1519" t="inlineStr">
        <is>
          <t>LYCKSELE</t>
        </is>
      </c>
      <c r="F1519" t="inlineStr">
        <is>
          <t>Sveaskog</t>
        </is>
      </c>
      <c r="G1519" t="n">
        <v>6.2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30708-2024</t>
        </is>
      </c>
      <c r="B1520" s="1" t="n">
        <v>45496</v>
      </c>
      <c r="C1520" s="1" t="n">
        <v>45849</v>
      </c>
      <c r="D1520" t="inlineStr">
        <is>
          <t>VÄSTERBOTTENS LÄN</t>
        </is>
      </c>
      <c r="E1520" t="inlineStr">
        <is>
          <t>LYCKSELE</t>
        </is>
      </c>
      <c r="F1520" t="inlineStr">
        <is>
          <t>Sveaskog</t>
        </is>
      </c>
      <c r="G1520" t="n">
        <v>9.199999999999999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30725-2024</t>
        </is>
      </c>
      <c r="B1521" s="1" t="n">
        <v>45496</v>
      </c>
      <c r="C1521" s="1" t="n">
        <v>45849</v>
      </c>
      <c r="D1521" t="inlineStr">
        <is>
          <t>VÄSTERBOTTENS LÄN</t>
        </is>
      </c>
      <c r="E1521" t="inlineStr">
        <is>
          <t>LYCKSELE</t>
        </is>
      </c>
      <c r="F1521" t="inlineStr">
        <is>
          <t>Holmen skog AB</t>
        </is>
      </c>
      <c r="G1521" t="n">
        <v>2.8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30871-2024</t>
        </is>
      </c>
      <c r="B1522" s="1" t="n">
        <v>45497</v>
      </c>
      <c r="C1522" s="1" t="n">
        <v>45849</v>
      </c>
      <c r="D1522" t="inlineStr">
        <is>
          <t>VÄSTERBOTTENS LÄN</t>
        </is>
      </c>
      <c r="E1522" t="inlineStr">
        <is>
          <t>LYCKSELE</t>
        </is>
      </c>
      <c r="G1522" t="n">
        <v>2.4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30899-2024</t>
        </is>
      </c>
      <c r="B1523" s="1" t="n">
        <v>45498</v>
      </c>
      <c r="C1523" s="1" t="n">
        <v>45849</v>
      </c>
      <c r="D1523" t="inlineStr">
        <is>
          <t>VÄSTERBOTTENS LÄN</t>
        </is>
      </c>
      <c r="E1523" t="inlineStr">
        <is>
          <t>LYCKSELE</t>
        </is>
      </c>
      <c r="G1523" t="n">
        <v>14.4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31106-2024</t>
        </is>
      </c>
      <c r="B1524" s="1" t="n">
        <v>45502</v>
      </c>
      <c r="C1524" s="1" t="n">
        <v>45849</v>
      </c>
      <c r="D1524" t="inlineStr">
        <is>
          <t>VÄSTERBOTTENS LÄN</t>
        </is>
      </c>
      <c r="E1524" t="inlineStr">
        <is>
          <t>LYCKSELE</t>
        </is>
      </c>
      <c r="F1524" t="inlineStr">
        <is>
          <t>Holmen skog AB</t>
        </is>
      </c>
      <c r="G1524" t="n">
        <v>0.6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31251-2024</t>
        </is>
      </c>
      <c r="B1525" s="1" t="n">
        <v>45503</v>
      </c>
      <c r="C1525" s="1" t="n">
        <v>45849</v>
      </c>
      <c r="D1525" t="inlineStr">
        <is>
          <t>VÄSTERBOTTENS LÄN</t>
        </is>
      </c>
      <c r="E1525" t="inlineStr">
        <is>
          <t>LYCKSELE</t>
        </is>
      </c>
      <c r="F1525" t="inlineStr">
        <is>
          <t>Sveaskog</t>
        </is>
      </c>
      <c r="G1525" t="n">
        <v>7.4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31454-2024</t>
        </is>
      </c>
      <c r="B1526" s="1" t="n">
        <v>45506</v>
      </c>
      <c r="C1526" s="1" t="n">
        <v>45849</v>
      </c>
      <c r="D1526" t="inlineStr">
        <is>
          <t>VÄSTERBOTTENS LÄN</t>
        </is>
      </c>
      <c r="E1526" t="inlineStr">
        <is>
          <t>LYCKSELE</t>
        </is>
      </c>
      <c r="F1526" t="inlineStr">
        <is>
          <t>SCA</t>
        </is>
      </c>
      <c r="G1526" t="n">
        <v>1.6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31453-2024</t>
        </is>
      </c>
      <c r="B1527" s="1" t="n">
        <v>45506</v>
      </c>
      <c r="C1527" s="1" t="n">
        <v>45849</v>
      </c>
      <c r="D1527" t="inlineStr">
        <is>
          <t>VÄSTERBOTTENS LÄN</t>
        </is>
      </c>
      <c r="E1527" t="inlineStr">
        <is>
          <t>LYCKSELE</t>
        </is>
      </c>
      <c r="F1527" t="inlineStr">
        <is>
          <t>SCA</t>
        </is>
      </c>
      <c r="G1527" t="n">
        <v>8.300000000000001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31648-2024</t>
        </is>
      </c>
      <c r="B1528" s="1" t="n">
        <v>45506</v>
      </c>
      <c r="C1528" s="1" t="n">
        <v>45849</v>
      </c>
      <c r="D1528" t="inlineStr">
        <is>
          <t>VÄSTERBOTTENS LÄN</t>
        </is>
      </c>
      <c r="E1528" t="inlineStr">
        <is>
          <t>LYCKSELE</t>
        </is>
      </c>
      <c r="F1528" t="inlineStr">
        <is>
          <t>Sveaskog</t>
        </is>
      </c>
      <c r="G1528" t="n">
        <v>1.4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31848-2024</t>
        </is>
      </c>
      <c r="B1529" s="1" t="n">
        <v>45509</v>
      </c>
      <c r="C1529" s="1" t="n">
        <v>45849</v>
      </c>
      <c r="D1529" t="inlineStr">
        <is>
          <t>VÄSTERBOTTENS LÄN</t>
        </is>
      </c>
      <c r="E1529" t="inlineStr">
        <is>
          <t>LYCKSELE</t>
        </is>
      </c>
      <c r="F1529" t="inlineStr">
        <is>
          <t>Holmen skog AB</t>
        </is>
      </c>
      <c r="G1529" t="n">
        <v>1.2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31818-2024</t>
        </is>
      </c>
      <c r="B1530" s="1" t="n">
        <v>45509</v>
      </c>
      <c r="C1530" s="1" t="n">
        <v>45849</v>
      </c>
      <c r="D1530" t="inlineStr">
        <is>
          <t>VÄSTERBOTTENS LÄN</t>
        </is>
      </c>
      <c r="E1530" t="inlineStr">
        <is>
          <t>LYCKSELE</t>
        </is>
      </c>
      <c r="G1530" t="n">
        <v>7.7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32034-2024</t>
        </is>
      </c>
      <c r="B1531" s="1" t="n">
        <v>45510</v>
      </c>
      <c r="C1531" s="1" t="n">
        <v>45849</v>
      </c>
      <c r="D1531" t="inlineStr">
        <is>
          <t>VÄSTERBOTTENS LÄN</t>
        </is>
      </c>
      <c r="E1531" t="inlineStr">
        <is>
          <t>LYCKSELE</t>
        </is>
      </c>
      <c r="F1531" t="inlineStr">
        <is>
          <t>Holmen skog AB</t>
        </is>
      </c>
      <c r="G1531" t="n">
        <v>3.1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32408-2024</t>
        </is>
      </c>
      <c r="B1532" s="1" t="n">
        <v>45512</v>
      </c>
      <c r="C1532" s="1" t="n">
        <v>45849</v>
      </c>
      <c r="D1532" t="inlineStr">
        <is>
          <t>VÄSTERBOTTENS LÄN</t>
        </is>
      </c>
      <c r="E1532" t="inlineStr">
        <is>
          <t>LYCKSELE</t>
        </is>
      </c>
      <c r="F1532" t="inlineStr">
        <is>
          <t>Naturvårdsverket</t>
        </is>
      </c>
      <c r="G1532" t="n">
        <v>1.7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32474-2024</t>
        </is>
      </c>
      <c r="B1533" s="1" t="n">
        <v>45513</v>
      </c>
      <c r="C1533" s="1" t="n">
        <v>45849</v>
      </c>
      <c r="D1533" t="inlineStr">
        <is>
          <t>VÄSTERBOTTENS LÄN</t>
        </is>
      </c>
      <c r="E1533" t="inlineStr">
        <is>
          <t>LYCKSELE</t>
        </is>
      </c>
      <c r="F1533" t="inlineStr">
        <is>
          <t>Holmen skog AB</t>
        </is>
      </c>
      <c r="G1533" t="n">
        <v>3.8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32472-2024</t>
        </is>
      </c>
      <c r="B1534" s="1" t="n">
        <v>45513</v>
      </c>
      <c r="C1534" s="1" t="n">
        <v>45849</v>
      </c>
      <c r="D1534" t="inlineStr">
        <is>
          <t>VÄSTERBOTTENS LÄN</t>
        </is>
      </c>
      <c r="E1534" t="inlineStr">
        <is>
          <t>LYCKSELE</t>
        </is>
      </c>
      <c r="F1534" t="inlineStr">
        <is>
          <t>Holmen skog AB</t>
        </is>
      </c>
      <c r="G1534" t="n">
        <v>1.8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32475-2024</t>
        </is>
      </c>
      <c r="B1535" s="1" t="n">
        <v>45513</v>
      </c>
      <c r="C1535" s="1" t="n">
        <v>45849</v>
      </c>
      <c r="D1535" t="inlineStr">
        <is>
          <t>VÄSTERBOTTENS LÄN</t>
        </is>
      </c>
      <c r="E1535" t="inlineStr">
        <is>
          <t>LYCKSELE</t>
        </is>
      </c>
      <c r="F1535" t="inlineStr">
        <is>
          <t>Holmen skog AB</t>
        </is>
      </c>
      <c r="G1535" t="n">
        <v>2.8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32495-2024</t>
        </is>
      </c>
      <c r="B1536" s="1" t="n">
        <v>45513</v>
      </c>
      <c r="C1536" s="1" t="n">
        <v>45849</v>
      </c>
      <c r="D1536" t="inlineStr">
        <is>
          <t>VÄSTERBOTTENS LÄN</t>
        </is>
      </c>
      <c r="E1536" t="inlineStr">
        <is>
          <t>LYCKSELE</t>
        </is>
      </c>
      <c r="F1536" t="inlineStr">
        <is>
          <t>Holmen skog AB</t>
        </is>
      </c>
      <c r="G1536" t="n">
        <v>5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32614-2024</t>
        </is>
      </c>
      <c r="B1537" s="1" t="n">
        <v>45513</v>
      </c>
      <c r="C1537" s="1" t="n">
        <v>45849</v>
      </c>
      <c r="D1537" t="inlineStr">
        <is>
          <t>VÄSTERBOTTENS LÄN</t>
        </is>
      </c>
      <c r="E1537" t="inlineStr">
        <is>
          <t>LYCKSELE</t>
        </is>
      </c>
      <c r="F1537" t="inlineStr">
        <is>
          <t>Holmen skog AB</t>
        </is>
      </c>
      <c r="G1537" t="n">
        <v>4.6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32585-2024</t>
        </is>
      </c>
      <c r="B1538" s="1" t="n">
        <v>45513</v>
      </c>
      <c r="C1538" s="1" t="n">
        <v>45849</v>
      </c>
      <c r="D1538" t="inlineStr">
        <is>
          <t>VÄSTERBOTTENS LÄN</t>
        </is>
      </c>
      <c r="E1538" t="inlineStr">
        <is>
          <t>LYCKSELE</t>
        </is>
      </c>
      <c r="F1538" t="inlineStr">
        <is>
          <t>Naturvårdsverket</t>
        </is>
      </c>
      <c r="G1538" t="n">
        <v>2.4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32690-2024</t>
        </is>
      </c>
      <c r="B1539" s="1" t="n">
        <v>45515</v>
      </c>
      <c r="C1539" s="1" t="n">
        <v>45849</v>
      </c>
      <c r="D1539" t="inlineStr">
        <is>
          <t>VÄSTERBOTTENS LÄN</t>
        </is>
      </c>
      <c r="E1539" t="inlineStr">
        <is>
          <t>LYCKSELE</t>
        </is>
      </c>
      <c r="G1539" t="n">
        <v>2.1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32854-2024</t>
        </is>
      </c>
      <c r="B1540" s="1" t="n">
        <v>45516</v>
      </c>
      <c r="C1540" s="1" t="n">
        <v>45849</v>
      </c>
      <c r="D1540" t="inlineStr">
        <is>
          <t>VÄSTERBOTTENS LÄN</t>
        </is>
      </c>
      <c r="E1540" t="inlineStr">
        <is>
          <t>LYCKSELE</t>
        </is>
      </c>
      <c r="G1540" t="n">
        <v>0.9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32856-2024</t>
        </is>
      </c>
      <c r="B1541" s="1" t="n">
        <v>45516</v>
      </c>
      <c r="C1541" s="1" t="n">
        <v>45849</v>
      </c>
      <c r="D1541" t="inlineStr">
        <is>
          <t>VÄSTERBOTTENS LÄN</t>
        </is>
      </c>
      <c r="E1541" t="inlineStr">
        <is>
          <t>LYCKSELE</t>
        </is>
      </c>
      <c r="G1541" t="n">
        <v>7.4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32800-2024</t>
        </is>
      </c>
      <c r="B1542" s="1" t="n">
        <v>45516</v>
      </c>
      <c r="C1542" s="1" t="n">
        <v>45849</v>
      </c>
      <c r="D1542" t="inlineStr">
        <is>
          <t>VÄSTERBOTTENS LÄN</t>
        </is>
      </c>
      <c r="E1542" t="inlineStr">
        <is>
          <t>LYCKSELE</t>
        </is>
      </c>
      <c r="F1542" t="inlineStr">
        <is>
          <t>Sveaskog</t>
        </is>
      </c>
      <c r="G1542" t="n">
        <v>1.5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32923-2024</t>
        </is>
      </c>
      <c r="B1543" s="1" t="n">
        <v>45517</v>
      </c>
      <c r="C1543" s="1" t="n">
        <v>45849</v>
      </c>
      <c r="D1543" t="inlineStr">
        <is>
          <t>VÄSTERBOTTENS LÄN</t>
        </is>
      </c>
      <c r="E1543" t="inlineStr">
        <is>
          <t>LYCKSELE</t>
        </is>
      </c>
      <c r="F1543" t="inlineStr">
        <is>
          <t>SCA</t>
        </is>
      </c>
      <c r="G1543" t="n">
        <v>12.4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33570-2024</t>
        </is>
      </c>
      <c r="B1544" s="1" t="n">
        <v>45520</v>
      </c>
      <c r="C1544" s="1" t="n">
        <v>45849</v>
      </c>
      <c r="D1544" t="inlineStr">
        <is>
          <t>VÄSTERBOTTENS LÄN</t>
        </is>
      </c>
      <c r="E1544" t="inlineStr">
        <is>
          <t>LYCKSELE</t>
        </is>
      </c>
      <c r="G1544" t="n">
        <v>2.1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33619-2024</t>
        </is>
      </c>
      <c r="B1545" s="1" t="n">
        <v>45520</v>
      </c>
      <c r="C1545" s="1" t="n">
        <v>45849</v>
      </c>
      <c r="D1545" t="inlineStr">
        <is>
          <t>VÄSTERBOTTENS LÄN</t>
        </is>
      </c>
      <c r="E1545" t="inlineStr">
        <is>
          <t>LYCKSELE</t>
        </is>
      </c>
      <c r="F1545" t="inlineStr">
        <is>
          <t>Sveaskog</t>
        </is>
      </c>
      <c r="G1545" t="n">
        <v>5.2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33595-2024</t>
        </is>
      </c>
      <c r="B1546" s="1" t="n">
        <v>45520</v>
      </c>
      <c r="C1546" s="1" t="n">
        <v>45849</v>
      </c>
      <c r="D1546" t="inlineStr">
        <is>
          <t>VÄSTERBOTTENS LÄN</t>
        </is>
      </c>
      <c r="E1546" t="inlineStr">
        <is>
          <t>LYCKSELE</t>
        </is>
      </c>
      <c r="F1546" t="inlineStr">
        <is>
          <t>Sveaskog</t>
        </is>
      </c>
      <c r="G1546" t="n">
        <v>2.5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33699-2024</t>
        </is>
      </c>
      <c r="B1547" s="1" t="n">
        <v>45520</v>
      </c>
      <c r="C1547" s="1" t="n">
        <v>45849</v>
      </c>
      <c r="D1547" t="inlineStr">
        <is>
          <t>VÄSTERBOTTENS LÄN</t>
        </is>
      </c>
      <c r="E1547" t="inlineStr">
        <is>
          <t>LYCKSELE</t>
        </is>
      </c>
      <c r="F1547" t="inlineStr">
        <is>
          <t>Sveaskog</t>
        </is>
      </c>
      <c r="G1547" t="n">
        <v>16.3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33711-2024</t>
        </is>
      </c>
      <c r="B1548" s="1" t="n">
        <v>45520</v>
      </c>
      <c r="C1548" s="1" t="n">
        <v>45849</v>
      </c>
      <c r="D1548" t="inlineStr">
        <is>
          <t>VÄSTERBOTTENS LÄN</t>
        </is>
      </c>
      <c r="E1548" t="inlineStr">
        <is>
          <t>LYCKSELE</t>
        </is>
      </c>
      <c r="F1548" t="inlineStr">
        <is>
          <t>Sveaskog</t>
        </is>
      </c>
      <c r="G1548" t="n">
        <v>8.699999999999999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33715-2024</t>
        </is>
      </c>
      <c r="B1549" s="1" t="n">
        <v>45520</v>
      </c>
      <c r="C1549" s="1" t="n">
        <v>45849</v>
      </c>
      <c r="D1549" t="inlineStr">
        <is>
          <t>VÄSTERBOTTENS LÄN</t>
        </is>
      </c>
      <c r="E1549" t="inlineStr">
        <is>
          <t>LYCKSELE</t>
        </is>
      </c>
      <c r="F1549" t="inlineStr">
        <is>
          <t>Sveaskog</t>
        </is>
      </c>
      <c r="G1549" t="n">
        <v>10.1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33640-2024</t>
        </is>
      </c>
      <c r="B1550" s="1" t="n">
        <v>45520</v>
      </c>
      <c r="C1550" s="1" t="n">
        <v>45849</v>
      </c>
      <c r="D1550" t="inlineStr">
        <is>
          <t>VÄSTERBOTTENS LÄN</t>
        </is>
      </c>
      <c r="E1550" t="inlineStr">
        <is>
          <t>LYCKSELE</t>
        </is>
      </c>
      <c r="F1550" t="inlineStr">
        <is>
          <t>Sveaskog</t>
        </is>
      </c>
      <c r="G1550" t="n">
        <v>2.4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33689-2024</t>
        </is>
      </c>
      <c r="B1551" s="1" t="n">
        <v>45520</v>
      </c>
      <c r="C1551" s="1" t="n">
        <v>45849</v>
      </c>
      <c r="D1551" t="inlineStr">
        <is>
          <t>VÄSTERBOTTENS LÄN</t>
        </is>
      </c>
      <c r="E1551" t="inlineStr">
        <is>
          <t>LYCKSELE</t>
        </is>
      </c>
      <c r="F1551" t="inlineStr">
        <is>
          <t>Sveaskog</t>
        </is>
      </c>
      <c r="G1551" t="n">
        <v>3.2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33693-2024</t>
        </is>
      </c>
      <c r="B1552" s="1" t="n">
        <v>45520</v>
      </c>
      <c r="C1552" s="1" t="n">
        <v>45849</v>
      </c>
      <c r="D1552" t="inlineStr">
        <is>
          <t>VÄSTERBOTTENS LÄN</t>
        </is>
      </c>
      <c r="E1552" t="inlineStr">
        <is>
          <t>LYCKSELE</t>
        </is>
      </c>
      <c r="F1552" t="inlineStr">
        <is>
          <t>Sveaskog</t>
        </is>
      </c>
      <c r="G1552" t="n">
        <v>1.3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33701-2024</t>
        </is>
      </c>
      <c r="B1553" s="1" t="n">
        <v>45520</v>
      </c>
      <c r="C1553" s="1" t="n">
        <v>45849</v>
      </c>
      <c r="D1553" t="inlineStr">
        <is>
          <t>VÄSTERBOTTENS LÄN</t>
        </is>
      </c>
      <c r="E1553" t="inlineStr">
        <is>
          <t>LYCKSELE</t>
        </is>
      </c>
      <c r="F1553" t="inlineStr">
        <is>
          <t>Sveaskog</t>
        </is>
      </c>
      <c r="G1553" t="n">
        <v>12.1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33705-2024</t>
        </is>
      </c>
      <c r="B1554" s="1" t="n">
        <v>45520</v>
      </c>
      <c r="C1554" s="1" t="n">
        <v>45849</v>
      </c>
      <c r="D1554" t="inlineStr">
        <is>
          <t>VÄSTERBOTTENS LÄN</t>
        </is>
      </c>
      <c r="E1554" t="inlineStr">
        <is>
          <t>LYCKSELE</t>
        </is>
      </c>
      <c r="F1554" t="inlineStr">
        <is>
          <t>Sveaskog</t>
        </is>
      </c>
      <c r="G1554" t="n">
        <v>7.5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33713-2024</t>
        </is>
      </c>
      <c r="B1555" s="1" t="n">
        <v>45520</v>
      </c>
      <c r="C1555" s="1" t="n">
        <v>45849</v>
      </c>
      <c r="D1555" t="inlineStr">
        <is>
          <t>VÄSTERBOTTENS LÄN</t>
        </is>
      </c>
      <c r="E1555" t="inlineStr">
        <is>
          <t>LYCKSELE</t>
        </is>
      </c>
      <c r="F1555" t="inlineStr">
        <is>
          <t>Sveaskog</t>
        </is>
      </c>
      <c r="G1555" t="n">
        <v>7.5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33717-2024</t>
        </is>
      </c>
      <c r="B1556" s="1" t="n">
        <v>45520</v>
      </c>
      <c r="C1556" s="1" t="n">
        <v>45849</v>
      </c>
      <c r="D1556" t="inlineStr">
        <is>
          <t>VÄSTERBOTTENS LÄN</t>
        </is>
      </c>
      <c r="E1556" t="inlineStr">
        <is>
          <t>LYCKSELE</t>
        </is>
      </c>
      <c r="F1556" t="inlineStr">
        <is>
          <t>Sveaskog</t>
        </is>
      </c>
      <c r="G1556" t="n">
        <v>13.6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33650-2024</t>
        </is>
      </c>
      <c r="B1557" s="1" t="n">
        <v>45520</v>
      </c>
      <c r="C1557" s="1" t="n">
        <v>45849</v>
      </c>
      <c r="D1557" t="inlineStr">
        <is>
          <t>VÄSTERBOTTENS LÄN</t>
        </is>
      </c>
      <c r="E1557" t="inlineStr">
        <is>
          <t>LYCKSELE</t>
        </is>
      </c>
      <c r="F1557" t="inlineStr">
        <is>
          <t>Sveaskog</t>
        </is>
      </c>
      <c r="G1557" t="n">
        <v>2.9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33704-2024</t>
        </is>
      </c>
      <c r="B1558" s="1" t="n">
        <v>45520</v>
      </c>
      <c r="C1558" s="1" t="n">
        <v>45849</v>
      </c>
      <c r="D1558" t="inlineStr">
        <is>
          <t>VÄSTERBOTTENS LÄN</t>
        </is>
      </c>
      <c r="E1558" t="inlineStr">
        <is>
          <t>LYCKSELE</t>
        </is>
      </c>
      <c r="F1558" t="inlineStr">
        <is>
          <t>Sveaskog</t>
        </is>
      </c>
      <c r="G1558" t="n">
        <v>2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33708-2024</t>
        </is>
      </c>
      <c r="B1559" s="1" t="n">
        <v>45520</v>
      </c>
      <c r="C1559" s="1" t="n">
        <v>45849</v>
      </c>
      <c r="D1559" t="inlineStr">
        <is>
          <t>VÄSTERBOTTENS LÄN</t>
        </is>
      </c>
      <c r="E1559" t="inlineStr">
        <is>
          <t>LYCKSELE</t>
        </is>
      </c>
      <c r="F1559" t="inlineStr">
        <is>
          <t>Sveaskog</t>
        </is>
      </c>
      <c r="G1559" t="n">
        <v>2.7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33716-2024</t>
        </is>
      </c>
      <c r="B1560" s="1" t="n">
        <v>45520</v>
      </c>
      <c r="C1560" s="1" t="n">
        <v>45849</v>
      </c>
      <c r="D1560" t="inlineStr">
        <is>
          <t>VÄSTERBOTTENS LÄN</t>
        </is>
      </c>
      <c r="E1560" t="inlineStr">
        <is>
          <t>LYCKSELE</t>
        </is>
      </c>
      <c r="F1560" t="inlineStr">
        <is>
          <t>Sveaskog</t>
        </is>
      </c>
      <c r="G1560" t="n">
        <v>0.9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33732-2024</t>
        </is>
      </c>
      <c r="B1561" s="1" t="n">
        <v>45520</v>
      </c>
      <c r="C1561" s="1" t="n">
        <v>45849</v>
      </c>
      <c r="D1561" t="inlineStr">
        <is>
          <t>VÄSTERBOTTENS LÄN</t>
        </is>
      </c>
      <c r="E1561" t="inlineStr">
        <is>
          <t>LYCKSELE</t>
        </is>
      </c>
      <c r="F1561" t="inlineStr">
        <is>
          <t>Sveaskog</t>
        </is>
      </c>
      <c r="G1561" t="n">
        <v>11.6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33706-2024</t>
        </is>
      </c>
      <c r="B1562" s="1" t="n">
        <v>45520</v>
      </c>
      <c r="C1562" s="1" t="n">
        <v>45849</v>
      </c>
      <c r="D1562" t="inlineStr">
        <is>
          <t>VÄSTERBOTTENS LÄN</t>
        </is>
      </c>
      <c r="E1562" t="inlineStr">
        <is>
          <t>LYCKSELE</t>
        </is>
      </c>
      <c r="F1562" t="inlineStr">
        <is>
          <t>Sveaskog</t>
        </is>
      </c>
      <c r="G1562" t="n">
        <v>6.5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33714-2024</t>
        </is>
      </c>
      <c r="B1563" s="1" t="n">
        <v>45520</v>
      </c>
      <c r="C1563" s="1" t="n">
        <v>45849</v>
      </c>
      <c r="D1563" t="inlineStr">
        <is>
          <t>VÄSTERBOTTENS LÄN</t>
        </is>
      </c>
      <c r="E1563" t="inlineStr">
        <is>
          <t>LYCKSELE</t>
        </is>
      </c>
      <c r="F1563" t="inlineStr">
        <is>
          <t>Sveaskog</t>
        </is>
      </c>
      <c r="G1563" t="n">
        <v>10.4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33819-2024</t>
        </is>
      </c>
      <c r="B1564" s="1" t="n">
        <v>45520</v>
      </c>
      <c r="C1564" s="1" t="n">
        <v>45849</v>
      </c>
      <c r="D1564" t="inlineStr">
        <is>
          <t>VÄSTERBOTTENS LÄN</t>
        </is>
      </c>
      <c r="E1564" t="inlineStr">
        <is>
          <t>LYCKSELE</t>
        </is>
      </c>
      <c r="F1564" t="inlineStr">
        <is>
          <t>Sveaskog</t>
        </is>
      </c>
      <c r="G1564" t="n">
        <v>1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33994-2024</t>
        </is>
      </c>
      <c r="B1565" s="1" t="n">
        <v>45523</v>
      </c>
      <c r="C1565" s="1" t="n">
        <v>45849</v>
      </c>
      <c r="D1565" t="inlineStr">
        <is>
          <t>VÄSTERBOTTENS LÄN</t>
        </is>
      </c>
      <c r="E1565" t="inlineStr">
        <is>
          <t>LYCKSELE</t>
        </is>
      </c>
      <c r="G1565" t="n">
        <v>0.7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34273-2024</t>
        </is>
      </c>
      <c r="B1566" s="1" t="n">
        <v>45524</v>
      </c>
      <c r="C1566" s="1" t="n">
        <v>45849</v>
      </c>
      <c r="D1566" t="inlineStr">
        <is>
          <t>VÄSTERBOTTENS LÄN</t>
        </is>
      </c>
      <c r="E1566" t="inlineStr">
        <is>
          <t>LYCKSELE</t>
        </is>
      </c>
      <c r="G1566" t="n">
        <v>6.7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34532-2024</t>
        </is>
      </c>
      <c r="B1567" s="1" t="n">
        <v>45525</v>
      </c>
      <c r="C1567" s="1" t="n">
        <v>45849</v>
      </c>
      <c r="D1567" t="inlineStr">
        <is>
          <t>VÄSTERBOTTENS LÄN</t>
        </is>
      </c>
      <c r="E1567" t="inlineStr">
        <is>
          <t>LYCKSELE</t>
        </is>
      </c>
      <c r="F1567" t="inlineStr">
        <is>
          <t>Holmen skog AB</t>
        </is>
      </c>
      <c r="G1567" t="n">
        <v>5.4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34635-2024</t>
        </is>
      </c>
      <c r="B1568" s="1" t="n">
        <v>45526</v>
      </c>
      <c r="C1568" s="1" t="n">
        <v>45849</v>
      </c>
      <c r="D1568" t="inlineStr">
        <is>
          <t>VÄSTERBOTTENS LÄN</t>
        </is>
      </c>
      <c r="E1568" t="inlineStr">
        <is>
          <t>LYCKSELE</t>
        </is>
      </c>
      <c r="F1568" t="inlineStr">
        <is>
          <t>Holmen skog AB</t>
        </is>
      </c>
      <c r="G1568" t="n">
        <v>0.7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34747-2024</t>
        </is>
      </c>
      <c r="B1569" s="1" t="n">
        <v>45526</v>
      </c>
      <c r="C1569" s="1" t="n">
        <v>45849</v>
      </c>
      <c r="D1569" t="inlineStr">
        <is>
          <t>VÄSTERBOTTENS LÄN</t>
        </is>
      </c>
      <c r="E1569" t="inlineStr">
        <is>
          <t>LYCKSELE</t>
        </is>
      </c>
      <c r="G1569" t="n">
        <v>4.2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34659-2024</t>
        </is>
      </c>
      <c r="B1570" s="1" t="n">
        <v>45526</v>
      </c>
      <c r="C1570" s="1" t="n">
        <v>45849</v>
      </c>
      <c r="D1570" t="inlineStr">
        <is>
          <t>VÄSTERBOTTENS LÄN</t>
        </is>
      </c>
      <c r="E1570" t="inlineStr">
        <is>
          <t>LYCKSELE</t>
        </is>
      </c>
      <c r="F1570" t="inlineStr">
        <is>
          <t>Sveaskog</t>
        </is>
      </c>
      <c r="G1570" t="n">
        <v>7.9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34789-2024</t>
        </is>
      </c>
      <c r="B1571" s="1" t="n">
        <v>45526</v>
      </c>
      <c r="C1571" s="1" t="n">
        <v>45849</v>
      </c>
      <c r="D1571" t="inlineStr">
        <is>
          <t>VÄSTERBOTTENS LÄN</t>
        </is>
      </c>
      <c r="E1571" t="inlineStr">
        <is>
          <t>LYCKSELE</t>
        </is>
      </c>
      <c r="F1571" t="inlineStr">
        <is>
          <t>Sveaskog</t>
        </is>
      </c>
      <c r="G1571" t="n">
        <v>5.7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34810-2024</t>
        </is>
      </c>
      <c r="B1572" s="1" t="n">
        <v>45526</v>
      </c>
      <c r="C1572" s="1" t="n">
        <v>45849</v>
      </c>
      <c r="D1572" t="inlineStr">
        <is>
          <t>VÄSTERBOTTENS LÄN</t>
        </is>
      </c>
      <c r="E1572" t="inlineStr">
        <is>
          <t>LYCKSELE</t>
        </is>
      </c>
      <c r="F1572" t="inlineStr">
        <is>
          <t>Sveaskog</t>
        </is>
      </c>
      <c r="G1572" t="n">
        <v>2.4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35007-2024</t>
        </is>
      </c>
      <c r="B1573" s="1" t="n">
        <v>45527</v>
      </c>
      <c r="C1573" s="1" t="n">
        <v>45849</v>
      </c>
      <c r="D1573" t="inlineStr">
        <is>
          <t>VÄSTERBOTTENS LÄN</t>
        </is>
      </c>
      <c r="E1573" t="inlineStr">
        <is>
          <t>LYCKSELE</t>
        </is>
      </c>
      <c r="F1573" t="inlineStr">
        <is>
          <t>Sveaskog</t>
        </is>
      </c>
      <c r="G1573" t="n">
        <v>3.6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34897-2024</t>
        </is>
      </c>
      <c r="B1574" s="1" t="n">
        <v>45527</v>
      </c>
      <c r="C1574" s="1" t="n">
        <v>45849</v>
      </c>
      <c r="D1574" t="inlineStr">
        <is>
          <t>VÄSTERBOTTENS LÄN</t>
        </is>
      </c>
      <c r="E1574" t="inlineStr">
        <is>
          <t>LYCKSELE</t>
        </is>
      </c>
      <c r="F1574" t="inlineStr">
        <is>
          <t>Holmen skog AB</t>
        </is>
      </c>
      <c r="G1574" t="n">
        <v>1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34857-2024</t>
        </is>
      </c>
      <c r="B1575" s="1" t="n">
        <v>45527</v>
      </c>
      <c r="C1575" s="1" t="n">
        <v>45849</v>
      </c>
      <c r="D1575" t="inlineStr">
        <is>
          <t>VÄSTERBOTTENS LÄN</t>
        </is>
      </c>
      <c r="E1575" t="inlineStr">
        <is>
          <t>LYCKSELE</t>
        </is>
      </c>
      <c r="F1575" t="inlineStr">
        <is>
          <t>Sveaskog</t>
        </is>
      </c>
      <c r="G1575" t="n">
        <v>2.3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35273-2024</t>
        </is>
      </c>
      <c r="B1576" s="1" t="n">
        <v>45530</v>
      </c>
      <c r="C1576" s="1" t="n">
        <v>45849</v>
      </c>
      <c r="D1576" t="inlineStr">
        <is>
          <t>VÄSTERBOTTENS LÄN</t>
        </is>
      </c>
      <c r="E1576" t="inlineStr">
        <is>
          <t>LYCKSELE</t>
        </is>
      </c>
      <c r="G1576" t="n">
        <v>17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35292-2024</t>
        </is>
      </c>
      <c r="B1577" s="1" t="n">
        <v>45530</v>
      </c>
      <c r="C1577" s="1" t="n">
        <v>45849</v>
      </c>
      <c r="D1577" t="inlineStr">
        <is>
          <t>VÄSTERBOTTENS LÄN</t>
        </is>
      </c>
      <c r="E1577" t="inlineStr">
        <is>
          <t>LYCKSELE</t>
        </is>
      </c>
      <c r="G1577" t="n">
        <v>4.1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35266-2024</t>
        </is>
      </c>
      <c r="B1578" s="1" t="n">
        <v>45530</v>
      </c>
      <c r="C1578" s="1" t="n">
        <v>45849</v>
      </c>
      <c r="D1578" t="inlineStr">
        <is>
          <t>VÄSTERBOTTENS LÄN</t>
        </is>
      </c>
      <c r="E1578" t="inlineStr">
        <is>
          <t>LYCKSELE</t>
        </is>
      </c>
      <c r="F1578" t="inlineStr">
        <is>
          <t>Holmen skog AB</t>
        </is>
      </c>
      <c r="G1578" t="n">
        <v>6.2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35403-2024</t>
        </is>
      </c>
      <c r="B1579" s="1" t="n">
        <v>45531</v>
      </c>
      <c r="C1579" s="1" t="n">
        <v>45849</v>
      </c>
      <c r="D1579" t="inlineStr">
        <is>
          <t>VÄSTERBOTTENS LÄN</t>
        </is>
      </c>
      <c r="E1579" t="inlineStr">
        <is>
          <t>LYCKSELE</t>
        </is>
      </c>
      <c r="F1579" t="inlineStr">
        <is>
          <t>SCA</t>
        </is>
      </c>
      <c r="G1579" t="n">
        <v>5.2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35547-2024</t>
        </is>
      </c>
      <c r="B1580" s="1" t="n">
        <v>45531</v>
      </c>
      <c r="C1580" s="1" t="n">
        <v>45849</v>
      </c>
      <c r="D1580" t="inlineStr">
        <is>
          <t>VÄSTERBOTTENS LÄN</t>
        </is>
      </c>
      <c r="E1580" t="inlineStr">
        <is>
          <t>LYCKSELE</t>
        </is>
      </c>
      <c r="F1580" t="inlineStr">
        <is>
          <t>Sveaskog</t>
        </is>
      </c>
      <c r="G1580" t="n">
        <v>1.4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35569-2024</t>
        </is>
      </c>
      <c r="B1581" s="1" t="n">
        <v>45531</v>
      </c>
      <c r="C1581" s="1" t="n">
        <v>45849</v>
      </c>
      <c r="D1581" t="inlineStr">
        <is>
          <t>VÄSTERBOTTENS LÄN</t>
        </is>
      </c>
      <c r="E1581" t="inlineStr">
        <is>
          <t>LYCKSELE</t>
        </is>
      </c>
      <c r="F1581" t="inlineStr">
        <is>
          <t>Sveaskog</t>
        </is>
      </c>
      <c r="G1581" t="n">
        <v>2.6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35586-2024</t>
        </is>
      </c>
      <c r="B1582" s="1" t="n">
        <v>45531</v>
      </c>
      <c r="C1582" s="1" t="n">
        <v>45849</v>
      </c>
      <c r="D1582" t="inlineStr">
        <is>
          <t>VÄSTERBOTTENS LÄN</t>
        </is>
      </c>
      <c r="E1582" t="inlineStr">
        <is>
          <t>LYCKSELE</t>
        </is>
      </c>
      <c r="F1582" t="inlineStr">
        <is>
          <t>Sveaskog</t>
        </is>
      </c>
      <c r="G1582" t="n">
        <v>4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35598-2024</t>
        </is>
      </c>
      <c r="B1583" s="1" t="n">
        <v>45531</v>
      </c>
      <c r="C1583" s="1" t="n">
        <v>45849</v>
      </c>
      <c r="D1583" t="inlineStr">
        <is>
          <t>VÄSTERBOTTENS LÄN</t>
        </is>
      </c>
      <c r="E1583" t="inlineStr">
        <is>
          <t>LYCKSELE</t>
        </is>
      </c>
      <c r="F1583" t="inlineStr">
        <is>
          <t>Holmen skog AB</t>
        </is>
      </c>
      <c r="G1583" t="n">
        <v>1.4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35653-2024</t>
        </is>
      </c>
      <c r="B1584" s="1" t="n">
        <v>45532</v>
      </c>
      <c r="C1584" s="1" t="n">
        <v>45849</v>
      </c>
      <c r="D1584" t="inlineStr">
        <is>
          <t>VÄSTERBOTTENS LÄN</t>
        </is>
      </c>
      <c r="E1584" t="inlineStr">
        <is>
          <t>LYCKSELE</t>
        </is>
      </c>
      <c r="F1584" t="inlineStr">
        <is>
          <t>Holmen skog AB</t>
        </is>
      </c>
      <c r="G1584" t="n">
        <v>1.4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35710-2024</t>
        </is>
      </c>
      <c r="B1585" s="1" t="n">
        <v>45532</v>
      </c>
      <c r="C1585" s="1" t="n">
        <v>45849</v>
      </c>
      <c r="D1585" t="inlineStr">
        <is>
          <t>VÄSTERBOTTENS LÄN</t>
        </is>
      </c>
      <c r="E1585" t="inlineStr">
        <is>
          <t>LYCKSELE</t>
        </is>
      </c>
      <c r="G1585" t="n">
        <v>3.1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35679-2024</t>
        </is>
      </c>
      <c r="B1586" s="1" t="n">
        <v>45532</v>
      </c>
      <c r="C1586" s="1" t="n">
        <v>45849</v>
      </c>
      <c r="D1586" t="inlineStr">
        <is>
          <t>VÄSTERBOTTENS LÄN</t>
        </is>
      </c>
      <c r="E1586" t="inlineStr">
        <is>
          <t>LYCKSELE</t>
        </is>
      </c>
      <c r="F1586" t="inlineStr">
        <is>
          <t>Sveaskog</t>
        </is>
      </c>
      <c r="G1586" t="n">
        <v>1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35691-2024</t>
        </is>
      </c>
      <c r="B1587" s="1" t="n">
        <v>45532</v>
      </c>
      <c r="C1587" s="1" t="n">
        <v>45849</v>
      </c>
      <c r="D1587" t="inlineStr">
        <is>
          <t>VÄSTERBOTTENS LÄN</t>
        </is>
      </c>
      <c r="E1587" t="inlineStr">
        <is>
          <t>LYCKSELE</t>
        </is>
      </c>
      <c r="F1587" t="inlineStr">
        <is>
          <t>Sveaskog</t>
        </is>
      </c>
      <c r="G1587" t="n">
        <v>3.5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35699-2024</t>
        </is>
      </c>
      <c r="B1588" s="1" t="n">
        <v>45532</v>
      </c>
      <c r="C1588" s="1" t="n">
        <v>45849</v>
      </c>
      <c r="D1588" t="inlineStr">
        <is>
          <t>VÄSTERBOTTENS LÄN</t>
        </is>
      </c>
      <c r="E1588" t="inlineStr">
        <is>
          <t>LYCKSELE</t>
        </is>
      </c>
      <c r="F1588" t="inlineStr">
        <is>
          <t>Sveaskog</t>
        </is>
      </c>
      <c r="G1588" t="n">
        <v>3.1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35788-2024</t>
        </is>
      </c>
      <c r="B1589" s="1" t="n">
        <v>45532</v>
      </c>
      <c r="C1589" s="1" t="n">
        <v>45849</v>
      </c>
      <c r="D1589" t="inlineStr">
        <is>
          <t>VÄSTERBOTTENS LÄN</t>
        </is>
      </c>
      <c r="E1589" t="inlineStr">
        <is>
          <t>LYCKSELE</t>
        </is>
      </c>
      <c r="F1589" t="inlineStr">
        <is>
          <t>Sveaskog</t>
        </is>
      </c>
      <c r="G1589" t="n">
        <v>10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35970-2024</t>
        </is>
      </c>
      <c r="B1590" s="1" t="n">
        <v>45533</v>
      </c>
      <c r="C1590" s="1" t="n">
        <v>45849</v>
      </c>
      <c r="D1590" t="inlineStr">
        <is>
          <t>VÄSTERBOTTENS LÄN</t>
        </is>
      </c>
      <c r="E1590" t="inlineStr">
        <is>
          <t>LYCKSELE</t>
        </is>
      </c>
      <c r="F1590" t="inlineStr">
        <is>
          <t>Sveaskog</t>
        </is>
      </c>
      <c r="G1590" t="n">
        <v>12.6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35946-2024</t>
        </is>
      </c>
      <c r="B1591" s="1" t="n">
        <v>45533</v>
      </c>
      <c r="C1591" s="1" t="n">
        <v>45849</v>
      </c>
      <c r="D1591" t="inlineStr">
        <is>
          <t>VÄSTERBOTTENS LÄN</t>
        </is>
      </c>
      <c r="E1591" t="inlineStr">
        <is>
          <t>LYCKSELE</t>
        </is>
      </c>
      <c r="F1591" t="inlineStr">
        <is>
          <t>Sveaskog</t>
        </is>
      </c>
      <c r="G1591" t="n">
        <v>4.2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36150-2024</t>
        </is>
      </c>
      <c r="B1592" s="1" t="n">
        <v>45534</v>
      </c>
      <c r="C1592" s="1" t="n">
        <v>45849</v>
      </c>
      <c r="D1592" t="inlineStr">
        <is>
          <t>VÄSTERBOTTENS LÄN</t>
        </is>
      </c>
      <c r="E1592" t="inlineStr">
        <is>
          <t>LYCKSELE</t>
        </is>
      </c>
      <c r="F1592" t="inlineStr">
        <is>
          <t>Holmen skog AB</t>
        </is>
      </c>
      <c r="G1592" t="n">
        <v>1.7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36274-2024</t>
        </is>
      </c>
      <c r="B1593" s="1" t="n">
        <v>45534</v>
      </c>
      <c r="C1593" s="1" t="n">
        <v>45849</v>
      </c>
      <c r="D1593" t="inlineStr">
        <is>
          <t>VÄSTERBOTTENS LÄN</t>
        </is>
      </c>
      <c r="E1593" t="inlineStr">
        <is>
          <t>LYCKSELE</t>
        </is>
      </c>
      <c r="F1593" t="inlineStr">
        <is>
          <t>Holmen skog AB</t>
        </is>
      </c>
      <c r="G1593" t="n">
        <v>1.7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36324-2024</t>
        </is>
      </c>
      <c r="B1594" s="1" t="n">
        <v>45534</v>
      </c>
      <c r="C1594" s="1" t="n">
        <v>45849</v>
      </c>
      <c r="D1594" t="inlineStr">
        <is>
          <t>VÄSTERBOTTENS LÄN</t>
        </is>
      </c>
      <c r="E1594" t="inlineStr">
        <is>
          <t>LYCKSELE</t>
        </is>
      </c>
      <c r="G1594" t="n">
        <v>1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36240-2024</t>
        </is>
      </c>
      <c r="B1595" s="1" t="n">
        <v>45534</v>
      </c>
      <c r="C1595" s="1" t="n">
        <v>45849</v>
      </c>
      <c r="D1595" t="inlineStr">
        <is>
          <t>VÄSTERBOTTENS LÄN</t>
        </is>
      </c>
      <c r="E1595" t="inlineStr">
        <is>
          <t>LYCKSELE</t>
        </is>
      </c>
      <c r="F1595" t="inlineStr">
        <is>
          <t>Sveaskog</t>
        </is>
      </c>
      <c r="G1595" t="n">
        <v>28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36325-2024</t>
        </is>
      </c>
      <c r="B1596" s="1" t="n">
        <v>45534</v>
      </c>
      <c r="C1596" s="1" t="n">
        <v>45849</v>
      </c>
      <c r="D1596" t="inlineStr">
        <is>
          <t>VÄSTERBOTTENS LÄN</t>
        </is>
      </c>
      <c r="E1596" t="inlineStr">
        <is>
          <t>LYCKSELE</t>
        </is>
      </c>
      <c r="G1596" t="n">
        <v>2.8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 ht="15" customHeight="1">
      <c r="A1597" t="inlineStr">
        <is>
          <t>A 36357-2024</t>
        </is>
      </c>
      <c r="B1597" s="1" t="n">
        <v>45534</v>
      </c>
      <c r="C1597" s="1" t="n">
        <v>45849</v>
      </c>
      <c r="D1597" t="inlineStr">
        <is>
          <t>VÄSTERBOTTENS LÄN</t>
        </is>
      </c>
      <c r="E1597" t="inlineStr">
        <is>
          <t>LYCKSELE</t>
        </is>
      </c>
      <c r="F1597" t="inlineStr">
        <is>
          <t>SCA</t>
        </is>
      </c>
      <c r="G1597" t="n">
        <v>4.8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  <row r="1598" ht="15" customHeight="1">
      <c r="A1598" t="inlineStr">
        <is>
          <t>A 36387-2024</t>
        </is>
      </c>
      <c r="B1598" s="1" t="n">
        <v>45534</v>
      </c>
      <c r="C1598" s="1" t="n">
        <v>45849</v>
      </c>
      <c r="D1598" t="inlineStr">
        <is>
          <t>VÄSTERBOTTENS LÄN</t>
        </is>
      </c>
      <c r="E1598" t="inlineStr">
        <is>
          <t>LYCKSELE</t>
        </is>
      </c>
      <c r="G1598" t="n">
        <v>0.9</v>
      </c>
      <c r="H1598" t="n">
        <v>0</v>
      </c>
      <c r="I1598" t="n">
        <v>0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s="2" t="inlineStr"/>
    </row>
    <row r="1599" ht="15" customHeight="1">
      <c r="A1599" t="inlineStr">
        <is>
          <t>A 37391-2024</t>
        </is>
      </c>
      <c r="B1599" s="1" t="n">
        <v>45540</v>
      </c>
      <c r="C1599" s="1" t="n">
        <v>45849</v>
      </c>
      <c r="D1599" t="inlineStr">
        <is>
          <t>VÄSTERBOTTENS LÄN</t>
        </is>
      </c>
      <c r="E1599" t="inlineStr">
        <is>
          <t>LYCKSELE</t>
        </is>
      </c>
      <c r="F1599" t="inlineStr">
        <is>
          <t>SCA</t>
        </is>
      </c>
      <c r="G1599" t="n">
        <v>6.7</v>
      </c>
      <c r="H1599" t="n">
        <v>0</v>
      </c>
      <c r="I1599" t="n">
        <v>0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s="2" t="inlineStr"/>
    </row>
    <row r="1600" ht="15" customHeight="1">
      <c r="A1600" t="inlineStr">
        <is>
          <t>A 37658-2024</t>
        </is>
      </c>
      <c r="B1600" s="1" t="n">
        <v>45541</v>
      </c>
      <c r="C1600" s="1" t="n">
        <v>45849</v>
      </c>
      <c r="D1600" t="inlineStr">
        <is>
          <t>VÄSTERBOTTENS LÄN</t>
        </is>
      </c>
      <c r="E1600" t="inlineStr">
        <is>
          <t>LYCKSELE</t>
        </is>
      </c>
      <c r="F1600" t="inlineStr">
        <is>
          <t>Holmen skog AB</t>
        </is>
      </c>
      <c r="G1600" t="n">
        <v>1.1</v>
      </c>
      <c r="H1600" t="n">
        <v>0</v>
      </c>
      <c r="I1600" t="n">
        <v>0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s="2" t="inlineStr"/>
    </row>
    <row r="1601" ht="15" customHeight="1">
      <c r="A1601" t="inlineStr">
        <is>
          <t>A 37500-2024</t>
        </is>
      </c>
      <c r="B1601" s="1" t="n">
        <v>45541</v>
      </c>
      <c r="C1601" s="1" t="n">
        <v>45849</v>
      </c>
      <c r="D1601" t="inlineStr">
        <is>
          <t>VÄSTERBOTTENS LÄN</t>
        </is>
      </c>
      <c r="E1601" t="inlineStr">
        <is>
          <t>LYCKSELE</t>
        </is>
      </c>
      <c r="F1601" t="inlineStr">
        <is>
          <t>Holmen skog AB</t>
        </is>
      </c>
      <c r="G1601" t="n">
        <v>3</v>
      </c>
      <c r="H1601" t="n">
        <v>0</v>
      </c>
      <c r="I1601" t="n">
        <v>0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s="2" t="inlineStr"/>
    </row>
    <row r="1602" ht="15" customHeight="1">
      <c r="A1602" t="inlineStr">
        <is>
          <t>A 37508-2024</t>
        </is>
      </c>
      <c r="B1602" s="1" t="n">
        <v>45541</v>
      </c>
      <c r="C1602" s="1" t="n">
        <v>45849</v>
      </c>
      <c r="D1602" t="inlineStr">
        <is>
          <t>VÄSTERBOTTENS LÄN</t>
        </is>
      </c>
      <c r="E1602" t="inlineStr">
        <is>
          <t>LYCKSELE</t>
        </is>
      </c>
      <c r="F1602" t="inlineStr">
        <is>
          <t>Holmen skog AB</t>
        </is>
      </c>
      <c r="G1602" t="n">
        <v>1.4</v>
      </c>
      <c r="H1602" t="n">
        <v>0</v>
      </c>
      <c r="I1602" t="n">
        <v>0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s="2" t="inlineStr"/>
    </row>
    <row r="1603" ht="15" customHeight="1">
      <c r="A1603" t="inlineStr">
        <is>
          <t>A 37664-2024</t>
        </is>
      </c>
      <c r="B1603" s="1" t="n">
        <v>45541</v>
      </c>
      <c r="C1603" s="1" t="n">
        <v>45849</v>
      </c>
      <c r="D1603" t="inlineStr">
        <is>
          <t>VÄSTERBOTTENS LÄN</t>
        </is>
      </c>
      <c r="E1603" t="inlineStr">
        <is>
          <t>LYCKSELE</t>
        </is>
      </c>
      <c r="F1603" t="inlineStr">
        <is>
          <t>Sveaskog</t>
        </is>
      </c>
      <c r="G1603" t="n">
        <v>2.5</v>
      </c>
      <c r="H1603" t="n">
        <v>0</v>
      </c>
      <c r="I1603" t="n">
        <v>0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s="2" t="inlineStr"/>
    </row>
    <row r="1604" ht="15" customHeight="1">
      <c r="A1604" t="inlineStr">
        <is>
          <t>A 37599-2024</t>
        </is>
      </c>
      <c r="B1604" s="1" t="n">
        <v>45541</v>
      </c>
      <c r="C1604" s="1" t="n">
        <v>45849</v>
      </c>
      <c r="D1604" t="inlineStr">
        <is>
          <t>VÄSTERBOTTENS LÄN</t>
        </is>
      </c>
      <c r="E1604" t="inlineStr">
        <is>
          <t>LYCKSELE</t>
        </is>
      </c>
      <c r="F1604" t="inlineStr">
        <is>
          <t>Holmen skog AB</t>
        </is>
      </c>
      <c r="G1604" t="n">
        <v>2.1</v>
      </c>
      <c r="H1604" t="n">
        <v>0</v>
      </c>
      <c r="I1604" t="n">
        <v>0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s="2" t="inlineStr"/>
    </row>
    <row r="1605" ht="15" customHeight="1">
      <c r="A1605" t="inlineStr">
        <is>
          <t>A 37915-2024</t>
        </is>
      </c>
      <c r="B1605" s="1" t="n">
        <v>45544</v>
      </c>
      <c r="C1605" s="1" t="n">
        <v>45849</v>
      </c>
      <c r="D1605" t="inlineStr">
        <is>
          <t>VÄSTERBOTTENS LÄN</t>
        </is>
      </c>
      <c r="E1605" t="inlineStr">
        <is>
          <t>LYCKSELE</t>
        </is>
      </c>
      <c r="F1605" t="inlineStr">
        <is>
          <t>SCA</t>
        </is>
      </c>
      <c r="G1605" t="n">
        <v>2.6</v>
      </c>
      <c r="H1605" t="n">
        <v>0</v>
      </c>
      <c r="I1605" t="n">
        <v>0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s="2" t="inlineStr"/>
    </row>
    <row r="1606" ht="15" customHeight="1">
      <c r="A1606" t="inlineStr">
        <is>
          <t>A 37817-2024</t>
        </is>
      </c>
      <c r="B1606" s="1" t="n">
        <v>45544</v>
      </c>
      <c r="C1606" s="1" t="n">
        <v>45849</v>
      </c>
      <c r="D1606" t="inlineStr">
        <is>
          <t>VÄSTERBOTTENS LÄN</t>
        </is>
      </c>
      <c r="E1606" t="inlineStr">
        <is>
          <t>LYCKSELE</t>
        </is>
      </c>
      <c r="G1606" t="n">
        <v>12.3</v>
      </c>
      <c r="H1606" t="n">
        <v>0</v>
      </c>
      <c r="I1606" t="n">
        <v>0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s="2" t="inlineStr"/>
    </row>
    <row r="1607" ht="15" customHeight="1">
      <c r="A1607" t="inlineStr">
        <is>
          <t>A 37969-2024</t>
        </is>
      </c>
      <c r="B1607" s="1" t="n">
        <v>45544</v>
      </c>
      <c r="C1607" s="1" t="n">
        <v>45849</v>
      </c>
      <c r="D1607" t="inlineStr">
        <is>
          <t>VÄSTERBOTTENS LÄN</t>
        </is>
      </c>
      <c r="E1607" t="inlineStr">
        <is>
          <t>LYCKSELE</t>
        </is>
      </c>
      <c r="F1607" t="inlineStr">
        <is>
          <t>Sveaskog</t>
        </is>
      </c>
      <c r="G1607" t="n">
        <v>1.5</v>
      </c>
      <c r="H1607" t="n">
        <v>0</v>
      </c>
      <c r="I1607" t="n">
        <v>0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s="2" t="inlineStr"/>
    </row>
    <row r="1608" ht="15" customHeight="1">
      <c r="A1608" t="inlineStr">
        <is>
          <t>A 37950-2024</t>
        </is>
      </c>
      <c r="B1608" s="1" t="n">
        <v>45544</v>
      </c>
      <c r="C1608" s="1" t="n">
        <v>45849</v>
      </c>
      <c r="D1608" t="inlineStr">
        <is>
          <t>VÄSTERBOTTENS LÄN</t>
        </is>
      </c>
      <c r="E1608" t="inlineStr">
        <is>
          <t>LYCKSELE</t>
        </is>
      </c>
      <c r="F1608" t="inlineStr">
        <is>
          <t>Sveaskog</t>
        </is>
      </c>
      <c r="G1608" t="n">
        <v>2.3</v>
      </c>
      <c r="H1608" t="n">
        <v>0</v>
      </c>
      <c r="I1608" t="n">
        <v>0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s="2" t="inlineStr"/>
    </row>
    <row r="1609" ht="15" customHeight="1">
      <c r="A1609" t="inlineStr">
        <is>
          <t>A 38112-2024</t>
        </is>
      </c>
      <c r="B1609" s="1" t="n">
        <v>45545</v>
      </c>
      <c r="C1609" s="1" t="n">
        <v>45849</v>
      </c>
      <c r="D1609" t="inlineStr">
        <is>
          <t>VÄSTERBOTTENS LÄN</t>
        </is>
      </c>
      <c r="E1609" t="inlineStr">
        <is>
          <t>LYCKSELE</t>
        </is>
      </c>
      <c r="F1609" t="inlineStr">
        <is>
          <t>SCA</t>
        </is>
      </c>
      <c r="G1609" t="n">
        <v>2.5</v>
      </c>
      <c r="H1609" t="n">
        <v>0</v>
      </c>
      <c r="I1609" t="n">
        <v>0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s="2" t="inlineStr"/>
    </row>
    <row r="1610" ht="15" customHeight="1">
      <c r="A1610" t="inlineStr">
        <is>
          <t>A 38121-2024</t>
        </is>
      </c>
      <c r="B1610" s="1" t="n">
        <v>45545</v>
      </c>
      <c r="C1610" s="1" t="n">
        <v>45849</v>
      </c>
      <c r="D1610" t="inlineStr">
        <is>
          <t>VÄSTERBOTTENS LÄN</t>
        </is>
      </c>
      <c r="E1610" t="inlineStr">
        <is>
          <t>LYCKSELE</t>
        </is>
      </c>
      <c r="F1610" t="inlineStr">
        <is>
          <t>Sveaskog</t>
        </is>
      </c>
      <c r="G1610" t="n">
        <v>8.4</v>
      </c>
      <c r="H1610" t="n">
        <v>0</v>
      </c>
      <c r="I1610" t="n">
        <v>0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s="2" t="inlineStr"/>
    </row>
    <row r="1611" ht="15" customHeight="1">
      <c r="A1611" t="inlineStr">
        <is>
          <t>A 38114-2024</t>
        </is>
      </c>
      <c r="B1611" s="1" t="n">
        <v>45545</v>
      </c>
      <c r="C1611" s="1" t="n">
        <v>45849</v>
      </c>
      <c r="D1611" t="inlineStr">
        <is>
          <t>VÄSTERBOTTENS LÄN</t>
        </is>
      </c>
      <c r="E1611" t="inlineStr">
        <is>
          <t>LYCKSELE</t>
        </is>
      </c>
      <c r="F1611" t="inlineStr">
        <is>
          <t>SCA</t>
        </is>
      </c>
      <c r="G1611" t="n">
        <v>1.6</v>
      </c>
      <c r="H1611" t="n">
        <v>0</v>
      </c>
      <c r="I1611" t="n">
        <v>0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s="2" t="inlineStr"/>
    </row>
    <row r="1612" ht="15" customHeight="1">
      <c r="A1612" t="inlineStr">
        <is>
          <t>A 38212-2024</t>
        </is>
      </c>
      <c r="B1612" s="1" t="n">
        <v>45545</v>
      </c>
      <c r="C1612" s="1" t="n">
        <v>45849</v>
      </c>
      <c r="D1612" t="inlineStr">
        <is>
          <t>VÄSTERBOTTENS LÄN</t>
        </is>
      </c>
      <c r="E1612" t="inlineStr">
        <is>
          <t>LYCKSELE</t>
        </is>
      </c>
      <c r="F1612" t="inlineStr">
        <is>
          <t>Holmen skog AB</t>
        </is>
      </c>
      <c r="G1612" t="n">
        <v>1.3</v>
      </c>
      <c r="H1612" t="n">
        <v>0</v>
      </c>
      <c r="I1612" t="n">
        <v>0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s="2" t="inlineStr"/>
    </row>
    <row r="1613" ht="15" customHeight="1">
      <c r="A1613" t="inlineStr">
        <is>
          <t>A 38402-2024</t>
        </is>
      </c>
      <c r="B1613" s="1" t="n">
        <v>45546</v>
      </c>
      <c r="C1613" s="1" t="n">
        <v>45849</v>
      </c>
      <c r="D1613" t="inlineStr">
        <is>
          <t>VÄSTERBOTTENS LÄN</t>
        </is>
      </c>
      <c r="E1613" t="inlineStr">
        <is>
          <t>LYCKSELE</t>
        </is>
      </c>
      <c r="F1613" t="inlineStr">
        <is>
          <t>SCA</t>
        </is>
      </c>
      <c r="G1613" t="n">
        <v>1</v>
      </c>
      <c r="H1613" t="n">
        <v>0</v>
      </c>
      <c r="I1613" t="n">
        <v>0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s="2" t="inlineStr"/>
    </row>
    <row r="1614" ht="15" customHeight="1">
      <c r="A1614" t="inlineStr">
        <is>
          <t>A 38478-2024</t>
        </is>
      </c>
      <c r="B1614" s="1" t="n">
        <v>45546</v>
      </c>
      <c r="C1614" s="1" t="n">
        <v>45849</v>
      </c>
      <c r="D1614" t="inlineStr">
        <is>
          <t>VÄSTERBOTTENS LÄN</t>
        </is>
      </c>
      <c r="E1614" t="inlineStr">
        <is>
          <t>LYCKSELE</t>
        </is>
      </c>
      <c r="G1614" t="n">
        <v>0.1</v>
      </c>
      <c r="H1614" t="n">
        <v>0</v>
      </c>
      <c r="I1614" t="n">
        <v>0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s="2" t="inlineStr"/>
    </row>
    <row r="1615" ht="15" customHeight="1">
      <c r="A1615" t="inlineStr">
        <is>
          <t>A 38623-2024</t>
        </is>
      </c>
      <c r="B1615" s="1" t="n">
        <v>45546</v>
      </c>
      <c r="C1615" s="1" t="n">
        <v>45849</v>
      </c>
      <c r="D1615" t="inlineStr">
        <is>
          <t>VÄSTERBOTTENS LÄN</t>
        </is>
      </c>
      <c r="E1615" t="inlineStr">
        <is>
          <t>LYCKSELE</t>
        </is>
      </c>
      <c r="G1615" t="n">
        <v>5.9</v>
      </c>
      <c r="H1615" t="n">
        <v>0</v>
      </c>
      <c r="I1615" t="n">
        <v>0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s="2" t="inlineStr"/>
    </row>
    <row r="1616" ht="15" customHeight="1">
      <c r="A1616" t="inlineStr">
        <is>
          <t>A 38704-2024</t>
        </is>
      </c>
      <c r="B1616" s="1" t="n">
        <v>45547</v>
      </c>
      <c r="C1616" s="1" t="n">
        <v>45849</v>
      </c>
      <c r="D1616" t="inlineStr">
        <is>
          <t>VÄSTERBOTTENS LÄN</t>
        </is>
      </c>
      <c r="E1616" t="inlineStr">
        <is>
          <t>LYCKSELE</t>
        </is>
      </c>
      <c r="G1616" t="n">
        <v>4.8</v>
      </c>
      <c r="H1616" t="n">
        <v>0</v>
      </c>
      <c r="I1616" t="n">
        <v>0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s="2" t="inlineStr"/>
    </row>
    <row r="1617" ht="15" customHeight="1">
      <c r="A1617" t="inlineStr">
        <is>
          <t>A 38901-2024</t>
        </is>
      </c>
      <c r="B1617" s="1" t="n">
        <v>45547</v>
      </c>
      <c r="C1617" s="1" t="n">
        <v>45849</v>
      </c>
      <c r="D1617" t="inlineStr">
        <is>
          <t>VÄSTERBOTTENS LÄN</t>
        </is>
      </c>
      <c r="E1617" t="inlineStr">
        <is>
          <t>LYCKSELE</t>
        </is>
      </c>
      <c r="F1617" t="inlineStr">
        <is>
          <t>Sveaskog</t>
        </is>
      </c>
      <c r="G1617" t="n">
        <v>4.3</v>
      </c>
      <c r="H1617" t="n">
        <v>0</v>
      </c>
      <c r="I1617" t="n">
        <v>0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s="2" t="inlineStr"/>
    </row>
    <row r="1618" ht="15" customHeight="1">
      <c r="A1618" t="inlineStr">
        <is>
          <t>A 39222-2024</t>
        </is>
      </c>
      <c r="B1618" s="1" t="n">
        <v>45549</v>
      </c>
      <c r="C1618" s="1" t="n">
        <v>45849</v>
      </c>
      <c r="D1618" t="inlineStr">
        <is>
          <t>VÄSTERBOTTENS LÄN</t>
        </is>
      </c>
      <c r="E1618" t="inlineStr">
        <is>
          <t>LYCKSELE</t>
        </is>
      </c>
      <c r="F1618" t="inlineStr">
        <is>
          <t>SCA</t>
        </is>
      </c>
      <c r="G1618" t="n">
        <v>4</v>
      </c>
      <c r="H1618" t="n">
        <v>0</v>
      </c>
      <c r="I1618" t="n">
        <v>0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s="2" t="inlineStr"/>
    </row>
    <row r="1619" ht="15" customHeight="1">
      <c r="A1619" t="inlineStr">
        <is>
          <t>A 39321-2024</t>
        </is>
      </c>
      <c r="B1619" s="1" t="n">
        <v>45551</v>
      </c>
      <c r="C1619" s="1" t="n">
        <v>45849</v>
      </c>
      <c r="D1619" t="inlineStr">
        <is>
          <t>VÄSTERBOTTENS LÄN</t>
        </is>
      </c>
      <c r="E1619" t="inlineStr">
        <is>
          <t>LYCKSELE</t>
        </is>
      </c>
      <c r="G1619" t="n">
        <v>1.7</v>
      </c>
      <c r="H1619" t="n">
        <v>0</v>
      </c>
      <c r="I1619" t="n">
        <v>0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s="2" t="inlineStr"/>
    </row>
    <row r="1620" ht="15" customHeight="1">
      <c r="A1620" t="inlineStr">
        <is>
          <t>A 39605-2024</t>
        </is>
      </c>
      <c r="B1620" s="1" t="n">
        <v>45552</v>
      </c>
      <c r="C1620" s="1" t="n">
        <v>45849</v>
      </c>
      <c r="D1620" t="inlineStr">
        <is>
          <t>VÄSTERBOTTENS LÄN</t>
        </is>
      </c>
      <c r="E1620" t="inlineStr">
        <is>
          <t>LYCKSELE</t>
        </is>
      </c>
      <c r="G1620" t="n">
        <v>3</v>
      </c>
      <c r="H1620" t="n">
        <v>0</v>
      </c>
      <c r="I1620" t="n">
        <v>0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s="2" t="inlineStr"/>
    </row>
    <row r="1621" ht="15" customHeight="1">
      <c r="A1621" t="inlineStr">
        <is>
          <t>A 39658-2024</t>
        </is>
      </c>
      <c r="B1621" s="1" t="n">
        <v>45552</v>
      </c>
      <c r="C1621" s="1" t="n">
        <v>45849</v>
      </c>
      <c r="D1621" t="inlineStr">
        <is>
          <t>VÄSTERBOTTENS LÄN</t>
        </is>
      </c>
      <c r="E1621" t="inlineStr">
        <is>
          <t>LYCKSELE</t>
        </is>
      </c>
      <c r="G1621" t="n">
        <v>3.1</v>
      </c>
      <c r="H1621" t="n">
        <v>0</v>
      </c>
      <c r="I1621" t="n">
        <v>0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s="2" t="inlineStr"/>
    </row>
    <row r="1622" ht="15" customHeight="1">
      <c r="A1622" t="inlineStr">
        <is>
          <t>A 39639-2024</t>
        </is>
      </c>
      <c r="B1622" s="1" t="n">
        <v>45552</v>
      </c>
      <c r="C1622" s="1" t="n">
        <v>45849</v>
      </c>
      <c r="D1622" t="inlineStr">
        <is>
          <t>VÄSTERBOTTENS LÄN</t>
        </is>
      </c>
      <c r="E1622" t="inlineStr">
        <is>
          <t>LYCKSELE</t>
        </is>
      </c>
      <c r="G1622" t="n">
        <v>5.3</v>
      </c>
      <c r="H1622" t="n">
        <v>0</v>
      </c>
      <c r="I1622" t="n">
        <v>0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s="2" t="inlineStr"/>
    </row>
    <row r="1623" ht="15" customHeight="1">
      <c r="A1623" t="inlineStr">
        <is>
          <t>A 39647-2024</t>
        </is>
      </c>
      <c r="B1623" s="1" t="n">
        <v>45552</v>
      </c>
      <c r="C1623" s="1" t="n">
        <v>45849</v>
      </c>
      <c r="D1623" t="inlineStr">
        <is>
          <t>VÄSTERBOTTENS LÄN</t>
        </is>
      </c>
      <c r="E1623" t="inlineStr">
        <is>
          <t>LYCKSELE</t>
        </is>
      </c>
      <c r="G1623" t="n">
        <v>2.9</v>
      </c>
      <c r="H1623" t="n">
        <v>0</v>
      </c>
      <c r="I1623" t="n">
        <v>0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s="2" t="inlineStr"/>
    </row>
    <row r="1624" ht="15" customHeight="1">
      <c r="A1624" t="inlineStr">
        <is>
          <t>A 40006-2024</t>
        </is>
      </c>
      <c r="B1624" s="1" t="n">
        <v>45553</v>
      </c>
      <c r="C1624" s="1" t="n">
        <v>45849</v>
      </c>
      <c r="D1624" t="inlineStr">
        <is>
          <t>VÄSTERBOTTENS LÄN</t>
        </is>
      </c>
      <c r="E1624" t="inlineStr">
        <is>
          <t>LYCKSELE</t>
        </is>
      </c>
      <c r="G1624" t="n">
        <v>3.3</v>
      </c>
      <c r="H1624" t="n">
        <v>0</v>
      </c>
      <c r="I1624" t="n">
        <v>0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0</v>
      </c>
      <c r="P1624" t="n">
        <v>0</v>
      </c>
      <c r="Q1624" t="n">
        <v>0</v>
      </c>
      <c r="R1624" s="2" t="inlineStr"/>
    </row>
    <row r="1625" ht="15" customHeight="1">
      <c r="A1625" t="inlineStr">
        <is>
          <t>A 39977-2024</t>
        </is>
      </c>
      <c r="B1625" s="1" t="n">
        <v>45553</v>
      </c>
      <c r="C1625" s="1" t="n">
        <v>45849</v>
      </c>
      <c r="D1625" t="inlineStr">
        <is>
          <t>VÄSTERBOTTENS LÄN</t>
        </is>
      </c>
      <c r="E1625" t="inlineStr">
        <is>
          <t>LYCKSELE</t>
        </is>
      </c>
      <c r="F1625" t="inlineStr">
        <is>
          <t>Holmen skog AB</t>
        </is>
      </c>
      <c r="G1625" t="n">
        <v>1.2</v>
      </c>
      <c r="H1625" t="n">
        <v>0</v>
      </c>
      <c r="I1625" t="n">
        <v>0</v>
      </c>
      <c r="J1625" t="n">
        <v>0</v>
      </c>
      <c r="K1625" t="n">
        <v>0</v>
      </c>
      <c r="L1625" t="n">
        <v>0</v>
      </c>
      <c r="M1625" t="n">
        <v>0</v>
      </c>
      <c r="N1625" t="n">
        <v>0</v>
      </c>
      <c r="O1625" t="n">
        <v>0</v>
      </c>
      <c r="P1625" t="n">
        <v>0</v>
      </c>
      <c r="Q1625" t="n">
        <v>0</v>
      </c>
      <c r="R1625" s="2" t="inlineStr"/>
    </row>
    <row r="1626" ht="15" customHeight="1">
      <c r="A1626" t="inlineStr">
        <is>
          <t>A 40020-2024</t>
        </is>
      </c>
      <c r="B1626" s="1" t="n">
        <v>45553</v>
      </c>
      <c r="C1626" s="1" t="n">
        <v>45849</v>
      </c>
      <c r="D1626" t="inlineStr">
        <is>
          <t>VÄSTERBOTTENS LÄN</t>
        </is>
      </c>
      <c r="E1626" t="inlineStr">
        <is>
          <t>LYCKSELE</t>
        </is>
      </c>
      <c r="G1626" t="n">
        <v>6.1</v>
      </c>
      <c r="H1626" t="n">
        <v>0</v>
      </c>
      <c r="I1626" t="n">
        <v>0</v>
      </c>
      <c r="J1626" t="n">
        <v>0</v>
      </c>
      <c r="K1626" t="n">
        <v>0</v>
      </c>
      <c r="L1626" t="n">
        <v>0</v>
      </c>
      <c r="M1626" t="n">
        <v>0</v>
      </c>
      <c r="N1626" t="n">
        <v>0</v>
      </c>
      <c r="O1626" t="n">
        <v>0</v>
      </c>
      <c r="P1626" t="n">
        <v>0</v>
      </c>
      <c r="Q1626" t="n">
        <v>0</v>
      </c>
      <c r="R1626" s="2" t="inlineStr"/>
    </row>
    <row r="1627" ht="15" customHeight="1">
      <c r="A1627" t="inlineStr">
        <is>
          <t>A 40053-2024</t>
        </is>
      </c>
      <c r="B1627" s="1" t="n">
        <v>45553</v>
      </c>
      <c r="C1627" s="1" t="n">
        <v>45849</v>
      </c>
      <c r="D1627" t="inlineStr">
        <is>
          <t>VÄSTERBOTTENS LÄN</t>
        </is>
      </c>
      <c r="E1627" t="inlineStr">
        <is>
          <t>LYCKSELE</t>
        </is>
      </c>
      <c r="F1627" t="inlineStr">
        <is>
          <t>Sveaskog</t>
        </is>
      </c>
      <c r="G1627" t="n">
        <v>5.1</v>
      </c>
      <c r="H1627" t="n">
        <v>0</v>
      </c>
      <c r="I1627" t="n">
        <v>0</v>
      </c>
      <c r="J1627" t="n">
        <v>0</v>
      </c>
      <c r="K1627" t="n">
        <v>0</v>
      </c>
      <c r="L1627" t="n">
        <v>0</v>
      </c>
      <c r="M1627" t="n">
        <v>0</v>
      </c>
      <c r="N1627" t="n">
        <v>0</v>
      </c>
      <c r="O1627" t="n">
        <v>0</v>
      </c>
      <c r="P1627" t="n">
        <v>0</v>
      </c>
      <c r="Q1627" t="n">
        <v>0</v>
      </c>
      <c r="R1627" s="2" t="inlineStr"/>
    </row>
    <row r="1628" ht="15" customHeight="1">
      <c r="A1628" t="inlineStr">
        <is>
          <t>A 40067-2024</t>
        </is>
      </c>
      <c r="B1628" s="1" t="n">
        <v>45554</v>
      </c>
      <c r="C1628" s="1" t="n">
        <v>45849</v>
      </c>
      <c r="D1628" t="inlineStr">
        <is>
          <t>VÄSTERBOTTENS LÄN</t>
        </is>
      </c>
      <c r="E1628" t="inlineStr">
        <is>
          <t>LYCKSELE</t>
        </is>
      </c>
      <c r="F1628" t="inlineStr">
        <is>
          <t>Sveaskog</t>
        </is>
      </c>
      <c r="G1628" t="n">
        <v>5.5</v>
      </c>
      <c r="H1628" t="n">
        <v>0</v>
      </c>
      <c r="I1628" t="n">
        <v>0</v>
      </c>
      <c r="J1628" t="n">
        <v>0</v>
      </c>
      <c r="K1628" t="n">
        <v>0</v>
      </c>
      <c r="L1628" t="n">
        <v>0</v>
      </c>
      <c r="M1628" t="n">
        <v>0</v>
      </c>
      <c r="N1628" t="n">
        <v>0</v>
      </c>
      <c r="O1628" t="n">
        <v>0</v>
      </c>
      <c r="P1628" t="n">
        <v>0</v>
      </c>
      <c r="Q1628" t="n">
        <v>0</v>
      </c>
      <c r="R1628" s="2" t="inlineStr"/>
    </row>
    <row r="1629" ht="15" customHeight="1">
      <c r="A1629" t="inlineStr">
        <is>
          <t>A 40115-2024</t>
        </is>
      </c>
      <c r="B1629" s="1" t="n">
        <v>45554</v>
      </c>
      <c r="C1629" s="1" t="n">
        <v>45849</v>
      </c>
      <c r="D1629" t="inlineStr">
        <is>
          <t>VÄSTERBOTTENS LÄN</t>
        </is>
      </c>
      <c r="E1629" t="inlineStr">
        <is>
          <t>LYCKSELE</t>
        </is>
      </c>
      <c r="G1629" t="n">
        <v>3.4</v>
      </c>
      <c r="H1629" t="n">
        <v>0</v>
      </c>
      <c r="I1629" t="n">
        <v>0</v>
      </c>
      <c r="J1629" t="n">
        <v>0</v>
      </c>
      <c r="K1629" t="n">
        <v>0</v>
      </c>
      <c r="L1629" t="n">
        <v>0</v>
      </c>
      <c r="M1629" t="n">
        <v>0</v>
      </c>
      <c r="N1629" t="n">
        <v>0</v>
      </c>
      <c r="O1629" t="n">
        <v>0</v>
      </c>
      <c r="P1629" t="n">
        <v>0</v>
      </c>
      <c r="Q1629" t="n">
        <v>0</v>
      </c>
      <c r="R1629" s="2" t="inlineStr"/>
    </row>
    <row r="1630" ht="15" customHeight="1">
      <c r="A1630" t="inlineStr">
        <is>
          <t>A 40445-2024</t>
        </is>
      </c>
      <c r="B1630" s="1" t="n">
        <v>45555</v>
      </c>
      <c r="C1630" s="1" t="n">
        <v>45849</v>
      </c>
      <c r="D1630" t="inlineStr">
        <is>
          <t>VÄSTERBOTTENS LÄN</t>
        </is>
      </c>
      <c r="E1630" t="inlineStr">
        <is>
          <t>LYCKSELE</t>
        </is>
      </c>
      <c r="G1630" t="n">
        <v>3.6</v>
      </c>
      <c r="H1630" t="n">
        <v>0</v>
      </c>
      <c r="I1630" t="n">
        <v>0</v>
      </c>
      <c r="J1630" t="n">
        <v>0</v>
      </c>
      <c r="K1630" t="n">
        <v>0</v>
      </c>
      <c r="L1630" t="n">
        <v>0</v>
      </c>
      <c r="M1630" t="n">
        <v>0</v>
      </c>
      <c r="N1630" t="n">
        <v>0</v>
      </c>
      <c r="O1630" t="n">
        <v>0</v>
      </c>
      <c r="P1630" t="n">
        <v>0</v>
      </c>
      <c r="Q1630" t="n">
        <v>0</v>
      </c>
      <c r="R1630" s="2" t="inlineStr"/>
    </row>
    <row r="1631" ht="15" customHeight="1">
      <c r="A1631" t="inlineStr">
        <is>
          <t>A 40488-2024</t>
        </is>
      </c>
      <c r="B1631" s="1" t="n">
        <v>45555</v>
      </c>
      <c r="C1631" s="1" t="n">
        <v>45849</v>
      </c>
      <c r="D1631" t="inlineStr">
        <is>
          <t>VÄSTERBOTTENS LÄN</t>
        </is>
      </c>
      <c r="E1631" t="inlineStr">
        <is>
          <t>LYCKSELE</t>
        </is>
      </c>
      <c r="F1631" t="inlineStr">
        <is>
          <t>Sveaskog</t>
        </is>
      </c>
      <c r="G1631" t="n">
        <v>6.8</v>
      </c>
      <c r="H1631" t="n">
        <v>0</v>
      </c>
      <c r="I1631" t="n">
        <v>0</v>
      </c>
      <c r="J1631" t="n">
        <v>0</v>
      </c>
      <c r="K1631" t="n">
        <v>0</v>
      </c>
      <c r="L1631" t="n">
        <v>0</v>
      </c>
      <c r="M1631" t="n">
        <v>0</v>
      </c>
      <c r="N1631" t="n">
        <v>0</v>
      </c>
      <c r="O1631" t="n">
        <v>0</v>
      </c>
      <c r="P1631" t="n">
        <v>0</v>
      </c>
      <c r="Q1631" t="n">
        <v>0</v>
      </c>
      <c r="R1631" s="2" t="inlineStr"/>
    </row>
    <row r="1632" ht="15" customHeight="1">
      <c r="A1632" t="inlineStr">
        <is>
          <t>A 40548-2024</t>
        </is>
      </c>
      <c r="B1632" s="1" t="n">
        <v>45555</v>
      </c>
      <c r="C1632" s="1" t="n">
        <v>45849</v>
      </c>
      <c r="D1632" t="inlineStr">
        <is>
          <t>VÄSTERBOTTENS LÄN</t>
        </is>
      </c>
      <c r="E1632" t="inlineStr">
        <is>
          <t>LYCKSELE</t>
        </is>
      </c>
      <c r="F1632" t="inlineStr">
        <is>
          <t>Holmen skog AB</t>
        </is>
      </c>
      <c r="G1632" t="n">
        <v>6.6</v>
      </c>
      <c r="H1632" t="n">
        <v>0</v>
      </c>
      <c r="I1632" t="n">
        <v>0</v>
      </c>
      <c r="J1632" t="n">
        <v>0</v>
      </c>
      <c r="K1632" t="n">
        <v>0</v>
      </c>
      <c r="L1632" t="n">
        <v>0</v>
      </c>
      <c r="M1632" t="n">
        <v>0</v>
      </c>
      <c r="N1632" t="n">
        <v>0</v>
      </c>
      <c r="O1632" t="n">
        <v>0</v>
      </c>
      <c r="P1632" t="n">
        <v>0</v>
      </c>
      <c r="Q1632" t="n">
        <v>0</v>
      </c>
      <c r="R1632" s="2" t="inlineStr"/>
    </row>
    <row r="1633" ht="15" customHeight="1">
      <c r="A1633" t="inlineStr">
        <is>
          <t>A 40361-2024</t>
        </is>
      </c>
      <c r="B1633" s="1" t="n">
        <v>45555</v>
      </c>
      <c r="C1633" s="1" t="n">
        <v>45849</v>
      </c>
      <c r="D1633" t="inlineStr">
        <is>
          <t>VÄSTERBOTTENS LÄN</t>
        </is>
      </c>
      <c r="E1633" t="inlineStr">
        <is>
          <t>LYCKSELE</t>
        </is>
      </c>
      <c r="G1633" t="n">
        <v>14.7</v>
      </c>
      <c r="H1633" t="n">
        <v>0</v>
      </c>
      <c r="I1633" t="n">
        <v>0</v>
      </c>
      <c r="J1633" t="n">
        <v>0</v>
      </c>
      <c r="K1633" t="n">
        <v>0</v>
      </c>
      <c r="L1633" t="n">
        <v>0</v>
      </c>
      <c r="M1633" t="n">
        <v>0</v>
      </c>
      <c r="N1633" t="n">
        <v>0</v>
      </c>
      <c r="O1633" t="n">
        <v>0</v>
      </c>
      <c r="P1633" t="n">
        <v>0</v>
      </c>
      <c r="Q1633" t="n">
        <v>0</v>
      </c>
      <c r="R1633" s="2" t="inlineStr"/>
    </row>
    <row r="1634" ht="15" customHeight="1">
      <c r="A1634" t="inlineStr">
        <is>
          <t>A 40527-2024</t>
        </is>
      </c>
      <c r="B1634" s="1" t="n">
        <v>45555</v>
      </c>
      <c r="C1634" s="1" t="n">
        <v>45849</v>
      </c>
      <c r="D1634" t="inlineStr">
        <is>
          <t>VÄSTERBOTTENS LÄN</t>
        </is>
      </c>
      <c r="E1634" t="inlineStr">
        <is>
          <t>LYCKSELE</t>
        </is>
      </c>
      <c r="F1634" t="inlineStr">
        <is>
          <t>Sveaskog</t>
        </is>
      </c>
      <c r="G1634" t="n">
        <v>8.9</v>
      </c>
      <c r="H1634" t="n">
        <v>0</v>
      </c>
      <c r="I1634" t="n">
        <v>0</v>
      </c>
      <c r="J1634" t="n">
        <v>0</v>
      </c>
      <c r="K1634" t="n">
        <v>0</v>
      </c>
      <c r="L1634" t="n">
        <v>0</v>
      </c>
      <c r="M1634" t="n">
        <v>0</v>
      </c>
      <c r="N1634" t="n">
        <v>0</v>
      </c>
      <c r="O1634" t="n">
        <v>0</v>
      </c>
      <c r="P1634" t="n">
        <v>0</v>
      </c>
      <c r="Q1634" t="n">
        <v>0</v>
      </c>
      <c r="R1634" s="2" t="inlineStr"/>
    </row>
    <row r="1635" ht="15" customHeight="1">
      <c r="A1635" t="inlineStr">
        <is>
          <t>A 40625-2024</t>
        </is>
      </c>
      <c r="B1635" s="1" t="n">
        <v>45557</v>
      </c>
      <c r="C1635" s="1" t="n">
        <v>45849</v>
      </c>
      <c r="D1635" t="inlineStr">
        <is>
          <t>VÄSTERBOTTENS LÄN</t>
        </is>
      </c>
      <c r="E1635" t="inlineStr">
        <is>
          <t>LYCKSELE</t>
        </is>
      </c>
      <c r="F1635" t="inlineStr">
        <is>
          <t>Sveaskog</t>
        </is>
      </c>
      <c r="G1635" t="n">
        <v>5.8</v>
      </c>
      <c r="H1635" t="n">
        <v>0</v>
      </c>
      <c r="I1635" t="n">
        <v>0</v>
      </c>
      <c r="J1635" t="n">
        <v>0</v>
      </c>
      <c r="K1635" t="n">
        <v>0</v>
      </c>
      <c r="L1635" t="n">
        <v>0</v>
      </c>
      <c r="M1635" t="n">
        <v>0</v>
      </c>
      <c r="N1635" t="n">
        <v>0</v>
      </c>
      <c r="O1635" t="n">
        <v>0</v>
      </c>
      <c r="P1635" t="n">
        <v>0</v>
      </c>
      <c r="Q1635" t="n">
        <v>0</v>
      </c>
      <c r="R1635" s="2" t="inlineStr"/>
    </row>
    <row r="1636" ht="15" customHeight="1">
      <c r="A1636" t="inlineStr">
        <is>
          <t>A 40624-2024</t>
        </is>
      </c>
      <c r="B1636" s="1" t="n">
        <v>45557</v>
      </c>
      <c r="C1636" s="1" t="n">
        <v>45849</v>
      </c>
      <c r="D1636" t="inlineStr">
        <is>
          <t>VÄSTERBOTTENS LÄN</t>
        </is>
      </c>
      <c r="E1636" t="inlineStr">
        <is>
          <t>LYCKSELE</t>
        </is>
      </c>
      <c r="F1636" t="inlineStr">
        <is>
          <t>Sveaskog</t>
        </is>
      </c>
      <c r="G1636" t="n">
        <v>3.2</v>
      </c>
      <c r="H1636" t="n">
        <v>0</v>
      </c>
      <c r="I1636" t="n">
        <v>0</v>
      </c>
      <c r="J1636" t="n">
        <v>0</v>
      </c>
      <c r="K1636" t="n">
        <v>0</v>
      </c>
      <c r="L1636" t="n">
        <v>0</v>
      </c>
      <c r="M1636" t="n">
        <v>0</v>
      </c>
      <c r="N1636" t="n">
        <v>0</v>
      </c>
      <c r="O1636" t="n">
        <v>0</v>
      </c>
      <c r="P1636" t="n">
        <v>0</v>
      </c>
      <c r="Q1636" t="n">
        <v>0</v>
      </c>
      <c r="R1636" s="2" t="inlineStr"/>
    </row>
    <row r="1637" ht="15" customHeight="1">
      <c r="A1637" t="inlineStr">
        <is>
          <t>A 40908-2024</t>
        </is>
      </c>
      <c r="B1637" s="1" t="n">
        <v>45558</v>
      </c>
      <c r="C1637" s="1" t="n">
        <v>45849</v>
      </c>
      <c r="D1637" t="inlineStr">
        <is>
          <t>VÄSTERBOTTENS LÄN</t>
        </is>
      </c>
      <c r="E1637" t="inlineStr">
        <is>
          <t>LYCKSELE</t>
        </is>
      </c>
      <c r="F1637" t="inlineStr">
        <is>
          <t>Sveaskog</t>
        </is>
      </c>
      <c r="G1637" t="n">
        <v>6</v>
      </c>
      <c r="H1637" t="n">
        <v>0</v>
      </c>
      <c r="I1637" t="n">
        <v>0</v>
      </c>
      <c r="J1637" t="n">
        <v>0</v>
      </c>
      <c r="K1637" t="n">
        <v>0</v>
      </c>
      <c r="L1637" t="n">
        <v>0</v>
      </c>
      <c r="M1637" t="n">
        <v>0</v>
      </c>
      <c r="N1637" t="n">
        <v>0</v>
      </c>
      <c r="O1637" t="n">
        <v>0</v>
      </c>
      <c r="P1637" t="n">
        <v>0</v>
      </c>
      <c r="Q1637" t="n">
        <v>0</v>
      </c>
      <c r="R1637" s="2" t="inlineStr"/>
    </row>
    <row r="1638" ht="15" customHeight="1">
      <c r="A1638" t="inlineStr">
        <is>
          <t>A 40912-2024</t>
        </is>
      </c>
      <c r="B1638" s="1" t="n">
        <v>45558</v>
      </c>
      <c r="C1638" s="1" t="n">
        <v>45849</v>
      </c>
      <c r="D1638" t="inlineStr">
        <is>
          <t>VÄSTERBOTTENS LÄN</t>
        </is>
      </c>
      <c r="E1638" t="inlineStr">
        <is>
          <t>LYCKSELE</t>
        </is>
      </c>
      <c r="F1638" t="inlineStr">
        <is>
          <t>Sveaskog</t>
        </is>
      </c>
      <c r="G1638" t="n">
        <v>11.1</v>
      </c>
      <c r="H1638" t="n">
        <v>0</v>
      </c>
      <c r="I1638" t="n">
        <v>0</v>
      </c>
      <c r="J1638" t="n">
        <v>0</v>
      </c>
      <c r="K1638" t="n">
        <v>0</v>
      </c>
      <c r="L1638" t="n">
        <v>0</v>
      </c>
      <c r="M1638" t="n">
        <v>0</v>
      </c>
      <c r="N1638" t="n">
        <v>0</v>
      </c>
      <c r="O1638" t="n">
        <v>0</v>
      </c>
      <c r="P1638" t="n">
        <v>0</v>
      </c>
      <c r="Q1638" t="n">
        <v>0</v>
      </c>
      <c r="R1638" s="2" t="inlineStr"/>
    </row>
    <row r="1639" ht="15" customHeight="1">
      <c r="A1639" t="inlineStr">
        <is>
          <t>A 41105-2024</t>
        </is>
      </c>
      <c r="B1639" s="1" t="n">
        <v>45559</v>
      </c>
      <c r="C1639" s="1" t="n">
        <v>45849</v>
      </c>
      <c r="D1639" t="inlineStr">
        <is>
          <t>VÄSTERBOTTENS LÄN</t>
        </is>
      </c>
      <c r="E1639" t="inlineStr">
        <is>
          <t>LYCKSELE</t>
        </is>
      </c>
      <c r="F1639" t="inlineStr">
        <is>
          <t>Sveaskog</t>
        </is>
      </c>
      <c r="G1639" t="n">
        <v>3.4</v>
      </c>
      <c r="H1639" t="n">
        <v>0</v>
      </c>
      <c r="I1639" t="n">
        <v>0</v>
      </c>
      <c r="J1639" t="n">
        <v>0</v>
      </c>
      <c r="K1639" t="n">
        <v>0</v>
      </c>
      <c r="L1639" t="n">
        <v>0</v>
      </c>
      <c r="M1639" t="n">
        <v>0</v>
      </c>
      <c r="N1639" t="n">
        <v>0</v>
      </c>
      <c r="O1639" t="n">
        <v>0</v>
      </c>
      <c r="P1639" t="n">
        <v>0</v>
      </c>
      <c r="Q1639" t="n">
        <v>0</v>
      </c>
      <c r="R1639" s="2" t="inlineStr"/>
    </row>
    <row r="1640" ht="15" customHeight="1">
      <c r="A1640" t="inlineStr">
        <is>
          <t>A 41095-2024</t>
        </is>
      </c>
      <c r="B1640" s="1" t="n">
        <v>45559</v>
      </c>
      <c r="C1640" s="1" t="n">
        <v>45849</v>
      </c>
      <c r="D1640" t="inlineStr">
        <is>
          <t>VÄSTERBOTTENS LÄN</t>
        </is>
      </c>
      <c r="E1640" t="inlineStr">
        <is>
          <t>LYCKSELE</t>
        </is>
      </c>
      <c r="F1640" t="inlineStr">
        <is>
          <t>Holmen skog AB</t>
        </is>
      </c>
      <c r="G1640" t="n">
        <v>4.3</v>
      </c>
      <c r="H1640" t="n">
        <v>0</v>
      </c>
      <c r="I1640" t="n">
        <v>0</v>
      </c>
      <c r="J1640" t="n">
        <v>0</v>
      </c>
      <c r="K1640" t="n">
        <v>0</v>
      </c>
      <c r="L1640" t="n">
        <v>0</v>
      </c>
      <c r="M1640" t="n">
        <v>0</v>
      </c>
      <c r="N1640" t="n">
        <v>0</v>
      </c>
      <c r="O1640" t="n">
        <v>0</v>
      </c>
      <c r="P1640" t="n">
        <v>0</v>
      </c>
      <c r="Q1640" t="n">
        <v>0</v>
      </c>
      <c r="R1640" s="2" t="inlineStr"/>
    </row>
    <row r="1641" ht="15" customHeight="1">
      <c r="A1641" t="inlineStr">
        <is>
          <t>A 41232-2024</t>
        </is>
      </c>
      <c r="B1641" s="1" t="n">
        <v>45559</v>
      </c>
      <c r="C1641" s="1" t="n">
        <v>45849</v>
      </c>
      <c r="D1641" t="inlineStr">
        <is>
          <t>VÄSTERBOTTENS LÄN</t>
        </is>
      </c>
      <c r="E1641" t="inlineStr">
        <is>
          <t>LYCKSELE</t>
        </is>
      </c>
      <c r="G1641" t="n">
        <v>9</v>
      </c>
      <c r="H1641" t="n">
        <v>0</v>
      </c>
      <c r="I1641" t="n">
        <v>0</v>
      </c>
      <c r="J1641" t="n">
        <v>0</v>
      </c>
      <c r="K1641" t="n">
        <v>0</v>
      </c>
      <c r="L1641" t="n">
        <v>0</v>
      </c>
      <c r="M1641" t="n">
        <v>0</v>
      </c>
      <c r="N1641" t="n">
        <v>0</v>
      </c>
      <c r="O1641" t="n">
        <v>0</v>
      </c>
      <c r="P1641" t="n">
        <v>0</v>
      </c>
      <c r="Q1641" t="n">
        <v>0</v>
      </c>
      <c r="R1641" s="2" t="inlineStr"/>
    </row>
    <row r="1642" ht="15" customHeight="1">
      <c r="A1642" t="inlineStr">
        <is>
          <t>A 41285-2024</t>
        </is>
      </c>
      <c r="B1642" s="1" t="n">
        <v>45559</v>
      </c>
      <c r="C1642" s="1" t="n">
        <v>45849</v>
      </c>
      <c r="D1642" t="inlineStr">
        <is>
          <t>VÄSTERBOTTENS LÄN</t>
        </is>
      </c>
      <c r="E1642" t="inlineStr">
        <is>
          <t>LYCKSELE</t>
        </is>
      </c>
      <c r="F1642" t="inlineStr">
        <is>
          <t>Holmen skog AB</t>
        </is>
      </c>
      <c r="G1642" t="n">
        <v>1</v>
      </c>
      <c r="H1642" t="n">
        <v>0</v>
      </c>
      <c r="I1642" t="n">
        <v>0</v>
      </c>
      <c r="J1642" t="n">
        <v>0</v>
      </c>
      <c r="K1642" t="n">
        <v>0</v>
      </c>
      <c r="L1642" t="n">
        <v>0</v>
      </c>
      <c r="M1642" t="n">
        <v>0</v>
      </c>
      <c r="N1642" t="n">
        <v>0</v>
      </c>
      <c r="O1642" t="n">
        <v>0</v>
      </c>
      <c r="P1642" t="n">
        <v>0</v>
      </c>
      <c r="Q1642" t="n">
        <v>0</v>
      </c>
      <c r="R1642" s="2" t="inlineStr"/>
    </row>
    <row r="1643" ht="15" customHeight="1">
      <c r="A1643" t="inlineStr">
        <is>
          <t>A 41263-2024</t>
        </is>
      </c>
      <c r="B1643" s="1" t="n">
        <v>45559</v>
      </c>
      <c r="C1643" s="1" t="n">
        <v>45849</v>
      </c>
      <c r="D1643" t="inlineStr">
        <is>
          <t>VÄSTERBOTTENS LÄN</t>
        </is>
      </c>
      <c r="E1643" t="inlineStr">
        <is>
          <t>LYCKSELE</t>
        </is>
      </c>
      <c r="F1643" t="inlineStr">
        <is>
          <t>Holmen skog AB</t>
        </is>
      </c>
      <c r="G1643" t="n">
        <v>19.8</v>
      </c>
      <c r="H1643" t="n">
        <v>0</v>
      </c>
      <c r="I1643" t="n">
        <v>0</v>
      </c>
      <c r="J1643" t="n">
        <v>0</v>
      </c>
      <c r="K1643" t="n">
        <v>0</v>
      </c>
      <c r="L1643" t="n">
        <v>0</v>
      </c>
      <c r="M1643" t="n">
        <v>0</v>
      </c>
      <c r="N1643" t="n">
        <v>0</v>
      </c>
      <c r="O1643" t="n">
        <v>0</v>
      </c>
      <c r="P1643" t="n">
        <v>0</v>
      </c>
      <c r="Q1643" t="n">
        <v>0</v>
      </c>
      <c r="R1643" s="2" t="inlineStr"/>
      <c r="U1643">
        <f>HYPERLINK("https://klasma.github.io/Logging_2481/knärot/A 41263-2024 karta knärot.png", "A 41263-2024")</f>
        <v/>
      </c>
      <c r="V1643">
        <f>HYPERLINK("https://klasma.github.io/Logging_2481/klagomål/A 41263-2024 FSC-klagomål.docx", "A 41263-2024")</f>
        <v/>
      </c>
      <c r="W1643">
        <f>HYPERLINK("https://klasma.github.io/Logging_2481/klagomålsmail/A 41263-2024 FSC-klagomål mail.docx", "A 41263-2024")</f>
        <v/>
      </c>
      <c r="X1643">
        <f>HYPERLINK("https://klasma.github.io/Logging_2481/tillsyn/A 41263-2024 tillsynsbegäran.docx", "A 41263-2024")</f>
        <v/>
      </c>
      <c r="Y1643">
        <f>HYPERLINK("https://klasma.github.io/Logging_2481/tillsynsmail/A 41263-2024 tillsynsbegäran mail.docx", "A 41263-2024")</f>
        <v/>
      </c>
    </row>
    <row r="1644" ht="15" customHeight="1">
      <c r="A1644" t="inlineStr">
        <is>
          <t>A 41295-2024</t>
        </is>
      </c>
      <c r="B1644" s="1" t="n">
        <v>45559</v>
      </c>
      <c r="C1644" s="1" t="n">
        <v>45849</v>
      </c>
      <c r="D1644" t="inlineStr">
        <is>
          <t>VÄSTERBOTTENS LÄN</t>
        </is>
      </c>
      <c r="E1644" t="inlineStr">
        <is>
          <t>LYCKSELE</t>
        </is>
      </c>
      <c r="G1644" t="n">
        <v>7.5</v>
      </c>
      <c r="H1644" t="n">
        <v>0</v>
      </c>
      <c r="I1644" t="n">
        <v>0</v>
      </c>
      <c r="J1644" t="n">
        <v>0</v>
      </c>
      <c r="K1644" t="n">
        <v>0</v>
      </c>
      <c r="L1644" t="n">
        <v>0</v>
      </c>
      <c r="M1644" t="n">
        <v>0</v>
      </c>
      <c r="N1644" t="n">
        <v>0</v>
      </c>
      <c r="O1644" t="n">
        <v>0</v>
      </c>
      <c r="P1644" t="n">
        <v>0</v>
      </c>
      <c r="Q1644" t="n">
        <v>0</v>
      </c>
      <c r="R1644" s="2" t="inlineStr"/>
    </row>
    <row r="1645" ht="15" customHeight="1">
      <c r="A1645" t="inlineStr">
        <is>
          <t>A 41209-2024</t>
        </is>
      </c>
      <c r="B1645" s="1" t="n">
        <v>45559</v>
      </c>
      <c r="C1645" s="1" t="n">
        <v>45849</v>
      </c>
      <c r="D1645" t="inlineStr">
        <is>
          <t>VÄSTERBOTTENS LÄN</t>
        </is>
      </c>
      <c r="E1645" t="inlineStr">
        <is>
          <t>LYCKSELE</t>
        </is>
      </c>
      <c r="F1645" t="inlineStr">
        <is>
          <t>Sveaskog</t>
        </is>
      </c>
      <c r="G1645" t="n">
        <v>25.4</v>
      </c>
      <c r="H1645" t="n">
        <v>0</v>
      </c>
      <c r="I1645" t="n">
        <v>0</v>
      </c>
      <c r="J1645" t="n">
        <v>0</v>
      </c>
      <c r="K1645" t="n">
        <v>0</v>
      </c>
      <c r="L1645" t="n">
        <v>0</v>
      </c>
      <c r="M1645" t="n">
        <v>0</v>
      </c>
      <c r="N1645" t="n">
        <v>0</v>
      </c>
      <c r="O1645" t="n">
        <v>0</v>
      </c>
      <c r="P1645" t="n">
        <v>0</v>
      </c>
      <c r="Q1645" t="n">
        <v>0</v>
      </c>
      <c r="R1645" s="2" t="inlineStr"/>
    </row>
    <row r="1646" ht="15" customHeight="1">
      <c r="A1646" t="inlineStr">
        <is>
          <t>A 41410-2024</t>
        </is>
      </c>
      <c r="B1646" s="1" t="n">
        <v>45560</v>
      </c>
      <c r="C1646" s="1" t="n">
        <v>45849</v>
      </c>
      <c r="D1646" t="inlineStr">
        <is>
          <t>VÄSTERBOTTENS LÄN</t>
        </is>
      </c>
      <c r="E1646" t="inlineStr">
        <is>
          <t>LYCKSELE</t>
        </is>
      </c>
      <c r="F1646" t="inlineStr">
        <is>
          <t>SCA</t>
        </is>
      </c>
      <c r="G1646" t="n">
        <v>1.5</v>
      </c>
      <c r="H1646" t="n">
        <v>0</v>
      </c>
      <c r="I1646" t="n">
        <v>0</v>
      </c>
      <c r="J1646" t="n">
        <v>0</v>
      </c>
      <c r="K1646" t="n">
        <v>0</v>
      </c>
      <c r="L1646" t="n">
        <v>0</v>
      </c>
      <c r="M1646" t="n">
        <v>0</v>
      </c>
      <c r="N1646" t="n">
        <v>0</v>
      </c>
      <c r="O1646" t="n">
        <v>0</v>
      </c>
      <c r="P1646" t="n">
        <v>0</v>
      </c>
      <c r="Q1646" t="n">
        <v>0</v>
      </c>
      <c r="R1646" s="2" t="inlineStr"/>
    </row>
    <row r="1647" ht="15" customHeight="1">
      <c r="A1647" t="inlineStr">
        <is>
          <t>A 41523-2024</t>
        </is>
      </c>
      <c r="B1647" s="1" t="n">
        <v>45560</v>
      </c>
      <c r="C1647" s="1" t="n">
        <v>45849</v>
      </c>
      <c r="D1647" t="inlineStr">
        <is>
          <t>VÄSTERBOTTENS LÄN</t>
        </is>
      </c>
      <c r="E1647" t="inlineStr">
        <is>
          <t>LYCKSELE</t>
        </is>
      </c>
      <c r="F1647" t="inlineStr">
        <is>
          <t>Holmen skog AB</t>
        </is>
      </c>
      <c r="G1647" t="n">
        <v>2</v>
      </c>
      <c r="H1647" t="n">
        <v>0</v>
      </c>
      <c r="I1647" t="n">
        <v>0</v>
      </c>
      <c r="J1647" t="n">
        <v>0</v>
      </c>
      <c r="K1647" t="n">
        <v>0</v>
      </c>
      <c r="L1647" t="n">
        <v>0</v>
      </c>
      <c r="M1647" t="n">
        <v>0</v>
      </c>
      <c r="N1647" t="n">
        <v>0</v>
      </c>
      <c r="O1647" t="n">
        <v>0</v>
      </c>
      <c r="P1647" t="n">
        <v>0</v>
      </c>
      <c r="Q1647" t="n">
        <v>0</v>
      </c>
      <c r="R1647" s="2" t="inlineStr"/>
    </row>
    <row r="1648" ht="15" customHeight="1">
      <c r="A1648" t="inlineStr">
        <is>
          <t>A 41417-2024</t>
        </is>
      </c>
      <c r="B1648" s="1" t="n">
        <v>45560</v>
      </c>
      <c r="C1648" s="1" t="n">
        <v>45849</v>
      </c>
      <c r="D1648" t="inlineStr">
        <is>
          <t>VÄSTERBOTTENS LÄN</t>
        </is>
      </c>
      <c r="E1648" t="inlineStr">
        <is>
          <t>LYCKSELE</t>
        </is>
      </c>
      <c r="F1648" t="inlineStr">
        <is>
          <t>SCA</t>
        </is>
      </c>
      <c r="G1648" t="n">
        <v>0.7</v>
      </c>
      <c r="H1648" t="n">
        <v>0</v>
      </c>
      <c r="I1648" t="n">
        <v>0</v>
      </c>
      <c r="J1648" t="n">
        <v>0</v>
      </c>
      <c r="K1648" t="n">
        <v>0</v>
      </c>
      <c r="L1648" t="n">
        <v>0</v>
      </c>
      <c r="M1648" t="n">
        <v>0</v>
      </c>
      <c r="N1648" t="n">
        <v>0</v>
      </c>
      <c r="O1648" t="n">
        <v>0</v>
      </c>
      <c r="P1648" t="n">
        <v>0</v>
      </c>
      <c r="Q1648" t="n">
        <v>0</v>
      </c>
      <c r="R1648" s="2" t="inlineStr"/>
    </row>
    <row r="1649" ht="15" customHeight="1">
      <c r="A1649" t="inlineStr">
        <is>
          <t>A 41749-2024</t>
        </is>
      </c>
      <c r="B1649" s="1" t="n">
        <v>45561</v>
      </c>
      <c r="C1649" s="1" t="n">
        <v>45849</v>
      </c>
      <c r="D1649" t="inlineStr">
        <is>
          <t>VÄSTERBOTTENS LÄN</t>
        </is>
      </c>
      <c r="E1649" t="inlineStr">
        <is>
          <t>LYCKSELE</t>
        </is>
      </c>
      <c r="F1649" t="inlineStr">
        <is>
          <t>Sveaskog</t>
        </is>
      </c>
      <c r="G1649" t="n">
        <v>2.6</v>
      </c>
      <c r="H1649" t="n">
        <v>0</v>
      </c>
      <c r="I1649" t="n">
        <v>0</v>
      </c>
      <c r="J1649" t="n">
        <v>0</v>
      </c>
      <c r="K1649" t="n">
        <v>0</v>
      </c>
      <c r="L1649" t="n">
        <v>0</v>
      </c>
      <c r="M1649" t="n">
        <v>0</v>
      </c>
      <c r="N1649" t="n">
        <v>0</v>
      </c>
      <c r="O1649" t="n">
        <v>0</v>
      </c>
      <c r="P1649" t="n">
        <v>0</v>
      </c>
      <c r="Q1649" t="n">
        <v>0</v>
      </c>
      <c r="R1649" s="2" t="inlineStr"/>
    </row>
    <row r="1650" ht="15" customHeight="1">
      <c r="A1650" t="inlineStr">
        <is>
          <t>A 41950-2024</t>
        </is>
      </c>
      <c r="B1650" s="1" t="n">
        <v>45561</v>
      </c>
      <c r="C1650" s="1" t="n">
        <v>45849</v>
      </c>
      <c r="D1650" t="inlineStr">
        <is>
          <t>VÄSTERBOTTENS LÄN</t>
        </is>
      </c>
      <c r="E1650" t="inlineStr">
        <is>
          <t>LYCKSELE</t>
        </is>
      </c>
      <c r="F1650" t="inlineStr">
        <is>
          <t>Sveaskog</t>
        </is>
      </c>
      <c r="G1650" t="n">
        <v>11.8</v>
      </c>
      <c r="H1650" t="n">
        <v>0</v>
      </c>
      <c r="I1650" t="n">
        <v>0</v>
      </c>
      <c r="J1650" t="n">
        <v>0</v>
      </c>
      <c r="K1650" t="n">
        <v>0</v>
      </c>
      <c r="L1650" t="n">
        <v>0</v>
      </c>
      <c r="M1650" t="n">
        <v>0</v>
      </c>
      <c r="N1650" t="n">
        <v>0</v>
      </c>
      <c r="O1650" t="n">
        <v>0</v>
      </c>
      <c r="P1650" t="n">
        <v>0</v>
      </c>
      <c r="Q1650" t="n">
        <v>0</v>
      </c>
      <c r="R1650" s="2" t="inlineStr"/>
    </row>
    <row r="1651" ht="15" customHeight="1">
      <c r="A1651" t="inlineStr">
        <is>
          <t>A 41977-2024</t>
        </is>
      </c>
      <c r="B1651" s="1" t="n">
        <v>45561</v>
      </c>
      <c r="C1651" s="1" t="n">
        <v>45849</v>
      </c>
      <c r="D1651" t="inlineStr">
        <is>
          <t>VÄSTERBOTTENS LÄN</t>
        </is>
      </c>
      <c r="E1651" t="inlineStr">
        <is>
          <t>LYCKSELE</t>
        </is>
      </c>
      <c r="F1651" t="inlineStr">
        <is>
          <t>Sveaskog</t>
        </is>
      </c>
      <c r="G1651" t="n">
        <v>0.6</v>
      </c>
      <c r="H1651" t="n">
        <v>0</v>
      </c>
      <c r="I1651" t="n">
        <v>0</v>
      </c>
      <c r="J1651" t="n">
        <v>0</v>
      </c>
      <c r="K1651" t="n">
        <v>0</v>
      </c>
      <c r="L1651" t="n">
        <v>0</v>
      </c>
      <c r="M1651" t="n">
        <v>0</v>
      </c>
      <c r="N1651" t="n">
        <v>0</v>
      </c>
      <c r="O1651" t="n">
        <v>0</v>
      </c>
      <c r="P1651" t="n">
        <v>0</v>
      </c>
      <c r="Q1651" t="n">
        <v>0</v>
      </c>
      <c r="R1651" s="2" t="inlineStr"/>
    </row>
    <row r="1652" ht="15" customHeight="1">
      <c r="A1652" t="inlineStr">
        <is>
          <t>A 41982-2024</t>
        </is>
      </c>
      <c r="B1652" s="1" t="n">
        <v>45561</v>
      </c>
      <c r="C1652" s="1" t="n">
        <v>45849</v>
      </c>
      <c r="D1652" t="inlineStr">
        <is>
          <t>VÄSTERBOTTENS LÄN</t>
        </is>
      </c>
      <c r="E1652" t="inlineStr">
        <is>
          <t>LYCKSELE</t>
        </is>
      </c>
      <c r="F1652" t="inlineStr">
        <is>
          <t>Sveaskog</t>
        </is>
      </c>
      <c r="G1652" t="n">
        <v>1.7</v>
      </c>
      <c r="H1652" t="n">
        <v>0</v>
      </c>
      <c r="I1652" t="n">
        <v>0</v>
      </c>
      <c r="J1652" t="n">
        <v>0</v>
      </c>
      <c r="K1652" t="n">
        <v>0</v>
      </c>
      <c r="L1652" t="n">
        <v>0</v>
      </c>
      <c r="M1652" t="n">
        <v>0</v>
      </c>
      <c r="N1652" t="n">
        <v>0</v>
      </c>
      <c r="O1652" t="n">
        <v>0</v>
      </c>
      <c r="P1652" t="n">
        <v>0</v>
      </c>
      <c r="Q1652" t="n">
        <v>0</v>
      </c>
      <c r="R1652" s="2" t="inlineStr"/>
    </row>
    <row r="1653" ht="15" customHeight="1">
      <c r="A1653" t="inlineStr">
        <is>
          <t>A 41808-2024</t>
        </is>
      </c>
      <c r="B1653" s="1" t="n">
        <v>45561</v>
      </c>
      <c r="C1653" s="1" t="n">
        <v>45849</v>
      </c>
      <c r="D1653" t="inlineStr">
        <is>
          <t>VÄSTERBOTTENS LÄN</t>
        </is>
      </c>
      <c r="E1653" t="inlineStr">
        <is>
          <t>LYCKSELE</t>
        </is>
      </c>
      <c r="F1653" t="inlineStr">
        <is>
          <t>Sveaskog</t>
        </is>
      </c>
      <c r="G1653" t="n">
        <v>11.2</v>
      </c>
      <c r="H1653" t="n">
        <v>0</v>
      </c>
      <c r="I1653" t="n">
        <v>0</v>
      </c>
      <c r="J1653" t="n">
        <v>0</v>
      </c>
      <c r="K1653" t="n">
        <v>0</v>
      </c>
      <c r="L1653" t="n">
        <v>0</v>
      </c>
      <c r="M1653" t="n">
        <v>0</v>
      </c>
      <c r="N1653" t="n">
        <v>0</v>
      </c>
      <c r="O1653" t="n">
        <v>0</v>
      </c>
      <c r="P1653" t="n">
        <v>0</v>
      </c>
      <c r="Q1653" t="n">
        <v>0</v>
      </c>
      <c r="R1653" s="2" t="inlineStr"/>
    </row>
    <row r="1654" ht="15" customHeight="1">
      <c r="A1654" t="inlineStr">
        <is>
          <t>A 42023-2024</t>
        </is>
      </c>
      <c r="B1654" s="1" t="n">
        <v>45561</v>
      </c>
      <c r="C1654" s="1" t="n">
        <v>45849</v>
      </c>
      <c r="D1654" t="inlineStr">
        <is>
          <t>VÄSTERBOTTENS LÄN</t>
        </is>
      </c>
      <c r="E1654" t="inlineStr">
        <is>
          <t>LYCKSELE</t>
        </is>
      </c>
      <c r="F1654" t="inlineStr">
        <is>
          <t>Sveaskog</t>
        </is>
      </c>
      <c r="G1654" t="n">
        <v>7.2</v>
      </c>
      <c r="H1654" t="n">
        <v>0</v>
      </c>
      <c r="I1654" t="n">
        <v>0</v>
      </c>
      <c r="J1654" t="n">
        <v>0</v>
      </c>
      <c r="K1654" t="n">
        <v>0</v>
      </c>
      <c r="L1654" t="n">
        <v>0</v>
      </c>
      <c r="M1654" t="n">
        <v>0</v>
      </c>
      <c r="N1654" t="n">
        <v>0</v>
      </c>
      <c r="O1654" t="n">
        <v>0</v>
      </c>
      <c r="P1654" t="n">
        <v>0</v>
      </c>
      <c r="Q1654" t="n">
        <v>0</v>
      </c>
      <c r="R1654" s="2" t="inlineStr"/>
    </row>
    <row r="1655" ht="15" customHeight="1">
      <c r="A1655" t="inlineStr">
        <is>
          <t>A 41756-2024</t>
        </is>
      </c>
      <c r="B1655" s="1" t="n">
        <v>45561</v>
      </c>
      <c r="C1655" s="1" t="n">
        <v>45849</v>
      </c>
      <c r="D1655" t="inlineStr">
        <is>
          <t>VÄSTERBOTTENS LÄN</t>
        </is>
      </c>
      <c r="E1655" t="inlineStr">
        <is>
          <t>LYCKSELE</t>
        </is>
      </c>
      <c r="F1655" t="inlineStr">
        <is>
          <t>Sveaskog</t>
        </is>
      </c>
      <c r="G1655" t="n">
        <v>4.8</v>
      </c>
      <c r="H1655" t="n">
        <v>0</v>
      </c>
      <c r="I1655" t="n">
        <v>0</v>
      </c>
      <c r="J1655" t="n">
        <v>0</v>
      </c>
      <c r="K1655" t="n">
        <v>0</v>
      </c>
      <c r="L1655" t="n">
        <v>0</v>
      </c>
      <c r="M1655" t="n">
        <v>0</v>
      </c>
      <c r="N1655" t="n">
        <v>0</v>
      </c>
      <c r="O1655" t="n">
        <v>0</v>
      </c>
      <c r="P1655" t="n">
        <v>0</v>
      </c>
      <c r="Q1655" t="n">
        <v>0</v>
      </c>
      <c r="R1655" s="2" t="inlineStr"/>
    </row>
    <row r="1656" ht="15" customHeight="1">
      <c r="A1656" t="inlineStr">
        <is>
          <t>A 41793-2024</t>
        </is>
      </c>
      <c r="B1656" s="1" t="n">
        <v>45561</v>
      </c>
      <c r="C1656" s="1" t="n">
        <v>45849</v>
      </c>
      <c r="D1656" t="inlineStr">
        <is>
          <t>VÄSTERBOTTENS LÄN</t>
        </is>
      </c>
      <c r="E1656" t="inlineStr">
        <is>
          <t>LYCKSELE</t>
        </is>
      </c>
      <c r="F1656" t="inlineStr">
        <is>
          <t>Sveaskog</t>
        </is>
      </c>
      <c r="G1656" t="n">
        <v>7.1</v>
      </c>
      <c r="H1656" t="n">
        <v>0</v>
      </c>
      <c r="I1656" t="n">
        <v>0</v>
      </c>
      <c r="J1656" t="n">
        <v>0</v>
      </c>
      <c r="K1656" t="n">
        <v>0</v>
      </c>
      <c r="L1656" t="n">
        <v>0</v>
      </c>
      <c r="M1656" t="n">
        <v>0</v>
      </c>
      <c r="N1656" t="n">
        <v>0</v>
      </c>
      <c r="O1656" t="n">
        <v>0</v>
      </c>
      <c r="P1656" t="n">
        <v>0</v>
      </c>
      <c r="Q1656" t="n">
        <v>0</v>
      </c>
      <c r="R1656" s="2" t="inlineStr"/>
    </row>
    <row r="1657" ht="15" customHeight="1">
      <c r="A1657" t="inlineStr">
        <is>
          <t>A 41980-2024</t>
        </is>
      </c>
      <c r="B1657" s="1" t="n">
        <v>45561</v>
      </c>
      <c r="C1657" s="1" t="n">
        <v>45849</v>
      </c>
      <c r="D1657" t="inlineStr">
        <is>
          <t>VÄSTERBOTTENS LÄN</t>
        </is>
      </c>
      <c r="E1657" t="inlineStr">
        <is>
          <t>LYCKSELE</t>
        </is>
      </c>
      <c r="F1657" t="inlineStr">
        <is>
          <t>Sveaskog</t>
        </is>
      </c>
      <c r="G1657" t="n">
        <v>0.8</v>
      </c>
      <c r="H1657" t="n">
        <v>0</v>
      </c>
      <c r="I1657" t="n">
        <v>0</v>
      </c>
      <c r="J1657" t="n">
        <v>0</v>
      </c>
      <c r="K1657" t="n">
        <v>0</v>
      </c>
      <c r="L1657" t="n">
        <v>0</v>
      </c>
      <c r="M1657" t="n">
        <v>0</v>
      </c>
      <c r="N1657" t="n">
        <v>0</v>
      </c>
      <c r="O1657" t="n">
        <v>0</v>
      </c>
      <c r="P1657" t="n">
        <v>0</v>
      </c>
      <c r="Q1657" t="n">
        <v>0</v>
      </c>
      <c r="R1657" s="2" t="inlineStr"/>
    </row>
    <row r="1658" ht="15" customHeight="1">
      <c r="A1658" t="inlineStr">
        <is>
          <t>A 42347-2024</t>
        </is>
      </c>
      <c r="B1658" s="1" t="n">
        <v>45562</v>
      </c>
      <c r="C1658" s="1" t="n">
        <v>45849</v>
      </c>
      <c r="D1658" t="inlineStr">
        <is>
          <t>VÄSTERBOTTENS LÄN</t>
        </is>
      </c>
      <c r="E1658" t="inlineStr">
        <is>
          <t>LYCKSELE</t>
        </is>
      </c>
      <c r="G1658" t="n">
        <v>6.2</v>
      </c>
      <c r="H1658" t="n">
        <v>0</v>
      </c>
      <c r="I1658" t="n">
        <v>0</v>
      </c>
      <c r="J1658" t="n">
        <v>0</v>
      </c>
      <c r="K1658" t="n">
        <v>0</v>
      </c>
      <c r="L1658" t="n">
        <v>0</v>
      </c>
      <c r="M1658" t="n">
        <v>0</v>
      </c>
      <c r="N1658" t="n">
        <v>0</v>
      </c>
      <c r="O1658" t="n">
        <v>0</v>
      </c>
      <c r="P1658" t="n">
        <v>0</v>
      </c>
      <c r="Q1658" t="n">
        <v>0</v>
      </c>
      <c r="R1658" s="2" t="inlineStr"/>
    </row>
    <row r="1659" ht="15" customHeight="1">
      <c r="A1659" t="inlineStr">
        <is>
          <t>A 42293-2024</t>
        </is>
      </c>
      <c r="B1659" s="1" t="n">
        <v>45562</v>
      </c>
      <c r="C1659" s="1" t="n">
        <v>45849</v>
      </c>
      <c r="D1659" t="inlineStr">
        <is>
          <t>VÄSTERBOTTENS LÄN</t>
        </is>
      </c>
      <c r="E1659" t="inlineStr">
        <is>
          <t>LYCKSELE</t>
        </is>
      </c>
      <c r="F1659" t="inlineStr">
        <is>
          <t>Sveaskog</t>
        </is>
      </c>
      <c r="G1659" t="n">
        <v>1.7</v>
      </c>
      <c r="H1659" t="n">
        <v>0</v>
      </c>
      <c r="I1659" t="n">
        <v>0</v>
      </c>
      <c r="J1659" t="n">
        <v>0</v>
      </c>
      <c r="K1659" t="n">
        <v>0</v>
      </c>
      <c r="L1659" t="n">
        <v>0</v>
      </c>
      <c r="M1659" t="n">
        <v>0</v>
      </c>
      <c r="N1659" t="n">
        <v>0</v>
      </c>
      <c r="O1659" t="n">
        <v>0</v>
      </c>
      <c r="P1659" t="n">
        <v>0</v>
      </c>
      <c r="Q1659" t="n">
        <v>0</v>
      </c>
      <c r="R1659" s="2" t="inlineStr"/>
    </row>
    <row r="1660" ht="15" customHeight="1">
      <c r="A1660" t="inlineStr">
        <is>
          <t>A 42350-2024</t>
        </is>
      </c>
      <c r="B1660" s="1" t="n">
        <v>45562</v>
      </c>
      <c r="C1660" s="1" t="n">
        <v>45849</v>
      </c>
      <c r="D1660" t="inlineStr">
        <is>
          <t>VÄSTERBOTTENS LÄN</t>
        </is>
      </c>
      <c r="E1660" t="inlineStr">
        <is>
          <t>LYCKSELE</t>
        </is>
      </c>
      <c r="G1660" t="n">
        <v>9.6</v>
      </c>
      <c r="H1660" t="n">
        <v>0</v>
      </c>
      <c r="I1660" t="n">
        <v>0</v>
      </c>
      <c r="J1660" t="n">
        <v>0</v>
      </c>
      <c r="K1660" t="n">
        <v>0</v>
      </c>
      <c r="L1660" t="n">
        <v>0</v>
      </c>
      <c r="M1660" t="n">
        <v>0</v>
      </c>
      <c r="N1660" t="n">
        <v>0</v>
      </c>
      <c r="O1660" t="n">
        <v>0</v>
      </c>
      <c r="P1660" t="n">
        <v>0</v>
      </c>
      <c r="Q1660" t="n">
        <v>0</v>
      </c>
      <c r="R1660" s="2" t="inlineStr"/>
    </row>
    <row r="1661" ht="15" customHeight="1">
      <c r="A1661" t="inlineStr">
        <is>
          <t>A 42596-2024</t>
        </is>
      </c>
      <c r="B1661" s="1" t="n">
        <v>45565</v>
      </c>
      <c r="C1661" s="1" t="n">
        <v>45849</v>
      </c>
      <c r="D1661" t="inlineStr">
        <is>
          <t>VÄSTERBOTTENS LÄN</t>
        </is>
      </c>
      <c r="E1661" t="inlineStr">
        <is>
          <t>LYCKSELE</t>
        </is>
      </c>
      <c r="G1661" t="n">
        <v>10.6</v>
      </c>
      <c r="H1661" t="n">
        <v>0</v>
      </c>
      <c r="I1661" t="n">
        <v>0</v>
      </c>
      <c r="J1661" t="n">
        <v>0</v>
      </c>
      <c r="K1661" t="n">
        <v>0</v>
      </c>
      <c r="L1661" t="n">
        <v>0</v>
      </c>
      <c r="M1661" t="n">
        <v>0</v>
      </c>
      <c r="N1661" t="n">
        <v>0</v>
      </c>
      <c r="O1661" t="n">
        <v>0</v>
      </c>
      <c r="P1661" t="n">
        <v>0</v>
      </c>
      <c r="Q1661" t="n">
        <v>0</v>
      </c>
      <c r="R1661" s="2" t="inlineStr"/>
    </row>
    <row r="1662" ht="15" customHeight="1">
      <c r="A1662" t="inlineStr">
        <is>
          <t>A 42593-2024</t>
        </is>
      </c>
      <c r="B1662" s="1" t="n">
        <v>45565</v>
      </c>
      <c r="C1662" s="1" t="n">
        <v>45849</v>
      </c>
      <c r="D1662" t="inlineStr">
        <is>
          <t>VÄSTERBOTTENS LÄN</t>
        </is>
      </c>
      <c r="E1662" t="inlineStr">
        <is>
          <t>LYCKSELE</t>
        </is>
      </c>
      <c r="G1662" t="n">
        <v>5.3</v>
      </c>
      <c r="H1662" t="n">
        <v>0</v>
      </c>
      <c r="I1662" t="n">
        <v>0</v>
      </c>
      <c r="J1662" t="n">
        <v>0</v>
      </c>
      <c r="K1662" t="n">
        <v>0</v>
      </c>
      <c r="L1662" t="n">
        <v>0</v>
      </c>
      <c r="M1662" t="n">
        <v>0</v>
      </c>
      <c r="N1662" t="n">
        <v>0</v>
      </c>
      <c r="O1662" t="n">
        <v>0</v>
      </c>
      <c r="P1662" t="n">
        <v>0</v>
      </c>
      <c r="Q1662" t="n">
        <v>0</v>
      </c>
      <c r="R1662" s="2" t="inlineStr"/>
    </row>
    <row r="1663" ht="15" customHeight="1">
      <c r="A1663" t="inlineStr">
        <is>
          <t>A 42603-2024</t>
        </is>
      </c>
      <c r="B1663" s="1" t="n">
        <v>45565</v>
      </c>
      <c r="C1663" s="1" t="n">
        <v>45849</v>
      </c>
      <c r="D1663" t="inlineStr">
        <is>
          <t>VÄSTERBOTTENS LÄN</t>
        </is>
      </c>
      <c r="E1663" t="inlineStr">
        <is>
          <t>LYCKSELE</t>
        </is>
      </c>
      <c r="G1663" t="n">
        <v>8.4</v>
      </c>
      <c r="H1663" t="n">
        <v>0</v>
      </c>
      <c r="I1663" t="n">
        <v>0</v>
      </c>
      <c r="J1663" t="n">
        <v>0</v>
      </c>
      <c r="K1663" t="n">
        <v>0</v>
      </c>
      <c r="L1663" t="n">
        <v>0</v>
      </c>
      <c r="M1663" t="n">
        <v>0</v>
      </c>
      <c r="N1663" t="n">
        <v>0</v>
      </c>
      <c r="O1663" t="n">
        <v>0</v>
      </c>
      <c r="P1663" t="n">
        <v>0</v>
      </c>
      <c r="Q1663" t="n">
        <v>0</v>
      </c>
      <c r="R1663" s="2" t="inlineStr"/>
    </row>
    <row r="1664" ht="15" customHeight="1">
      <c r="A1664" t="inlineStr">
        <is>
          <t>A 42887-2024</t>
        </is>
      </c>
      <c r="B1664" s="1" t="n">
        <v>45566</v>
      </c>
      <c r="C1664" s="1" t="n">
        <v>45849</v>
      </c>
      <c r="D1664" t="inlineStr">
        <is>
          <t>VÄSTERBOTTENS LÄN</t>
        </is>
      </c>
      <c r="E1664" t="inlineStr">
        <is>
          <t>LYCKSELE</t>
        </is>
      </c>
      <c r="G1664" t="n">
        <v>0.5</v>
      </c>
      <c r="H1664" t="n">
        <v>0</v>
      </c>
      <c r="I1664" t="n">
        <v>0</v>
      </c>
      <c r="J1664" t="n">
        <v>0</v>
      </c>
      <c r="K1664" t="n">
        <v>0</v>
      </c>
      <c r="L1664" t="n">
        <v>0</v>
      </c>
      <c r="M1664" t="n">
        <v>0</v>
      </c>
      <c r="N1664" t="n">
        <v>0</v>
      </c>
      <c r="O1664" t="n">
        <v>0</v>
      </c>
      <c r="P1664" t="n">
        <v>0</v>
      </c>
      <c r="Q1664" t="n">
        <v>0</v>
      </c>
      <c r="R1664" s="2" t="inlineStr"/>
    </row>
    <row r="1665" ht="15" customHeight="1">
      <c r="A1665" t="inlineStr">
        <is>
          <t>A 42839-2024</t>
        </is>
      </c>
      <c r="B1665" s="1" t="n">
        <v>45566</v>
      </c>
      <c r="C1665" s="1" t="n">
        <v>45849</v>
      </c>
      <c r="D1665" t="inlineStr">
        <is>
          <t>VÄSTERBOTTENS LÄN</t>
        </is>
      </c>
      <c r="E1665" t="inlineStr">
        <is>
          <t>LYCKSELE</t>
        </is>
      </c>
      <c r="F1665" t="inlineStr">
        <is>
          <t>Sveaskog</t>
        </is>
      </c>
      <c r="G1665" t="n">
        <v>3.2</v>
      </c>
      <c r="H1665" t="n">
        <v>0</v>
      </c>
      <c r="I1665" t="n">
        <v>0</v>
      </c>
      <c r="J1665" t="n">
        <v>0</v>
      </c>
      <c r="K1665" t="n">
        <v>0</v>
      </c>
      <c r="L1665" t="n">
        <v>0</v>
      </c>
      <c r="M1665" t="n">
        <v>0</v>
      </c>
      <c r="N1665" t="n">
        <v>0</v>
      </c>
      <c r="O1665" t="n">
        <v>0</v>
      </c>
      <c r="P1665" t="n">
        <v>0</v>
      </c>
      <c r="Q1665" t="n">
        <v>0</v>
      </c>
      <c r="R1665" s="2" t="inlineStr"/>
    </row>
    <row r="1666" ht="15" customHeight="1">
      <c r="A1666" t="inlineStr">
        <is>
          <t>A 42836-2024</t>
        </is>
      </c>
      <c r="B1666" s="1" t="n">
        <v>45566</v>
      </c>
      <c r="C1666" s="1" t="n">
        <v>45849</v>
      </c>
      <c r="D1666" t="inlineStr">
        <is>
          <t>VÄSTERBOTTENS LÄN</t>
        </is>
      </c>
      <c r="E1666" t="inlineStr">
        <is>
          <t>LYCKSELE</t>
        </is>
      </c>
      <c r="F1666" t="inlineStr">
        <is>
          <t>Sveaskog</t>
        </is>
      </c>
      <c r="G1666" t="n">
        <v>16.3</v>
      </c>
      <c r="H1666" t="n">
        <v>0</v>
      </c>
      <c r="I1666" t="n">
        <v>0</v>
      </c>
      <c r="J1666" t="n">
        <v>0</v>
      </c>
      <c r="K1666" t="n">
        <v>0</v>
      </c>
      <c r="L1666" t="n">
        <v>0</v>
      </c>
      <c r="M1666" t="n">
        <v>0</v>
      </c>
      <c r="N1666" t="n">
        <v>0</v>
      </c>
      <c r="O1666" t="n">
        <v>0</v>
      </c>
      <c r="P1666" t="n">
        <v>0</v>
      </c>
      <c r="Q1666" t="n">
        <v>0</v>
      </c>
      <c r="R1666" s="2" t="inlineStr"/>
    </row>
    <row r="1667" ht="15" customHeight="1">
      <c r="A1667" t="inlineStr">
        <is>
          <t>A 43166-2024</t>
        </is>
      </c>
      <c r="B1667" s="1" t="n">
        <v>45567</v>
      </c>
      <c r="C1667" s="1" t="n">
        <v>45849</v>
      </c>
      <c r="D1667" t="inlineStr">
        <is>
          <t>VÄSTERBOTTENS LÄN</t>
        </is>
      </c>
      <c r="E1667" t="inlineStr">
        <is>
          <t>LYCKSELE</t>
        </is>
      </c>
      <c r="F1667" t="inlineStr">
        <is>
          <t>Sveaskog</t>
        </is>
      </c>
      <c r="G1667" t="n">
        <v>2.3</v>
      </c>
      <c r="H1667" t="n">
        <v>0</v>
      </c>
      <c r="I1667" t="n">
        <v>0</v>
      </c>
      <c r="J1667" t="n">
        <v>0</v>
      </c>
      <c r="K1667" t="n">
        <v>0</v>
      </c>
      <c r="L1667" t="n">
        <v>0</v>
      </c>
      <c r="M1667" t="n">
        <v>0</v>
      </c>
      <c r="N1667" t="n">
        <v>0</v>
      </c>
      <c r="O1667" t="n">
        <v>0</v>
      </c>
      <c r="P1667" t="n">
        <v>0</v>
      </c>
      <c r="Q1667" t="n">
        <v>0</v>
      </c>
      <c r="R1667" s="2" t="inlineStr"/>
    </row>
    <row r="1668" ht="15" customHeight="1">
      <c r="A1668" t="inlineStr">
        <is>
          <t>A 43302-2024</t>
        </is>
      </c>
      <c r="B1668" s="1" t="n">
        <v>45568</v>
      </c>
      <c r="C1668" s="1" t="n">
        <v>45849</v>
      </c>
      <c r="D1668" t="inlineStr">
        <is>
          <t>VÄSTERBOTTENS LÄN</t>
        </is>
      </c>
      <c r="E1668" t="inlineStr">
        <is>
          <t>LYCKSELE</t>
        </is>
      </c>
      <c r="F1668" t="inlineStr">
        <is>
          <t>Sveaskog</t>
        </is>
      </c>
      <c r="G1668" t="n">
        <v>58.3</v>
      </c>
      <c r="H1668" t="n">
        <v>0</v>
      </c>
      <c r="I1668" t="n">
        <v>0</v>
      </c>
      <c r="J1668" t="n">
        <v>0</v>
      </c>
      <c r="K1668" t="n">
        <v>0</v>
      </c>
      <c r="L1668" t="n">
        <v>0</v>
      </c>
      <c r="M1668" t="n">
        <v>0</v>
      </c>
      <c r="N1668" t="n">
        <v>0</v>
      </c>
      <c r="O1668" t="n">
        <v>0</v>
      </c>
      <c r="P1668" t="n">
        <v>0</v>
      </c>
      <c r="Q1668" t="n">
        <v>0</v>
      </c>
      <c r="R1668" s="2" t="inlineStr"/>
    </row>
    <row r="1669" ht="15" customHeight="1">
      <c r="A1669" t="inlineStr">
        <is>
          <t>A 43296-2024</t>
        </is>
      </c>
      <c r="B1669" s="1" t="n">
        <v>45568</v>
      </c>
      <c r="C1669" s="1" t="n">
        <v>45849</v>
      </c>
      <c r="D1669" t="inlineStr">
        <is>
          <t>VÄSTERBOTTENS LÄN</t>
        </is>
      </c>
      <c r="E1669" t="inlineStr">
        <is>
          <t>LYCKSELE</t>
        </is>
      </c>
      <c r="G1669" t="n">
        <v>1</v>
      </c>
      <c r="H1669" t="n">
        <v>0</v>
      </c>
      <c r="I1669" t="n">
        <v>0</v>
      </c>
      <c r="J1669" t="n">
        <v>0</v>
      </c>
      <c r="K1669" t="n">
        <v>0</v>
      </c>
      <c r="L1669" t="n">
        <v>0</v>
      </c>
      <c r="M1669" t="n">
        <v>0</v>
      </c>
      <c r="N1669" t="n">
        <v>0</v>
      </c>
      <c r="O1669" t="n">
        <v>0</v>
      </c>
      <c r="P1669" t="n">
        <v>0</v>
      </c>
      <c r="Q1669" t="n">
        <v>0</v>
      </c>
      <c r="R1669" s="2" t="inlineStr"/>
    </row>
    <row r="1670" ht="15" customHeight="1">
      <c r="A1670" t="inlineStr">
        <is>
          <t>A 43572-2024</t>
        </is>
      </c>
      <c r="B1670" s="1" t="n">
        <v>45569</v>
      </c>
      <c r="C1670" s="1" t="n">
        <v>45849</v>
      </c>
      <c r="D1670" t="inlineStr">
        <is>
          <t>VÄSTERBOTTENS LÄN</t>
        </is>
      </c>
      <c r="E1670" t="inlineStr">
        <is>
          <t>LYCKSELE</t>
        </is>
      </c>
      <c r="F1670" t="inlineStr">
        <is>
          <t>Sveaskog</t>
        </is>
      </c>
      <c r="G1670" t="n">
        <v>11.8</v>
      </c>
      <c r="H1670" t="n">
        <v>0</v>
      </c>
      <c r="I1670" t="n">
        <v>0</v>
      </c>
      <c r="J1670" t="n">
        <v>0</v>
      </c>
      <c r="K1670" t="n">
        <v>0</v>
      </c>
      <c r="L1670" t="n">
        <v>0</v>
      </c>
      <c r="M1670" t="n">
        <v>0</v>
      </c>
      <c r="N1670" t="n">
        <v>0</v>
      </c>
      <c r="O1670" t="n">
        <v>0</v>
      </c>
      <c r="P1670" t="n">
        <v>0</v>
      </c>
      <c r="Q1670" t="n">
        <v>0</v>
      </c>
      <c r="R1670" s="2" t="inlineStr"/>
    </row>
    <row r="1671" ht="15" customHeight="1">
      <c r="A1671" t="inlineStr">
        <is>
          <t>A 43576-2024</t>
        </is>
      </c>
      <c r="B1671" s="1" t="n">
        <v>45569</v>
      </c>
      <c r="C1671" s="1" t="n">
        <v>45849</v>
      </c>
      <c r="D1671" t="inlineStr">
        <is>
          <t>VÄSTERBOTTENS LÄN</t>
        </is>
      </c>
      <c r="E1671" t="inlineStr">
        <is>
          <t>LYCKSELE</t>
        </is>
      </c>
      <c r="G1671" t="n">
        <v>5.2</v>
      </c>
      <c r="H1671" t="n">
        <v>0</v>
      </c>
      <c r="I1671" t="n">
        <v>0</v>
      </c>
      <c r="J1671" t="n">
        <v>0</v>
      </c>
      <c r="K1671" t="n">
        <v>0</v>
      </c>
      <c r="L1671" t="n">
        <v>0</v>
      </c>
      <c r="M1671" t="n">
        <v>0</v>
      </c>
      <c r="N1671" t="n">
        <v>0</v>
      </c>
      <c r="O1671" t="n">
        <v>0</v>
      </c>
      <c r="P1671" t="n">
        <v>0</v>
      </c>
      <c r="Q1671" t="n">
        <v>0</v>
      </c>
      <c r="R1671" s="2" t="inlineStr"/>
    </row>
    <row r="1672" ht="15" customHeight="1">
      <c r="A1672" t="inlineStr">
        <is>
          <t>A 43622-2024</t>
        </is>
      </c>
      <c r="B1672" s="1" t="n">
        <v>45569</v>
      </c>
      <c r="C1672" s="1" t="n">
        <v>45849</v>
      </c>
      <c r="D1672" t="inlineStr">
        <is>
          <t>VÄSTERBOTTENS LÄN</t>
        </is>
      </c>
      <c r="E1672" t="inlineStr">
        <is>
          <t>LYCKSELE</t>
        </is>
      </c>
      <c r="G1672" t="n">
        <v>1.6</v>
      </c>
      <c r="H1672" t="n">
        <v>0</v>
      </c>
      <c r="I1672" t="n">
        <v>0</v>
      </c>
      <c r="J1672" t="n">
        <v>0</v>
      </c>
      <c r="K1672" t="n">
        <v>0</v>
      </c>
      <c r="L1672" t="n">
        <v>0</v>
      </c>
      <c r="M1672" t="n">
        <v>0</v>
      </c>
      <c r="N1672" t="n">
        <v>0</v>
      </c>
      <c r="O1672" t="n">
        <v>0</v>
      </c>
      <c r="P1672" t="n">
        <v>0</v>
      </c>
      <c r="Q1672" t="n">
        <v>0</v>
      </c>
      <c r="R1672" s="2" t="inlineStr"/>
    </row>
    <row r="1673" ht="15" customHeight="1">
      <c r="A1673" t="inlineStr">
        <is>
          <t>A 43566-2024</t>
        </is>
      </c>
      <c r="B1673" s="1" t="n">
        <v>45569</v>
      </c>
      <c r="C1673" s="1" t="n">
        <v>45849</v>
      </c>
      <c r="D1673" t="inlineStr">
        <is>
          <t>VÄSTERBOTTENS LÄN</t>
        </is>
      </c>
      <c r="E1673" t="inlineStr">
        <is>
          <t>LYCKSELE</t>
        </is>
      </c>
      <c r="F1673" t="inlineStr">
        <is>
          <t>Sveaskog</t>
        </is>
      </c>
      <c r="G1673" t="n">
        <v>3.7</v>
      </c>
      <c r="H1673" t="n">
        <v>0</v>
      </c>
      <c r="I1673" t="n">
        <v>0</v>
      </c>
      <c r="J1673" t="n">
        <v>0</v>
      </c>
      <c r="K1673" t="n">
        <v>0</v>
      </c>
      <c r="L1673" t="n">
        <v>0</v>
      </c>
      <c r="M1673" t="n">
        <v>0</v>
      </c>
      <c r="N1673" t="n">
        <v>0</v>
      </c>
      <c r="O1673" t="n">
        <v>0</v>
      </c>
      <c r="P1673" t="n">
        <v>0</v>
      </c>
      <c r="Q1673" t="n">
        <v>0</v>
      </c>
      <c r="R1673" s="2" t="inlineStr"/>
    </row>
    <row r="1674" ht="15" customHeight="1">
      <c r="A1674" t="inlineStr">
        <is>
          <t>A 43548-2024</t>
        </is>
      </c>
      <c r="B1674" s="1" t="n">
        <v>45569</v>
      </c>
      <c r="C1674" s="1" t="n">
        <v>45849</v>
      </c>
      <c r="D1674" t="inlineStr">
        <is>
          <t>VÄSTERBOTTENS LÄN</t>
        </is>
      </c>
      <c r="E1674" t="inlineStr">
        <is>
          <t>LYCKSELE</t>
        </is>
      </c>
      <c r="G1674" t="n">
        <v>7</v>
      </c>
      <c r="H1674" t="n">
        <v>0</v>
      </c>
      <c r="I1674" t="n">
        <v>0</v>
      </c>
      <c r="J1674" t="n">
        <v>0</v>
      </c>
      <c r="K1674" t="n">
        <v>0</v>
      </c>
      <c r="L1674" t="n">
        <v>0</v>
      </c>
      <c r="M1674" t="n">
        <v>0</v>
      </c>
      <c r="N1674" t="n">
        <v>0</v>
      </c>
      <c r="O1674" t="n">
        <v>0</v>
      </c>
      <c r="P1674" t="n">
        <v>0</v>
      </c>
      <c r="Q1674" t="n">
        <v>0</v>
      </c>
      <c r="R1674" s="2" t="inlineStr"/>
    </row>
    <row r="1675" ht="15" customHeight="1">
      <c r="A1675" t="inlineStr">
        <is>
          <t>A 43925-2024</t>
        </is>
      </c>
      <c r="B1675" s="1" t="n">
        <v>45572</v>
      </c>
      <c r="C1675" s="1" t="n">
        <v>45849</v>
      </c>
      <c r="D1675" t="inlineStr">
        <is>
          <t>VÄSTERBOTTENS LÄN</t>
        </is>
      </c>
      <c r="E1675" t="inlineStr">
        <is>
          <t>LYCKSELE</t>
        </is>
      </c>
      <c r="G1675" t="n">
        <v>1.2</v>
      </c>
      <c r="H1675" t="n">
        <v>0</v>
      </c>
      <c r="I1675" t="n">
        <v>0</v>
      </c>
      <c r="J1675" t="n">
        <v>0</v>
      </c>
      <c r="K1675" t="n">
        <v>0</v>
      </c>
      <c r="L1675" t="n">
        <v>0</v>
      </c>
      <c r="M1675" t="n">
        <v>0</v>
      </c>
      <c r="N1675" t="n">
        <v>0</v>
      </c>
      <c r="O1675" t="n">
        <v>0</v>
      </c>
      <c r="P1675" t="n">
        <v>0</v>
      </c>
      <c r="Q1675" t="n">
        <v>0</v>
      </c>
      <c r="R1675" s="2" t="inlineStr"/>
    </row>
    <row r="1676" ht="15" customHeight="1">
      <c r="A1676" t="inlineStr">
        <is>
          <t>A 44385-2024</t>
        </is>
      </c>
      <c r="B1676" s="1" t="n">
        <v>45573</v>
      </c>
      <c r="C1676" s="1" t="n">
        <v>45849</v>
      </c>
      <c r="D1676" t="inlineStr">
        <is>
          <t>VÄSTERBOTTENS LÄN</t>
        </is>
      </c>
      <c r="E1676" t="inlineStr">
        <is>
          <t>LYCKSELE</t>
        </is>
      </c>
      <c r="G1676" t="n">
        <v>8</v>
      </c>
      <c r="H1676" t="n">
        <v>0</v>
      </c>
      <c r="I1676" t="n">
        <v>0</v>
      </c>
      <c r="J1676" t="n">
        <v>0</v>
      </c>
      <c r="K1676" t="n">
        <v>0</v>
      </c>
      <c r="L1676" t="n">
        <v>0</v>
      </c>
      <c r="M1676" t="n">
        <v>0</v>
      </c>
      <c r="N1676" t="n">
        <v>0</v>
      </c>
      <c r="O1676" t="n">
        <v>0</v>
      </c>
      <c r="P1676" t="n">
        <v>0</v>
      </c>
      <c r="Q1676" t="n">
        <v>0</v>
      </c>
      <c r="R1676" s="2" t="inlineStr"/>
    </row>
    <row r="1677" ht="15" customHeight="1">
      <c r="A1677" t="inlineStr">
        <is>
          <t>A 44233-2024</t>
        </is>
      </c>
      <c r="B1677" s="1" t="n">
        <v>45573</v>
      </c>
      <c r="C1677" s="1" t="n">
        <v>45849</v>
      </c>
      <c r="D1677" t="inlineStr">
        <is>
          <t>VÄSTERBOTTENS LÄN</t>
        </is>
      </c>
      <c r="E1677" t="inlineStr">
        <is>
          <t>LYCKSELE</t>
        </is>
      </c>
      <c r="F1677" t="inlineStr">
        <is>
          <t>Sveaskog</t>
        </is>
      </c>
      <c r="G1677" t="n">
        <v>4.1</v>
      </c>
      <c r="H1677" t="n">
        <v>0</v>
      </c>
      <c r="I1677" t="n">
        <v>0</v>
      </c>
      <c r="J1677" t="n">
        <v>0</v>
      </c>
      <c r="K1677" t="n">
        <v>0</v>
      </c>
      <c r="L1677" t="n">
        <v>0</v>
      </c>
      <c r="M1677" t="n">
        <v>0</v>
      </c>
      <c r="N1677" t="n">
        <v>0</v>
      </c>
      <c r="O1677" t="n">
        <v>0</v>
      </c>
      <c r="P1677" t="n">
        <v>0</v>
      </c>
      <c r="Q1677" t="n">
        <v>0</v>
      </c>
      <c r="R1677" s="2" t="inlineStr"/>
    </row>
    <row r="1678" ht="15" customHeight="1">
      <c r="A1678" t="inlineStr">
        <is>
          <t>A 44390-2024</t>
        </is>
      </c>
      <c r="B1678" s="1" t="n">
        <v>45573</v>
      </c>
      <c r="C1678" s="1" t="n">
        <v>45849</v>
      </c>
      <c r="D1678" t="inlineStr">
        <is>
          <t>VÄSTERBOTTENS LÄN</t>
        </is>
      </c>
      <c r="E1678" t="inlineStr">
        <is>
          <t>LYCKSELE</t>
        </is>
      </c>
      <c r="G1678" t="n">
        <v>7.4</v>
      </c>
      <c r="H1678" t="n">
        <v>0</v>
      </c>
      <c r="I1678" t="n">
        <v>0</v>
      </c>
      <c r="J1678" t="n">
        <v>0</v>
      </c>
      <c r="K1678" t="n">
        <v>0</v>
      </c>
      <c r="L1678" t="n">
        <v>0</v>
      </c>
      <c r="M1678" t="n">
        <v>0</v>
      </c>
      <c r="N1678" t="n">
        <v>0</v>
      </c>
      <c r="O1678" t="n">
        <v>0</v>
      </c>
      <c r="P1678" t="n">
        <v>0</v>
      </c>
      <c r="Q1678" t="n">
        <v>0</v>
      </c>
      <c r="R1678" s="2" t="inlineStr"/>
    </row>
    <row r="1679" ht="15" customHeight="1">
      <c r="A1679" t="inlineStr">
        <is>
          <t>A 44289-2024</t>
        </is>
      </c>
      <c r="B1679" s="1" t="n">
        <v>45573</v>
      </c>
      <c r="C1679" s="1" t="n">
        <v>45849</v>
      </c>
      <c r="D1679" t="inlineStr">
        <is>
          <t>VÄSTERBOTTENS LÄN</t>
        </is>
      </c>
      <c r="E1679" t="inlineStr">
        <is>
          <t>LYCKSELE</t>
        </is>
      </c>
      <c r="F1679" t="inlineStr">
        <is>
          <t>SCA</t>
        </is>
      </c>
      <c r="G1679" t="n">
        <v>4.4</v>
      </c>
      <c r="H1679" t="n">
        <v>0</v>
      </c>
      <c r="I1679" t="n">
        <v>0</v>
      </c>
      <c r="J1679" t="n">
        <v>0</v>
      </c>
      <c r="K1679" t="n">
        <v>0</v>
      </c>
      <c r="L1679" t="n">
        <v>0</v>
      </c>
      <c r="M1679" t="n">
        <v>0</v>
      </c>
      <c r="N1679" t="n">
        <v>0</v>
      </c>
      <c r="O1679" t="n">
        <v>0</v>
      </c>
      <c r="P1679" t="n">
        <v>0</v>
      </c>
      <c r="Q1679" t="n">
        <v>0</v>
      </c>
      <c r="R1679" s="2" t="inlineStr"/>
    </row>
    <row r="1680" ht="15" customHeight="1">
      <c r="A1680" t="inlineStr">
        <is>
          <t>A 44509-2024</t>
        </is>
      </c>
      <c r="B1680" s="1" t="n">
        <v>45574</v>
      </c>
      <c r="C1680" s="1" t="n">
        <v>45849</v>
      </c>
      <c r="D1680" t="inlineStr">
        <is>
          <t>VÄSTERBOTTENS LÄN</t>
        </is>
      </c>
      <c r="E1680" t="inlineStr">
        <is>
          <t>LYCKSELE</t>
        </is>
      </c>
      <c r="G1680" t="n">
        <v>19.7</v>
      </c>
      <c r="H1680" t="n">
        <v>0</v>
      </c>
      <c r="I1680" t="n">
        <v>0</v>
      </c>
      <c r="J1680" t="n">
        <v>0</v>
      </c>
      <c r="K1680" t="n">
        <v>0</v>
      </c>
      <c r="L1680" t="n">
        <v>0</v>
      </c>
      <c r="M1680" t="n">
        <v>0</v>
      </c>
      <c r="N1680" t="n">
        <v>0</v>
      </c>
      <c r="O1680" t="n">
        <v>0</v>
      </c>
      <c r="P1680" t="n">
        <v>0</v>
      </c>
      <c r="Q1680" t="n">
        <v>0</v>
      </c>
      <c r="R1680" s="2" t="inlineStr"/>
    </row>
    <row r="1681" ht="15" customHeight="1">
      <c r="A1681" t="inlineStr">
        <is>
          <t>A 44672-2024</t>
        </is>
      </c>
      <c r="B1681" s="1" t="n">
        <v>45574</v>
      </c>
      <c r="C1681" s="1" t="n">
        <v>45849</v>
      </c>
      <c r="D1681" t="inlineStr">
        <is>
          <t>VÄSTERBOTTENS LÄN</t>
        </is>
      </c>
      <c r="E1681" t="inlineStr">
        <is>
          <t>LYCKSELE</t>
        </is>
      </c>
      <c r="F1681" t="inlineStr">
        <is>
          <t>Sveaskog</t>
        </is>
      </c>
      <c r="G1681" t="n">
        <v>11.6</v>
      </c>
      <c r="H1681" t="n">
        <v>0</v>
      </c>
      <c r="I1681" t="n">
        <v>0</v>
      </c>
      <c r="J1681" t="n">
        <v>0</v>
      </c>
      <c r="K1681" t="n">
        <v>0</v>
      </c>
      <c r="L1681" t="n">
        <v>0</v>
      </c>
      <c r="M1681" t="n">
        <v>0</v>
      </c>
      <c r="N1681" t="n">
        <v>0</v>
      </c>
      <c r="O1681" t="n">
        <v>0</v>
      </c>
      <c r="P1681" t="n">
        <v>0</v>
      </c>
      <c r="Q1681" t="n">
        <v>0</v>
      </c>
      <c r="R1681" s="2" t="inlineStr"/>
    </row>
    <row r="1682" ht="15" customHeight="1">
      <c r="A1682" t="inlineStr">
        <is>
          <t>A 44653-2024</t>
        </is>
      </c>
      <c r="B1682" s="1" t="n">
        <v>45574</v>
      </c>
      <c r="C1682" s="1" t="n">
        <v>45849</v>
      </c>
      <c r="D1682" t="inlineStr">
        <is>
          <t>VÄSTERBOTTENS LÄN</t>
        </is>
      </c>
      <c r="E1682" t="inlineStr">
        <is>
          <t>LYCKSELE</t>
        </is>
      </c>
      <c r="F1682" t="inlineStr">
        <is>
          <t>Sveaskog</t>
        </is>
      </c>
      <c r="G1682" t="n">
        <v>1.4</v>
      </c>
      <c r="H1682" t="n">
        <v>0</v>
      </c>
      <c r="I1682" t="n">
        <v>0</v>
      </c>
      <c r="J1682" t="n">
        <v>0</v>
      </c>
      <c r="K1682" t="n">
        <v>0</v>
      </c>
      <c r="L1682" t="n">
        <v>0</v>
      </c>
      <c r="M1682" t="n">
        <v>0</v>
      </c>
      <c r="N1682" t="n">
        <v>0</v>
      </c>
      <c r="O1682" t="n">
        <v>0</v>
      </c>
      <c r="P1682" t="n">
        <v>0</v>
      </c>
      <c r="Q1682" t="n">
        <v>0</v>
      </c>
      <c r="R1682" s="2" t="inlineStr"/>
    </row>
    <row r="1683" ht="15" customHeight="1">
      <c r="A1683" t="inlineStr">
        <is>
          <t>A 44773-2024</t>
        </is>
      </c>
      <c r="B1683" s="1" t="n">
        <v>45574</v>
      </c>
      <c r="C1683" s="1" t="n">
        <v>45849</v>
      </c>
      <c r="D1683" t="inlineStr">
        <is>
          <t>VÄSTERBOTTENS LÄN</t>
        </is>
      </c>
      <c r="E1683" t="inlineStr">
        <is>
          <t>LYCKSELE</t>
        </is>
      </c>
      <c r="G1683" t="n">
        <v>1.3</v>
      </c>
      <c r="H1683" t="n">
        <v>0</v>
      </c>
      <c r="I1683" t="n">
        <v>0</v>
      </c>
      <c r="J1683" t="n">
        <v>0</v>
      </c>
      <c r="K1683" t="n">
        <v>0</v>
      </c>
      <c r="L1683" t="n">
        <v>0</v>
      </c>
      <c r="M1683" t="n">
        <v>0</v>
      </c>
      <c r="N1683" t="n">
        <v>0</v>
      </c>
      <c r="O1683" t="n">
        <v>0</v>
      </c>
      <c r="P1683" t="n">
        <v>0</v>
      </c>
      <c r="Q1683" t="n">
        <v>0</v>
      </c>
      <c r="R1683" s="2" t="inlineStr"/>
    </row>
    <row r="1684" ht="15" customHeight="1">
      <c r="A1684" t="inlineStr">
        <is>
          <t>A 44588-2024</t>
        </is>
      </c>
      <c r="B1684" s="1" t="n">
        <v>45574</v>
      </c>
      <c r="C1684" s="1" t="n">
        <v>45849</v>
      </c>
      <c r="D1684" t="inlineStr">
        <is>
          <t>VÄSTERBOTTENS LÄN</t>
        </is>
      </c>
      <c r="E1684" t="inlineStr">
        <is>
          <t>LYCKSELE</t>
        </is>
      </c>
      <c r="F1684" t="inlineStr">
        <is>
          <t>Sveaskog</t>
        </is>
      </c>
      <c r="G1684" t="n">
        <v>5</v>
      </c>
      <c r="H1684" t="n">
        <v>0</v>
      </c>
      <c r="I1684" t="n">
        <v>0</v>
      </c>
      <c r="J1684" t="n">
        <v>0</v>
      </c>
      <c r="K1684" t="n">
        <v>0</v>
      </c>
      <c r="L1684" t="n">
        <v>0</v>
      </c>
      <c r="M1684" t="n">
        <v>0</v>
      </c>
      <c r="N1684" t="n">
        <v>0</v>
      </c>
      <c r="O1684" t="n">
        <v>0</v>
      </c>
      <c r="P1684" t="n">
        <v>0</v>
      </c>
      <c r="Q1684" t="n">
        <v>0</v>
      </c>
      <c r="R1684" s="2" t="inlineStr"/>
    </row>
    <row r="1685" ht="15" customHeight="1">
      <c r="A1685" t="inlineStr">
        <is>
          <t>A 45037-2024</t>
        </is>
      </c>
      <c r="B1685" s="1" t="n">
        <v>45575</v>
      </c>
      <c r="C1685" s="1" t="n">
        <v>45849</v>
      </c>
      <c r="D1685" t="inlineStr">
        <is>
          <t>VÄSTERBOTTENS LÄN</t>
        </is>
      </c>
      <c r="E1685" t="inlineStr">
        <is>
          <t>LYCKSELE</t>
        </is>
      </c>
      <c r="G1685" t="n">
        <v>10.8</v>
      </c>
      <c r="H1685" t="n">
        <v>0</v>
      </c>
      <c r="I1685" t="n">
        <v>0</v>
      </c>
      <c r="J1685" t="n">
        <v>0</v>
      </c>
      <c r="K1685" t="n">
        <v>0</v>
      </c>
      <c r="L1685" t="n">
        <v>0</v>
      </c>
      <c r="M1685" t="n">
        <v>0</v>
      </c>
      <c r="N1685" t="n">
        <v>0</v>
      </c>
      <c r="O1685" t="n">
        <v>0</v>
      </c>
      <c r="P1685" t="n">
        <v>0</v>
      </c>
      <c r="Q1685" t="n">
        <v>0</v>
      </c>
      <c r="R1685" s="2" t="inlineStr"/>
    </row>
    <row r="1686" ht="15" customHeight="1">
      <c r="A1686" t="inlineStr">
        <is>
          <t>A 45352-2024</t>
        </is>
      </c>
      <c r="B1686" s="1" t="n">
        <v>45576</v>
      </c>
      <c r="C1686" s="1" t="n">
        <v>45849</v>
      </c>
      <c r="D1686" t="inlineStr">
        <is>
          <t>VÄSTERBOTTENS LÄN</t>
        </is>
      </c>
      <c r="E1686" t="inlineStr">
        <is>
          <t>LYCKSELE</t>
        </is>
      </c>
      <c r="F1686" t="inlineStr">
        <is>
          <t>Sveaskog</t>
        </is>
      </c>
      <c r="G1686" t="n">
        <v>7.6</v>
      </c>
      <c r="H1686" t="n">
        <v>0</v>
      </c>
      <c r="I1686" t="n">
        <v>0</v>
      </c>
      <c r="J1686" t="n">
        <v>0</v>
      </c>
      <c r="K1686" t="n">
        <v>0</v>
      </c>
      <c r="L1686" t="n">
        <v>0</v>
      </c>
      <c r="M1686" t="n">
        <v>0</v>
      </c>
      <c r="N1686" t="n">
        <v>0</v>
      </c>
      <c r="O1686" t="n">
        <v>0</v>
      </c>
      <c r="P1686" t="n">
        <v>0</v>
      </c>
      <c r="Q1686" t="n">
        <v>0</v>
      </c>
      <c r="R1686" s="2" t="inlineStr"/>
    </row>
    <row r="1687" ht="15" customHeight="1">
      <c r="A1687" t="inlineStr">
        <is>
          <t>A 45312-2024</t>
        </is>
      </c>
      <c r="B1687" s="1" t="n">
        <v>45576</v>
      </c>
      <c r="C1687" s="1" t="n">
        <v>45849</v>
      </c>
      <c r="D1687" t="inlineStr">
        <is>
          <t>VÄSTERBOTTENS LÄN</t>
        </is>
      </c>
      <c r="E1687" t="inlineStr">
        <is>
          <t>LYCKSELE</t>
        </is>
      </c>
      <c r="F1687" t="inlineStr">
        <is>
          <t>Sveaskog</t>
        </is>
      </c>
      <c r="G1687" t="n">
        <v>10.8</v>
      </c>
      <c r="H1687" t="n">
        <v>0</v>
      </c>
      <c r="I1687" t="n">
        <v>0</v>
      </c>
      <c r="J1687" t="n">
        <v>0</v>
      </c>
      <c r="K1687" t="n">
        <v>0</v>
      </c>
      <c r="L1687" t="n">
        <v>0</v>
      </c>
      <c r="M1687" t="n">
        <v>0</v>
      </c>
      <c r="N1687" t="n">
        <v>0</v>
      </c>
      <c r="O1687" t="n">
        <v>0</v>
      </c>
      <c r="P1687" t="n">
        <v>0</v>
      </c>
      <c r="Q1687" t="n">
        <v>0</v>
      </c>
      <c r="R1687" s="2" t="inlineStr"/>
    </row>
    <row r="1688" ht="15" customHeight="1">
      <c r="A1688" t="inlineStr">
        <is>
          <t>A 45444-2024</t>
        </is>
      </c>
      <c r="B1688" s="1" t="n">
        <v>45576</v>
      </c>
      <c r="C1688" s="1" t="n">
        <v>45849</v>
      </c>
      <c r="D1688" t="inlineStr">
        <is>
          <t>VÄSTERBOTTENS LÄN</t>
        </is>
      </c>
      <c r="E1688" t="inlineStr">
        <is>
          <t>LYCKSELE</t>
        </is>
      </c>
      <c r="F1688" t="inlineStr">
        <is>
          <t>Sveaskog</t>
        </is>
      </c>
      <c r="G1688" t="n">
        <v>2.8</v>
      </c>
      <c r="H1688" t="n">
        <v>0</v>
      </c>
      <c r="I1688" t="n">
        <v>0</v>
      </c>
      <c r="J1688" t="n">
        <v>0</v>
      </c>
      <c r="K1688" t="n">
        <v>0</v>
      </c>
      <c r="L1688" t="n">
        <v>0</v>
      </c>
      <c r="M1688" t="n">
        <v>0</v>
      </c>
      <c r="N1688" t="n">
        <v>0</v>
      </c>
      <c r="O1688" t="n">
        <v>0</v>
      </c>
      <c r="P1688" t="n">
        <v>0</v>
      </c>
      <c r="Q1688" t="n">
        <v>0</v>
      </c>
      <c r="R1688" s="2" t="inlineStr"/>
    </row>
    <row r="1689" ht="15" customHeight="1">
      <c r="A1689" t="inlineStr">
        <is>
          <t>A 45361-2024</t>
        </is>
      </c>
      <c r="B1689" s="1" t="n">
        <v>45576</v>
      </c>
      <c r="C1689" s="1" t="n">
        <v>45849</v>
      </c>
      <c r="D1689" t="inlineStr">
        <is>
          <t>VÄSTERBOTTENS LÄN</t>
        </is>
      </c>
      <c r="E1689" t="inlineStr">
        <is>
          <t>LYCKSELE</t>
        </is>
      </c>
      <c r="F1689" t="inlineStr">
        <is>
          <t>Holmen skog AB</t>
        </is>
      </c>
      <c r="G1689" t="n">
        <v>0.9</v>
      </c>
      <c r="H1689" t="n">
        <v>0</v>
      </c>
      <c r="I1689" t="n">
        <v>0</v>
      </c>
      <c r="J1689" t="n">
        <v>0</v>
      </c>
      <c r="K1689" t="n">
        <v>0</v>
      </c>
      <c r="L1689" t="n">
        <v>0</v>
      </c>
      <c r="M1689" t="n">
        <v>0</v>
      </c>
      <c r="N1689" t="n">
        <v>0</v>
      </c>
      <c r="O1689" t="n">
        <v>0</v>
      </c>
      <c r="P1689" t="n">
        <v>0</v>
      </c>
      <c r="Q1689" t="n">
        <v>0</v>
      </c>
      <c r="R1689" s="2" t="inlineStr"/>
    </row>
    <row r="1690" ht="15" customHeight="1">
      <c r="A1690" t="inlineStr">
        <is>
          <t>A 45447-2024</t>
        </is>
      </c>
      <c r="B1690" s="1" t="n">
        <v>45576</v>
      </c>
      <c r="C1690" s="1" t="n">
        <v>45849</v>
      </c>
      <c r="D1690" t="inlineStr">
        <is>
          <t>VÄSTERBOTTENS LÄN</t>
        </is>
      </c>
      <c r="E1690" t="inlineStr">
        <is>
          <t>LYCKSELE</t>
        </is>
      </c>
      <c r="F1690" t="inlineStr">
        <is>
          <t>Naturvårdsverket</t>
        </is>
      </c>
      <c r="G1690" t="n">
        <v>6</v>
      </c>
      <c r="H1690" t="n">
        <v>0</v>
      </c>
      <c r="I1690" t="n">
        <v>0</v>
      </c>
      <c r="J1690" t="n">
        <v>0</v>
      </c>
      <c r="K1690" t="n">
        <v>0</v>
      </c>
      <c r="L1690" t="n">
        <v>0</v>
      </c>
      <c r="M1690" t="n">
        <v>0</v>
      </c>
      <c r="N1690" t="n">
        <v>0</v>
      </c>
      <c r="O1690" t="n">
        <v>0</v>
      </c>
      <c r="P1690" t="n">
        <v>0</v>
      </c>
      <c r="Q1690" t="n">
        <v>0</v>
      </c>
      <c r="R1690" s="2" t="inlineStr"/>
    </row>
    <row r="1691" ht="15" customHeight="1">
      <c r="A1691" t="inlineStr">
        <is>
          <t>A 45406-2024</t>
        </is>
      </c>
      <c r="B1691" s="1" t="n">
        <v>45576</v>
      </c>
      <c r="C1691" s="1" t="n">
        <v>45849</v>
      </c>
      <c r="D1691" t="inlineStr">
        <is>
          <t>VÄSTERBOTTENS LÄN</t>
        </is>
      </c>
      <c r="E1691" t="inlineStr">
        <is>
          <t>LYCKSELE</t>
        </is>
      </c>
      <c r="F1691" t="inlineStr">
        <is>
          <t>Naturvårdsverket</t>
        </is>
      </c>
      <c r="G1691" t="n">
        <v>6</v>
      </c>
      <c r="H1691" t="n">
        <v>0</v>
      </c>
      <c r="I1691" t="n">
        <v>0</v>
      </c>
      <c r="J1691" t="n">
        <v>0</v>
      </c>
      <c r="K1691" t="n">
        <v>0</v>
      </c>
      <c r="L1691" t="n">
        <v>0</v>
      </c>
      <c r="M1691" t="n">
        <v>0</v>
      </c>
      <c r="N1691" t="n">
        <v>0</v>
      </c>
      <c r="O1691" t="n">
        <v>0</v>
      </c>
      <c r="P1691" t="n">
        <v>0</v>
      </c>
      <c r="Q1691" t="n">
        <v>0</v>
      </c>
      <c r="R1691" s="2" t="inlineStr"/>
    </row>
    <row r="1692" ht="15" customHeight="1">
      <c r="A1692" t="inlineStr">
        <is>
          <t>A 45330-2024</t>
        </is>
      </c>
      <c r="B1692" s="1" t="n">
        <v>45576</v>
      </c>
      <c r="C1692" s="1" t="n">
        <v>45849</v>
      </c>
      <c r="D1692" t="inlineStr">
        <is>
          <t>VÄSTERBOTTENS LÄN</t>
        </is>
      </c>
      <c r="E1692" t="inlineStr">
        <is>
          <t>LYCKSELE</t>
        </is>
      </c>
      <c r="F1692" t="inlineStr">
        <is>
          <t>Sveaskog</t>
        </is>
      </c>
      <c r="G1692" t="n">
        <v>2.3</v>
      </c>
      <c r="H1692" t="n">
        <v>0</v>
      </c>
      <c r="I1692" t="n">
        <v>0</v>
      </c>
      <c r="J1692" t="n">
        <v>0</v>
      </c>
      <c r="K1692" t="n">
        <v>0</v>
      </c>
      <c r="L1692" t="n">
        <v>0</v>
      </c>
      <c r="M1692" t="n">
        <v>0</v>
      </c>
      <c r="N1692" t="n">
        <v>0</v>
      </c>
      <c r="O1692" t="n">
        <v>0</v>
      </c>
      <c r="P1692" t="n">
        <v>0</v>
      </c>
      <c r="Q1692" t="n">
        <v>0</v>
      </c>
      <c r="R1692" s="2" t="inlineStr"/>
    </row>
    <row r="1693" ht="15" customHeight="1">
      <c r="A1693" t="inlineStr">
        <is>
          <t>A 45366-2024</t>
        </is>
      </c>
      <c r="B1693" s="1" t="n">
        <v>45576</v>
      </c>
      <c r="C1693" s="1" t="n">
        <v>45849</v>
      </c>
      <c r="D1693" t="inlineStr">
        <is>
          <t>VÄSTERBOTTENS LÄN</t>
        </is>
      </c>
      <c r="E1693" t="inlineStr">
        <is>
          <t>LYCKSELE</t>
        </is>
      </c>
      <c r="F1693" t="inlineStr">
        <is>
          <t>Sveaskog</t>
        </is>
      </c>
      <c r="G1693" t="n">
        <v>3.9</v>
      </c>
      <c r="H1693" t="n">
        <v>0</v>
      </c>
      <c r="I1693" t="n">
        <v>0</v>
      </c>
      <c r="J1693" t="n">
        <v>0</v>
      </c>
      <c r="K1693" t="n">
        <v>0</v>
      </c>
      <c r="L1693" t="n">
        <v>0</v>
      </c>
      <c r="M1693" t="n">
        <v>0</v>
      </c>
      <c r="N1693" t="n">
        <v>0</v>
      </c>
      <c r="O1693" t="n">
        <v>0</v>
      </c>
      <c r="P1693" t="n">
        <v>0</v>
      </c>
      <c r="Q1693" t="n">
        <v>0</v>
      </c>
      <c r="R1693" s="2" t="inlineStr"/>
    </row>
    <row r="1694" ht="15" customHeight="1">
      <c r="A1694" t="inlineStr">
        <is>
          <t>A 45708-2024</t>
        </is>
      </c>
      <c r="B1694" s="1" t="n">
        <v>45579</v>
      </c>
      <c r="C1694" s="1" t="n">
        <v>45849</v>
      </c>
      <c r="D1694" t="inlineStr">
        <is>
          <t>VÄSTERBOTTENS LÄN</t>
        </is>
      </c>
      <c r="E1694" t="inlineStr">
        <is>
          <t>LYCKSELE</t>
        </is>
      </c>
      <c r="G1694" t="n">
        <v>6</v>
      </c>
      <c r="H1694" t="n">
        <v>0</v>
      </c>
      <c r="I1694" t="n">
        <v>0</v>
      </c>
      <c r="J1694" t="n">
        <v>0</v>
      </c>
      <c r="K1694" t="n">
        <v>0</v>
      </c>
      <c r="L1694" t="n">
        <v>0</v>
      </c>
      <c r="M1694" t="n">
        <v>0</v>
      </c>
      <c r="N1694" t="n">
        <v>0</v>
      </c>
      <c r="O1694" t="n">
        <v>0</v>
      </c>
      <c r="P1694" t="n">
        <v>0</v>
      </c>
      <c r="Q1694" t="n">
        <v>0</v>
      </c>
      <c r="R1694" s="2" t="inlineStr"/>
    </row>
    <row r="1695" ht="15" customHeight="1">
      <c r="A1695" t="inlineStr">
        <is>
          <t>A 45980-2024</t>
        </is>
      </c>
      <c r="B1695" s="1" t="n">
        <v>45580</v>
      </c>
      <c r="C1695" s="1" t="n">
        <v>45849</v>
      </c>
      <c r="D1695" t="inlineStr">
        <is>
          <t>VÄSTERBOTTENS LÄN</t>
        </is>
      </c>
      <c r="E1695" t="inlineStr">
        <is>
          <t>LYCKSELE</t>
        </is>
      </c>
      <c r="F1695" t="inlineStr">
        <is>
          <t>Sveaskog</t>
        </is>
      </c>
      <c r="G1695" t="n">
        <v>11.7</v>
      </c>
      <c r="H1695" t="n">
        <v>0</v>
      </c>
      <c r="I1695" t="n">
        <v>0</v>
      </c>
      <c r="J1695" t="n">
        <v>0</v>
      </c>
      <c r="K1695" t="n">
        <v>0</v>
      </c>
      <c r="L1695" t="n">
        <v>0</v>
      </c>
      <c r="M1695" t="n">
        <v>0</v>
      </c>
      <c r="N1695" t="n">
        <v>0</v>
      </c>
      <c r="O1695" t="n">
        <v>0</v>
      </c>
      <c r="P1695" t="n">
        <v>0</v>
      </c>
      <c r="Q1695" t="n">
        <v>0</v>
      </c>
      <c r="R1695" s="2" t="inlineStr"/>
    </row>
    <row r="1696" ht="15" customHeight="1">
      <c r="A1696" t="inlineStr">
        <is>
          <t>A 45982-2024</t>
        </is>
      </c>
      <c r="B1696" s="1" t="n">
        <v>45580</v>
      </c>
      <c r="C1696" s="1" t="n">
        <v>45849</v>
      </c>
      <c r="D1696" t="inlineStr">
        <is>
          <t>VÄSTERBOTTENS LÄN</t>
        </is>
      </c>
      <c r="E1696" t="inlineStr">
        <is>
          <t>LYCKSELE</t>
        </is>
      </c>
      <c r="F1696" t="inlineStr">
        <is>
          <t>Sveaskog</t>
        </is>
      </c>
      <c r="G1696" t="n">
        <v>17.5</v>
      </c>
      <c r="H1696" t="n">
        <v>0</v>
      </c>
      <c r="I1696" t="n">
        <v>0</v>
      </c>
      <c r="J1696" t="n">
        <v>0</v>
      </c>
      <c r="K1696" t="n">
        <v>0</v>
      </c>
      <c r="L1696" t="n">
        <v>0</v>
      </c>
      <c r="M1696" t="n">
        <v>0</v>
      </c>
      <c r="N1696" t="n">
        <v>0</v>
      </c>
      <c r="O1696" t="n">
        <v>0</v>
      </c>
      <c r="P1696" t="n">
        <v>0</v>
      </c>
      <c r="Q1696" t="n">
        <v>0</v>
      </c>
      <c r="R1696" s="2" t="inlineStr"/>
    </row>
    <row r="1697" ht="15" customHeight="1">
      <c r="A1697" t="inlineStr">
        <is>
          <t>A 46292-2024</t>
        </is>
      </c>
      <c r="B1697" s="1" t="n">
        <v>45581</v>
      </c>
      <c r="C1697" s="1" t="n">
        <v>45849</v>
      </c>
      <c r="D1697" t="inlineStr">
        <is>
          <t>VÄSTERBOTTENS LÄN</t>
        </is>
      </c>
      <c r="E1697" t="inlineStr">
        <is>
          <t>LYCKSELE</t>
        </is>
      </c>
      <c r="F1697" t="inlineStr">
        <is>
          <t>Sveaskog</t>
        </is>
      </c>
      <c r="G1697" t="n">
        <v>17.3</v>
      </c>
      <c r="H1697" t="n">
        <v>0</v>
      </c>
      <c r="I1697" t="n">
        <v>0</v>
      </c>
      <c r="J1697" t="n">
        <v>0</v>
      </c>
      <c r="K1697" t="n">
        <v>0</v>
      </c>
      <c r="L1697" t="n">
        <v>0</v>
      </c>
      <c r="M1697" t="n">
        <v>0</v>
      </c>
      <c r="N1697" t="n">
        <v>0</v>
      </c>
      <c r="O1697" t="n">
        <v>0</v>
      </c>
      <c r="P1697" t="n">
        <v>0</v>
      </c>
      <c r="Q1697" t="n">
        <v>0</v>
      </c>
      <c r="R1697" s="2" t="inlineStr"/>
    </row>
    <row r="1698" ht="15" customHeight="1">
      <c r="A1698" t="inlineStr">
        <is>
          <t>A 46084-2024</t>
        </is>
      </c>
      <c r="B1698" s="1" t="n">
        <v>45581</v>
      </c>
      <c r="C1698" s="1" t="n">
        <v>45849</v>
      </c>
      <c r="D1698" t="inlineStr">
        <is>
          <t>VÄSTERBOTTENS LÄN</t>
        </is>
      </c>
      <c r="E1698" t="inlineStr">
        <is>
          <t>LYCKSELE</t>
        </is>
      </c>
      <c r="F1698" t="inlineStr">
        <is>
          <t>Sveaskog</t>
        </is>
      </c>
      <c r="G1698" t="n">
        <v>5.1</v>
      </c>
      <c r="H1698" t="n">
        <v>0</v>
      </c>
      <c r="I1698" t="n">
        <v>0</v>
      </c>
      <c r="J1698" t="n">
        <v>0</v>
      </c>
      <c r="K1698" t="n">
        <v>0</v>
      </c>
      <c r="L1698" t="n">
        <v>0</v>
      </c>
      <c r="M1698" t="n">
        <v>0</v>
      </c>
      <c r="N1698" t="n">
        <v>0</v>
      </c>
      <c r="O1698" t="n">
        <v>0</v>
      </c>
      <c r="P1698" t="n">
        <v>0</v>
      </c>
      <c r="Q1698" t="n">
        <v>0</v>
      </c>
      <c r="R1698" s="2" t="inlineStr"/>
    </row>
    <row r="1699" ht="15" customHeight="1">
      <c r="A1699" t="inlineStr">
        <is>
          <t>A 46506-2024</t>
        </is>
      </c>
      <c r="B1699" s="1" t="n">
        <v>45582</v>
      </c>
      <c r="C1699" s="1" t="n">
        <v>45849</v>
      </c>
      <c r="D1699" t="inlineStr">
        <is>
          <t>VÄSTERBOTTENS LÄN</t>
        </is>
      </c>
      <c r="E1699" t="inlineStr">
        <is>
          <t>LYCKSELE</t>
        </is>
      </c>
      <c r="F1699" t="inlineStr">
        <is>
          <t>Sveaskog</t>
        </is>
      </c>
      <c r="G1699" t="n">
        <v>4</v>
      </c>
      <c r="H1699" t="n">
        <v>0</v>
      </c>
      <c r="I1699" t="n">
        <v>0</v>
      </c>
      <c r="J1699" t="n">
        <v>0</v>
      </c>
      <c r="K1699" t="n">
        <v>0</v>
      </c>
      <c r="L1699" t="n">
        <v>0</v>
      </c>
      <c r="M1699" t="n">
        <v>0</v>
      </c>
      <c r="N1699" t="n">
        <v>0</v>
      </c>
      <c r="O1699" t="n">
        <v>0</v>
      </c>
      <c r="P1699" t="n">
        <v>0</v>
      </c>
      <c r="Q1699" t="n">
        <v>0</v>
      </c>
      <c r="R1699" s="2" t="inlineStr"/>
    </row>
    <row r="1700" ht="15" customHeight="1">
      <c r="A1700" t="inlineStr">
        <is>
          <t>A 46817-2024</t>
        </is>
      </c>
      <c r="B1700" s="1" t="n">
        <v>45583</v>
      </c>
      <c r="C1700" s="1" t="n">
        <v>45849</v>
      </c>
      <c r="D1700" t="inlineStr">
        <is>
          <t>VÄSTERBOTTENS LÄN</t>
        </is>
      </c>
      <c r="E1700" t="inlineStr">
        <is>
          <t>LYCKSELE</t>
        </is>
      </c>
      <c r="G1700" t="n">
        <v>0.4</v>
      </c>
      <c r="H1700" t="n">
        <v>0</v>
      </c>
      <c r="I1700" t="n">
        <v>0</v>
      </c>
      <c r="J1700" t="n">
        <v>0</v>
      </c>
      <c r="K1700" t="n">
        <v>0</v>
      </c>
      <c r="L1700" t="n">
        <v>0</v>
      </c>
      <c r="M1700" t="n">
        <v>0</v>
      </c>
      <c r="N1700" t="n">
        <v>0</v>
      </c>
      <c r="O1700" t="n">
        <v>0</v>
      </c>
      <c r="P1700" t="n">
        <v>0</v>
      </c>
      <c r="Q1700" t="n">
        <v>0</v>
      </c>
      <c r="R1700" s="2" t="inlineStr"/>
    </row>
    <row r="1701" ht="15" customHeight="1">
      <c r="A1701" t="inlineStr">
        <is>
          <t>A 47209-2024</t>
        </is>
      </c>
      <c r="B1701" s="1" t="n">
        <v>45586</v>
      </c>
      <c r="C1701" s="1" t="n">
        <v>45849</v>
      </c>
      <c r="D1701" t="inlineStr">
        <is>
          <t>VÄSTERBOTTENS LÄN</t>
        </is>
      </c>
      <c r="E1701" t="inlineStr">
        <is>
          <t>LYCKSELE</t>
        </is>
      </c>
      <c r="F1701" t="inlineStr">
        <is>
          <t>Sveaskog</t>
        </is>
      </c>
      <c r="G1701" t="n">
        <v>5.9</v>
      </c>
      <c r="H1701" t="n">
        <v>0</v>
      </c>
      <c r="I1701" t="n">
        <v>0</v>
      </c>
      <c r="J1701" t="n">
        <v>0</v>
      </c>
      <c r="K1701" t="n">
        <v>0</v>
      </c>
      <c r="L1701" t="n">
        <v>0</v>
      </c>
      <c r="M1701" t="n">
        <v>0</v>
      </c>
      <c r="N1701" t="n">
        <v>0</v>
      </c>
      <c r="O1701" t="n">
        <v>0</v>
      </c>
      <c r="P1701" t="n">
        <v>0</v>
      </c>
      <c r="Q1701" t="n">
        <v>0</v>
      </c>
      <c r="R1701" s="2" t="inlineStr"/>
    </row>
    <row r="1702" ht="15" customHeight="1">
      <c r="A1702" t="inlineStr">
        <is>
          <t>A 47173-2024</t>
        </is>
      </c>
      <c r="B1702" s="1" t="n">
        <v>45586</v>
      </c>
      <c r="C1702" s="1" t="n">
        <v>45849</v>
      </c>
      <c r="D1702" t="inlineStr">
        <is>
          <t>VÄSTERBOTTENS LÄN</t>
        </is>
      </c>
      <c r="E1702" t="inlineStr">
        <is>
          <t>LYCKSELE</t>
        </is>
      </c>
      <c r="F1702" t="inlineStr">
        <is>
          <t>Sveaskog</t>
        </is>
      </c>
      <c r="G1702" t="n">
        <v>5</v>
      </c>
      <c r="H1702" t="n">
        <v>0</v>
      </c>
      <c r="I1702" t="n">
        <v>0</v>
      </c>
      <c r="J1702" t="n">
        <v>0</v>
      </c>
      <c r="K1702" t="n">
        <v>0</v>
      </c>
      <c r="L1702" t="n">
        <v>0</v>
      </c>
      <c r="M1702" t="n">
        <v>0</v>
      </c>
      <c r="N1702" t="n">
        <v>0</v>
      </c>
      <c r="O1702" t="n">
        <v>0</v>
      </c>
      <c r="P1702" t="n">
        <v>0</v>
      </c>
      <c r="Q1702" t="n">
        <v>0</v>
      </c>
      <c r="R1702" s="2" t="inlineStr"/>
    </row>
    <row r="1703" ht="15" customHeight="1">
      <c r="A1703" t="inlineStr">
        <is>
          <t>A 47200-2024</t>
        </is>
      </c>
      <c r="B1703" s="1" t="n">
        <v>45586</v>
      </c>
      <c r="C1703" s="1" t="n">
        <v>45849</v>
      </c>
      <c r="D1703" t="inlineStr">
        <is>
          <t>VÄSTERBOTTENS LÄN</t>
        </is>
      </c>
      <c r="E1703" t="inlineStr">
        <is>
          <t>LYCKSELE</t>
        </is>
      </c>
      <c r="F1703" t="inlineStr">
        <is>
          <t>Sveaskog</t>
        </is>
      </c>
      <c r="G1703" t="n">
        <v>1.8</v>
      </c>
      <c r="H1703" t="n">
        <v>0</v>
      </c>
      <c r="I1703" t="n">
        <v>0</v>
      </c>
      <c r="J1703" t="n">
        <v>0</v>
      </c>
      <c r="K1703" t="n">
        <v>0</v>
      </c>
      <c r="L1703" t="n">
        <v>0</v>
      </c>
      <c r="M1703" t="n">
        <v>0</v>
      </c>
      <c r="N1703" t="n">
        <v>0</v>
      </c>
      <c r="O1703" t="n">
        <v>0</v>
      </c>
      <c r="P1703" t="n">
        <v>0</v>
      </c>
      <c r="Q1703" t="n">
        <v>0</v>
      </c>
      <c r="R1703" s="2" t="inlineStr"/>
    </row>
    <row r="1704" ht="15" customHeight="1">
      <c r="A1704" t="inlineStr">
        <is>
          <t>A 47147-2024</t>
        </is>
      </c>
      <c r="B1704" s="1" t="n">
        <v>45586</v>
      </c>
      <c r="C1704" s="1" t="n">
        <v>45849</v>
      </c>
      <c r="D1704" t="inlineStr">
        <is>
          <t>VÄSTERBOTTENS LÄN</t>
        </is>
      </c>
      <c r="E1704" t="inlineStr">
        <is>
          <t>LYCKSELE</t>
        </is>
      </c>
      <c r="F1704" t="inlineStr">
        <is>
          <t>Sveaskog</t>
        </is>
      </c>
      <c r="G1704" t="n">
        <v>1.3</v>
      </c>
      <c r="H1704" t="n">
        <v>0</v>
      </c>
      <c r="I1704" t="n">
        <v>0</v>
      </c>
      <c r="J1704" t="n">
        <v>0</v>
      </c>
      <c r="K1704" t="n">
        <v>0</v>
      </c>
      <c r="L1704" t="n">
        <v>0</v>
      </c>
      <c r="M1704" t="n">
        <v>0</v>
      </c>
      <c r="N1704" t="n">
        <v>0</v>
      </c>
      <c r="O1704" t="n">
        <v>0</v>
      </c>
      <c r="P1704" t="n">
        <v>0</v>
      </c>
      <c r="Q1704" t="n">
        <v>0</v>
      </c>
      <c r="R1704" s="2" t="inlineStr"/>
    </row>
    <row r="1705" ht="15" customHeight="1">
      <c r="A1705" t="inlineStr">
        <is>
          <t>A 47131-2024</t>
        </is>
      </c>
      <c r="B1705" s="1" t="n">
        <v>45586</v>
      </c>
      <c r="C1705" s="1" t="n">
        <v>45849</v>
      </c>
      <c r="D1705" t="inlineStr">
        <is>
          <t>VÄSTERBOTTENS LÄN</t>
        </is>
      </c>
      <c r="E1705" t="inlineStr">
        <is>
          <t>LYCKSELE</t>
        </is>
      </c>
      <c r="F1705" t="inlineStr">
        <is>
          <t>Sveaskog</t>
        </is>
      </c>
      <c r="G1705" t="n">
        <v>1</v>
      </c>
      <c r="H1705" t="n">
        <v>0</v>
      </c>
      <c r="I1705" t="n">
        <v>0</v>
      </c>
      <c r="J1705" t="n">
        <v>0</v>
      </c>
      <c r="K1705" t="n">
        <v>0</v>
      </c>
      <c r="L1705" t="n">
        <v>0</v>
      </c>
      <c r="M1705" t="n">
        <v>0</v>
      </c>
      <c r="N1705" t="n">
        <v>0</v>
      </c>
      <c r="O1705" t="n">
        <v>0</v>
      </c>
      <c r="P1705" t="n">
        <v>0</v>
      </c>
      <c r="Q1705" t="n">
        <v>0</v>
      </c>
      <c r="R1705" s="2" t="inlineStr"/>
    </row>
    <row r="1706" ht="15" customHeight="1">
      <c r="A1706" t="inlineStr">
        <is>
          <t>A 47095-2024</t>
        </is>
      </c>
      <c r="B1706" s="1" t="n">
        <v>45586</v>
      </c>
      <c r="C1706" s="1" t="n">
        <v>45849</v>
      </c>
      <c r="D1706" t="inlineStr">
        <is>
          <t>VÄSTERBOTTENS LÄN</t>
        </is>
      </c>
      <c r="E1706" t="inlineStr">
        <is>
          <t>LYCKSELE</t>
        </is>
      </c>
      <c r="F1706" t="inlineStr">
        <is>
          <t>Naturvårdsverket</t>
        </is>
      </c>
      <c r="G1706" t="n">
        <v>6</v>
      </c>
      <c r="H1706" t="n">
        <v>0</v>
      </c>
      <c r="I1706" t="n">
        <v>0</v>
      </c>
      <c r="J1706" t="n">
        <v>0</v>
      </c>
      <c r="K1706" t="n">
        <v>0</v>
      </c>
      <c r="L1706" t="n">
        <v>0</v>
      </c>
      <c r="M1706" t="n">
        <v>0</v>
      </c>
      <c r="N1706" t="n">
        <v>0</v>
      </c>
      <c r="O1706" t="n">
        <v>0</v>
      </c>
      <c r="P1706" t="n">
        <v>0</v>
      </c>
      <c r="Q1706" t="n">
        <v>0</v>
      </c>
      <c r="R1706" s="2" t="inlineStr"/>
    </row>
    <row r="1707" ht="15" customHeight="1">
      <c r="A1707" t="inlineStr">
        <is>
          <t>A 47182-2024</t>
        </is>
      </c>
      <c r="B1707" s="1" t="n">
        <v>45586</v>
      </c>
      <c r="C1707" s="1" t="n">
        <v>45849</v>
      </c>
      <c r="D1707" t="inlineStr">
        <is>
          <t>VÄSTERBOTTENS LÄN</t>
        </is>
      </c>
      <c r="E1707" t="inlineStr">
        <is>
          <t>LYCKSELE</t>
        </is>
      </c>
      <c r="F1707" t="inlineStr">
        <is>
          <t>Sveaskog</t>
        </is>
      </c>
      <c r="G1707" t="n">
        <v>0.4</v>
      </c>
      <c r="H1707" t="n">
        <v>0</v>
      </c>
      <c r="I1707" t="n">
        <v>0</v>
      </c>
      <c r="J1707" t="n">
        <v>0</v>
      </c>
      <c r="K1707" t="n">
        <v>0</v>
      </c>
      <c r="L1707" t="n">
        <v>0</v>
      </c>
      <c r="M1707" t="n">
        <v>0</v>
      </c>
      <c r="N1707" t="n">
        <v>0</v>
      </c>
      <c r="O1707" t="n">
        <v>0</v>
      </c>
      <c r="P1707" t="n">
        <v>0</v>
      </c>
      <c r="Q1707" t="n">
        <v>0</v>
      </c>
      <c r="R1707" s="2" t="inlineStr"/>
    </row>
    <row r="1708" ht="15" customHeight="1">
      <c r="A1708" t="inlineStr">
        <is>
          <t>A 47579-2024</t>
        </is>
      </c>
      <c r="B1708" s="1" t="n">
        <v>45587</v>
      </c>
      <c r="C1708" s="1" t="n">
        <v>45849</v>
      </c>
      <c r="D1708" t="inlineStr">
        <is>
          <t>VÄSTERBOTTENS LÄN</t>
        </is>
      </c>
      <c r="E1708" t="inlineStr">
        <is>
          <t>LYCKSELE</t>
        </is>
      </c>
      <c r="G1708" t="n">
        <v>14.8</v>
      </c>
      <c r="H1708" t="n">
        <v>0</v>
      </c>
      <c r="I1708" t="n">
        <v>0</v>
      </c>
      <c r="J1708" t="n">
        <v>0</v>
      </c>
      <c r="K1708" t="n">
        <v>0</v>
      </c>
      <c r="L1708" t="n">
        <v>0</v>
      </c>
      <c r="M1708" t="n">
        <v>0</v>
      </c>
      <c r="N1708" t="n">
        <v>0</v>
      </c>
      <c r="O1708" t="n">
        <v>0</v>
      </c>
      <c r="P1708" t="n">
        <v>0</v>
      </c>
      <c r="Q1708" t="n">
        <v>0</v>
      </c>
      <c r="R1708" s="2" t="inlineStr"/>
    </row>
    <row r="1709" ht="15" customHeight="1">
      <c r="A1709" t="inlineStr">
        <is>
          <t>A 47520-2024</t>
        </is>
      </c>
      <c r="B1709" s="1" t="n">
        <v>45587</v>
      </c>
      <c r="C1709" s="1" t="n">
        <v>45849</v>
      </c>
      <c r="D1709" t="inlineStr">
        <is>
          <t>VÄSTERBOTTENS LÄN</t>
        </is>
      </c>
      <c r="E1709" t="inlineStr">
        <is>
          <t>LYCKSELE</t>
        </is>
      </c>
      <c r="F1709" t="inlineStr">
        <is>
          <t>Holmen skog AB</t>
        </is>
      </c>
      <c r="G1709" t="n">
        <v>2.4</v>
      </c>
      <c r="H1709" t="n">
        <v>0</v>
      </c>
      <c r="I1709" t="n">
        <v>0</v>
      </c>
      <c r="J1709" t="n">
        <v>0</v>
      </c>
      <c r="K1709" t="n">
        <v>0</v>
      </c>
      <c r="L1709" t="n">
        <v>0</v>
      </c>
      <c r="M1709" t="n">
        <v>0</v>
      </c>
      <c r="N1709" t="n">
        <v>0</v>
      </c>
      <c r="O1709" t="n">
        <v>0</v>
      </c>
      <c r="P1709" t="n">
        <v>0</v>
      </c>
      <c r="Q1709" t="n">
        <v>0</v>
      </c>
      <c r="R1709" s="2" t="inlineStr"/>
    </row>
    <row r="1710" ht="15" customHeight="1">
      <c r="A1710" t="inlineStr">
        <is>
          <t>A 47306-2024</t>
        </is>
      </c>
      <c r="B1710" s="1" t="n">
        <v>45587</v>
      </c>
      <c r="C1710" s="1" t="n">
        <v>45849</v>
      </c>
      <c r="D1710" t="inlineStr">
        <is>
          <t>VÄSTERBOTTENS LÄN</t>
        </is>
      </c>
      <c r="E1710" t="inlineStr">
        <is>
          <t>LYCKSELE</t>
        </is>
      </c>
      <c r="F1710" t="inlineStr">
        <is>
          <t>Sveaskog</t>
        </is>
      </c>
      <c r="G1710" t="n">
        <v>4.5</v>
      </c>
      <c r="H1710" t="n">
        <v>0</v>
      </c>
      <c r="I1710" t="n">
        <v>0</v>
      </c>
      <c r="J1710" t="n">
        <v>0</v>
      </c>
      <c r="K1710" t="n">
        <v>0</v>
      </c>
      <c r="L1710" t="n">
        <v>0</v>
      </c>
      <c r="M1710" t="n">
        <v>0</v>
      </c>
      <c r="N1710" t="n">
        <v>0</v>
      </c>
      <c r="O1710" t="n">
        <v>0</v>
      </c>
      <c r="P1710" t="n">
        <v>0</v>
      </c>
      <c r="Q1710" t="n">
        <v>0</v>
      </c>
      <c r="R1710" s="2" t="inlineStr"/>
    </row>
    <row r="1711" ht="15" customHeight="1">
      <c r="A1711" t="inlineStr">
        <is>
          <t>A 47287-2024</t>
        </is>
      </c>
      <c r="B1711" s="1" t="n">
        <v>45587</v>
      </c>
      <c r="C1711" s="1" t="n">
        <v>45849</v>
      </c>
      <c r="D1711" t="inlineStr">
        <is>
          <t>VÄSTERBOTTENS LÄN</t>
        </is>
      </c>
      <c r="E1711" t="inlineStr">
        <is>
          <t>LYCKSELE</t>
        </is>
      </c>
      <c r="F1711" t="inlineStr">
        <is>
          <t>Sveaskog</t>
        </is>
      </c>
      <c r="G1711" t="n">
        <v>5</v>
      </c>
      <c r="H1711" t="n">
        <v>0</v>
      </c>
      <c r="I1711" t="n">
        <v>0</v>
      </c>
      <c r="J1711" t="n">
        <v>0</v>
      </c>
      <c r="K1711" t="n">
        <v>0</v>
      </c>
      <c r="L1711" t="n">
        <v>0</v>
      </c>
      <c r="M1711" t="n">
        <v>0</v>
      </c>
      <c r="N1711" t="n">
        <v>0</v>
      </c>
      <c r="O1711" t="n">
        <v>0</v>
      </c>
      <c r="P1711" t="n">
        <v>0</v>
      </c>
      <c r="Q1711" t="n">
        <v>0</v>
      </c>
      <c r="R1711" s="2" t="inlineStr"/>
    </row>
    <row r="1712" ht="15" customHeight="1">
      <c r="A1712" t="inlineStr">
        <is>
          <t>A 47685-2024</t>
        </is>
      </c>
      <c r="B1712" s="1" t="n">
        <v>45588</v>
      </c>
      <c r="C1712" s="1" t="n">
        <v>45849</v>
      </c>
      <c r="D1712" t="inlineStr">
        <is>
          <t>VÄSTERBOTTENS LÄN</t>
        </is>
      </c>
      <c r="E1712" t="inlineStr">
        <is>
          <t>LYCKSELE</t>
        </is>
      </c>
      <c r="F1712" t="inlineStr">
        <is>
          <t>SCA</t>
        </is>
      </c>
      <c r="G1712" t="n">
        <v>10</v>
      </c>
      <c r="H1712" t="n">
        <v>0</v>
      </c>
      <c r="I1712" t="n">
        <v>0</v>
      </c>
      <c r="J1712" t="n">
        <v>0</v>
      </c>
      <c r="K1712" t="n">
        <v>0</v>
      </c>
      <c r="L1712" t="n">
        <v>0</v>
      </c>
      <c r="M1712" t="n">
        <v>0</v>
      </c>
      <c r="N1712" t="n">
        <v>0</v>
      </c>
      <c r="O1712" t="n">
        <v>0</v>
      </c>
      <c r="P1712" t="n">
        <v>0</v>
      </c>
      <c r="Q1712" t="n">
        <v>0</v>
      </c>
      <c r="R1712" s="2" t="inlineStr"/>
    </row>
    <row r="1713" ht="15" customHeight="1">
      <c r="A1713" t="inlineStr">
        <is>
          <t>A 47807-2024</t>
        </is>
      </c>
      <c r="B1713" s="1" t="n">
        <v>45588</v>
      </c>
      <c r="C1713" s="1" t="n">
        <v>45849</v>
      </c>
      <c r="D1713" t="inlineStr">
        <is>
          <t>VÄSTERBOTTENS LÄN</t>
        </is>
      </c>
      <c r="E1713" t="inlineStr">
        <is>
          <t>LYCKSELE</t>
        </is>
      </c>
      <c r="G1713" t="n">
        <v>0.4</v>
      </c>
      <c r="H1713" t="n">
        <v>0</v>
      </c>
      <c r="I1713" t="n">
        <v>0</v>
      </c>
      <c r="J1713" t="n">
        <v>0</v>
      </c>
      <c r="K1713" t="n">
        <v>0</v>
      </c>
      <c r="L1713" t="n">
        <v>0</v>
      </c>
      <c r="M1713" t="n">
        <v>0</v>
      </c>
      <c r="N1713" t="n">
        <v>0</v>
      </c>
      <c r="O1713" t="n">
        <v>0</v>
      </c>
      <c r="P1713" t="n">
        <v>0</v>
      </c>
      <c r="Q1713" t="n">
        <v>0</v>
      </c>
      <c r="R1713" s="2" t="inlineStr"/>
    </row>
    <row r="1714" ht="15" customHeight="1">
      <c r="A1714" t="inlineStr">
        <is>
          <t>A 47832-2024</t>
        </is>
      </c>
      <c r="B1714" s="1" t="n">
        <v>45588</v>
      </c>
      <c r="C1714" s="1" t="n">
        <v>45849</v>
      </c>
      <c r="D1714" t="inlineStr">
        <is>
          <t>VÄSTERBOTTENS LÄN</t>
        </is>
      </c>
      <c r="E1714" t="inlineStr">
        <is>
          <t>LYCKSELE</t>
        </is>
      </c>
      <c r="G1714" t="n">
        <v>4.8</v>
      </c>
      <c r="H1714" t="n">
        <v>0</v>
      </c>
      <c r="I1714" t="n">
        <v>0</v>
      </c>
      <c r="J1714" t="n">
        <v>0</v>
      </c>
      <c r="K1714" t="n">
        <v>0</v>
      </c>
      <c r="L1714" t="n">
        <v>0</v>
      </c>
      <c r="M1714" t="n">
        <v>0</v>
      </c>
      <c r="N1714" t="n">
        <v>0</v>
      </c>
      <c r="O1714" t="n">
        <v>0</v>
      </c>
      <c r="P1714" t="n">
        <v>0</v>
      </c>
      <c r="Q1714" t="n">
        <v>0</v>
      </c>
      <c r="R1714" s="2" t="inlineStr"/>
    </row>
    <row r="1715" ht="15" customHeight="1">
      <c r="A1715" t="inlineStr">
        <is>
          <t>A 48376-2024</t>
        </is>
      </c>
      <c r="B1715" s="1" t="n">
        <v>45590</v>
      </c>
      <c r="C1715" s="1" t="n">
        <v>45849</v>
      </c>
      <c r="D1715" t="inlineStr">
        <is>
          <t>VÄSTERBOTTENS LÄN</t>
        </is>
      </c>
      <c r="E1715" t="inlineStr">
        <is>
          <t>LYCKSELE</t>
        </is>
      </c>
      <c r="F1715" t="inlineStr">
        <is>
          <t>Sveaskog</t>
        </is>
      </c>
      <c r="G1715" t="n">
        <v>1.3</v>
      </c>
      <c r="H1715" t="n">
        <v>0</v>
      </c>
      <c r="I1715" t="n">
        <v>0</v>
      </c>
      <c r="J1715" t="n">
        <v>0</v>
      </c>
      <c r="K1715" t="n">
        <v>0</v>
      </c>
      <c r="L1715" t="n">
        <v>0</v>
      </c>
      <c r="M1715" t="n">
        <v>0</v>
      </c>
      <c r="N1715" t="n">
        <v>0</v>
      </c>
      <c r="O1715" t="n">
        <v>0</v>
      </c>
      <c r="P1715" t="n">
        <v>0</v>
      </c>
      <c r="Q1715" t="n">
        <v>0</v>
      </c>
      <c r="R1715" s="2" t="inlineStr"/>
    </row>
    <row r="1716" ht="15" customHeight="1">
      <c r="A1716" t="inlineStr">
        <is>
          <t>A 48405-2024</t>
        </is>
      </c>
      <c r="B1716" s="1" t="n">
        <v>45590</v>
      </c>
      <c r="C1716" s="1" t="n">
        <v>45849</v>
      </c>
      <c r="D1716" t="inlineStr">
        <is>
          <t>VÄSTERBOTTENS LÄN</t>
        </is>
      </c>
      <c r="E1716" t="inlineStr">
        <is>
          <t>LYCKSELE</t>
        </is>
      </c>
      <c r="F1716" t="inlineStr">
        <is>
          <t>Holmen skog AB</t>
        </is>
      </c>
      <c r="G1716" t="n">
        <v>3.2</v>
      </c>
      <c r="H1716" t="n">
        <v>0</v>
      </c>
      <c r="I1716" t="n">
        <v>0</v>
      </c>
      <c r="J1716" t="n">
        <v>0</v>
      </c>
      <c r="K1716" t="n">
        <v>0</v>
      </c>
      <c r="L1716" t="n">
        <v>0</v>
      </c>
      <c r="M1716" t="n">
        <v>0</v>
      </c>
      <c r="N1716" t="n">
        <v>0</v>
      </c>
      <c r="O1716" t="n">
        <v>0</v>
      </c>
      <c r="P1716" t="n">
        <v>0</v>
      </c>
      <c r="Q1716" t="n">
        <v>0</v>
      </c>
      <c r="R1716" s="2" t="inlineStr"/>
    </row>
    <row r="1717" ht="15" customHeight="1">
      <c r="A1717" t="inlineStr">
        <is>
          <t>A 48377-2024</t>
        </is>
      </c>
      <c r="B1717" s="1" t="n">
        <v>45590</v>
      </c>
      <c r="C1717" s="1" t="n">
        <v>45849</v>
      </c>
      <c r="D1717" t="inlineStr">
        <is>
          <t>VÄSTERBOTTENS LÄN</t>
        </is>
      </c>
      <c r="E1717" t="inlineStr">
        <is>
          <t>LYCKSELE</t>
        </is>
      </c>
      <c r="F1717" t="inlineStr">
        <is>
          <t>Holmen skog AB</t>
        </is>
      </c>
      <c r="G1717" t="n">
        <v>16.6</v>
      </c>
      <c r="H1717" t="n">
        <v>0</v>
      </c>
      <c r="I1717" t="n">
        <v>0</v>
      </c>
      <c r="J1717" t="n">
        <v>0</v>
      </c>
      <c r="K1717" t="n">
        <v>0</v>
      </c>
      <c r="L1717" t="n">
        <v>0</v>
      </c>
      <c r="M1717" t="n">
        <v>0</v>
      </c>
      <c r="N1717" t="n">
        <v>0</v>
      </c>
      <c r="O1717" t="n">
        <v>0</v>
      </c>
      <c r="P1717" t="n">
        <v>0</v>
      </c>
      <c r="Q1717" t="n">
        <v>0</v>
      </c>
      <c r="R1717" s="2" t="inlineStr"/>
    </row>
    <row r="1718" ht="15" customHeight="1">
      <c r="A1718" t="inlineStr">
        <is>
          <t>A 48330-2024</t>
        </is>
      </c>
      <c r="B1718" s="1" t="n">
        <v>45590</v>
      </c>
      <c r="C1718" s="1" t="n">
        <v>45849</v>
      </c>
      <c r="D1718" t="inlineStr">
        <is>
          <t>VÄSTERBOTTENS LÄN</t>
        </is>
      </c>
      <c r="E1718" t="inlineStr">
        <is>
          <t>LYCKSELE</t>
        </is>
      </c>
      <c r="F1718" t="inlineStr">
        <is>
          <t>Sveaskog</t>
        </is>
      </c>
      <c r="G1718" t="n">
        <v>1.9</v>
      </c>
      <c r="H1718" t="n">
        <v>0</v>
      </c>
      <c r="I1718" t="n">
        <v>0</v>
      </c>
      <c r="J1718" t="n">
        <v>0</v>
      </c>
      <c r="K1718" t="n">
        <v>0</v>
      </c>
      <c r="L1718" t="n">
        <v>0</v>
      </c>
      <c r="M1718" t="n">
        <v>0</v>
      </c>
      <c r="N1718" t="n">
        <v>0</v>
      </c>
      <c r="O1718" t="n">
        <v>0</v>
      </c>
      <c r="P1718" t="n">
        <v>0</v>
      </c>
      <c r="Q1718" t="n">
        <v>0</v>
      </c>
      <c r="R1718" s="2" t="inlineStr"/>
    </row>
    <row r="1719" ht="15" customHeight="1">
      <c r="A1719" t="inlineStr">
        <is>
          <t>A 48378-2024</t>
        </is>
      </c>
      <c r="B1719" s="1" t="n">
        <v>45590</v>
      </c>
      <c r="C1719" s="1" t="n">
        <v>45849</v>
      </c>
      <c r="D1719" t="inlineStr">
        <is>
          <t>VÄSTERBOTTENS LÄN</t>
        </is>
      </c>
      <c r="E1719" t="inlineStr">
        <is>
          <t>LYCKSELE</t>
        </is>
      </c>
      <c r="F1719" t="inlineStr">
        <is>
          <t>Sveaskog</t>
        </is>
      </c>
      <c r="G1719" t="n">
        <v>3.4</v>
      </c>
      <c r="H1719" t="n">
        <v>0</v>
      </c>
      <c r="I1719" t="n">
        <v>0</v>
      </c>
      <c r="J1719" t="n">
        <v>0</v>
      </c>
      <c r="K1719" t="n">
        <v>0</v>
      </c>
      <c r="L1719" t="n">
        <v>0</v>
      </c>
      <c r="M1719" t="n">
        <v>0</v>
      </c>
      <c r="N1719" t="n">
        <v>0</v>
      </c>
      <c r="O1719" t="n">
        <v>0</v>
      </c>
      <c r="P1719" t="n">
        <v>0</v>
      </c>
      <c r="Q1719" t="n">
        <v>0</v>
      </c>
      <c r="R1719" s="2" t="inlineStr"/>
    </row>
    <row r="1720" ht="15" customHeight="1">
      <c r="A1720" t="inlineStr">
        <is>
          <t>A 48411-2024</t>
        </is>
      </c>
      <c r="B1720" s="1" t="n">
        <v>45590</v>
      </c>
      <c r="C1720" s="1" t="n">
        <v>45849</v>
      </c>
      <c r="D1720" t="inlineStr">
        <is>
          <t>VÄSTERBOTTENS LÄN</t>
        </is>
      </c>
      <c r="E1720" t="inlineStr">
        <is>
          <t>LYCKSELE</t>
        </is>
      </c>
      <c r="F1720" t="inlineStr">
        <is>
          <t>Holmen skog AB</t>
        </is>
      </c>
      <c r="G1720" t="n">
        <v>2.8</v>
      </c>
      <c r="H1720" t="n">
        <v>0</v>
      </c>
      <c r="I1720" t="n">
        <v>0</v>
      </c>
      <c r="J1720" t="n">
        <v>0</v>
      </c>
      <c r="K1720" t="n">
        <v>0</v>
      </c>
      <c r="L1720" t="n">
        <v>0</v>
      </c>
      <c r="M1720" t="n">
        <v>0</v>
      </c>
      <c r="N1720" t="n">
        <v>0</v>
      </c>
      <c r="O1720" t="n">
        <v>0</v>
      </c>
      <c r="P1720" t="n">
        <v>0</v>
      </c>
      <c r="Q1720" t="n">
        <v>0</v>
      </c>
      <c r="R1720" s="2" t="inlineStr"/>
    </row>
    <row r="1721" ht="15" customHeight="1">
      <c r="A1721" t="inlineStr">
        <is>
          <t>A 48379-2024</t>
        </is>
      </c>
      <c r="B1721" s="1" t="n">
        <v>45590</v>
      </c>
      <c r="C1721" s="1" t="n">
        <v>45849</v>
      </c>
      <c r="D1721" t="inlineStr">
        <is>
          <t>VÄSTERBOTTENS LÄN</t>
        </is>
      </c>
      <c r="E1721" t="inlineStr">
        <is>
          <t>LYCKSELE</t>
        </is>
      </c>
      <c r="F1721" t="inlineStr">
        <is>
          <t>Sveaskog</t>
        </is>
      </c>
      <c r="G1721" t="n">
        <v>3.4</v>
      </c>
      <c r="H1721" t="n">
        <v>0</v>
      </c>
      <c r="I1721" t="n">
        <v>0</v>
      </c>
      <c r="J1721" t="n">
        <v>0</v>
      </c>
      <c r="K1721" t="n">
        <v>0</v>
      </c>
      <c r="L1721" t="n">
        <v>0</v>
      </c>
      <c r="M1721" t="n">
        <v>0</v>
      </c>
      <c r="N1721" t="n">
        <v>0</v>
      </c>
      <c r="O1721" t="n">
        <v>0</v>
      </c>
      <c r="P1721" t="n">
        <v>0</v>
      </c>
      <c r="Q1721" t="n">
        <v>0</v>
      </c>
      <c r="R1721" s="2" t="inlineStr"/>
    </row>
    <row r="1722" ht="15" customHeight="1">
      <c r="A1722" t="inlineStr">
        <is>
          <t>A 48832-2024</t>
        </is>
      </c>
      <c r="B1722" s="1" t="n">
        <v>45593</v>
      </c>
      <c r="C1722" s="1" t="n">
        <v>45849</v>
      </c>
      <c r="D1722" t="inlineStr">
        <is>
          <t>VÄSTERBOTTENS LÄN</t>
        </is>
      </c>
      <c r="E1722" t="inlineStr">
        <is>
          <t>LYCKSELE</t>
        </is>
      </c>
      <c r="F1722" t="inlineStr">
        <is>
          <t>SCA</t>
        </is>
      </c>
      <c r="G1722" t="n">
        <v>3.7</v>
      </c>
      <c r="H1722" t="n">
        <v>0</v>
      </c>
      <c r="I1722" t="n">
        <v>0</v>
      </c>
      <c r="J1722" t="n">
        <v>0</v>
      </c>
      <c r="K1722" t="n">
        <v>0</v>
      </c>
      <c r="L1722" t="n">
        <v>0</v>
      </c>
      <c r="M1722" t="n">
        <v>0</v>
      </c>
      <c r="N1722" t="n">
        <v>0</v>
      </c>
      <c r="O1722" t="n">
        <v>0</v>
      </c>
      <c r="P1722" t="n">
        <v>0</v>
      </c>
      <c r="Q1722" t="n">
        <v>0</v>
      </c>
      <c r="R1722" s="2" t="inlineStr"/>
    </row>
    <row r="1723" ht="15" customHeight="1">
      <c r="A1723" t="inlineStr">
        <is>
          <t>A 48543-2024</t>
        </is>
      </c>
      <c r="B1723" s="1" t="n">
        <v>45593</v>
      </c>
      <c r="C1723" s="1" t="n">
        <v>45849</v>
      </c>
      <c r="D1723" t="inlineStr">
        <is>
          <t>VÄSTERBOTTENS LÄN</t>
        </is>
      </c>
      <c r="E1723" t="inlineStr">
        <is>
          <t>LYCKSELE</t>
        </is>
      </c>
      <c r="F1723" t="inlineStr">
        <is>
          <t>Holmen skog AB</t>
        </is>
      </c>
      <c r="G1723" t="n">
        <v>5.2</v>
      </c>
      <c r="H1723" t="n">
        <v>0</v>
      </c>
      <c r="I1723" t="n">
        <v>0</v>
      </c>
      <c r="J1723" t="n">
        <v>0</v>
      </c>
      <c r="K1723" t="n">
        <v>0</v>
      </c>
      <c r="L1723" t="n">
        <v>0</v>
      </c>
      <c r="M1723" t="n">
        <v>0</v>
      </c>
      <c r="N1723" t="n">
        <v>0</v>
      </c>
      <c r="O1723" t="n">
        <v>0</v>
      </c>
      <c r="P1723" t="n">
        <v>0</v>
      </c>
      <c r="Q1723" t="n">
        <v>0</v>
      </c>
      <c r="R1723" s="2" t="inlineStr"/>
    </row>
    <row r="1724" ht="15" customHeight="1">
      <c r="A1724" t="inlineStr">
        <is>
          <t>A 48974-2024</t>
        </is>
      </c>
      <c r="B1724" s="1" t="n">
        <v>45594</v>
      </c>
      <c r="C1724" s="1" t="n">
        <v>45849</v>
      </c>
      <c r="D1724" t="inlineStr">
        <is>
          <t>VÄSTERBOTTENS LÄN</t>
        </is>
      </c>
      <c r="E1724" t="inlineStr">
        <is>
          <t>LYCKSELE</t>
        </is>
      </c>
      <c r="F1724" t="inlineStr">
        <is>
          <t>Sveaskog</t>
        </is>
      </c>
      <c r="G1724" t="n">
        <v>19.3</v>
      </c>
      <c r="H1724" t="n">
        <v>0</v>
      </c>
      <c r="I1724" t="n">
        <v>0</v>
      </c>
      <c r="J1724" t="n">
        <v>0</v>
      </c>
      <c r="K1724" t="n">
        <v>0</v>
      </c>
      <c r="L1724" t="n">
        <v>0</v>
      </c>
      <c r="M1724" t="n">
        <v>0</v>
      </c>
      <c r="N1724" t="n">
        <v>0</v>
      </c>
      <c r="O1724" t="n">
        <v>0</v>
      </c>
      <c r="P1724" t="n">
        <v>0</v>
      </c>
      <c r="Q1724" t="n">
        <v>0</v>
      </c>
      <c r="R1724" s="2" t="inlineStr"/>
    </row>
    <row r="1725" ht="15" customHeight="1">
      <c r="A1725" t="inlineStr">
        <is>
          <t>A 49130-2024</t>
        </is>
      </c>
      <c r="B1725" s="1" t="n">
        <v>45594</v>
      </c>
      <c r="C1725" s="1" t="n">
        <v>45849</v>
      </c>
      <c r="D1725" t="inlineStr">
        <is>
          <t>VÄSTERBOTTENS LÄN</t>
        </is>
      </c>
      <c r="E1725" t="inlineStr">
        <is>
          <t>LYCKSELE</t>
        </is>
      </c>
      <c r="F1725" t="inlineStr">
        <is>
          <t>Sveaskog</t>
        </is>
      </c>
      <c r="G1725" t="n">
        <v>3.5</v>
      </c>
      <c r="H1725" t="n">
        <v>0</v>
      </c>
      <c r="I1725" t="n">
        <v>0</v>
      </c>
      <c r="J1725" t="n">
        <v>0</v>
      </c>
      <c r="K1725" t="n">
        <v>0</v>
      </c>
      <c r="L1725" t="n">
        <v>0</v>
      </c>
      <c r="M1725" t="n">
        <v>0</v>
      </c>
      <c r="N1725" t="n">
        <v>0</v>
      </c>
      <c r="O1725" t="n">
        <v>0</v>
      </c>
      <c r="P1725" t="n">
        <v>0</v>
      </c>
      <c r="Q1725" t="n">
        <v>0</v>
      </c>
      <c r="R1725" s="2" t="inlineStr"/>
    </row>
    <row r="1726" ht="15" customHeight="1">
      <c r="A1726" t="inlineStr">
        <is>
          <t>A 49230-2024</t>
        </is>
      </c>
      <c r="B1726" s="1" t="n">
        <v>45595</v>
      </c>
      <c r="C1726" s="1" t="n">
        <v>45849</v>
      </c>
      <c r="D1726" t="inlineStr">
        <is>
          <t>VÄSTERBOTTENS LÄN</t>
        </is>
      </c>
      <c r="E1726" t="inlineStr">
        <is>
          <t>LYCKSELE</t>
        </is>
      </c>
      <c r="F1726" t="inlineStr">
        <is>
          <t>SCA</t>
        </is>
      </c>
      <c r="G1726" t="n">
        <v>7.1</v>
      </c>
      <c r="H1726" t="n">
        <v>0</v>
      </c>
      <c r="I1726" t="n">
        <v>0</v>
      </c>
      <c r="J1726" t="n">
        <v>0</v>
      </c>
      <c r="K1726" t="n">
        <v>0</v>
      </c>
      <c r="L1726" t="n">
        <v>0</v>
      </c>
      <c r="M1726" t="n">
        <v>0</v>
      </c>
      <c r="N1726" t="n">
        <v>0</v>
      </c>
      <c r="O1726" t="n">
        <v>0</v>
      </c>
      <c r="P1726" t="n">
        <v>0</v>
      </c>
      <c r="Q1726" t="n">
        <v>0</v>
      </c>
      <c r="R1726" s="2" t="inlineStr"/>
    </row>
    <row r="1727" ht="15" customHeight="1">
      <c r="A1727" t="inlineStr">
        <is>
          <t>A 49393-2024</t>
        </is>
      </c>
      <c r="B1727" s="1" t="n">
        <v>45595</v>
      </c>
      <c r="C1727" s="1" t="n">
        <v>45849</v>
      </c>
      <c r="D1727" t="inlineStr">
        <is>
          <t>VÄSTERBOTTENS LÄN</t>
        </is>
      </c>
      <c r="E1727" t="inlineStr">
        <is>
          <t>LYCKSELE</t>
        </is>
      </c>
      <c r="G1727" t="n">
        <v>6.9</v>
      </c>
      <c r="H1727" t="n">
        <v>0</v>
      </c>
      <c r="I1727" t="n">
        <v>0</v>
      </c>
      <c r="J1727" t="n">
        <v>0</v>
      </c>
      <c r="K1727" t="n">
        <v>0</v>
      </c>
      <c r="L1727" t="n">
        <v>0</v>
      </c>
      <c r="M1727" t="n">
        <v>0</v>
      </c>
      <c r="N1727" t="n">
        <v>0</v>
      </c>
      <c r="O1727" t="n">
        <v>0</v>
      </c>
      <c r="P1727" t="n">
        <v>0</v>
      </c>
      <c r="Q1727" t="n">
        <v>0</v>
      </c>
      <c r="R1727" s="2" t="inlineStr"/>
    </row>
    <row r="1728" ht="15" customHeight="1">
      <c r="A1728" t="inlineStr">
        <is>
          <t>A 49350-2024</t>
        </is>
      </c>
      <c r="B1728" s="1" t="n">
        <v>45595</v>
      </c>
      <c r="C1728" s="1" t="n">
        <v>45849</v>
      </c>
      <c r="D1728" t="inlineStr">
        <is>
          <t>VÄSTERBOTTENS LÄN</t>
        </is>
      </c>
      <c r="E1728" t="inlineStr">
        <is>
          <t>LYCKSELE</t>
        </is>
      </c>
      <c r="G1728" t="n">
        <v>5.5</v>
      </c>
      <c r="H1728" t="n">
        <v>0</v>
      </c>
      <c r="I1728" t="n">
        <v>0</v>
      </c>
      <c r="J1728" t="n">
        <v>0</v>
      </c>
      <c r="K1728" t="n">
        <v>0</v>
      </c>
      <c r="L1728" t="n">
        <v>0</v>
      </c>
      <c r="M1728" t="n">
        <v>0</v>
      </c>
      <c r="N1728" t="n">
        <v>0</v>
      </c>
      <c r="O1728" t="n">
        <v>0</v>
      </c>
      <c r="P1728" t="n">
        <v>0</v>
      </c>
      <c r="Q1728" t="n">
        <v>0</v>
      </c>
      <c r="R1728" s="2" t="inlineStr"/>
    </row>
    <row r="1729" ht="15" customHeight="1">
      <c r="A1729" t="inlineStr">
        <is>
          <t>A 49667-2024</t>
        </is>
      </c>
      <c r="B1729" s="1" t="n">
        <v>45596</v>
      </c>
      <c r="C1729" s="1" t="n">
        <v>45849</v>
      </c>
      <c r="D1729" t="inlineStr">
        <is>
          <t>VÄSTERBOTTENS LÄN</t>
        </is>
      </c>
      <c r="E1729" t="inlineStr">
        <is>
          <t>LYCKSELE</t>
        </is>
      </c>
      <c r="F1729" t="inlineStr">
        <is>
          <t>Sveaskog</t>
        </is>
      </c>
      <c r="G1729" t="n">
        <v>13.9</v>
      </c>
      <c r="H1729" t="n">
        <v>0</v>
      </c>
      <c r="I1729" t="n">
        <v>0</v>
      </c>
      <c r="J1729" t="n">
        <v>0</v>
      </c>
      <c r="K1729" t="n">
        <v>0</v>
      </c>
      <c r="L1729" t="n">
        <v>0</v>
      </c>
      <c r="M1729" t="n">
        <v>0</v>
      </c>
      <c r="N1729" t="n">
        <v>0</v>
      </c>
      <c r="O1729" t="n">
        <v>0</v>
      </c>
      <c r="P1729" t="n">
        <v>0</v>
      </c>
      <c r="Q1729" t="n">
        <v>0</v>
      </c>
      <c r="R1729" s="2" t="inlineStr"/>
    </row>
    <row r="1730" ht="15" customHeight="1">
      <c r="A1730" t="inlineStr">
        <is>
          <t>A 49803-2024</t>
        </is>
      </c>
      <c r="B1730" s="1" t="n">
        <v>45597</v>
      </c>
      <c r="C1730" s="1" t="n">
        <v>45849</v>
      </c>
      <c r="D1730" t="inlineStr">
        <is>
          <t>VÄSTERBOTTENS LÄN</t>
        </is>
      </c>
      <c r="E1730" t="inlineStr">
        <is>
          <t>LYCKSELE</t>
        </is>
      </c>
      <c r="F1730" t="inlineStr">
        <is>
          <t>Sveaskog</t>
        </is>
      </c>
      <c r="G1730" t="n">
        <v>2.2</v>
      </c>
      <c r="H1730" t="n">
        <v>0</v>
      </c>
      <c r="I1730" t="n">
        <v>0</v>
      </c>
      <c r="J1730" t="n">
        <v>0</v>
      </c>
      <c r="K1730" t="n">
        <v>0</v>
      </c>
      <c r="L1730" t="n">
        <v>0</v>
      </c>
      <c r="M1730" t="n">
        <v>0</v>
      </c>
      <c r="N1730" t="n">
        <v>0</v>
      </c>
      <c r="O1730" t="n">
        <v>0</v>
      </c>
      <c r="P1730" t="n">
        <v>0</v>
      </c>
      <c r="Q1730" t="n">
        <v>0</v>
      </c>
      <c r="R1730" s="2" t="inlineStr"/>
    </row>
    <row r="1731" ht="15" customHeight="1">
      <c r="A1731" t="inlineStr">
        <is>
          <t>A 49801-2024</t>
        </is>
      </c>
      <c r="B1731" s="1" t="n">
        <v>45597</v>
      </c>
      <c r="C1731" s="1" t="n">
        <v>45849</v>
      </c>
      <c r="D1731" t="inlineStr">
        <is>
          <t>VÄSTERBOTTENS LÄN</t>
        </is>
      </c>
      <c r="E1731" t="inlineStr">
        <is>
          <t>LYCKSELE</t>
        </is>
      </c>
      <c r="F1731" t="inlineStr">
        <is>
          <t>Sveaskog</t>
        </is>
      </c>
      <c r="G1731" t="n">
        <v>4</v>
      </c>
      <c r="H1731" t="n">
        <v>0</v>
      </c>
      <c r="I1731" t="n">
        <v>0</v>
      </c>
      <c r="J1731" t="n">
        <v>0</v>
      </c>
      <c r="K1731" t="n">
        <v>0</v>
      </c>
      <c r="L1731" t="n">
        <v>0</v>
      </c>
      <c r="M1731" t="n">
        <v>0</v>
      </c>
      <c r="N1731" t="n">
        <v>0</v>
      </c>
      <c r="O1731" t="n">
        <v>0</v>
      </c>
      <c r="P1731" t="n">
        <v>0</v>
      </c>
      <c r="Q1731" t="n">
        <v>0</v>
      </c>
      <c r="R1731" s="2" t="inlineStr"/>
    </row>
    <row r="1732" ht="15" customHeight="1">
      <c r="A1732" t="inlineStr">
        <is>
          <t>A 49978-2024</t>
        </is>
      </c>
      <c r="B1732" s="1" t="n">
        <v>45597</v>
      </c>
      <c r="C1732" s="1" t="n">
        <v>45849</v>
      </c>
      <c r="D1732" t="inlineStr">
        <is>
          <t>VÄSTERBOTTENS LÄN</t>
        </is>
      </c>
      <c r="E1732" t="inlineStr">
        <is>
          <t>LYCKSELE</t>
        </is>
      </c>
      <c r="G1732" t="n">
        <v>1.7</v>
      </c>
      <c r="H1732" t="n">
        <v>0</v>
      </c>
      <c r="I1732" t="n">
        <v>0</v>
      </c>
      <c r="J1732" t="n">
        <v>0</v>
      </c>
      <c r="K1732" t="n">
        <v>0</v>
      </c>
      <c r="L1732" t="n">
        <v>0</v>
      </c>
      <c r="M1732" t="n">
        <v>0</v>
      </c>
      <c r="N1732" t="n">
        <v>0</v>
      </c>
      <c r="O1732" t="n">
        <v>0</v>
      </c>
      <c r="P1732" t="n">
        <v>0</v>
      </c>
      <c r="Q1732" t="n">
        <v>0</v>
      </c>
      <c r="R1732" s="2" t="inlineStr"/>
    </row>
    <row r="1733" ht="15" customHeight="1">
      <c r="A1733" t="inlineStr">
        <is>
          <t>A 49903-2024</t>
        </is>
      </c>
      <c r="B1733" s="1" t="n">
        <v>45597</v>
      </c>
      <c r="C1733" s="1" t="n">
        <v>45849</v>
      </c>
      <c r="D1733" t="inlineStr">
        <is>
          <t>VÄSTERBOTTENS LÄN</t>
        </is>
      </c>
      <c r="E1733" t="inlineStr">
        <is>
          <t>LYCKSELE</t>
        </is>
      </c>
      <c r="F1733" t="inlineStr">
        <is>
          <t>Sveaskog</t>
        </is>
      </c>
      <c r="G1733" t="n">
        <v>11.8</v>
      </c>
      <c r="H1733" t="n">
        <v>0</v>
      </c>
      <c r="I1733" t="n">
        <v>0</v>
      </c>
      <c r="J1733" t="n">
        <v>0</v>
      </c>
      <c r="K1733" t="n">
        <v>0</v>
      </c>
      <c r="L1733" t="n">
        <v>0</v>
      </c>
      <c r="M1733" t="n">
        <v>0</v>
      </c>
      <c r="N1733" t="n">
        <v>0</v>
      </c>
      <c r="O1733" t="n">
        <v>0</v>
      </c>
      <c r="P1733" t="n">
        <v>0</v>
      </c>
      <c r="Q1733" t="n">
        <v>0</v>
      </c>
      <c r="R1733" s="2" t="inlineStr"/>
    </row>
    <row r="1734" ht="15" customHeight="1">
      <c r="A1734" t="inlineStr">
        <is>
          <t>A 50018-2024</t>
        </is>
      </c>
      <c r="B1734" s="1" t="n">
        <v>45599</v>
      </c>
      <c r="C1734" s="1" t="n">
        <v>45849</v>
      </c>
      <c r="D1734" t="inlineStr">
        <is>
          <t>VÄSTERBOTTENS LÄN</t>
        </is>
      </c>
      <c r="E1734" t="inlineStr">
        <is>
          <t>LYCKSELE</t>
        </is>
      </c>
      <c r="F1734" t="inlineStr">
        <is>
          <t>Sveaskog</t>
        </is>
      </c>
      <c r="G1734" t="n">
        <v>0.9</v>
      </c>
      <c r="H1734" t="n">
        <v>0</v>
      </c>
      <c r="I1734" t="n">
        <v>0</v>
      </c>
      <c r="J1734" t="n">
        <v>0</v>
      </c>
      <c r="K1734" t="n">
        <v>0</v>
      </c>
      <c r="L1734" t="n">
        <v>0</v>
      </c>
      <c r="M1734" t="n">
        <v>0</v>
      </c>
      <c r="N1734" t="n">
        <v>0</v>
      </c>
      <c r="O1734" t="n">
        <v>0</v>
      </c>
      <c r="P1734" t="n">
        <v>0</v>
      </c>
      <c r="Q1734" t="n">
        <v>0</v>
      </c>
      <c r="R1734" s="2" t="inlineStr"/>
    </row>
    <row r="1735" ht="15" customHeight="1">
      <c r="A1735" t="inlineStr">
        <is>
          <t>A 50072-2024</t>
        </is>
      </c>
      <c r="B1735" s="1" t="n">
        <v>45600</v>
      </c>
      <c r="C1735" s="1" t="n">
        <v>45849</v>
      </c>
      <c r="D1735" t="inlineStr">
        <is>
          <t>VÄSTERBOTTENS LÄN</t>
        </is>
      </c>
      <c r="E1735" t="inlineStr">
        <is>
          <t>LYCKSELE</t>
        </is>
      </c>
      <c r="G1735" t="n">
        <v>2.5</v>
      </c>
      <c r="H1735" t="n">
        <v>0</v>
      </c>
      <c r="I1735" t="n">
        <v>0</v>
      </c>
      <c r="J1735" t="n">
        <v>0</v>
      </c>
      <c r="K1735" t="n">
        <v>0</v>
      </c>
      <c r="L1735" t="n">
        <v>0</v>
      </c>
      <c r="M1735" t="n">
        <v>0</v>
      </c>
      <c r="N1735" t="n">
        <v>0</v>
      </c>
      <c r="O1735" t="n">
        <v>0</v>
      </c>
      <c r="P1735" t="n">
        <v>0</v>
      </c>
      <c r="Q1735" t="n">
        <v>0</v>
      </c>
      <c r="R1735" s="2" t="inlineStr"/>
    </row>
    <row r="1736" ht="15" customHeight="1">
      <c r="A1736" t="inlineStr">
        <is>
          <t>A 50093-2024</t>
        </is>
      </c>
      <c r="B1736" s="1" t="n">
        <v>45600</v>
      </c>
      <c r="C1736" s="1" t="n">
        <v>45849</v>
      </c>
      <c r="D1736" t="inlineStr">
        <is>
          <t>VÄSTERBOTTENS LÄN</t>
        </is>
      </c>
      <c r="E1736" t="inlineStr">
        <is>
          <t>LYCKSELE</t>
        </is>
      </c>
      <c r="G1736" t="n">
        <v>4.6</v>
      </c>
      <c r="H1736" t="n">
        <v>0</v>
      </c>
      <c r="I1736" t="n">
        <v>0</v>
      </c>
      <c r="J1736" t="n">
        <v>0</v>
      </c>
      <c r="K1736" t="n">
        <v>0</v>
      </c>
      <c r="L1736" t="n">
        <v>0</v>
      </c>
      <c r="M1736" t="n">
        <v>0</v>
      </c>
      <c r="N1736" t="n">
        <v>0</v>
      </c>
      <c r="O1736" t="n">
        <v>0</v>
      </c>
      <c r="P1736" t="n">
        <v>0</v>
      </c>
      <c r="Q1736" t="n">
        <v>0</v>
      </c>
      <c r="R1736" s="2" t="inlineStr"/>
    </row>
    <row r="1737" ht="15" customHeight="1">
      <c r="A1737" t="inlineStr">
        <is>
          <t>A 50071-2024</t>
        </is>
      </c>
      <c r="B1737" s="1" t="n">
        <v>45600</v>
      </c>
      <c r="C1737" s="1" t="n">
        <v>45849</v>
      </c>
      <c r="D1737" t="inlineStr">
        <is>
          <t>VÄSTERBOTTENS LÄN</t>
        </is>
      </c>
      <c r="E1737" t="inlineStr">
        <is>
          <t>LYCKSELE</t>
        </is>
      </c>
      <c r="F1737" t="inlineStr">
        <is>
          <t>Holmen skog AB</t>
        </is>
      </c>
      <c r="G1737" t="n">
        <v>3.7</v>
      </c>
      <c r="H1737" t="n">
        <v>0</v>
      </c>
      <c r="I1737" t="n">
        <v>0</v>
      </c>
      <c r="J1737" t="n">
        <v>0</v>
      </c>
      <c r="K1737" t="n">
        <v>0</v>
      </c>
      <c r="L1737" t="n">
        <v>0</v>
      </c>
      <c r="M1737" t="n">
        <v>0</v>
      </c>
      <c r="N1737" t="n">
        <v>0</v>
      </c>
      <c r="O1737" t="n">
        <v>0</v>
      </c>
      <c r="P1737" t="n">
        <v>0</v>
      </c>
      <c r="Q1737" t="n">
        <v>0</v>
      </c>
      <c r="R1737" s="2" t="inlineStr"/>
    </row>
    <row r="1738" ht="15" customHeight="1">
      <c r="A1738" t="inlineStr">
        <is>
          <t>A 50365-2024</t>
        </is>
      </c>
      <c r="B1738" s="1" t="n">
        <v>45600</v>
      </c>
      <c r="C1738" s="1" t="n">
        <v>45849</v>
      </c>
      <c r="D1738" t="inlineStr">
        <is>
          <t>VÄSTERBOTTENS LÄN</t>
        </is>
      </c>
      <c r="E1738" t="inlineStr">
        <is>
          <t>LYCKSELE</t>
        </is>
      </c>
      <c r="G1738" t="n">
        <v>6</v>
      </c>
      <c r="H1738" t="n">
        <v>0</v>
      </c>
      <c r="I1738" t="n">
        <v>0</v>
      </c>
      <c r="J1738" t="n">
        <v>0</v>
      </c>
      <c r="K1738" t="n">
        <v>0</v>
      </c>
      <c r="L1738" t="n">
        <v>0</v>
      </c>
      <c r="M1738" t="n">
        <v>0</v>
      </c>
      <c r="N1738" t="n">
        <v>0</v>
      </c>
      <c r="O1738" t="n">
        <v>0</v>
      </c>
      <c r="P1738" t="n">
        <v>0</v>
      </c>
      <c r="Q1738" t="n">
        <v>0</v>
      </c>
      <c r="R1738" s="2" t="inlineStr"/>
    </row>
    <row r="1739" ht="15" customHeight="1">
      <c r="A1739" t="inlineStr">
        <is>
          <t>A 50106-2024</t>
        </is>
      </c>
      <c r="B1739" s="1" t="n">
        <v>45600</v>
      </c>
      <c r="C1739" s="1" t="n">
        <v>45849</v>
      </c>
      <c r="D1739" t="inlineStr">
        <is>
          <t>VÄSTERBOTTENS LÄN</t>
        </is>
      </c>
      <c r="E1739" t="inlineStr">
        <is>
          <t>LYCKSELE</t>
        </is>
      </c>
      <c r="G1739" t="n">
        <v>8.199999999999999</v>
      </c>
      <c r="H1739" t="n">
        <v>0</v>
      </c>
      <c r="I1739" t="n">
        <v>0</v>
      </c>
      <c r="J1739" t="n">
        <v>0</v>
      </c>
      <c r="K1739" t="n">
        <v>0</v>
      </c>
      <c r="L1739" t="n">
        <v>0</v>
      </c>
      <c r="M1739" t="n">
        <v>0</v>
      </c>
      <c r="N1739" t="n">
        <v>0</v>
      </c>
      <c r="O1739" t="n">
        <v>0</v>
      </c>
      <c r="P1739" t="n">
        <v>0</v>
      </c>
      <c r="Q1739" t="n">
        <v>0</v>
      </c>
      <c r="R1739" s="2" t="inlineStr"/>
    </row>
    <row r="1740" ht="15" customHeight="1">
      <c r="A1740" t="inlineStr">
        <is>
          <t>A 50286-2024</t>
        </is>
      </c>
      <c r="B1740" s="1" t="n">
        <v>45600</v>
      </c>
      <c r="C1740" s="1" t="n">
        <v>45849</v>
      </c>
      <c r="D1740" t="inlineStr">
        <is>
          <t>VÄSTERBOTTENS LÄN</t>
        </is>
      </c>
      <c r="E1740" t="inlineStr">
        <is>
          <t>LYCKSELE</t>
        </is>
      </c>
      <c r="G1740" t="n">
        <v>3</v>
      </c>
      <c r="H1740" t="n">
        <v>0</v>
      </c>
      <c r="I1740" t="n">
        <v>0</v>
      </c>
      <c r="J1740" t="n">
        <v>0</v>
      </c>
      <c r="K1740" t="n">
        <v>0</v>
      </c>
      <c r="L1740" t="n">
        <v>0</v>
      </c>
      <c r="M1740" t="n">
        <v>0</v>
      </c>
      <c r="N1740" t="n">
        <v>0</v>
      </c>
      <c r="O1740" t="n">
        <v>0</v>
      </c>
      <c r="P1740" t="n">
        <v>0</v>
      </c>
      <c r="Q1740" t="n">
        <v>0</v>
      </c>
      <c r="R1740" s="2" t="inlineStr"/>
    </row>
    <row r="1741" ht="15" customHeight="1">
      <c r="A1741" t="inlineStr">
        <is>
          <t>A 50468-2024</t>
        </is>
      </c>
      <c r="B1741" s="1" t="n">
        <v>45601</v>
      </c>
      <c r="C1741" s="1" t="n">
        <v>45849</v>
      </c>
      <c r="D1741" t="inlineStr">
        <is>
          <t>VÄSTERBOTTENS LÄN</t>
        </is>
      </c>
      <c r="E1741" t="inlineStr">
        <is>
          <t>LYCKSELE</t>
        </is>
      </c>
      <c r="G1741" t="n">
        <v>2.2</v>
      </c>
      <c r="H1741" t="n">
        <v>0</v>
      </c>
      <c r="I1741" t="n">
        <v>0</v>
      </c>
      <c r="J1741" t="n">
        <v>0</v>
      </c>
      <c r="K1741" t="n">
        <v>0</v>
      </c>
      <c r="L1741" t="n">
        <v>0</v>
      </c>
      <c r="M1741" t="n">
        <v>0</v>
      </c>
      <c r="N1741" t="n">
        <v>0</v>
      </c>
      <c r="O1741" t="n">
        <v>0</v>
      </c>
      <c r="P1741" t="n">
        <v>0</v>
      </c>
      <c r="Q1741" t="n">
        <v>0</v>
      </c>
      <c r="R1741" s="2" t="inlineStr"/>
    </row>
    <row r="1742" ht="15" customHeight="1">
      <c r="A1742" t="inlineStr">
        <is>
          <t>A 50845-2024</t>
        </is>
      </c>
      <c r="B1742" s="1" t="n">
        <v>45602</v>
      </c>
      <c r="C1742" s="1" t="n">
        <v>45849</v>
      </c>
      <c r="D1742" t="inlineStr">
        <is>
          <t>VÄSTERBOTTENS LÄN</t>
        </is>
      </c>
      <c r="E1742" t="inlineStr">
        <is>
          <t>LYCKSELE</t>
        </is>
      </c>
      <c r="G1742" t="n">
        <v>4.4</v>
      </c>
      <c r="H1742" t="n">
        <v>0</v>
      </c>
      <c r="I1742" t="n">
        <v>0</v>
      </c>
      <c r="J1742" t="n">
        <v>0</v>
      </c>
      <c r="K1742" t="n">
        <v>0</v>
      </c>
      <c r="L1742" t="n">
        <v>0</v>
      </c>
      <c r="M1742" t="n">
        <v>0</v>
      </c>
      <c r="N1742" t="n">
        <v>0</v>
      </c>
      <c r="O1742" t="n">
        <v>0</v>
      </c>
      <c r="P1742" t="n">
        <v>0</v>
      </c>
      <c r="Q1742" t="n">
        <v>0</v>
      </c>
      <c r="R1742" s="2" t="inlineStr"/>
    </row>
    <row r="1743" ht="15" customHeight="1">
      <c r="A1743" t="inlineStr">
        <is>
          <t>A 50754-2024</t>
        </is>
      </c>
      <c r="B1743" s="1" t="n">
        <v>45602</v>
      </c>
      <c r="C1743" s="1" t="n">
        <v>45849</v>
      </c>
      <c r="D1743" t="inlineStr">
        <is>
          <t>VÄSTERBOTTENS LÄN</t>
        </is>
      </c>
      <c r="E1743" t="inlineStr">
        <is>
          <t>LYCKSELE</t>
        </is>
      </c>
      <c r="G1743" t="n">
        <v>2.1</v>
      </c>
      <c r="H1743" t="n">
        <v>0</v>
      </c>
      <c r="I1743" t="n">
        <v>0</v>
      </c>
      <c r="J1743" t="n">
        <v>0</v>
      </c>
      <c r="K1743" t="n">
        <v>0</v>
      </c>
      <c r="L1743" t="n">
        <v>0</v>
      </c>
      <c r="M1743" t="n">
        <v>0</v>
      </c>
      <c r="N1743" t="n">
        <v>0</v>
      </c>
      <c r="O1743" t="n">
        <v>0</v>
      </c>
      <c r="P1743" t="n">
        <v>0</v>
      </c>
      <c r="Q1743" t="n">
        <v>0</v>
      </c>
      <c r="R1743" s="2" t="inlineStr"/>
    </row>
    <row r="1744" ht="15" customHeight="1">
      <c r="A1744" t="inlineStr">
        <is>
          <t>A 51152-2024</t>
        </is>
      </c>
      <c r="B1744" s="1" t="n">
        <v>45603</v>
      </c>
      <c r="C1744" s="1" t="n">
        <v>45849</v>
      </c>
      <c r="D1744" t="inlineStr">
        <is>
          <t>VÄSTERBOTTENS LÄN</t>
        </is>
      </c>
      <c r="E1744" t="inlineStr">
        <is>
          <t>LYCKSELE</t>
        </is>
      </c>
      <c r="F1744" t="inlineStr">
        <is>
          <t>Sveaskog</t>
        </is>
      </c>
      <c r="G1744" t="n">
        <v>1.6</v>
      </c>
      <c r="H1744" t="n">
        <v>0</v>
      </c>
      <c r="I1744" t="n">
        <v>0</v>
      </c>
      <c r="J1744" t="n">
        <v>0</v>
      </c>
      <c r="K1744" t="n">
        <v>0</v>
      </c>
      <c r="L1744" t="n">
        <v>0</v>
      </c>
      <c r="M1744" t="n">
        <v>0</v>
      </c>
      <c r="N1744" t="n">
        <v>0</v>
      </c>
      <c r="O1744" t="n">
        <v>0</v>
      </c>
      <c r="P1744" t="n">
        <v>0</v>
      </c>
      <c r="Q1744" t="n">
        <v>0</v>
      </c>
      <c r="R1744" s="2" t="inlineStr"/>
    </row>
    <row r="1745" ht="15" customHeight="1">
      <c r="A1745" t="inlineStr">
        <is>
          <t>A 51225-2024</t>
        </is>
      </c>
      <c r="B1745" s="1" t="n">
        <v>45603</v>
      </c>
      <c r="C1745" s="1" t="n">
        <v>45849</v>
      </c>
      <c r="D1745" t="inlineStr">
        <is>
          <t>VÄSTERBOTTENS LÄN</t>
        </is>
      </c>
      <c r="E1745" t="inlineStr">
        <is>
          <t>LYCKSELE</t>
        </is>
      </c>
      <c r="F1745" t="inlineStr">
        <is>
          <t>SCA</t>
        </is>
      </c>
      <c r="G1745" t="n">
        <v>1.6</v>
      </c>
      <c r="H1745" t="n">
        <v>0</v>
      </c>
      <c r="I1745" t="n">
        <v>0</v>
      </c>
      <c r="J1745" t="n">
        <v>0</v>
      </c>
      <c r="K1745" t="n">
        <v>0</v>
      </c>
      <c r="L1745" t="n">
        <v>0</v>
      </c>
      <c r="M1745" t="n">
        <v>0</v>
      </c>
      <c r="N1745" t="n">
        <v>0</v>
      </c>
      <c r="O1745" t="n">
        <v>0</v>
      </c>
      <c r="P1745" t="n">
        <v>0</v>
      </c>
      <c r="Q1745" t="n">
        <v>0</v>
      </c>
      <c r="R1745" s="2" t="inlineStr"/>
    </row>
    <row r="1746" ht="15" customHeight="1">
      <c r="A1746" t="inlineStr">
        <is>
          <t>A 51053-2024</t>
        </is>
      </c>
      <c r="B1746" s="1" t="n">
        <v>45603</v>
      </c>
      <c r="C1746" s="1" t="n">
        <v>45849</v>
      </c>
      <c r="D1746" t="inlineStr">
        <is>
          <t>VÄSTERBOTTENS LÄN</t>
        </is>
      </c>
      <c r="E1746" t="inlineStr">
        <is>
          <t>LYCKSELE</t>
        </is>
      </c>
      <c r="F1746" t="inlineStr">
        <is>
          <t>SCA</t>
        </is>
      </c>
      <c r="G1746" t="n">
        <v>2.7</v>
      </c>
      <c r="H1746" t="n">
        <v>0</v>
      </c>
      <c r="I1746" t="n">
        <v>0</v>
      </c>
      <c r="J1746" t="n">
        <v>0</v>
      </c>
      <c r="K1746" t="n">
        <v>0</v>
      </c>
      <c r="L1746" t="n">
        <v>0</v>
      </c>
      <c r="M1746" t="n">
        <v>0</v>
      </c>
      <c r="N1746" t="n">
        <v>0</v>
      </c>
      <c r="O1746" t="n">
        <v>0</v>
      </c>
      <c r="P1746" t="n">
        <v>0</v>
      </c>
      <c r="Q1746" t="n">
        <v>0</v>
      </c>
      <c r="R1746" s="2" t="inlineStr"/>
    </row>
    <row r="1747" ht="15" customHeight="1">
      <c r="A1747" t="inlineStr">
        <is>
          <t>A 51406-2024</t>
        </is>
      </c>
      <c r="B1747" s="1" t="n">
        <v>45604</v>
      </c>
      <c r="C1747" s="1" t="n">
        <v>45849</v>
      </c>
      <c r="D1747" t="inlineStr">
        <is>
          <t>VÄSTERBOTTENS LÄN</t>
        </is>
      </c>
      <c r="E1747" t="inlineStr">
        <is>
          <t>LYCKSELE</t>
        </is>
      </c>
      <c r="F1747" t="inlineStr">
        <is>
          <t>SCA</t>
        </is>
      </c>
      <c r="G1747" t="n">
        <v>8.199999999999999</v>
      </c>
      <c r="H1747" t="n">
        <v>0</v>
      </c>
      <c r="I1747" t="n">
        <v>0</v>
      </c>
      <c r="J1747" t="n">
        <v>0</v>
      </c>
      <c r="K1747" t="n">
        <v>0</v>
      </c>
      <c r="L1747" t="n">
        <v>0</v>
      </c>
      <c r="M1747" t="n">
        <v>0</v>
      </c>
      <c r="N1747" t="n">
        <v>0</v>
      </c>
      <c r="O1747" t="n">
        <v>0</v>
      </c>
      <c r="P1747" t="n">
        <v>0</v>
      </c>
      <c r="Q1747" t="n">
        <v>0</v>
      </c>
      <c r="R1747" s="2" t="inlineStr"/>
    </row>
    <row r="1748" ht="15" customHeight="1">
      <c r="A1748" t="inlineStr">
        <is>
          <t>A 51466-2024</t>
        </is>
      </c>
      <c r="B1748" s="1" t="n">
        <v>45604</v>
      </c>
      <c r="C1748" s="1" t="n">
        <v>45849</v>
      </c>
      <c r="D1748" t="inlineStr">
        <is>
          <t>VÄSTERBOTTENS LÄN</t>
        </is>
      </c>
      <c r="E1748" t="inlineStr">
        <is>
          <t>LYCKSELE</t>
        </is>
      </c>
      <c r="G1748" t="n">
        <v>0.8</v>
      </c>
      <c r="H1748" t="n">
        <v>0</v>
      </c>
      <c r="I1748" t="n">
        <v>0</v>
      </c>
      <c r="J1748" t="n">
        <v>0</v>
      </c>
      <c r="K1748" t="n">
        <v>0</v>
      </c>
      <c r="L1748" t="n">
        <v>0</v>
      </c>
      <c r="M1748" t="n">
        <v>0</v>
      </c>
      <c r="N1748" t="n">
        <v>0</v>
      </c>
      <c r="O1748" t="n">
        <v>0</v>
      </c>
      <c r="P1748" t="n">
        <v>0</v>
      </c>
      <c r="Q1748" t="n">
        <v>0</v>
      </c>
      <c r="R1748" s="2" t="inlineStr"/>
    </row>
    <row r="1749" ht="15" customHeight="1">
      <c r="A1749" t="inlineStr">
        <is>
          <t>A 51572-2024</t>
        </is>
      </c>
      <c r="B1749" s="1" t="n">
        <v>45604</v>
      </c>
      <c r="C1749" s="1" t="n">
        <v>45849</v>
      </c>
      <c r="D1749" t="inlineStr">
        <is>
          <t>VÄSTERBOTTENS LÄN</t>
        </is>
      </c>
      <c r="E1749" t="inlineStr">
        <is>
          <t>LYCKSELE</t>
        </is>
      </c>
      <c r="F1749" t="inlineStr">
        <is>
          <t>Sveaskog</t>
        </is>
      </c>
      <c r="G1749" t="n">
        <v>9.9</v>
      </c>
      <c r="H1749" t="n">
        <v>0</v>
      </c>
      <c r="I1749" t="n">
        <v>0</v>
      </c>
      <c r="J1749" t="n">
        <v>0</v>
      </c>
      <c r="K1749" t="n">
        <v>0</v>
      </c>
      <c r="L1749" t="n">
        <v>0</v>
      </c>
      <c r="M1749" t="n">
        <v>0</v>
      </c>
      <c r="N1749" t="n">
        <v>0</v>
      </c>
      <c r="O1749" t="n">
        <v>0</v>
      </c>
      <c r="P1749" t="n">
        <v>0</v>
      </c>
      <c r="Q1749" t="n">
        <v>0</v>
      </c>
      <c r="R1749" s="2" t="inlineStr"/>
    </row>
    <row r="1750" ht="15" customHeight="1">
      <c r="A1750" t="inlineStr">
        <is>
          <t>A 51669-2024</t>
        </is>
      </c>
      <c r="B1750" s="1" t="n">
        <v>45606</v>
      </c>
      <c r="C1750" s="1" t="n">
        <v>45849</v>
      </c>
      <c r="D1750" t="inlineStr">
        <is>
          <t>VÄSTERBOTTENS LÄN</t>
        </is>
      </c>
      <c r="E1750" t="inlineStr">
        <is>
          <t>LYCKSELE</t>
        </is>
      </c>
      <c r="G1750" t="n">
        <v>1.1</v>
      </c>
      <c r="H1750" t="n">
        <v>0</v>
      </c>
      <c r="I1750" t="n">
        <v>0</v>
      </c>
      <c r="J1750" t="n">
        <v>0</v>
      </c>
      <c r="K1750" t="n">
        <v>0</v>
      </c>
      <c r="L1750" t="n">
        <v>0</v>
      </c>
      <c r="M1750" t="n">
        <v>0</v>
      </c>
      <c r="N1750" t="n">
        <v>0</v>
      </c>
      <c r="O1750" t="n">
        <v>0</v>
      </c>
      <c r="P1750" t="n">
        <v>0</v>
      </c>
      <c r="Q1750" t="n">
        <v>0</v>
      </c>
      <c r="R1750" s="2" t="inlineStr"/>
    </row>
    <row r="1751" ht="15" customHeight="1">
      <c r="A1751" t="inlineStr">
        <is>
          <t>A 51699-2024</t>
        </is>
      </c>
      <c r="B1751" s="1" t="n">
        <v>45607</v>
      </c>
      <c r="C1751" s="1" t="n">
        <v>45849</v>
      </c>
      <c r="D1751" t="inlineStr">
        <is>
          <t>VÄSTERBOTTENS LÄN</t>
        </is>
      </c>
      <c r="E1751" t="inlineStr">
        <is>
          <t>LYCKSELE</t>
        </is>
      </c>
      <c r="G1751" t="n">
        <v>4.7</v>
      </c>
      <c r="H1751" t="n">
        <v>0</v>
      </c>
      <c r="I1751" t="n">
        <v>0</v>
      </c>
      <c r="J1751" t="n">
        <v>0</v>
      </c>
      <c r="K1751" t="n">
        <v>0</v>
      </c>
      <c r="L1751" t="n">
        <v>0</v>
      </c>
      <c r="M1751" t="n">
        <v>0</v>
      </c>
      <c r="N1751" t="n">
        <v>0</v>
      </c>
      <c r="O1751" t="n">
        <v>0</v>
      </c>
      <c r="P1751" t="n">
        <v>0</v>
      </c>
      <c r="Q1751" t="n">
        <v>0</v>
      </c>
      <c r="R1751" s="2" t="inlineStr"/>
    </row>
    <row r="1752" ht="15" customHeight="1">
      <c r="A1752" t="inlineStr">
        <is>
          <t>A 52249-2024</t>
        </is>
      </c>
      <c r="B1752" s="1" t="n">
        <v>45608</v>
      </c>
      <c r="C1752" s="1" t="n">
        <v>45849</v>
      </c>
      <c r="D1752" t="inlineStr">
        <is>
          <t>VÄSTERBOTTENS LÄN</t>
        </is>
      </c>
      <c r="E1752" t="inlineStr">
        <is>
          <t>LYCKSELE</t>
        </is>
      </c>
      <c r="F1752" t="inlineStr">
        <is>
          <t>Sveaskog</t>
        </is>
      </c>
      <c r="G1752" t="n">
        <v>1.1</v>
      </c>
      <c r="H1752" t="n">
        <v>0</v>
      </c>
      <c r="I1752" t="n">
        <v>0</v>
      </c>
      <c r="J1752" t="n">
        <v>0</v>
      </c>
      <c r="K1752" t="n">
        <v>0</v>
      </c>
      <c r="L1752" t="n">
        <v>0</v>
      </c>
      <c r="M1752" t="n">
        <v>0</v>
      </c>
      <c r="N1752" t="n">
        <v>0</v>
      </c>
      <c r="O1752" t="n">
        <v>0</v>
      </c>
      <c r="P1752" t="n">
        <v>0</v>
      </c>
      <c r="Q1752" t="n">
        <v>0</v>
      </c>
      <c r="R1752" s="2" t="inlineStr"/>
    </row>
    <row r="1753" ht="15" customHeight="1">
      <c r="A1753" t="inlineStr">
        <is>
          <t>A 52251-2024</t>
        </is>
      </c>
      <c r="B1753" s="1" t="n">
        <v>45608</v>
      </c>
      <c r="C1753" s="1" t="n">
        <v>45849</v>
      </c>
      <c r="D1753" t="inlineStr">
        <is>
          <t>VÄSTERBOTTENS LÄN</t>
        </is>
      </c>
      <c r="E1753" t="inlineStr">
        <is>
          <t>LYCKSELE</t>
        </is>
      </c>
      <c r="F1753" t="inlineStr">
        <is>
          <t>Sveaskog</t>
        </is>
      </c>
      <c r="G1753" t="n">
        <v>1.3</v>
      </c>
      <c r="H1753" t="n">
        <v>0</v>
      </c>
      <c r="I1753" t="n">
        <v>0</v>
      </c>
      <c r="J1753" t="n">
        <v>0</v>
      </c>
      <c r="K1753" t="n">
        <v>0</v>
      </c>
      <c r="L1753" t="n">
        <v>0</v>
      </c>
      <c r="M1753" t="n">
        <v>0</v>
      </c>
      <c r="N1753" t="n">
        <v>0</v>
      </c>
      <c r="O1753" t="n">
        <v>0</v>
      </c>
      <c r="P1753" t="n">
        <v>0</v>
      </c>
      <c r="Q1753" t="n">
        <v>0</v>
      </c>
      <c r="R1753" s="2" t="inlineStr"/>
    </row>
    <row r="1754" ht="15" customHeight="1">
      <c r="A1754" t="inlineStr">
        <is>
          <t>A 52222-2024</t>
        </is>
      </c>
      <c r="B1754" s="1" t="n">
        <v>45608</v>
      </c>
      <c r="C1754" s="1" t="n">
        <v>45849</v>
      </c>
      <c r="D1754" t="inlineStr">
        <is>
          <t>VÄSTERBOTTENS LÄN</t>
        </is>
      </c>
      <c r="E1754" t="inlineStr">
        <is>
          <t>LYCKSELE</t>
        </is>
      </c>
      <c r="F1754" t="inlineStr">
        <is>
          <t>Sveaskog</t>
        </is>
      </c>
      <c r="G1754" t="n">
        <v>2.1</v>
      </c>
      <c r="H1754" t="n">
        <v>0</v>
      </c>
      <c r="I1754" t="n">
        <v>0</v>
      </c>
      <c r="J1754" t="n">
        <v>0</v>
      </c>
      <c r="K1754" t="n">
        <v>0</v>
      </c>
      <c r="L1754" t="n">
        <v>0</v>
      </c>
      <c r="M1754" t="n">
        <v>0</v>
      </c>
      <c r="N1754" t="n">
        <v>0</v>
      </c>
      <c r="O1754" t="n">
        <v>0</v>
      </c>
      <c r="P1754" t="n">
        <v>0</v>
      </c>
      <c r="Q1754" t="n">
        <v>0</v>
      </c>
      <c r="R1754" s="2" t="inlineStr"/>
    </row>
    <row r="1755" ht="15" customHeight="1">
      <c r="A1755" t="inlineStr">
        <is>
          <t>A 52124-2024</t>
        </is>
      </c>
      <c r="B1755" s="1" t="n">
        <v>45608</v>
      </c>
      <c r="C1755" s="1" t="n">
        <v>45849</v>
      </c>
      <c r="D1755" t="inlineStr">
        <is>
          <t>VÄSTERBOTTENS LÄN</t>
        </is>
      </c>
      <c r="E1755" t="inlineStr">
        <is>
          <t>LYCKSELE</t>
        </is>
      </c>
      <c r="F1755" t="inlineStr">
        <is>
          <t>Sveaskog</t>
        </is>
      </c>
      <c r="G1755" t="n">
        <v>6</v>
      </c>
      <c r="H1755" t="n">
        <v>0</v>
      </c>
      <c r="I1755" t="n">
        <v>0</v>
      </c>
      <c r="J1755" t="n">
        <v>0</v>
      </c>
      <c r="K1755" t="n">
        <v>0</v>
      </c>
      <c r="L1755" t="n">
        <v>0</v>
      </c>
      <c r="M1755" t="n">
        <v>0</v>
      </c>
      <c r="N1755" t="n">
        <v>0</v>
      </c>
      <c r="O1755" t="n">
        <v>0</v>
      </c>
      <c r="P1755" t="n">
        <v>0</v>
      </c>
      <c r="Q1755" t="n">
        <v>0</v>
      </c>
      <c r="R1755" s="2" t="inlineStr"/>
    </row>
    <row r="1756" ht="15" customHeight="1">
      <c r="A1756" t="inlineStr">
        <is>
          <t>A 52144-2024</t>
        </is>
      </c>
      <c r="B1756" s="1" t="n">
        <v>45608</v>
      </c>
      <c r="C1756" s="1" t="n">
        <v>45849</v>
      </c>
      <c r="D1756" t="inlineStr">
        <is>
          <t>VÄSTERBOTTENS LÄN</t>
        </is>
      </c>
      <c r="E1756" t="inlineStr">
        <is>
          <t>LYCKSELE</t>
        </is>
      </c>
      <c r="G1756" t="n">
        <v>5</v>
      </c>
      <c r="H1756" t="n">
        <v>0</v>
      </c>
      <c r="I1756" t="n">
        <v>0</v>
      </c>
      <c r="J1756" t="n">
        <v>0</v>
      </c>
      <c r="K1756" t="n">
        <v>0</v>
      </c>
      <c r="L1756" t="n">
        <v>0</v>
      </c>
      <c r="M1756" t="n">
        <v>0</v>
      </c>
      <c r="N1756" t="n">
        <v>0</v>
      </c>
      <c r="O1756" t="n">
        <v>0</v>
      </c>
      <c r="P1756" t="n">
        <v>0</v>
      </c>
      <c r="Q1756" t="n">
        <v>0</v>
      </c>
      <c r="R1756" s="2" t="inlineStr"/>
    </row>
    <row r="1757" ht="15" customHeight="1">
      <c r="A1757" t="inlineStr">
        <is>
          <t>A 52233-2024</t>
        </is>
      </c>
      <c r="B1757" s="1" t="n">
        <v>45608</v>
      </c>
      <c r="C1757" s="1" t="n">
        <v>45849</v>
      </c>
      <c r="D1757" t="inlineStr">
        <is>
          <t>VÄSTERBOTTENS LÄN</t>
        </is>
      </c>
      <c r="E1757" t="inlineStr">
        <is>
          <t>LYCKSELE</t>
        </is>
      </c>
      <c r="F1757" t="inlineStr">
        <is>
          <t>Sveaskog</t>
        </is>
      </c>
      <c r="G1757" t="n">
        <v>1.3</v>
      </c>
      <c r="H1757" t="n">
        <v>0</v>
      </c>
      <c r="I1757" t="n">
        <v>0</v>
      </c>
      <c r="J1757" t="n">
        <v>0</v>
      </c>
      <c r="K1757" t="n">
        <v>0</v>
      </c>
      <c r="L1757" t="n">
        <v>0</v>
      </c>
      <c r="M1757" t="n">
        <v>0</v>
      </c>
      <c r="N1757" t="n">
        <v>0</v>
      </c>
      <c r="O1757" t="n">
        <v>0</v>
      </c>
      <c r="P1757" t="n">
        <v>0</v>
      </c>
      <c r="Q1757" t="n">
        <v>0</v>
      </c>
      <c r="R1757" s="2" t="inlineStr"/>
    </row>
    <row r="1758" ht="15" customHeight="1">
      <c r="A1758" t="inlineStr">
        <is>
          <t>A 53076-2024</t>
        </is>
      </c>
      <c r="B1758" s="1" t="n">
        <v>45611</v>
      </c>
      <c r="C1758" s="1" t="n">
        <v>45849</v>
      </c>
      <c r="D1758" t="inlineStr">
        <is>
          <t>VÄSTERBOTTENS LÄN</t>
        </is>
      </c>
      <c r="E1758" t="inlineStr">
        <is>
          <t>LYCKSELE</t>
        </is>
      </c>
      <c r="F1758" t="inlineStr">
        <is>
          <t>Sveaskog</t>
        </is>
      </c>
      <c r="G1758" t="n">
        <v>9.300000000000001</v>
      </c>
      <c r="H1758" t="n">
        <v>0</v>
      </c>
      <c r="I1758" t="n">
        <v>0</v>
      </c>
      <c r="J1758" t="n">
        <v>0</v>
      </c>
      <c r="K1758" t="n">
        <v>0</v>
      </c>
      <c r="L1758" t="n">
        <v>0</v>
      </c>
      <c r="M1758" t="n">
        <v>0</v>
      </c>
      <c r="N1758" t="n">
        <v>0</v>
      </c>
      <c r="O1758" t="n">
        <v>0</v>
      </c>
      <c r="P1758" t="n">
        <v>0</v>
      </c>
      <c r="Q1758" t="n">
        <v>0</v>
      </c>
      <c r="R1758" s="2" t="inlineStr"/>
    </row>
    <row r="1759" ht="15" customHeight="1">
      <c r="A1759" t="inlineStr">
        <is>
          <t>A 53013-2024</t>
        </is>
      </c>
      <c r="B1759" s="1" t="n">
        <v>45611</v>
      </c>
      <c r="C1759" s="1" t="n">
        <v>45849</v>
      </c>
      <c r="D1759" t="inlineStr">
        <is>
          <t>VÄSTERBOTTENS LÄN</t>
        </is>
      </c>
      <c r="E1759" t="inlineStr">
        <is>
          <t>LYCKSELE</t>
        </is>
      </c>
      <c r="F1759" t="inlineStr">
        <is>
          <t>Sveaskog</t>
        </is>
      </c>
      <c r="G1759" t="n">
        <v>7.9</v>
      </c>
      <c r="H1759" t="n">
        <v>0</v>
      </c>
      <c r="I1759" t="n">
        <v>0</v>
      </c>
      <c r="J1759" t="n">
        <v>0</v>
      </c>
      <c r="K1759" t="n">
        <v>0</v>
      </c>
      <c r="L1759" t="n">
        <v>0</v>
      </c>
      <c r="M1759" t="n">
        <v>0</v>
      </c>
      <c r="N1759" t="n">
        <v>0</v>
      </c>
      <c r="O1759" t="n">
        <v>0</v>
      </c>
      <c r="P1759" t="n">
        <v>0</v>
      </c>
      <c r="Q1759" t="n">
        <v>0</v>
      </c>
      <c r="R1759" s="2" t="inlineStr"/>
    </row>
    <row r="1760" ht="15" customHeight="1">
      <c r="A1760" t="inlineStr">
        <is>
          <t>A 53116-2024</t>
        </is>
      </c>
      <c r="B1760" s="1" t="n">
        <v>45611</v>
      </c>
      <c r="C1760" s="1" t="n">
        <v>45849</v>
      </c>
      <c r="D1760" t="inlineStr">
        <is>
          <t>VÄSTERBOTTENS LÄN</t>
        </is>
      </c>
      <c r="E1760" t="inlineStr">
        <is>
          <t>LYCKSELE</t>
        </is>
      </c>
      <c r="F1760" t="inlineStr">
        <is>
          <t>Sveaskog</t>
        </is>
      </c>
      <c r="G1760" t="n">
        <v>2.7</v>
      </c>
      <c r="H1760" t="n">
        <v>0</v>
      </c>
      <c r="I1760" t="n">
        <v>0</v>
      </c>
      <c r="J1760" t="n">
        <v>0</v>
      </c>
      <c r="K1760" t="n">
        <v>0</v>
      </c>
      <c r="L1760" t="n">
        <v>0</v>
      </c>
      <c r="M1760" t="n">
        <v>0</v>
      </c>
      <c r="N1760" t="n">
        <v>0</v>
      </c>
      <c r="O1760" t="n">
        <v>0</v>
      </c>
      <c r="P1760" t="n">
        <v>0</v>
      </c>
      <c r="Q1760" t="n">
        <v>0</v>
      </c>
      <c r="R1760" s="2" t="inlineStr"/>
    </row>
    <row r="1761" ht="15" customHeight="1">
      <c r="A1761" t="inlineStr">
        <is>
          <t>A 53096-2024</t>
        </is>
      </c>
      <c r="B1761" s="1" t="n">
        <v>45611</v>
      </c>
      <c r="C1761" s="1" t="n">
        <v>45849</v>
      </c>
      <c r="D1761" t="inlineStr">
        <is>
          <t>VÄSTERBOTTENS LÄN</t>
        </is>
      </c>
      <c r="E1761" t="inlineStr">
        <is>
          <t>LYCKSELE</t>
        </is>
      </c>
      <c r="F1761" t="inlineStr">
        <is>
          <t>Sveaskog</t>
        </is>
      </c>
      <c r="G1761" t="n">
        <v>8.4</v>
      </c>
      <c r="H1761" t="n">
        <v>0</v>
      </c>
      <c r="I1761" t="n">
        <v>0</v>
      </c>
      <c r="J1761" t="n">
        <v>0</v>
      </c>
      <c r="K1761" t="n">
        <v>0</v>
      </c>
      <c r="L1761" t="n">
        <v>0</v>
      </c>
      <c r="M1761" t="n">
        <v>0</v>
      </c>
      <c r="N1761" t="n">
        <v>0</v>
      </c>
      <c r="O1761" t="n">
        <v>0</v>
      </c>
      <c r="P1761" t="n">
        <v>0</v>
      </c>
      <c r="Q1761" t="n">
        <v>0</v>
      </c>
      <c r="R1761" s="2" t="inlineStr"/>
    </row>
    <row r="1762" ht="15" customHeight="1">
      <c r="A1762" t="inlineStr">
        <is>
          <t>A 53011-2024</t>
        </is>
      </c>
      <c r="B1762" s="1" t="n">
        <v>45611</v>
      </c>
      <c r="C1762" s="1" t="n">
        <v>45849</v>
      </c>
      <c r="D1762" t="inlineStr">
        <is>
          <t>VÄSTERBOTTENS LÄN</t>
        </is>
      </c>
      <c r="E1762" t="inlineStr">
        <is>
          <t>LYCKSELE</t>
        </is>
      </c>
      <c r="F1762" t="inlineStr">
        <is>
          <t>Sveaskog</t>
        </is>
      </c>
      <c r="G1762" t="n">
        <v>7.1</v>
      </c>
      <c r="H1762" t="n">
        <v>0</v>
      </c>
      <c r="I1762" t="n">
        <v>0</v>
      </c>
      <c r="J1762" t="n">
        <v>0</v>
      </c>
      <c r="K1762" t="n">
        <v>0</v>
      </c>
      <c r="L1762" t="n">
        <v>0</v>
      </c>
      <c r="M1762" t="n">
        <v>0</v>
      </c>
      <c r="N1762" t="n">
        <v>0</v>
      </c>
      <c r="O1762" t="n">
        <v>0</v>
      </c>
      <c r="P1762" t="n">
        <v>0</v>
      </c>
      <c r="Q1762" t="n">
        <v>0</v>
      </c>
      <c r="R1762" s="2" t="inlineStr"/>
    </row>
    <row r="1763" ht="15" customHeight="1">
      <c r="A1763" t="inlineStr">
        <is>
          <t>A 53235-2024</t>
        </is>
      </c>
      <c r="B1763" s="1" t="n">
        <v>45613</v>
      </c>
      <c r="C1763" s="1" t="n">
        <v>45849</v>
      </c>
      <c r="D1763" t="inlineStr">
        <is>
          <t>VÄSTERBOTTENS LÄN</t>
        </is>
      </c>
      <c r="E1763" t="inlineStr">
        <is>
          <t>LYCKSELE</t>
        </is>
      </c>
      <c r="F1763" t="inlineStr">
        <is>
          <t>Sveaskog</t>
        </is>
      </c>
      <c r="G1763" t="n">
        <v>4.5</v>
      </c>
      <c r="H1763" t="n">
        <v>0</v>
      </c>
      <c r="I1763" t="n">
        <v>0</v>
      </c>
      <c r="J1763" t="n">
        <v>0</v>
      </c>
      <c r="K1763" t="n">
        <v>0</v>
      </c>
      <c r="L1763" t="n">
        <v>0</v>
      </c>
      <c r="M1763" t="n">
        <v>0</v>
      </c>
      <c r="N1763" t="n">
        <v>0</v>
      </c>
      <c r="O1763" t="n">
        <v>0</v>
      </c>
      <c r="P1763" t="n">
        <v>0</v>
      </c>
      <c r="Q1763" t="n">
        <v>0</v>
      </c>
      <c r="R1763" s="2" t="inlineStr"/>
    </row>
    <row r="1764" ht="15" customHeight="1">
      <c r="A1764" t="inlineStr">
        <is>
          <t>A 53233-2024</t>
        </is>
      </c>
      <c r="B1764" s="1" t="n">
        <v>45613</v>
      </c>
      <c r="C1764" s="1" t="n">
        <v>45849</v>
      </c>
      <c r="D1764" t="inlineStr">
        <is>
          <t>VÄSTERBOTTENS LÄN</t>
        </is>
      </c>
      <c r="E1764" t="inlineStr">
        <is>
          <t>LYCKSELE</t>
        </is>
      </c>
      <c r="F1764" t="inlineStr">
        <is>
          <t>Sveaskog</t>
        </is>
      </c>
      <c r="G1764" t="n">
        <v>6</v>
      </c>
      <c r="H1764" t="n">
        <v>0</v>
      </c>
      <c r="I1764" t="n">
        <v>0</v>
      </c>
      <c r="J1764" t="n">
        <v>0</v>
      </c>
      <c r="K1764" t="n">
        <v>0</v>
      </c>
      <c r="L1764" t="n">
        <v>0</v>
      </c>
      <c r="M1764" t="n">
        <v>0</v>
      </c>
      <c r="N1764" t="n">
        <v>0</v>
      </c>
      <c r="O1764" t="n">
        <v>0</v>
      </c>
      <c r="P1764" t="n">
        <v>0</v>
      </c>
      <c r="Q1764" t="n">
        <v>0</v>
      </c>
      <c r="R1764" s="2" t="inlineStr"/>
    </row>
    <row r="1765" ht="15" customHeight="1">
      <c r="A1765" t="inlineStr">
        <is>
          <t>A 53335-2024</t>
        </is>
      </c>
      <c r="B1765" s="1" t="n">
        <v>45614</v>
      </c>
      <c r="C1765" s="1" t="n">
        <v>45849</v>
      </c>
      <c r="D1765" t="inlineStr">
        <is>
          <t>VÄSTERBOTTENS LÄN</t>
        </is>
      </c>
      <c r="E1765" t="inlineStr">
        <is>
          <t>LYCKSELE</t>
        </is>
      </c>
      <c r="F1765" t="inlineStr">
        <is>
          <t>Sveaskog</t>
        </is>
      </c>
      <c r="G1765" t="n">
        <v>5.5</v>
      </c>
      <c r="H1765" t="n">
        <v>0</v>
      </c>
      <c r="I1765" t="n">
        <v>0</v>
      </c>
      <c r="J1765" t="n">
        <v>0</v>
      </c>
      <c r="K1765" t="n">
        <v>0</v>
      </c>
      <c r="L1765" t="n">
        <v>0</v>
      </c>
      <c r="M1765" t="n">
        <v>0</v>
      </c>
      <c r="N1765" t="n">
        <v>0</v>
      </c>
      <c r="O1765" t="n">
        <v>0</v>
      </c>
      <c r="P1765" t="n">
        <v>0</v>
      </c>
      <c r="Q1765" t="n">
        <v>0</v>
      </c>
      <c r="R1765" s="2" t="inlineStr"/>
    </row>
    <row r="1766" ht="15" customHeight="1">
      <c r="A1766" t="inlineStr">
        <is>
          <t>A 53779-2024</t>
        </is>
      </c>
      <c r="B1766" s="1" t="n">
        <v>45615</v>
      </c>
      <c r="C1766" s="1" t="n">
        <v>45849</v>
      </c>
      <c r="D1766" t="inlineStr">
        <is>
          <t>VÄSTERBOTTENS LÄN</t>
        </is>
      </c>
      <c r="E1766" t="inlineStr">
        <is>
          <t>LYCKSELE</t>
        </is>
      </c>
      <c r="G1766" t="n">
        <v>15.5</v>
      </c>
      <c r="H1766" t="n">
        <v>0</v>
      </c>
      <c r="I1766" t="n">
        <v>0</v>
      </c>
      <c r="J1766" t="n">
        <v>0</v>
      </c>
      <c r="K1766" t="n">
        <v>0</v>
      </c>
      <c r="L1766" t="n">
        <v>0</v>
      </c>
      <c r="M1766" t="n">
        <v>0</v>
      </c>
      <c r="N1766" t="n">
        <v>0</v>
      </c>
      <c r="O1766" t="n">
        <v>0</v>
      </c>
      <c r="P1766" t="n">
        <v>0</v>
      </c>
      <c r="Q1766" t="n">
        <v>0</v>
      </c>
      <c r="R1766" s="2" t="inlineStr"/>
    </row>
    <row r="1767" ht="15" customHeight="1">
      <c r="A1767" t="inlineStr">
        <is>
          <t>A 53791-2024</t>
        </is>
      </c>
      <c r="B1767" s="1" t="n">
        <v>45615</v>
      </c>
      <c r="C1767" s="1" t="n">
        <v>45849</v>
      </c>
      <c r="D1767" t="inlineStr">
        <is>
          <t>VÄSTERBOTTENS LÄN</t>
        </is>
      </c>
      <c r="E1767" t="inlineStr">
        <is>
          <t>LYCKSELE</t>
        </is>
      </c>
      <c r="F1767" t="inlineStr">
        <is>
          <t>SCA</t>
        </is>
      </c>
      <c r="G1767" t="n">
        <v>7.5</v>
      </c>
      <c r="H1767" t="n">
        <v>0</v>
      </c>
      <c r="I1767" t="n">
        <v>0</v>
      </c>
      <c r="J1767" t="n">
        <v>0</v>
      </c>
      <c r="K1767" t="n">
        <v>0</v>
      </c>
      <c r="L1767" t="n">
        <v>0</v>
      </c>
      <c r="M1767" t="n">
        <v>0</v>
      </c>
      <c r="N1767" t="n">
        <v>0</v>
      </c>
      <c r="O1767" t="n">
        <v>0</v>
      </c>
      <c r="P1767" t="n">
        <v>0</v>
      </c>
      <c r="Q1767" t="n">
        <v>0</v>
      </c>
      <c r="R1767" s="2" t="inlineStr"/>
    </row>
    <row r="1768" ht="15" customHeight="1">
      <c r="A1768" t="inlineStr">
        <is>
          <t>A 53790-2024</t>
        </is>
      </c>
      <c r="B1768" s="1" t="n">
        <v>45615</v>
      </c>
      <c r="C1768" s="1" t="n">
        <v>45849</v>
      </c>
      <c r="D1768" t="inlineStr">
        <is>
          <t>VÄSTERBOTTENS LÄN</t>
        </is>
      </c>
      <c r="E1768" t="inlineStr">
        <is>
          <t>LYCKSELE</t>
        </is>
      </c>
      <c r="F1768" t="inlineStr">
        <is>
          <t>SCA</t>
        </is>
      </c>
      <c r="G1768" t="n">
        <v>1.6</v>
      </c>
      <c r="H1768" t="n">
        <v>0</v>
      </c>
      <c r="I1768" t="n">
        <v>0</v>
      </c>
      <c r="J1768" t="n">
        <v>0</v>
      </c>
      <c r="K1768" t="n">
        <v>0</v>
      </c>
      <c r="L1768" t="n">
        <v>0</v>
      </c>
      <c r="M1768" t="n">
        <v>0</v>
      </c>
      <c r="N1768" t="n">
        <v>0</v>
      </c>
      <c r="O1768" t="n">
        <v>0</v>
      </c>
      <c r="P1768" t="n">
        <v>0</v>
      </c>
      <c r="Q1768" t="n">
        <v>0</v>
      </c>
      <c r="R1768" s="2" t="inlineStr"/>
    </row>
    <row r="1769" ht="15" customHeight="1">
      <c r="A1769" t="inlineStr">
        <is>
          <t>A 53788-2024</t>
        </is>
      </c>
      <c r="B1769" s="1" t="n">
        <v>45615</v>
      </c>
      <c r="C1769" s="1" t="n">
        <v>45849</v>
      </c>
      <c r="D1769" t="inlineStr">
        <is>
          <t>VÄSTERBOTTENS LÄN</t>
        </is>
      </c>
      <c r="E1769" t="inlineStr">
        <is>
          <t>LYCKSELE</t>
        </is>
      </c>
      <c r="F1769" t="inlineStr">
        <is>
          <t>SCA</t>
        </is>
      </c>
      <c r="G1769" t="n">
        <v>1.5</v>
      </c>
      <c r="H1769" t="n">
        <v>0</v>
      </c>
      <c r="I1769" t="n">
        <v>0</v>
      </c>
      <c r="J1769" t="n">
        <v>0</v>
      </c>
      <c r="K1769" t="n">
        <v>0</v>
      </c>
      <c r="L1769" t="n">
        <v>0</v>
      </c>
      <c r="M1769" t="n">
        <v>0</v>
      </c>
      <c r="N1769" t="n">
        <v>0</v>
      </c>
      <c r="O1769" t="n">
        <v>0</v>
      </c>
      <c r="P1769" t="n">
        <v>0</v>
      </c>
      <c r="Q1769" t="n">
        <v>0</v>
      </c>
      <c r="R1769" s="2" t="inlineStr"/>
    </row>
    <row r="1770" ht="15" customHeight="1">
      <c r="A1770" t="inlineStr">
        <is>
          <t>A 53874-2024</t>
        </is>
      </c>
      <c r="B1770" s="1" t="n">
        <v>45615</v>
      </c>
      <c r="C1770" s="1" t="n">
        <v>45849</v>
      </c>
      <c r="D1770" t="inlineStr">
        <is>
          <t>VÄSTERBOTTENS LÄN</t>
        </is>
      </c>
      <c r="E1770" t="inlineStr">
        <is>
          <t>LYCKSELE</t>
        </is>
      </c>
      <c r="F1770" t="inlineStr">
        <is>
          <t>SCA</t>
        </is>
      </c>
      <c r="G1770" t="n">
        <v>7.1</v>
      </c>
      <c r="H1770" t="n">
        <v>0</v>
      </c>
      <c r="I1770" t="n">
        <v>0</v>
      </c>
      <c r="J1770" t="n">
        <v>0</v>
      </c>
      <c r="K1770" t="n">
        <v>0</v>
      </c>
      <c r="L1770" t="n">
        <v>0</v>
      </c>
      <c r="M1770" t="n">
        <v>0</v>
      </c>
      <c r="N1770" t="n">
        <v>0</v>
      </c>
      <c r="O1770" t="n">
        <v>0</v>
      </c>
      <c r="P1770" t="n">
        <v>0</v>
      </c>
      <c r="Q1770" t="n">
        <v>0</v>
      </c>
      <c r="R1770" s="2" t="inlineStr"/>
    </row>
    <row r="1771" ht="15" customHeight="1">
      <c r="A1771" t="inlineStr">
        <is>
          <t>A 53875-2024</t>
        </is>
      </c>
      <c r="B1771" s="1" t="n">
        <v>45615</v>
      </c>
      <c r="C1771" s="1" t="n">
        <v>45849</v>
      </c>
      <c r="D1771" t="inlineStr">
        <is>
          <t>VÄSTERBOTTENS LÄN</t>
        </is>
      </c>
      <c r="E1771" t="inlineStr">
        <is>
          <t>LYCKSELE</t>
        </is>
      </c>
      <c r="F1771" t="inlineStr">
        <is>
          <t>SCA</t>
        </is>
      </c>
      <c r="G1771" t="n">
        <v>8.699999999999999</v>
      </c>
      <c r="H1771" t="n">
        <v>0</v>
      </c>
      <c r="I1771" t="n">
        <v>0</v>
      </c>
      <c r="J1771" t="n">
        <v>0</v>
      </c>
      <c r="K1771" t="n">
        <v>0</v>
      </c>
      <c r="L1771" t="n">
        <v>0</v>
      </c>
      <c r="M1771" t="n">
        <v>0</v>
      </c>
      <c r="N1771" t="n">
        <v>0</v>
      </c>
      <c r="O1771" t="n">
        <v>0</v>
      </c>
      <c r="P1771" t="n">
        <v>0</v>
      </c>
      <c r="Q1771" t="n">
        <v>0</v>
      </c>
      <c r="R1771" s="2" t="inlineStr"/>
    </row>
    <row r="1772" ht="15" customHeight="1">
      <c r="A1772" t="inlineStr">
        <is>
          <t>A 54123-2024</t>
        </is>
      </c>
      <c r="B1772" s="1" t="n">
        <v>45616</v>
      </c>
      <c r="C1772" s="1" t="n">
        <v>45849</v>
      </c>
      <c r="D1772" t="inlineStr">
        <is>
          <t>VÄSTERBOTTENS LÄN</t>
        </is>
      </c>
      <c r="E1772" t="inlineStr">
        <is>
          <t>LYCKSELE</t>
        </is>
      </c>
      <c r="F1772" t="inlineStr">
        <is>
          <t>Sveaskog</t>
        </is>
      </c>
      <c r="G1772" t="n">
        <v>3.7</v>
      </c>
      <c r="H1772" t="n">
        <v>0</v>
      </c>
      <c r="I1772" t="n">
        <v>0</v>
      </c>
      <c r="J1772" t="n">
        <v>0</v>
      </c>
      <c r="K1772" t="n">
        <v>0</v>
      </c>
      <c r="L1772" t="n">
        <v>0</v>
      </c>
      <c r="M1772" t="n">
        <v>0</v>
      </c>
      <c r="N1772" t="n">
        <v>0</v>
      </c>
      <c r="O1772" t="n">
        <v>0</v>
      </c>
      <c r="P1772" t="n">
        <v>0</v>
      </c>
      <c r="Q1772" t="n">
        <v>0</v>
      </c>
      <c r="R1772" s="2" t="inlineStr"/>
    </row>
    <row r="1773" ht="15" customHeight="1">
      <c r="A1773" t="inlineStr">
        <is>
          <t>A 54267-2024</t>
        </is>
      </c>
      <c r="B1773" s="1" t="n">
        <v>45616</v>
      </c>
      <c r="C1773" s="1" t="n">
        <v>45849</v>
      </c>
      <c r="D1773" t="inlineStr">
        <is>
          <t>VÄSTERBOTTENS LÄN</t>
        </is>
      </c>
      <c r="E1773" t="inlineStr">
        <is>
          <t>LYCKSELE</t>
        </is>
      </c>
      <c r="G1773" t="n">
        <v>4.7</v>
      </c>
      <c r="H1773" t="n">
        <v>0</v>
      </c>
      <c r="I1773" t="n">
        <v>0</v>
      </c>
      <c r="J1773" t="n">
        <v>0</v>
      </c>
      <c r="K1773" t="n">
        <v>0</v>
      </c>
      <c r="L1773" t="n">
        <v>0</v>
      </c>
      <c r="M1773" t="n">
        <v>0</v>
      </c>
      <c r="N1773" t="n">
        <v>0</v>
      </c>
      <c r="O1773" t="n">
        <v>0</v>
      </c>
      <c r="P1773" t="n">
        <v>0</v>
      </c>
      <c r="Q1773" t="n">
        <v>0</v>
      </c>
      <c r="R1773" s="2" t="inlineStr"/>
    </row>
    <row r="1774" ht="15" customHeight="1">
      <c r="A1774" t="inlineStr">
        <is>
          <t>A 54104-2024</t>
        </is>
      </c>
      <c r="B1774" s="1" t="n">
        <v>45616</v>
      </c>
      <c r="C1774" s="1" t="n">
        <v>45849</v>
      </c>
      <c r="D1774" t="inlineStr">
        <is>
          <t>VÄSTERBOTTENS LÄN</t>
        </is>
      </c>
      <c r="E1774" t="inlineStr">
        <is>
          <t>LYCKSELE</t>
        </is>
      </c>
      <c r="F1774" t="inlineStr">
        <is>
          <t>SCA</t>
        </is>
      </c>
      <c r="G1774" t="n">
        <v>12.2</v>
      </c>
      <c r="H1774" t="n">
        <v>0</v>
      </c>
      <c r="I1774" t="n">
        <v>0</v>
      </c>
      <c r="J1774" t="n">
        <v>0</v>
      </c>
      <c r="K1774" t="n">
        <v>0</v>
      </c>
      <c r="L1774" t="n">
        <v>0</v>
      </c>
      <c r="M1774" t="n">
        <v>0</v>
      </c>
      <c r="N1774" t="n">
        <v>0</v>
      </c>
      <c r="O1774" t="n">
        <v>0</v>
      </c>
      <c r="P1774" t="n">
        <v>0</v>
      </c>
      <c r="Q1774" t="n">
        <v>0</v>
      </c>
      <c r="R1774" s="2" t="inlineStr"/>
    </row>
    <row r="1775" ht="15" customHeight="1">
      <c r="A1775" t="inlineStr">
        <is>
          <t>A 54274-2024</t>
        </is>
      </c>
      <c r="B1775" s="1" t="n">
        <v>45616</v>
      </c>
      <c r="C1775" s="1" t="n">
        <v>45849</v>
      </c>
      <c r="D1775" t="inlineStr">
        <is>
          <t>VÄSTERBOTTENS LÄN</t>
        </is>
      </c>
      <c r="E1775" t="inlineStr">
        <is>
          <t>LYCKSELE</t>
        </is>
      </c>
      <c r="F1775" t="inlineStr">
        <is>
          <t>Sveaskog</t>
        </is>
      </c>
      <c r="G1775" t="n">
        <v>23.8</v>
      </c>
      <c r="H1775" t="n">
        <v>0</v>
      </c>
      <c r="I1775" t="n">
        <v>0</v>
      </c>
      <c r="J1775" t="n">
        <v>0</v>
      </c>
      <c r="K1775" t="n">
        <v>0</v>
      </c>
      <c r="L1775" t="n">
        <v>0</v>
      </c>
      <c r="M1775" t="n">
        <v>0</v>
      </c>
      <c r="N1775" t="n">
        <v>0</v>
      </c>
      <c r="O1775" t="n">
        <v>0</v>
      </c>
      <c r="P1775" t="n">
        <v>0</v>
      </c>
      <c r="Q1775" t="n">
        <v>0</v>
      </c>
      <c r="R1775" s="2" t="inlineStr"/>
    </row>
    <row r="1776" ht="15" customHeight="1">
      <c r="A1776" t="inlineStr">
        <is>
          <t>A 54277-2024</t>
        </is>
      </c>
      <c r="B1776" s="1" t="n">
        <v>45616</v>
      </c>
      <c r="C1776" s="1" t="n">
        <v>45849</v>
      </c>
      <c r="D1776" t="inlineStr">
        <is>
          <t>VÄSTERBOTTENS LÄN</t>
        </is>
      </c>
      <c r="E1776" t="inlineStr">
        <is>
          <t>LYCKSELE</t>
        </is>
      </c>
      <c r="F1776" t="inlineStr">
        <is>
          <t>Sveaskog</t>
        </is>
      </c>
      <c r="G1776" t="n">
        <v>3.3</v>
      </c>
      <c r="H1776" t="n">
        <v>0</v>
      </c>
      <c r="I1776" t="n">
        <v>0</v>
      </c>
      <c r="J1776" t="n">
        <v>0</v>
      </c>
      <c r="K1776" t="n">
        <v>0</v>
      </c>
      <c r="L1776" t="n">
        <v>0</v>
      </c>
      <c r="M1776" t="n">
        <v>0</v>
      </c>
      <c r="N1776" t="n">
        <v>0</v>
      </c>
      <c r="O1776" t="n">
        <v>0</v>
      </c>
      <c r="P1776" t="n">
        <v>0</v>
      </c>
      <c r="Q1776" t="n">
        <v>0</v>
      </c>
      <c r="R1776" s="2" t="inlineStr"/>
    </row>
    <row r="1777" ht="15" customHeight="1">
      <c r="A1777" t="inlineStr">
        <is>
          <t>A 53949-2024</t>
        </is>
      </c>
      <c r="B1777" s="1" t="n">
        <v>45616</v>
      </c>
      <c r="C1777" s="1" t="n">
        <v>45849</v>
      </c>
      <c r="D1777" t="inlineStr">
        <is>
          <t>VÄSTERBOTTENS LÄN</t>
        </is>
      </c>
      <c r="E1777" t="inlineStr">
        <is>
          <t>LYCKSELE</t>
        </is>
      </c>
      <c r="G1777" t="n">
        <v>1.3</v>
      </c>
      <c r="H1777" t="n">
        <v>0</v>
      </c>
      <c r="I1777" t="n">
        <v>0</v>
      </c>
      <c r="J1777" t="n">
        <v>0</v>
      </c>
      <c r="K1777" t="n">
        <v>0</v>
      </c>
      <c r="L1777" t="n">
        <v>0</v>
      </c>
      <c r="M1777" t="n">
        <v>0</v>
      </c>
      <c r="N1777" t="n">
        <v>0</v>
      </c>
      <c r="O1777" t="n">
        <v>0</v>
      </c>
      <c r="P1777" t="n">
        <v>0</v>
      </c>
      <c r="Q1777" t="n">
        <v>0</v>
      </c>
      <c r="R1777" s="2" t="inlineStr"/>
    </row>
    <row r="1778" ht="15" customHeight="1">
      <c r="A1778" t="inlineStr">
        <is>
          <t>A 54205-2024</t>
        </is>
      </c>
      <c r="B1778" s="1" t="n">
        <v>45616</v>
      </c>
      <c r="C1778" s="1" t="n">
        <v>45849</v>
      </c>
      <c r="D1778" t="inlineStr">
        <is>
          <t>VÄSTERBOTTENS LÄN</t>
        </is>
      </c>
      <c r="E1778" t="inlineStr">
        <is>
          <t>LYCKSELE</t>
        </is>
      </c>
      <c r="F1778" t="inlineStr">
        <is>
          <t>Sveaskog</t>
        </is>
      </c>
      <c r="G1778" t="n">
        <v>4</v>
      </c>
      <c r="H1778" t="n">
        <v>0</v>
      </c>
      <c r="I1778" t="n">
        <v>0</v>
      </c>
      <c r="J1778" t="n">
        <v>0</v>
      </c>
      <c r="K1778" t="n">
        <v>0</v>
      </c>
      <c r="L1778" t="n">
        <v>0</v>
      </c>
      <c r="M1778" t="n">
        <v>0</v>
      </c>
      <c r="N1778" t="n">
        <v>0</v>
      </c>
      <c r="O1778" t="n">
        <v>0</v>
      </c>
      <c r="P1778" t="n">
        <v>0</v>
      </c>
      <c r="Q1778" t="n">
        <v>0</v>
      </c>
      <c r="R1778" s="2" t="inlineStr"/>
    </row>
    <row r="1779" ht="15" customHeight="1">
      <c r="A1779" t="inlineStr">
        <is>
          <t>A 54268-2024</t>
        </is>
      </c>
      <c r="B1779" s="1" t="n">
        <v>45616</v>
      </c>
      <c r="C1779" s="1" t="n">
        <v>45849</v>
      </c>
      <c r="D1779" t="inlineStr">
        <is>
          <t>VÄSTERBOTTENS LÄN</t>
        </is>
      </c>
      <c r="E1779" t="inlineStr">
        <is>
          <t>LYCKSELE</t>
        </is>
      </c>
      <c r="G1779" t="n">
        <v>4.7</v>
      </c>
      <c r="H1779" t="n">
        <v>0</v>
      </c>
      <c r="I1779" t="n">
        <v>0</v>
      </c>
      <c r="J1779" t="n">
        <v>0</v>
      </c>
      <c r="K1779" t="n">
        <v>0</v>
      </c>
      <c r="L1779" t="n">
        <v>0</v>
      </c>
      <c r="M1779" t="n">
        <v>0</v>
      </c>
      <c r="N1779" t="n">
        <v>0</v>
      </c>
      <c r="O1779" t="n">
        <v>0</v>
      </c>
      <c r="P1779" t="n">
        <v>0</v>
      </c>
      <c r="Q1779" t="n">
        <v>0</v>
      </c>
      <c r="R1779" s="2" t="inlineStr"/>
    </row>
    <row r="1780" ht="15" customHeight="1">
      <c r="A1780" t="inlineStr">
        <is>
          <t>A 54275-2024</t>
        </is>
      </c>
      <c r="B1780" s="1" t="n">
        <v>45616</v>
      </c>
      <c r="C1780" s="1" t="n">
        <v>45849</v>
      </c>
      <c r="D1780" t="inlineStr">
        <is>
          <t>VÄSTERBOTTENS LÄN</t>
        </is>
      </c>
      <c r="E1780" t="inlineStr">
        <is>
          <t>LYCKSELE</t>
        </is>
      </c>
      <c r="F1780" t="inlineStr">
        <is>
          <t>Sveaskog</t>
        </is>
      </c>
      <c r="G1780" t="n">
        <v>6.4</v>
      </c>
      <c r="H1780" t="n">
        <v>0</v>
      </c>
      <c r="I1780" t="n">
        <v>0</v>
      </c>
      <c r="J1780" t="n">
        <v>0</v>
      </c>
      <c r="K1780" t="n">
        <v>0</v>
      </c>
      <c r="L1780" t="n">
        <v>0</v>
      </c>
      <c r="M1780" t="n">
        <v>0</v>
      </c>
      <c r="N1780" t="n">
        <v>0</v>
      </c>
      <c r="O1780" t="n">
        <v>0</v>
      </c>
      <c r="P1780" t="n">
        <v>0</v>
      </c>
      <c r="Q1780" t="n">
        <v>0</v>
      </c>
      <c r="R1780" s="2" t="inlineStr"/>
    </row>
    <row r="1781" ht="15" customHeight="1">
      <c r="A1781" t="inlineStr">
        <is>
          <t>A 54287-2024</t>
        </is>
      </c>
      <c r="B1781" s="1" t="n">
        <v>45617</v>
      </c>
      <c r="C1781" s="1" t="n">
        <v>45849</v>
      </c>
      <c r="D1781" t="inlineStr">
        <is>
          <t>VÄSTERBOTTENS LÄN</t>
        </is>
      </c>
      <c r="E1781" t="inlineStr">
        <is>
          <t>LYCKSELE</t>
        </is>
      </c>
      <c r="F1781" t="inlineStr">
        <is>
          <t>Sveaskog</t>
        </is>
      </c>
      <c r="G1781" t="n">
        <v>4.1</v>
      </c>
      <c r="H1781" t="n">
        <v>0</v>
      </c>
      <c r="I1781" t="n">
        <v>0</v>
      </c>
      <c r="J1781" t="n">
        <v>0</v>
      </c>
      <c r="K1781" t="n">
        <v>0</v>
      </c>
      <c r="L1781" t="n">
        <v>0</v>
      </c>
      <c r="M1781" t="n">
        <v>0</v>
      </c>
      <c r="N1781" t="n">
        <v>0</v>
      </c>
      <c r="O1781" t="n">
        <v>0</v>
      </c>
      <c r="P1781" t="n">
        <v>0</v>
      </c>
      <c r="Q1781" t="n">
        <v>0</v>
      </c>
      <c r="R1781" s="2" t="inlineStr"/>
    </row>
    <row r="1782" ht="15" customHeight="1">
      <c r="A1782" t="inlineStr">
        <is>
          <t>A 54400-2024</t>
        </is>
      </c>
      <c r="B1782" s="1" t="n">
        <v>45617</v>
      </c>
      <c r="C1782" s="1" t="n">
        <v>45849</v>
      </c>
      <c r="D1782" t="inlineStr">
        <is>
          <t>VÄSTERBOTTENS LÄN</t>
        </is>
      </c>
      <c r="E1782" t="inlineStr">
        <is>
          <t>LYCKSELE</t>
        </is>
      </c>
      <c r="F1782" t="inlineStr">
        <is>
          <t>Sveaskog</t>
        </is>
      </c>
      <c r="G1782" t="n">
        <v>6.5</v>
      </c>
      <c r="H1782" t="n">
        <v>0</v>
      </c>
      <c r="I1782" t="n">
        <v>0</v>
      </c>
      <c r="J1782" t="n">
        <v>0</v>
      </c>
      <c r="K1782" t="n">
        <v>0</v>
      </c>
      <c r="L1782" t="n">
        <v>0</v>
      </c>
      <c r="M1782" t="n">
        <v>0</v>
      </c>
      <c r="N1782" t="n">
        <v>0</v>
      </c>
      <c r="O1782" t="n">
        <v>0</v>
      </c>
      <c r="P1782" t="n">
        <v>0</v>
      </c>
      <c r="Q1782" t="n">
        <v>0</v>
      </c>
      <c r="R1782" s="2" t="inlineStr"/>
    </row>
    <row r="1783" ht="15" customHeight="1">
      <c r="A1783" t="inlineStr">
        <is>
          <t>A 54531-2024</t>
        </is>
      </c>
      <c r="B1783" s="1" t="n">
        <v>45617</v>
      </c>
      <c r="C1783" s="1" t="n">
        <v>45849</v>
      </c>
      <c r="D1783" t="inlineStr">
        <is>
          <t>VÄSTERBOTTENS LÄN</t>
        </is>
      </c>
      <c r="E1783" t="inlineStr">
        <is>
          <t>LYCKSELE</t>
        </is>
      </c>
      <c r="F1783" t="inlineStr">
        <is>
          <t>Sveaskog</t>
        </is>
      </c>
      <c r="G1783" t="n">
        <v>2.2</v>
      </c>
      <c r="H1783" t="n">
        <v>0</v>
      </c>
      <c r="I1783" t="n">
        <v>0</v>
      </c>
      <c r="J1783" t="n">
        <v>0</v>
      </c>
      <c r="K1783" t="n">
        <v>0</v>
      </c>
      <c r="L1783" t="n">
        <v>0</v>
      </c>
      <c r="M1783" t="n">
        <v>0</v>
      </c>
      <c r="N1783" t="n">
        <v>0</v>
      </c>
      <c r="O1783" t="n">
        <v>0</v>
      </c>
      <c r="P1783" t="n">
        <v>0</v>
      </c>
      <c r="Q1783" t="n">
        <v>0</v>
      </c>
      <c r="R1783" s="2" t="inlineStr"/>
    </row>
    <row r="1784" ht="15" customHeight="1">
      <c r="A1784" t="inlineStr">
        <is>
          <t>A 54619-2024</t>
        </is>
      </c>
      <c r="B1784" s="1" t="n">
        <v>45617</v>
      </c>
      <c r="C1784" s="1" t="n">
        <v>45849</v>
      </c>
      <c r="D1784" t="inlineStr">
        <is>
          <t>VÄSTERBOTTENS LÄN</t>
        </is>
      </c>
      <c r="E1784" t="inlineStr">
        <is>
          <t>LYCKSELE</t>
        </is>
      </c>
      <c r="G1784" t="n">
        <v>2.9</v>
      </c>
      <c r="H1784" t="n">
        <v>0</v>
      </c>
      <c r="I1784" t="n">
        <v>0</v>
      </c>
      <c r="J1784" t="n">
        <v>0</v>
      </c>
      <c r="K1784" t="n">
        <v>0</v>
      </c>
      <c r="L1784" t="n">
        <v>0</v>
      </c>
      <c r="M1784" t="n">
        <v>0</v>
      </c>
      <c r="N1784" t="n">
        <v>0</v>
      </c>
      <c r="O1784" t="n">
        <v>0</v>
      </c>
      <c r="P1784" t="n">
        <v>0</v>
      </c>
      <c r="Q1784" t="n">
        <v>0</v>
      </c>
      <c r="R1784" s="2" t="inlineStr"/>
    </row>
    <row r="1785" ht="15" customHeight="1">
      <c r="A1785" t="inlineStr">
        <is>
          <t>A 54396-2024</t>
        </is>
      </c>
      <c r="B1785" s="1" t="n">
        <v>45617</v>
      </c>
      <c r="C1785" s="1" t="n">
        <v>45849</v>
      </c>
      <c r="D1785" t="inlineStr">
        <is>
          <t>VÄSTERBOTTENS LÄN</t>
        </is>
      </c>
      <c r="E1785" t="inlineStr">
        <is>
          <t>LYCKSELE</t>
        </is>
      </c>
      <c r="F1785" t="inlineStr">
        <is>
          <t>Sveaskog</t>
        </is>
      </c>
      <c r="G1785" t="n">
        <v>4.7</v>
      </c>
      <c r="H1785" t="n">
        <v>0</v>
      </c>
      <c r="I1785" t="n">
        <v>0</v>
      </c>
      <c r="J1785" t="n">
        <v>0</v>
      </c>
      <c r="K1785" t="n">
        <v>0</v>
      </c>
      <c r="L1785" t="n">
        <v>0</v>
      </c>
      <c r="M1785" t="n">
        <v>0</v>
      </c>
      <c r="N1785" t="n">
        <v>0</v>
      </c>
      <c r="O1785" t="n">
        <v>0</v>
      </c>
      <c r="P1785" t="n">
        <v>0</v>
      </c>
      <c r="Q1785" t="n">
        <v>0</v>
      </c>
      <c r="R1785" s="2" t="inlineStr"/>
    </row>
    <row r="1786" ht="15" customHeight="1">
      <c r="A1786" t="inlineStr">
        <is>
          <t>A 54428-2024</t>
        </is>
      </c>
      <c r="B1786" s="1" t="n">
        <v>45617</v>
      </c>
      <c r="C1786" s="1" t="n">
        <v>45849</v>
      </c>
      <c r="D1786" t="inlineStr">
        <is>
          <t>VÄSTERBOTTENS LÄN</t>
        </is>
      </c>
      <c r="E1786" t="inlineStr">
        <is>
          <t>LYCKSELE</t>
        </is>
      </c>
      <c r="F1786" t="inlineStr">
        <is>
          <t>SCA</t>
        </is>
      </c>
      <c r="G1786" t="n">
        <v>12.9</v>
      </c>
      <c r="H1786" t="n">
        <v>0</v>
      </c>
      <c r="I1786" t="n">
        <v>0</v>
      </c>
      <c r="J1786" t="n">
        <v>0</v>
      </c>
      <c r="K1786" t="n">
        <v>0</v>
      </c>
      <c r="L1786" t="n">
        <v>0</v>
      </c>
      <c r="M1786" t="n">
        <v>0</v>
      </c>
      <c r="N1786" t="n">
        <v>0</v>
      </c>
      <c r="O1786" t="n">
        <v>0</v>
      </c>
      <c r="P1786" t="n">
        <v>0</v>
      </c>
      <c r="Q1786" t="n">
        <v>0</v>
      </c>
      <c r="R1786" s="2" t="inlineStr"/>
    </row>
    <row r="1787" ht="15" customHeight="1">
      <c r="A1787" t="inlineStr">
        <is>
          <t>A 54697-2024</t>
        </is>
      </c>
      <c r="B1787" s="1" t="n">
        <v>45618</v>
      </c>
      <c r="C1787" s="1" t="n">
        <v>45849</v>
      </c>
      <c r="D1787" t="inlineStr">
        <is>
          <t>VÄSTERBOTTENS LÄN</t>
        </is>
      </c>
      <c r="E1787" t="inlineStr">
        <is>
          <t>LYCKSELE</t>
        </is>
      </c>
      <c r="F1787" t="inlineStr">
        <is>
          <t>Sveaskog</t>
        </is>
      </c>
      <c r="G1787" t="n">
        <v>5</v>
      </c>
      <c r="H1787" t="n">
        <v>0</v>
      </c>
      <c r="I1787" t="n">
        <v>0</v>
      </c>
      <c r="J1787" t="n">
        <v>0</v>
      </c>
      <c r="K1787" t="n">
        <v>0</v>
      </c>
      <c r="L1787" t="n">
        <v>0</v>
      </c>
      <c r="M1787" t="n">
        <v>0</v>
      </c>
      <c r="N1787" t="n">
        <v>0</v>
      </c>
      <c r="O1787" t="n">
        <v>0</v>
      </c>
      <c r="P1787" t="n">
        <v>0</v>
      </c>
      <c r="Q1787" t="n">
        <v>0</v>
      </c>
      <c r="R1787" s="2" t="inlineStr"/>
    </row>
    <row r="1788" ht="15" customHeight="1">
      <c r="A1788" t="inlineStr">
        <is>
          <t>A 54778-2024</t>
        </is>
      </c>
      <c r="B1788" s="1" t="n">
        <v>45618</v>
      </c>
      <c r="C1788" s="1" t="n">
        <v>45849</v>
      </c>
      <c r="D1788" t="inlineStr">
        <is>
          <t>VÄSTERBOTTENS LÄN</t>
        </is>
      </c>
      <c r="E1788" t="inlineStr">
        <is>
          <t>LYCKSELE</t>
        </is>
      </c>
      <c r="F1788" t="inlineStr">
        <is>
          <t>Sveaskog</t>
        </is>
      </c>
      <c r="G1788" t="n">
        <v>1.3</v>
      </c>
      <c r="H1788" t="n">
        <v>0</v>
      </c>
      <c r="I1788" t="n">
        <v>0</v>
      </c>
      <c r="J1788" t="n">
        <v>0</v>
      </c>
      <c r="K1788" t="n">
        <v>0</v>
      </c>
      <c r="L1788" t="n">
        <v>0</v>
      </c>
      <c r="M1788" t="n">
        <v>0</v>
      </c>
      <c r="N1788" t="n">
        <v>0</v>
      </c>
      <c r="O1788" t="n">
        <v>0</v>
      </c>
      <c r="P1788" t="n">
        <v>0</v>
      </c>
      <c r="Q1788" t="n">
        <v>0</v>
      </c>
      <c r="R1788" s="2" t="inlineStr"/>
    </row>
    <row r="1789" ht="15" customHeight="1">
      <c r="A1789" t="inlineStr">
        <is>
          <t>A 54811-2024</t>
        </is>
      </c>
      <c r="B1789" s="1" t="n">
        <v>45618</v>
      </c>
      <c r="C1789" s="1" t="n">
        <v>45849</v>
      </c>
      <c r="D1789" t="inlineStr">
        <is>
          <t>VÄSTERBOTTENS LÄN</t>
        </is>
      </c>
      <c r="E1789" t="inlineStr">
        <is>
          <t>LYCKSELE</t>
        </is>
      </c>
      <c r="F1789" t="inlineStr">
        <is>
          <t>Sveaskog</t>
        </is>
      </c>
      <c r="G1789" t="n">
        <v>1.5</v>
      </c>
      <c r="H1789" t="n">
        <v>0</v>
      </c>
      <c r="I1789" t="n">
        <v>0</v>
      </c>
      <c r="J1789" t="n">
        <v>0</v>
      </c>
      <c r="K1789" t="n">
        <v>0</v>
      </c>
      <c r="L1789" t="n">
        <v>0</v>
      </c>
      <c r="M1789" t="n">
        <v>0</v>
      </c>
      <c r="N1789" t="n">
        <v>0</v>
      </c>
      <c r="O1789" t="n">
        <v>0</v>
      </c>
      <c r="P1789" t="n">
        <v>0</v>
      </c>
      <c r="Q1789" t="n">
        <v>0</v>
      </c>
      <c r="R1789" s="2" t="inlineStr"/>
    </row>
    <row r="1790" ht="15" customHeight="1">
      <c r="A1790" t="inlineStr">
        <is>
          <t>A 54812-2024</t>
        </is>
      </c>
      <c r="B1790" s="1" t="n">
        <v>45618</v>
      </c>
      <c r="C1790" s="1" t="n">
        <v>45849</v>
      </c>
      <c r="D1790" t="inlineStr">
        <is>
          <t>VÄSTERBOTTENS LÄN</t>
        </is>
      </c>
      <c r="E1790" t="inlineStr">
        <is>
          <t>LYCKSELE</t>
        </is>
      </c>
      <c r="F1790" t="inlineStr">
        <is>
          <t>Sveaskog</t>
        </is>
      </c>
      <c r="G1790" t="n">
        <v>6.3</v>
      </c>
      <c r="H1790" t="n">
        <v>0</v>
      </c>
      <c r="I1790" t="n">
        <v>0</v>
      </c>
      <c r="J1790" t="n">
        <v>0</v>
      </c>
      <c r="K1790" t="n">
        <v>0</v>
      </c>
      <c r="L1790" t="n">
        <v>0</v>
      </c>
      <c r="M1790" t="n">
        <v>0</v>
      </c>
      <c r="N1790" t="n">
        <v>0</v>
      </c>
      <c r="O1790" t="n">
        <v>0</v>
      </c>
      <c r="P1790" t="n">
        <v>0</v>
      </c>
      <c r="Q1790" t="n">
        <v>0</v>
      </c>
      <c r="R1790" s="2" t="inlineStr"/>
    </row>
    <row r="1791" ht="15" customHeight="1">
      <c r="A1791" t="inlineStr">
        <is>
          <t>A 54809-2024</t>
        </is>
      </c>
      <c r="B1791" s="1" t="n">
        <v>45618</v>
      </c>
      <c r="C1791" s="1" t="n">
        <v>45849</v>
      </c>
      <c r="D1791" t="inlineStr">
        <is>
          <t>VÄSTERBOTTENS LÄN</t>
        </is>
      </c>
      <c r="E1791" t="inlineStr">
        <is>
          <t>LYCKSELE</t>
        </is>
      </c>
      <c r="F1791" t="inlineStr">
        <is>
          <t>Sveaskog</t>
        </is>
      </c>
      <c r="G1791" t="n">
        <v>2.8</v>
      </c>
      <c r="H1791" t="n">
        <v>0</v>
      </c>
      <c r="I1791" t="n">
        <v>0</v>
      </c>
      <c r="J1791" t="n">
        <v>0</v>
      </c>
      <c r="K1791" t="n">
        <v>0</v>
      </c>
      <c r="L1791" t="n">
        <v>0</v>
      </c>
      <c r="M1791" t="n">
        <v>0</v>
      </c>
      <c r="N1791" t="n">
        <v>0</v>
      </c>
      <c r="O1791" t="n">
        <v>0</v>
      </c>
      <c r="P1791" t="n">
        <v>0</v>
      </c>
      <c r="Q1791" t="n">
        <v>0</v>
      </c>
      <c r="R1791" s="2" t="inlineStr"/>
    </row>
    <row r="1792" ht="15" customHeight="1">
      <c r="A1792" t="inlineStr">
        <is>
          <t>A 54757-2024</t>
        </is>
      </c>
      <c r="B1792" s="1" t="n">
        <v>45618</v>
      </c>
      <c r="C1792" s="1" t="n">
        <v>45849</v>
      </c>
      <c r="D1792" t="inlineStr">
        <is>
          <t>VÄSTERBOTTENS LÄN</t>
        </is>
      </c>
      <c r="E1792" t="inlineStr">
        <is>
          <t>LYCKSELE</t>
        </is>
      </c>
      <c r="G1792" t="n">
        <v>12.8</v>
      </c>
      <c r="H1792" t="n">
        <v>0</v>
      </c>
      <c r="I1792" t="n">
        <v>0</v>
      </c>
      <c r="J1792" t="n">
        <v>0</v>
      </c>
      <c r="K1792" t="n">
        <v>0</v>
      </c>
      <c r="L1792" t="n">
        <v>0</v>
      </c>
      <c r="M1792" t="n">
        <v>0</v>
      </c>
      <c r="N1792" t="n">
        <v>0</v>
      </c>
      <c r="O1792" t="n">
        <v>0</v>
      </c>
      <c r="P1792" t="n">
        <v>0</v>
      </c>
      <c r="Q1792" t="n">
        <v>0</v>
      </c>
      <c r="R1792" s="2" t="inlineStr"/>
    </row>
    <row r="1793" ht="15" customHeight="1">
      <c r="A1793" t="inlineStr">
        <is>
          <t>A 54680-2024</t>
        </is>
      </c>
      <c r="B1793" s="1" t="n">
        <v>45618</v>
      </c>
      <c r="C1793" s="1" t="n">
        <v>45849</v>
      </c>
      <c r="D1793" t="inlineStr">
        <is>
          <t>VÄSTERBOTTENS LÄN</t>
        </is>
      </c>
      <c r="E1793" t="inlineStr">
        <is>
          <t>LYCKSELE</t>
        </is>
      </c>
      <c r="F1793" t="inlineStr">
        <is>
          <t>Sveaskog</t>
        </is>
      </c>
      <c r="G1793" t="n">
        <v>3.2</v>
      </c>
      <c r="H1793" t="n">
        <v>0</v>
      </c>
      <c r="I1793" t="n">
        <v>0</v>
      </c>
      <c r="J1793" t="n">
        <v>0</v>
      </c>
      <c r="K1793" t="n">
        <v>0</v>
      </c>
      <c r="L1793" t="n">
        <v>0</v>
      </c>
      <c r="M1793" t="n">
        <v>0</v>
      </c>
      <c r="N1793" t="n">
        <v>0</v>
      </c>
      <c r="O1793" t="n">
        <v>0</v>
      </c>
      <c r="P1793" t="n">
        <v>0</v>
      </c>
      <c r="Q1793" t="n">
        <v>0</v>
      </c>
      <c r="R1793" s="2" t="inlineStr"/>
    </row>
    <row r="1794" ht="15" customHeight="1">
      <c r="A1794" t="inlineStr">
        <is>
          <t>A 55250-2024</t>
        </is>
      </c>
      <c r="B1794" s="1" t="n">
        <v>45621</v>
      </c>
      <c r="C1794" s="1" t="n">
        <v>45849</v>
      </c>
      <c r="D1794" t="inlineStr">
        <is>
          <t>VÄSTERBOTTENS LÄN</t>
        </is>
      </c>
      <c r="E1794" t="inlineStr">
        <is>
          <t>LYCKSELE</t>
        </is>
      </c>
      <c r="G1794" t="n">
        <v>2.8</v>
      </c>
      <c r="H1794" t="n">
        <v>0</v>
      </c>
      <c r="I1794" t="n">
        <v>0</v>
      </c>
      <c r="J1794" t="n">
        <v>0</v>
      </c>
      <c r="K1794" t="n">
        <v>0</v>
      </c>
      <c r="L1794" t="n">
        <v>0</v>
      </c>
      <c r="M1794" t="n">
        <v>0</v>
      </c>
      <c r="N1794" t="n">
        <v>0</v>
      </c>
      <c r="O1794" t="n">
        <v>0</v>
      </c>
      <c r="P1794" t="n">
        <v>0</v>
      </c>
      <c r="Q1794" t="n">
        <v>0</v>
      </c>
      <c r="R1794" s="2" t="inlineStr"/>
    </row>
    <row r="1795" ht="15" customHeight="1">
      <c r="A1795" t="inlineStr">
        <is>
          <t>A 55203-2024</t>
        </is>
      </c>
      <c r="B1795" s="1" t="n">
        <v>45621</v>
      </c>
      <c r="C1795" s="1" t="n">
        <v>45849</v>
      </c>
      <c r="D1795" t="inlineStr">
        <is>
          <t>VÄSTERBOTTENS LÄN</t>
        </is>
      </c>
      <c r="E1795" t="inlineStr">
        <is>
          <t>LYCKSELE</t>
        </is>
      </c>
      <c r="F1795" t="inlineStr">
        <is>
          <t>Sveaskog</t>
        </is>
      </c>
      <c r="G1795" t="n">
        <v>3.2</v>
      </c>
      <c r="H1795" t="n">
        <v>0</v>
      </c>
      <c r="I1795" t="n">
        <v>0</v>
      </c>
      <c r="J1795" t="n">
        <v>0</v>
      </c>
      <c r="K1795" t="n">
        <v>0</v>
      </c>
      <c r="L1795" t="n">
        <v>0</v>
      </c>
      <c r="M1795" t="n">
        <v>0</v>
      </c>
      <c r="N1795" t="n">
        <v>0</v>
      </c>
      <c r="O1795" t="n">
        <v>0</v>
      </c>
      <c r="P1795" t="n">
        <v>0</v>
      </c>
      <c r="Q1795" t="n">
        <v>0</v>
      </c>
      <c r="R1795" s="2" t="inlineStr"/>
    </row>
    <row r="1796" ht="15" customHeight="1">
      <c r="A1796" t="inlineStr">
        <is>
          <t>A 55333-2024</t>
        </is>
      </c>
      <c r="B1796" s="1" t="n">
        <v>45621</v>
      </c>
      <c r="C1796" s="1" t="n">
        <v>45849</v>
      </c>
      <c r="D1796" t="inlineStr">
        <is>
          <t>VÄSTERBOTTENS LÄN</t>
        </is>
      </c>
      <c r="E1796" t="inlineStr">
        <is>
          <t>LYCKSELE</t>
        </is>
      </c>
      <c r="G1796" t="n">
        <v>8.6</v>
      </c>
      <c r="H1796" t="n">
        <v>0</v>
      </c>
      <c r="I1796" t="n">
        <v>0</v>
      </c>
      <c r="J1796" t="n">
        <v>0</v>
      </c>
      <c r="K1796" t="n">
        <v>0</v>
      </c>
      <c r="L1796" t="n">
        <v>0</v>
      </c>
      <c r="M1796" t="n">
        <v>0</v>
      </c>
      <c r="N1796" t="n">
        <v>0</v>
      </c>
      <c r="O1796" t="n">
        <v>0</v>
      </c>
      <c r="P1796" t="n">
        <v>0</v>
      </c>
      <c r="Q1796" t="n">
        <v>0</v>
      </c>
      <c r="R1796" s="2" t="inlineStr"/>
    </row>
    <row r="1797" ht="15" customHeight="1">
      <c r="A1797" t="inlineStr">
        <is>
          <t>A 55278-2024</t>
        </is>
      </c>
      <c r="B1797" s="1" t="n">
        <v>45621</v>
      </c>
      <c r="C1797" s="1" t="n">
        <v>45849</v>
      </c>
      <c r="D1797" t="inlineStr">
        <is>
          <t>VÄSTERBOTTENS LÄN</t>
        </is>
      </c>
      <c r="E1797" t="inlineStr">
        <is>
          <t>LYCKSELE</t>
        </is>
      </c>
      <c r="G1797" t="n">
        <v>6.9</v>
      </c>
      <c r="H1797" t="n">
        <v>0</v>
      </c>
      <c r="I1797" t="n">
        <v>0</v>
      </c>
      <c r="J1797" t="n">
        <v>0</v>
      </c>
      <c r="K1797" t="n">
        <v>0</v>
      </c>
      <c r="L1797" t="n">
        <v>0</v>
      </c>
      <c r="M1797" t="n">
        <v>0</v>
      </c>
      <c r="N1797" t="n">
        <v>0</v>
      </c>
      <c r="O1797" t="n">
        <v>0</v>
      </c>
      <c r="P1797" t="n">
        <v>0</v>
      </c>
      <c r="Q1797" t="n">
        <v>0</v>
      </c>
      <c r="R1797" s="2" t="inlineStr"/>
    </row>
    <row r="1798" ht="15" customHeight="1">
      <c r="A1798" t="inlineStr">
        <is>
          <t>A 55315-2024</t>
        </is>
      </c>
      <c r="B1798" s="1" t="n">
        <v>45621</v>
      </c>
      <c r="C1798" s="1" t="n">
        <v>45849</v>
      </c>
      <c r="D1798" t="inlineStr">
        <is>
          <t>VÄSTERBOTTENS LÄN</t>
        </is>
      </c>
      <c r="E1798" t="inlineStr">
        <is>
          <t>LYCKSELE</t>
        </is>
      </c>
      <c r="G1798" t="n">
        <v>2</v>
      </c>
      <c r="H1798" t="n">
        <v>0</v>
      </c>
      <c r="I1798" t="n">
        <v>0</v>
      </c>
      <c r="J1798" t="n">
        <v>0</v>
      </c>
      <c r="K1798" t="n">
        <v>0</v>
      </c>
      <c r="L1798" t="n">
        <v>0</v>
      </c>
      <c r="M1798" t="n">
        <v>0</v>
      </c>
      <c r="N1798" t="n">
        <v>0</v>
      </c>
      <c r="O1798" t="n">
        <v>0</v>
      </c>
      <c r="P1798" t="n">
        <v>0</v>
      </c>
      <c r="Q1798" t="n">
        <v>0</v>
      </c>
      <c r="R1798" s="2" t="inlineStr"/>
    </row>
    <row r="1799" ht="15" customHeight="1">
      <c r="A1799" t="inlineStr">
        <is>
          <t>A 55354-2024</t>
        </is>
      </c>
      <c r="B1799" s="1" t="n">
        <v>45621</v>
      </c>
      <c r="C1799" s="1" t="n">
        <v>45849</v>
      </c>
      <c r="D1799" t="inlineStr">
        <is>
          <t>VÄSTERBOTTENS LÄN</t>
        </is>
      </c>
      <c r="E1799" t="inlineStr">
        <is>
          <t>LYCKSELE</t>
        </is>
      </c>
      <c r="F1799" t="inlineStr">
        <is>
          <t>Sveaskog</t>
        </is>
      </c>
      <c r="G1799" t="n">
        <v>34.6</v>
      </c>
      <c r="H1799" t="n">
        <v>0</v>
      </c>
      <c r="I1799" t="n">
        <v>0</v>
      </c>
      <c r="J1799" t="n">
        <v>0</v>
      </c>
      <c r="K1799" t="n">
        <v>0</v>
      </c>
      <c r="L1799" t="n">
        <v>0</v>
      </c>
      <c r="M1799" t="n">
        <v>0</v>
      </c>
      <c r="N1799" t="n">
        <v>0</v>
      </c>
      <c r="O1799" t="n">
        <v>0</v>
      </c>
      <c r="P1799" t="n">
        <v>0</v>
      </c>
      <c r="Q1799" t="n">
        <v>0</v>
      </c>
      <c r="R1799" s="2" t="inlineStr"/>
    </row>
    <row r="1800" ht="15" customHeight="1">
      <c r="A1800" t="inlineStr">
        <is>
          <t>A 55104-2024</t>
        </is>
      </c>
      <c r="B1800" s="1" t="n">
        <v>45621</v>
      </c>
      <c r="C1800" s="1" t="n">
        <v>45849</v>
      </c>
      <c r="D1800" t="inlineStr">
        <is>
          <t>VÄSTERBOTTENS LÄN</t>
        </is>
      </c>
      <c r="E1800" t="inlineStr">
        <is>
          <t>LYCKSELE</t>
        </is>
      </c>
      <c r="F1800" t="inlineStr">
        <is>
          <t>Sveaskog</t>
        </is>
      </c>
      <c r="G1800" t="n">
        <v>1.5</v>
      </c>
      <c r="H1800" t="n">
        <v>0</v>
      </c>
      <c r="I1800" t="n">
        <v>0</v>
      </c>
      <c r="J1800" t="n">
        <v>0</v>
      </c>
      <c r="K1800" t="n">
        <v>0</v>
      </c>
      <c r="L1800" t="n">
        <v>0</v>
      </c>
      <c r="M1800" t="n">
        <v>0</v>
      </c>
      <c r="N1800" t="n">
        <v>0</v>
      </c>
      <c r="O1800" t="n">
        <v>0</v>
      </c>
      <c r="P1800" t="n">
        <v>0</v>
      </c>
      <c r="Q1800" t="n">
        <v>0</v>
      </c>
      <c r="R1800" s="2" t="inlineStr"/>
    </row>
    <row r="1801" ht="15" customHeight="1">
      <c r="A1801" t="inlineStr">
        <is>
          <t>A 55087-2024</t>
        </is>
      </c>
      <c r="B1801" s="1" t="n">
        <v>45621</v>
      </c>
      <c r="C1801" s="1" t="n">
        <v>45849</v>
      </c>
      <c r="D1801" t="inlineStr">
        <is>
          <t>VÄSTERBOTTENS LÄN</t>
        </is>
      </c>
      <c r="E1801" t="inlineStr">
        <is>
          <t>LYCKSELE</t>
        </is>
      </c>
      <c r="F1801" t="inlineStr">
        <is>
          <t>Sveaskog</t>
        </is>
      </c>
      <c r="G1801" t="n">
        <v>5.2</v>
      </c>
      <c r="H1801" t="n">
        <v>0</v>
      </c>
      <c r="I1801" t="n">
        <v>0</v>
      </c>
      <c r="J1801" t="n">
        <v>0</v>
      </c>
      <c r="K1801" t="n">
        <v>0</v>
      </c>
      <c r="L1801" t="n">
        <v>0</v>
      </c>
      <c r="M1801" t="n">
        <v>0</v>
      </c>
      <c r="N1801" t="n">
        <v>0</v>
      </c>
      <c r="O1801" t="n">
        <v>0</v>
      </c>
      <c r="P1801" t="n">
        <v>0</v>
      </c>
      <c r="Q1801" t="n">
        <v>0</v>
      </c>
      <c r="R1801" s="2" t="inlineStr"/>
    </row>
    <row r="1802" ht="15" customHeight="1">
      <c r="A1802" t="inlineStr">
        <is>
          <t>A 55249-2024</t>
        </is>
      </c>
      <c r="B1802" s="1" t="n">
        <v>45621</v>
      </c>
      <c r="C1802" s="1" t="n">
        <v>45849</v>
      </c>
      <c r="D1802" t="inlineStr">
        <is>
          <t>VÄSTERBOTTENS LÄN</t>
        </is>
      </c>
      <c r="E1802" t="inlineStr">
        <is>
          <t>LYCKSELE</t>
        </is>
      </c>
      <c r="G1802" t="n">
        <v>2.5</v>
      </c>
      <c r="H1802" t="n">
        <v>0</v>
      </c>
      <c r="I1802" t="n">
        <v>0</v>
      </c>
      <c r="J1802" t="n">
        <v>0</v>
      </c>
      <c r="K1802" t="n">
        <v>0</v>
      </c>
      <c r="L1802" t="n">
        <v>0</v>
      </c>
      <c r="M1802" t="n">
        <v>0</v>
      </c>
      <c r="N1802" t="n">
        <v>0</v>
      </c>
      <c r="O1802" t="n">
        <v>0</v>
      </c>
      <c r="P1802" t="n">
        <v>0</v>
      </c>
      <c r="Q1802" t="n">
        <v>0</v>
      </c>
      <c r="R1802" s="2" t="inlineStr"/>
    </row>
    <row r="1803" ht="15" customHeight="1">
      <c r="A1803" t="inlineStr">
        <is>
          <t>A 56126-2024</t>
        </is>
      </c>
      <c r="B1803" s="1" t="n">
        <v>45624</v>
      </c>
      <c r="C1803" s="1" t="n">
        <v>45849</v>
      </c>
      <c r="D1803" t="inlineStr">
        <is>
          <t>VÄSTERBOTTENS LÄN</t>
        </is>
      </c>
      <c r="E1803" t="inlineStr">
        <is>
          <t>LYCKSELE</t>
        </is>
      </c>
      <c r="G1803" t="n">
        <v>19.5</v>
      </c>
      <c r="H1803" t="n">
        <v>0</v>
      </c>
      <c r="I1803" t="n">
        <v>0</v>
      </c>
      <c r="J1803" t="n">
        <v>0</v>
      </c>
      <c r="K1803" t="n">
        <v>0</v>
      </c>
      <c r="L1803" t="n">
        <v>0</v>
      </c>
      <c r="M1803" t="n">
        <v>0</v>
      </c>
      <c r="N1803" t="n">
        <v>0</v>
      </c>
      <c r="O1803" t="n">
        <v>0</v>
      </c>
      <c r="P1803" t="n">
        <v>0</v>
      </c>
      <c r="Q1803" t="n">
        <v>0</v>
      </c>
      <c r="R1803" s="2" t="inlineStr"/>
    </row>
    <row r="1804" ht="15" customHeight="1">
      <c r="A1804" t="inlineStr">
        <is>
          <t>A 56123-2024</t>
        </is>
      </c>
      <c r="B1804" s="1" t="n">
        <v>45624</v>
      </c>
      <c r="C1804" s="1" t="n">
        <v>45849</v>
      </c>
      <c r="D1804" t="inlineStr">
        <is>
          <t>VÄSTERBOTTENS LÄN</t>
        </is>
      </c>
      <c r="E1804" t="inlineStr">
        <is>
          <t>LYCKSELE</t>
        </is>
      </c>
      <c r="F1804" t="inlineStr">
        <is>
          <t>SCA</t>
        </is>
      </c>
      <c r="G1804" t="n">
        <v>14.7</v>
      </c>
      <c r="H1804" t="n">
        <v>0</v>
      </c>
      <c r="I1804" t="n">
        <v>0</v>
      </c>
      <c r="J1804" t="n">
        <v>0</v>
      </c>
      <c r="K1804" t="n">
        <v>0</v>
      </c>
      <c r="L1804" t="n">
        <v>0</v>
      </c>
      <c r="M1804" t="n">
        <v>0</v>
      </c>
      <c r="N1804" t="n">
        <v>0</v>
      </c>
      <c r="O1804" t="n">
        <v>0</v>
      </c>
      <c r="P1804" t="n">
        <v>0</v>
      </c>
      <c r="Q1804" t="n">
        <v>0</v>
      </c>
      <c r="R1804" s="2" t="inlineStr"/>
    </row>
    <row r="1805" ht="15" customHeight="1">
      <c r="A1805" t="inlineStr">
        <is>
          <t>A 56605-2024</t>
        </is>
      </c>
      <c r="B1805" s="1" t="n">
        <v>45625</v>
      </c>
      <c r="C1805" s="1" t="n">
        <v>45849</v>
      </c>
      <c r="D1805" t="inlineStr">
        <is>
          <t>VÄSTERBOTTENS LÄN</t>
        </is>
      </c>
      <c r="E1805" t="inlineStr">
        <is>
          <t>LYCKSELE</t>
        </is>
      </c>
      <c r="G1805" t="n">
        <v>3.2</v>
      </c>
      <c r="H1805" t="n">
        <v>0</v>
      </c>
      <c r="I1805" t="n">
        <v>0</v>
      </c>
      <c r="J1805" t="n">
        <v>0</v>
      </c>
      <c r="K1805" t="n">
        <v>0</v>
      </c>
      <c r="L1805" t="n">
        <v>0</v>
      </c>
      <c r="M1805" t="n">
        <v>0</v>
      </c>
      <c r="N1805" t="n">
        <v>0</v>
      </c>
      <c r="O1805" t="n">
        <v>0</v>
      </c>
      <c r="P1805" t="n">
        <v>0</v>
      </c>
      <c r="Q1805" t="n">
        <v>0</v>
      </c>
      <c r="R1805" s="2" t="inlineStr"/>
    </row>
    <row r="1806" ht="15" customHeight="1">
      <c r="A1806" t="inlineStr">
        <is>
          <t>A 56603-2024</t>
        </is>
      </c>
      <c r="B1806" s="1" t="n">
        <v>45625</v>
      </c>
      <c r="C1806" s="1" t="n">
        <v>45849</v>
      </c>
      <c r="D1806" t="inlineStr">
        <is>
          <t>VÄSTERBOTTENS LÄN</t>
        </is>
      </c>
      <c r="E1806" t="inlineStr">
        <is>
          <t>LYCKSELE</t>
        </is>
      </c>
      <c r="F1806" t="inlineStr">
        <is>
          <t>Holmen skog AB</t>
        </is>
      </c>
      <c r="G1806" t="n">
        <v>17.1</v>
      </c>
      <c r="H1806" t="n">
        <v>0</v>
      </c>
      <c r="I1806" t="n">
        <v>0</v>
      </c>
      <c r="J1806" t="n">
        <v>0</v>
      </c>
      <c r="K1806" t="n">
        <v>0</v>
      </c>
      <c r="L1806" t="n">
        <v>0</v>
      </c>
      <c r="M1806" t="n">
        <v>0</v>
      </c>
      <c r="N1806" t="n">
        <v>0</v>
      </c>
      <c r="O1806" t="n">
        <v>0</v>
      </c>
      <c r="P1806" t="n">
        <v>0</v>
      </c>
      <c r="Q1806" t="n">
        <v>0</v>
      </c>
      <c r="R1806" s="2" t="inlineStr"/>
    </row>
    <row r="1807" ht="15" customHeight="1">
      <c r="A1807" t="inlineStr">
        <is>
          <t>A 56690-2024</t>
        </is>
      </c>
      <c r="B1807" s="1" t="n">
        <v>45627</v>
      </c>
      <c r="C1807" s="1" t="n">
        <v>45849</v>
      </c>
      <c r="D1807" t="inlineStr">
        <is>
          <t>VÄSTERBOTTENS LÄN</t>
        </is>
      </c>
      <c r="E1807" t="inlineStr">
        <is>
          <t>LYCKSELE</t>
        </is>
      </c>
      <c r="G1807" t="n">
        <v>1.3</v>
      </c>
      <c r="H1807" t="n">
        <v>0</v>
      </c>
      <c r="I1807" t="n">
        <v>0</v>
      </c>
      <c r="J1807" t="n">
        <v>0</v>
      </c>
      <c r="K1807" t="n">
        <v>0</v>
      </c>
      <c r="L1807" t="n">
        <v>0</v>
      </c>
      <c r="M1807" t="n">
        <v>0</v>
      </c>
      <c r="N1807" t="n">
        <v>0</v>
      </c>
      <c r="O1807" t="n">
        <v>0</v>
      </c>
      <c r="P1807" t="n">
        <v>0</v>
      </c>
      <c r="Q1807" t="n">
        <v>0</v>
      </c>
      <c r="R1807" s="2" t="inlineStr"/>
    </row>
    <row r="1808" ht="15" customHeight="1">
      <c r="A1808" t="inlineStr">
        <is>
          <t>A 56726-2024</t>
        </is>
      </c>
      <c r="B1808" s="1" t="n">
        <v>45628</v>
      </c>
      <c r="C1808" s="1" t="n">
        <v>45849</v>
      </c>
      <c r="D1808" t="inlineStr">
        <is>
          <t>VÄSTERBOTTENS LÄN</t>
        </is>
      </c>
      <c r="E1808" t="inlineStr">
        <is>
          <t>LYCKSELE</t>
        </is>
      </c>
      <c r="F1808" t="inlineStr">
        <is>
          <t>Sveaskog</t>
        </is>
      </c>
      <c r="G1808" t="n">
        <v>4</v>
      </c>
      <c r="H1808" t="n">
        <v>0</v>
      </c>
      <c r="I1808" t="n">
        <v>0</v>
      </c>
      <c r="J1808" t="n">
        <v>0</v>
      </c>
      <c r="K1808" t="n">
        <v>0</v>
      </c>
      <c r="L1808" t="n">
        <v>0</v>
      </c>
      <c r="M1808" t="n">
        <v>0</v>
      </c>
      <c r="N1808" t="n">
        <v>0</v>
      </c>
      <c r="O1808" t="n">
        <v>0</v>
      </c>
      <c r="P1808" t="n">
        <v>0</v>
      </c>
      <c r="Q1808" t="n">
        <v>0</v>
      </c>
      <c r="R1808" s="2" t="inlineStr"/>
    </row>
    <row r="1809" ht="15" customHeight="1">
      <c r="A1809" t="inlineStr">
        <is>
          <t>A 57108-2024</t>
        </is>
      </c>
      <c r="B1809" s="1" t="n">
        <v>45629</v>
      </c>
      <c r="C1809" s="1" t="n">
        <v>45849</v>
      </c>
      <c r="D1809" t="inlineStr">
        <is>
          <t>VÄSTERBOTTENS LÄN</t>
        </is>
      </c>
      <c r="E1809" t="inlineStr">
        <is>
          <t>LYCKSELE</t>
        </is>
      </c>
      <c r="G1809" t="n">
        <v>1</v>
      </c>
      <c r="H1809" t="n">
        <v>0</v>
      </c>
      <c r="I1809" t="n">
        <v>0</v>
      </c>
      <c r="J1809" t="n">
        <v>0</v>
      </c>
      <c r="K1809" t="n">
        <v>0</v>
      </c>
      <c r="L1809" t="n">
        <v>0</v>
      </c>
      <c r="M1809" t="n">
        <v>0</v>
      </c>
      <c r="N1809" t="n">
        <v>0</v>
      </c>
      <c r="O1809" t="n">
        <v>0</v>
      </c>
      <c r="P1809" t="n">
        <v>0</v>
      </c>
      <c r="Q1809" t="n">
        <v>0</v>
      </c>
      <c r="R1809" s="2" t="inlineStr"/>
    </row>
    <row r="1810" ht="15" customHeight="1">
      <c r="A1810" t="inlineStr">
        <is>
          <t>A 57084-2024</t>
        </is>
      </c>
      <c r="B1810" s="1" t="n">
        <v>45629</v>
      </c>
      <c r="C1810" s="1" t="n">
        <v>45849</v>
      </c>
      <c r="D1810" t="inlineStr">
        <is>
          <t>VÄSTERBOTTENS LÄN</t>
        </is>
      </c>
      <c r="E1810" t="inlineStr">
        <is>
          <t>LYCKSELE</t>
        </is>
      </c>
      <c r="G1810" t="n">
        <v>1.8</v>
      </c>
      <c r="H1810" t="n">
        <v>0</v>
      </c>
      <c r="I1810" t="n">
        <v>0</v>
      </c>
      <c r="J1810" t="n">
        <v>0</v>
      </c>
      <c r="K1810" t="n">
        <v>0</v>
      </c>
      <c r="L1810" t="n">
        <v>0</v>
      </c>
      <c r="M1810" t="n">
        <v>0</v>
      </c>
      <c r="N1810" t="n">
        <v>0</v>
      </c>
      <c r="O1810" t="n">
        <v>0</v>
      </c>
      <c r="P1810" t="n">
        <v>0</v>
      </c>
      <c r="Q1810" t="n">
        <v>0</v>
      </c>
      <c r="R1810" s="2" t="inlineStr"/>
    </row>
    <row r="1811" ht="15" customHeight="1">
      <c r="A1811" t="inlineStr">
        <is>
          <t>A 57087-2024</t>
        </is>
      </c>
      <c r="B1811" s="1" t="n">
        <v>45629</v>
      </c>
      <c r="C1811" s="1" t="n">
        <v>45849</v>
      </c>
      <c r="D1811" t="inlineStr">
        <is>
          <t>VÄSTERBOTTENS LÄN</t>
        </is>
      </c>
      <c r="E1811" t="inlineStr">
        <is>
          <t>LYCKSELE</t>
        </is>
      </c>
      <c r="F1811" t="inlineStr">
        <is>
          <t>SCA</t>
        </is>
      </c>
      <c r="G1811" t="n">
        <v>20.8</v>
      </c>
      <c r="H1811" t="n">
        <v>0</v>
      </c>
      <c r="I1811" t="n">
        <v>0</v>
      </c>
      <c r="J1811" t="n">
        <v>0</v>
      </c>
      <c r="K1811" t="n">
        <v>0</v>
      </c>
      <c r="L1811" t="n">
        <v>0</v>
      </c>
      <c r="M1811" t="n">
        <v>0</v>
      </c>
      <c r="N1811" t="n">
        <v>0</v>
      </c>
      <c r="O1811" t="n">
        <v>0</v>
      </c>
      <c r="P1811" t="n">
        <v>0</v>
      </c>
      <c r="Q1811" t="n">
        <v>0</v>
      </c>
      <c r="R1811" s="2" t="inlineStr"/>
    </row>
    <row r="1812" ht="15" customHeight="1">
      <c r="A1812" t="inlineStr">
        <is>
          <t>A 57109-2024</t>
        </is>
      </c>
      <c r="B1812" s="1" t="n">
        <v>45629</v>
      </c>
      <c r="C1812" s="1" t="n">
        <v>45849</v>
      </c>
      <c r="D1812" t="inlineStr">
        <is>
          <t>VÄSTERBOTTENS LÄN</t>
        </is>
      </c>
      <c r="E1812" t="inlineStr">
        <is>
          <t>LYCKSELE</t>
        </is>
      </c>
      <c r="G1812" t="n">
        <v>1</v>
      </c>
      <c r="H1812" t="n">
        <v>0</v>
      </c>
      <c r="I1812" t="n">
        <v>0</v>
      </c>
      <c r="J1812" t="n">
        <v>0</v>
      </c>
      <c r="K1812" t="n">
        <v>0</v>
      </c>
      <c r="L1812" t="n">
        <v>0</v>
      </c>
      <c r="M1812" t="n">
        <v>0</v>
      </c>
      <c r="N1812" t="n">
        <v>0</v>
      </c>
      <c r="O1812" t="n">
        <v>0</v>
      </c>
      <c r="P1812" t="n">
        <v>0</v>
      </c>
      <c r="Q1812" t="n">
        <v>0</v>
      </c>
      <c r="R1812" s="2" t="inlineStr"/>
    </row>
    <row r="1813" ht="15" customHeight="1">
      <c r="A1813" t="inlineStr">
        <is>
          <t>A 57246-2024</t>
        </is>
      </c>
      <c r="B1813" s="1" t="n">
        <v>45629</v>
      </c>
      <c r="C1813" s="1" t="n">
        <v>45849</v>
      </c>
      <c r="D1813" t="inlineStr">
        <is>
          <t>VÄSTERBOTTENS LÄN</t>
        </is>
      </c>
      <c r="E1813" t="inlineStr">
        <is>
          <t>LYCKSELE</t>
        </is>
      </c>
      <c r="F1813" t="inlineStr">
        <is>
          <t>Sveaskog</t>
        </is>
      </c>
      <c r="G1813" t="n">
        <v>6.3</v>
      </c>
      <c r="H1813" t="n">
        <v>0</v>
      </c>
      <c r="I1813" t="n">
        <v>0</v>
      </c>
      <c r="J1813" t="n">
        <v>0</v>
      </c>
      <c r="K1813" t="n">
        <v>0</v>
      </c>
      <c r="L1813" t="n">
        <v>0</v>
      </c>
      <c r="M1813" t="n">
        <v>0</v>
      </c>
      <c r="N1813" t="n">
        <v>0</v>
      </c>
      <c r="O1813" t="n">
        <v>0</v>
      </c>
      <c r="P1813" t="n">
        <v>0</v>
      </c>
      <c r="Q1813" t="n">
        <v>0</v>
      </c>
      <c r="R1813" s="2" t="inlineStr"/>
    </row>
    <row r="1814" ht="15" customHeight="1">
      <c r="A1814" t="inlineStr">
        <is>
          <t>A 57263-2024</t>
        </is>
      </c>
      <c r="B1814" s="1" t="n">
        <v>45629</v>
      </c>
      <c r="C1814" s="1" t="n">
        <v>45849</v>
      </c>
      <c r="D1814" t="inlineStr">
        <is>
          <t>VÄSTERBOTTENS LÄN</t>
        </is>
      </c>
      <c r="E1814" t="inlineStr">
        <is>
          <t>LYCKSELE</t>
        </is>
      </c>
      <c r="F1814" t="inlineStr">
        <is>
          <t>Sveaskog</t>
        </is>
      </c>
      <c r="G1814" t="n">
        <v>3</v>
      </c>
      <c r="H1814" t="n">
        <v>0</v>
      </c>
      <c r="I1814" t="n">
        <v>0</v>
      </c>
      <c r="J1814" t="n">
        <v>0</v>
      </c>
      <c r="K1814" t="n">
        <v>0</v>
      </c>
      <c r="L1814" t="n">
        <v>0</v>
      </c>
      <c r="M1814" t="n">
        <v>0</v>
      </c>
      <c r="N1814" t="n">
        <v>0</v>
      </c>
      <c r="O1814" t="n">
        <v>0</v>
      </c>
      <c r="P1814" t="n">
        <v>0</v>
      </c>
      <c r="Q1814" t="n">
        <v>0</v>
      </c>
      <c r="R1814" s="2" t="inlineStr"/>
    </row>
    <row r="1815" ht="15" customHeight="1">
      <c r="A1815" t="inlineStr">
        <is>
          <t>A 57350-2024</t>
        </is>
      </c>
      <c r="B1815" s="1" t="n">
        <v>45629</v>
      </c>
      <c r="C1815" s="1" t="n">
        <v>45849</v>
      </c>
      <c r="D1815" t="inlineStr">
        <is>
          <t>VÄSTERBOTTENS LÄN</t>
        </is>
      </c>
      <c r="E1815" t="inlineStr">
        <is>
          <t>LYCKSELE</t>
        </is>
      </c>
      <c r="F1815" t="inlineStr">
        <is>
          <t>Sveaskog</t>
        </is>
      </c>
      <c r="G1815" t="n">
        <v>2.1</v>
      </c>
      <c r="H1815" t="n">
        <v>0</v>
      </c>
      <c r="I1815" t="n">
        <v>0</v>
      </c>
      <c r="J1815" t="n">
        <v>0</v>
      </c>
      <c r="K1815" t="n">
        <v>0</v>
      </c>
      <c r="L1815" t="n">
        <v>0</v>
      </c>
      <c r="M1815" t="n">
        <v>0</v>
      </c>
      <c r="N1815" t="n">
        <v>0</v>
      </c>
      <c r="O1815" t="n">
        <v>0</v>
      </c>
      <c r="P1815" t="n">
        <v>0</v>
      </c>
      <c r="Q1815" t="n">
        <v>0</v>
      </c>
      <c r="R1815" s="2" t="inlineStr"/>
    </row>
    <row r="1816" ht="15" customHeight="1">
      <c r="A1816" t="inlineStr">
        <is>
          <t>A 57471-2024</t>
        </is>
      </c>
      <c r="B1816" s="1" t="n">
        <v>45630</v>
      </c>
      <c r="C1816" s="1" t="n">
        <v>45849</v>
      </c>
      <c r="D1816" t="inlineStr">
        <is>
          <t>VÄSTERBOTTENS LÄN</t>
        </is>
      </c>
      <c r="E1816" t="inlineStr">
        <is>
          <t>LYCKSELE</t>
        </is>
      </c>
      <c r="F1816" t="inlineStr">
        <is>
          <t>SCA</t>
        </is>
      </c>
      <c r="G1816" t="n">
        <v>0.8</v>
      </c>
      <c r="H1816" t="n">
        <v>0</v>
      </c>
      <c r="I1816" t="n">
        <v>0</v>
      </c>
      <c r="J1816" t="n">
        <v>0</v>
      </c>
      <c r="K1816" t="n">
        <v>0</v>
      </c>
      <c r="L1816" t="n">
        <v>0</v>
      </c>
      <c r="M1816" t="n">
        <v>0</v>
      </c>
      <c r="N1816" t="n">
        <v>0</v>
      </c>
      <c r="O1816" t="n">
        <v>0</v>
      </c>
      <c r="P1816" t="n">
        <v>0</v>
      </c>
      <c r="Q1816" t="n">
        <v>0</v>
      </c>
      <c r="R1816" s="2" t="inlineStr"/>
    </row>
    <row r="1817" ht="15" customHeight="1">
      <c r="A1817" t="inlineStr">
        <is>
          <t>A 57563-2024</t>
        </is>
      </c>
      <c r="B1817" s="1" t="n">
        <v>45630</v>
      </c>
      <c r="C1817" s="1" t="n">
        <v>45849</v>
      </c>
      <c r="D1817" t="inlineStr">
        <is>
          <t>VÄSTERBOTTENS LÄN</t>
        </is>
      </c>
      <c r="E1817" t="inlineStr">
        <is>
          <t>LYCKSELE</t>
        </is>
      </c>
      <c r="F1817" t="inlineStr">
        <is>
          <t>Sveaskog</t>
        </is>
      </c>
      <c r="G1817" t="n">
        <v>2</v>
      </c>
      <c r="H1817" t="n">
        <v>0</v>
      </c>
      <c r="I1817" t="n">
        <v>0</v>
      </c>
      <c r="J1817" t="n">
        <v>0</v>
      </c>
      <c r="K1817" t="n">
        <v>0</v>
      </c>
      <c r="L1817" t="n">
        <v>0</v>
      </c>
      <c r="M1817" t="n">
        <v>0</v>
      </c>
      <c r="N1817" t="n">
        <v>0</v>
      </c>
      <c r="O1817" t="n">
        <v>0</v>
      </c>
      <c r="P1817" t="n">
        <v>0</v>
      </c>
      <c r="Q1817" t="n">
        <v>0</v>
      </c>
      <c r="R1817" s="2" t="inlineStr"/>
    </row>
    <row r="1818" ht="15" customHeight="1">
      <c r="A1818" t="inlineStr">
        <is>
          <t>A 57857-2024</t>
        </is>
      </c>
      <c r="B1818" s="1" t="n">
        <v>45631</v>
      </c>
      <c r="C1818" s="1" t="n">
        <v>45849</v>
      </c>
      <c r="D1818" t="inlineStr">
        <is>
          <t>VÄSTERBOTTENS LÄN</t>
        </is>
      </c>
      <c r="E1818" t="inlineStr">
        <is>
          <t>LYCKSELE</t>
        </is>
      </c>
      <c r="G1818" t="n">
        <v>3.1</v>
      </c>
      <c r="H1818" t="n">
        <v>0</v>
      </c>
      <c r="I1818" t="n">
        <v>0</v>
      </c>
      <c r="J1818" t="n">
        <v>0</v>
      </c>
      <c r="K1818" t="n">
        <v>0</v>
      </c>
      <c r="L1818" t="n">
        <v>0</v>
      </c>
      <c r="M1818" t="n">
        <v>0</v>
      </c>
      <c r="N1818" t="n">
        <v>0</v>
      </c>
      <c r="O1818" t="n">
        <v>0</v>
      </c>
      <c r="P1818" t="n">
        <v>0</v>
      </c>
      <c r="Q1818" t="n">
        <v>0</v>
      </c>
      <c r="R1818" s="2" t="inlineStr"/>
    </row>
    <row r="1819" ht="15" customHeight="1">
      <c r="A1819" t="inlineStr">
        <is>
          <t>A 58356-2024</t>
        </is>
      </c>
      <c r="B1819" s="1" t="n">
        <v>45632</v>
      </c>
      <c r="C1819" s="1" t="n">
        <v>45849</v>
      </c>
      <c r="D1819" t="inlineStr">
        <is>
          <t>VÄSTERBOTTENS LÄN</t>
        </is>
      </c>
      <c r="E1819" t="inlineStr">
        <is>
          <t>LYCKSELE</t>
        </is>
      </c>
      <c r="F1819" t="inlineStr">
        <is>
          <t>SCA</t>
        </is>
      </c>
      <c r="G1819" t="n">
        <v>10.4</v>
      </c>
      <c r="H1819" t="n">
        <v>0</v>
      </c>
      <c r="I1819" t="n">
        <v>0</v>
      </c>
      <c r="J1819" t="n">
        <v>0</v>
      </c>
      <c r="K1819" t="n">
        <v>0</v>
      </c>
      <c r="L1819" t="n">
        <v>0</v>
      </c>
      <c r="M1819" t="n">
        <v>0</v>
      </c>
      <c r="N1819" t="n">
        <v>0</v>
      </c>
      <c r="O1819" t="n">
        <v>0</v>
      </c>
      <c r="P1819" t="n">
        <v>0</v>
      </c>
      <c r="Q1819" t="n">
        <v>0</v>
      </c>
      <c r="R1819" s="2" t="inlineStr"/>
    </row>
    <row r="1820" ht="15" customHeight="1">
      <c r="A1820" t="inlineStr">
        <is>
          <t>A 58714-2024</t>
        </is>
      </c>
      <c r="B1820" s="1" t="n">
        <v>45635</v>
      </c>
      <c r="C1820" s="1" t="n">
        <v>45849</v>
      </c>
      <c r="D1820" t="inlineStr">
        <is>
          <t>VÄSTERBOTTENS LÄN</t>
        </is>
      </c>
      <c r="E1820" t="inlineStr">
        <is>
          <t>LYCKSELE</t>
        </is>
      </c>
      <c r="G1820" t="n">
        <v>25</v>
      </c>
      <c r="H1820" t="n">
        <v>0</v>
      </c>
      <c r="I1820" t="n">
        <v>0</v>
      </c>
      <c r="J1820" t="n">
        <v>0</v>
      </c>
      <c r="K1820" t="n">
        <v>0</v>
      </c>
      <c r="L1820" t="n">
        <v>0</v>
      </c>
      <c r="M1820" t="n">
        <v>0</v>
      </c>
      <c r="N1820" t="n">
        <v>0</v>
      </c>
      <c r="O1820" t="n">
        <v>0</v>
      </c>
      <c r="P1820" t="n">
        <v>0</v>
      </c>
      <c r="Q1820" t="n">
        <v>0</v>
      </c>
      <c r="R1820" s="2" t="inlineStr"/>
    </row>
    <row r="1821" ht="15" customHeight="1">
      <c r="A1821" t="inlineStr">
        <is>
          <t>A 58684-2024</t>
        </is>
      </c>
      <c r="B1821" s="1" t="n">
        <v>45635</v>
      </c>
      <c r="C1821" s="1" t="n">
        <v>45849</v>
      </c>
      <c r="D1821" t="inlineStr">
        <is>
          <t>VÄSTERBOTTENS LÄN</t>
        </is>
      </c>
      <c r="E1821" t="inlineStr">
        <is>
          <t>LYCKSELE</t>
        </is>
      </c>
      <c r="F1821" t="inlineStr">
        <is>
          <t>Sveaskog</t>
        </is>
      </c>
      <c r="G1821" t="n">
        <v>4.5</v>
      </c>
      <c r="H1821" t="n">
        <v>0</v>
      </c>
      <c r="I1821" t="n">
        <v>0</v>
      </c>
      <c r="J1821" t="n">
        <v>0</v>
      </c>
      <c r="K1821" t="n">
        <v>0</v>
      </c>
      <c r="L1821" t="n">
        <v>0</v>
      </c>
      <c r="M1821" t="n">
        <v>0</v>
      </c>
      <c r="N1821" t="n">
        <v>0</v>
      </c>
      <c r="O1821" t="n">
        <v>0</v>
      </c>
      <c r="P1821" t="n">
        <v>0</v>
      </c>
      <c r="Q1821" t="n">
        <v>0</v>
      </c>
      <c r="R1821" s="2" t="inlineStr"/>
    </row>
    <row r="1822" ht="15" customHeight="1">
      <c r="A1822" t="inlineStr">
        <is>
          <t>A 58534-2024</t>
        </is>
      </c>
      <c r="B1822" s="1" t="n">
        <v>45635</v>
      </c>
      <c r="C1822" s="1" t="n">
        <v>45849</v>
      </c>
      <c r="D1822" t="inlineStr">
        <is>
          <t>VÄSTERBOTTENS LÄN</t>
        </is>
      </c>
      <c r="E1822" t="inlineStr">
        <is>
          <t>LYCKSELE</t>
        </is>
      </c>
      <c r="F1822" t="inlineStr">
        <is>
          <t>Holmen skog AB</t>
        </is>
      </c>
      <c r="G1822" t="n">
        <v>4.1</v>
      </c>
      <c r="H1822" t="n">
        <v>0</v>
      </c>
      <c r="I1822" t="n">
        <v>0</v>
      </c>
      <c r="J1822" t="n">
        <v>0</v>
      </c>
      <c r="K1822" t="n">
        <v>0</v>
      </c>
      <c r="L1822" t="n">
        <v>0</v>
      </c>
      <c r="M1822" t="n">
        <v>0</v>
      </c>
      <c r="N1822" t="n">
        <v>0</v>
      </c>
      <c r="O1822" t="n">
        <v>0</v>
      </c>
      <c r="P1822" t="n">
        <v>0</v>
      </c>
      <c r="Q1822" t="n">
        <v>0</v>
      </c>
      <c r="R1822" s="2" t="inlineStr"/>
    </row>
    <row r="1823" ht="15" customHeight="1">
      <c r="A1823" t="inlineStr">
        <is>
          <t>A 58716-2024</t>
        </is>
      </c>
      <c r="B1823" s="1" t="n">
        <v>45635</v>
      </c>
      <c r="C1823" s="1" t="n">
        <v>45849</v>
      </c>
      <c r="D1823" t="inlineStr">
        <is>
          <t>VÄSTERBOTTENS LÄN</t>
        </is>
      </c>
      <c r="E1823" t="inlineStr">
        <is>
          <t>LYCKSELE</t>
        </is>
      </c>
      <c r="F1823" t="inlineStr">
        <is>
          <t>Holmen skog AB</t>
        </is>
      </c>
      <c r="G1823" t="n">
        <v>1.6</v>
      </c>
      <c r="H1823" t="n">
        <v>0</v>
      </c>
      <c r="I1823" t="n">
        <v>0</v>
      </c>
      <c r="J1823" t="n">
        <v>0</v>
      </c>
      <c r="K1823" t="n">
        <v>0</v>
      </c>
      <c r="L1823" t="n">
        <v>0</v>
      </c>
      <c r="M1823" t="n">
        <v>0</v>
      </c>
      <c r="N1823" t="n">
        <v>0</v>
      </c>
      <c r="O1823" t="n">
        <v>0</v>
      </c>
      <c r="P1823" t="n">
        <v>0</v>
      </c>
      <c r="Q1823" t="n">
        <v>0</v>
      </c>
      <c r="R1823" s="2" t="inlineStr"/>
    </row>
    <row r="1824" ht="15" customHeight="1">
      <c r="A1824" t="inlineStr">
        <is>
          <t>A 59270-2024</t>
        </is>
      </c>
      <c r="B1824" s="1" t="n">
        <v>45637</v>
      </c>
      <c r="C1824" s="1" t="n">
        <v>45849</v>
      </c>
      <c r="D1824" t="inlineStr">
        <is>
          <t>VÄSTERBOTTENS LÄN</t>
        </is>
      </c>
      <c r="E1824" t="inlineStr">
        <is>
          <t>LYCKSELE</t>
        </is>
      </c>
      <c r="G1824" t="n">
        <v>4.4</v>
      </c>
      <c r="H1824" t="n">
        <v>0</v>
      </c>
      <c r="I1824" t="n">
        <v>0</v>
      </c>
      <c r="J1824" t="n">
        <v>0</v>
      </c>
      <c r="K1824" t="n">
        <v>0</v>
      </c>
      <c r="L1824" t="n">
        <v>0</v>
      </c>
      <c r="M1824" t="n">
        <v>0</v>
      </c>
      <c r="N1824" t="n">
        <v>0</v>
      </c>
      <c r="O1824" t="n">
        <v>0</v>
      </c>
      <c r="P1824" t="n">
        <v>0</v>
      </c>
      <c r="Q1824" t="n">
        <v>0</v>
      </c>
      <c r="R1824" s="2" t="inlineStr"/>
    </row>
    <row r="1825" ht="15" customHeight="1">
      <c r="A1825" t="inlineStr">
        <is>
          <t>A 59174-2024</t>
        </is>
      </c>
      <c r="B1825" s="1" t="n">
        <v>45637</v>
      </c>
      <c r="C1825" s="1" t="n">
        <v>45849</v>
      </c>
      <c r="D1825" t="inlineStr">
        <is>
          <t>VÄSTERBOTTENS LÄN</t>
        </is>
      </c>
      <c r="E1825" t="inlineStr">
        <is>
          <t>LYCKSELE</t>
        </is>
      </c>
      <c r="G1825" t="n">
        <v>1.5</v>
      </c>
      <c r="H1825" t="n">
        <v>0</v>
      </c>
      <c r="I1825" t="n">
        <v>0</v>
      </c>
      <c r="J1825" t="n">
        <v>0</v>
      </c>
      <c r="K1825" t="n">
        <v>0</v>
      </c>
      <c r="L1825" t="n">
        <v>0</v>
      </c>
      <c r="M1825" t="n">
        <v>0</v>
      </c>
      <c r="N1825" t="n">
        <v>0</v>
      </c>
      <c r="O1825" t="n">
        <v>0</v>
      </c>
      <c r="P1825" t="n">
        <v>0</v>
      </c>
      <c r="Q1825" t="n">
        <v>0</v>
      </c>
      <c r="R1825" s="2" t="inlineStr"/>
    </row>
    <row r="1826" ht="15" customHeight="1">
      <c r="A1826" t="inlineStr">
        <is>
          <t>A 59168-2024</t>
        </is>
      </c>
      <c r="B1826" s="1" t="n">
        <v>45637</v>
      </c>
      <c r="C1826" s="1" t="n">
        <v>45849</v>
      </c>
      <c r="D1826" t="inlineStr">
        <is>
          <t>VÄSTERBOTTENS LÄN</t>
        </is>
      </c>
      <c r="E1826" t="inlineStr">
        <is>
          <t>LYCKSELE</t>
        </is>
      </c>
      <c r="G1826" t="n">
        <v>4.4</v>
      </c>
      <c r="H1826" t="n">
        <v>0</v>
      </c>
      <c r="I1826" t="n">
        <v>0</v>
      </c>
      <c r="J1826" t="n">
        <v>0</v>
      </c>
      <c r="K1826" t="n">
        <v>0</v>
      </c>
      <c r="L1826" t="n">
        <v>0</v>
      </c>
      <c r="M1826" t="n">
        <v>0</v>
      </c>
      <c r="N1826" t="n">
        <v>0</v>
      </c>
      <c r="O1826" t="n">
        <v>0</v>
      </c>
      <c r="P1826" t="n">
        <v>0</v>
      </c>
      <c r="Q1826" t="n">
        <v>0</v>
      </c>
      <c r="R1826" s="2" t="inlineStr"/>
    </row>
    <row r="1827" ht="15" customHeight="1">
      <c r="A1827" t="inlineStr">
        <is>
          <t>A 59209-2024</t>
        </is>
      </c>
      <c r="B1827" s="1" t="n">
        <v>45637</v>
      </c>
      <c r="C1827" s="1" t="n">
        <v>45849</v>
      </c>
      <c r="D1827" t="inlineStr">
        <is>
          <t>VÄSTERBOTTENS LÄN</t>
        </is>
      </c>
      <c r="E1827" t="inlineStr">
        <is>
          <t>LYCKSELE</t>
        </is>
      </c>
      <c r="F1827" t="inlineStr">
        <is>
          <t>Sveaskog</t>
        </is>
      </c>
      <c r="G1827" t="n">
        <v>2.3</v>
      </c>
      <c r="H1827" t="n">
        <v>0</v>
      </c>
      <c r="I1827" t="n">
        <v>0</v>
      </c>
      <c r="J1827" t="n">
        <v>0</v>
      </c>
      <c r="K1827" t="n">
        <v>0</v>
      </c>
      <c r="L1827" t="n">
        <v>0</v>
      </c>
      <c r="M1827" t="n">
        <v>0</v>
      </c>
      <c r="N1827" t="n">
        <v>0</v>
      </c>
      <c r="O1827" t="n">
        <v>0</v>
      </c>
      <c r="P1827" t="n">
        <v>0</v>
      </c>
      <c r="Q1827" t="n">
        <v>0</v>
      </c>
      <c r="R1827" s="2" t="inlineStr"/>
    </row>
    <row r="1828" ht="15" customHeight="1">
      <c r="A1828" t="inlineStr">
        <is>
          <t>A 59565-2024</t>
        </is>
      </c>
      <c r="B1828" s="1" t="n">
        <v>45638</v>
      </c>
      <c r="C1828" s="1" t="n">
        <v>45849</v>
      </c>
      <c r="D1828" t="inlineStr">
        <is>
          <t>VÄSTERBOTTENS LÄN</t>
        </is>
      </c>
      <c r="E1828" t="inlineStr">
        <is>
          <t>LYCKSELE</t>
        </is>
      </c>
      <c r="F1828" t="inlineStr">
        <is>
          <t>SCA</t>
        </is>
      </c>
      <c r="G1828" t="n">
        <v>1.2</v>
      </c>
      <c r="H1828" t="n">
        <v>0</v>
      </c>
      <c r="I1828" t="n">
        <v>0</v>
      </c>
      <c r="J1828" t="n">
        <v>0</v>
      </c>
      <c r="K1828" t="n">
        <v>0</v>
      </c>
      <c r="L1828" t="n">
        <v>0</v>
      </c>
      <c r="M1828" t="n">
        <v>0</v>
      </c>
      <c r="N1828" t="n">
        <v>0</v>
      </c>
      <c r="O1828" t="n">
        <v>0</v>
      </c>
      <c r="P1828" t="n">
        <v>0</v>
      </c>
      <c r="Q1828" t="n">
        <v>0</v>
      </c>
      <c r="R1828" s="2" t="inlineStr"/>
    </row>
    <row r="1829" ht="15" customHeight="1">
      <c r="A1829" t="inlineStr">
        <is>
          <t>A 59569-2024</t>
        </is>
      </c>
      <c r="B1829" s="1" t="n">
        <v>45638</v>
      </c>
      <c r="C1829" s="1" t="n">
        <v>45849</v>
      </c>
      <c r="D1829" t="inlineStr">
        <is>
          <t>VÄSTERBOTTENS LÄN</t>
        </is>
      </c>
      <c r="E1829" t="inlineStr">
        <is>
          <t>LYCKSELE</t>
        </is>
      </c>
      <c r="F1829" t="inlineStr">
        <is>
          <t>Holmen skog AB</t>
        </is>
      </c>
      <c r="G1829" t="n">
        <v>1.5</v>
      </c>
      <c r="H1829" t="n">
        <v>0</v>
      </c>
      <c r="I1829" t="n">
        <v>0</v>
      </c>
      <c r="J1829" t="n">
        <v>0</v>
      </c>
      <c r="K1829" t="n">
        <v>0</v>
      </c>
      <c r="L1829" t="n">
        <v>0</v>
      </c>
      <c r="M1829" t="n">
        <v>0</v>
      </c>
      <c r="N1829" t="n">
        <v>0</v>
      </c>
      <c r="O1829" t="n">
        <v>0</v>
      </c>
      <c r="P1829" t="n">
        <v>0</v>
      </c>
      <c r="Q1829" t="n">
        <v>0</v>
      </c>
      <c r="R1829" s="2" t="inlineStr"/>
    </row>
    <row r="1830" ht="15" customHeight="1">
      <c r="A1830" t="inlineStr">
        <is>
          <t>A 59376-2024</t>
        </is>
      </c>
      <c r="B1830" s="1" t="n">
        <v>45638</v>
      </c>
      <c r="C1830" s="1" t="n">
        <v>45849</v>
      </c>
      <c r="D1830" t="inlineStr">
        <is>
          <t>VÄSTERBOTTENS LÄN</t>
        </is>
      </c>
      <c r="E1830" t="inlineStr">
        <is>
          <t>LYCKSELE</t>
        </is>
      </c>
      <c r="G1830" t="n">
        <v>2.4</v>
      </c>
      <c r="H1830" t="n">
        <v>0</v>
      </c>
      <c r="I1830" t="n">
        <v>0</v>
      </c>
      <c r="J1830" t="n">
        <v>0</v>
      </c>
      <c r="K1830" t="n">
        <v>0</v>
      </c>
      <c r="L1830" t="n">
        <v>0</v>
      </c>
      <c r="M1830" t="n">
        <v>0</v>
      </c>
      <c r="N1830" t="n">
        <v>0</v>
      </c>
      <c r="O1830" t="n">
        <v>0</v>
      </c>
      <c r="P1830" t="n">
        <v>0</v>
      </c>
      <c r="Q1830" t="n">
        <v>0</v>
      </c>
      <c r="R1830" s="2" t="inlineStr"/>
    </row>
    <row r="1831" ht="15" customHeight="1">
      <c r="A1831" t="inlineStr">
        <is>
          <t>A 60067-2024</t>
        </is>
      </c>
      <c r="B1831" s="1" t="n">
        <v>45642</v>
      </c>
      <c r="C1831" s="1" t="n">
        <v>45849</v>
      </c>
      <c r="D1831" t="inlineStr">
        <is>
          <t>VÄSTERBOTTENS LÄN</t>
        </is>
      </c>
      <c r="E1831" t="inlineStr">
        <is>
          <t>LYCKSELE</t>
        </is>
      </c>
      <c r="F1831" t="inlineStr">
        <is>
          <t>Sveaskog</t>
        </is>
      </c>
      <c r="G1831" t="n">
        <v>1.8</v>
      </c>
      <c r="H1831" t="n">
        <v>0</v>
      </c>
      <c r="I1831" t="n">
        <v>0</v>
      </c>
      <c r="J1831" t="n">
        <v>0</v>
      </c>
      <c r="K1831" t="n">
        <v>0</v>
      </c>
      <c r="L1831" t="n">
        <v>0</v>
      </c>
      <c r="M1831" t="n">
        <v>0</v>
      </c>
      <c r="N1831" t="n">
        <v>0</v>
      </c>
      <c r="O1831" t="n">
        <v>0</v>
      </c>
      <c r="P1831" t="n">
        <v>0</v>
      </c>
      <c r="Q1831" t="n">
        <v>0</v>
      </c>
      <c r="R1831" s="2" t="inlineStr"/>
    </row>
    <row r="1832" ht="15" customHeight="1">
      <c r="A1832" t="inlineStr">
        <is>
          <t>A 60482-2024</t>
        </is>
      </c>
      <c r="B1832" s="1" t="n">
        <v>45643</v>
      </c>
      <c r="C1832" s="1" t="n">
        <v>45849</v>
      </c>
      <c r="D1832" t="inlineStr">
        <is>
          <t>VÄSTERBOTTENS LÄN</t>
        </is>
      </c>
      <c r="E1832" t="inlineStr">
        <is>
          <t>LYCKSELE</t>
        </is>
      </c>
      <c r="F1832" t="inlineStr">
        <is>
          <t>Sveaskog</t>
        </is>
      </c>
      <c r="G1832" t="n">
        <v>7.8</v>
      </c>
      <c r="H1832" t="n">
        <v>0</v>
      </c>
      <c r="I1832" t="n">
        <v>0</v>
      </c>
      <c r="J1832" t="n">
        <v>0</v>
      </c>
      <c r="K1832" t="n">
        <v>0</v>
      </c>
      <c r="L1832" t="n">
        <v>0</v>
      </c>
      <c r="M1832" t="n">
        <v>0</v>
      </c>
      <c r="N1832" t="n">
        <v>0</v>
      </c>
      <c r="O1832" t="n">
        <v>0</v>
      </c>
      <c r="P1832" t="n">
        <v>0</v>
      </c>
      <c r="Q1832" t="n">
        <v>0</v>
      </c>
      <c r="R1832" s="2" t="inlineStr"/>
    </row>
    <row r="1833" ht="15" customHeight="1">
      <c r="A1833" t="inlineStr">
        <is>
          <t>A 60542-2024</t>
        </is>
      </c>
      <c r="B1833" s="1" t="n">
        <v>45643</v>
      </c>
      <c r="C1833" s="1" t="n">
        <v>45849</v>
      </c>
      <c r="D1833" t="inlineStr">
        <is>
          <t>VÄSTERBOTTENS LÄN</t>
        </is>
      </c>
      <c r="E1833" t="inlineStr">
        <is>
          <t>LYCKSELE</t>
        </is>
      </c>
      <c r="G1833" t="n">
        <v>4.4</v>
      </c>
      <c r="H1833" t="n">
        <v>0</v>
      </c>
      <c r="I1833" t="n">
        <v>0</v>
      </c>
      <c r="J1833" t="n">
        <v>0</v>
      </c>
      <c r="K1833" t="n">
        <v>0</v>
      </c>
      <c r="L1833" t="n">
        <v>0</v>
      </c>
      <c r="M1833" t="n">
        <v>0</v>
      </c>
      <c r="N1833" t="n">
        <v>0</v>
      </c>
      <c r="O1833" t="n">
        <v>0</v>
      </c>
      <c r="P1833" t="n">
        <v>0</v>
      </c>
      <c r="Q1833" t="n">
        <v>0</v>
      </c>
      <c r="R1833" s="2" t="inlineStr"/>
    </row>
    <row r="1834" ht="15" customHeight="1">
      <c r="A1834" t="inlineStr">
        <is>
          <t>A 61161-2024</t>
        </is>
      </c>
      <c r="B1834" s="1" t="n">
        <v>45645</v>
      </c>
      <c r="C1834" s="1" t="n">
        <v>45849</v>
      </c>
      <c r="D1834" t="inlineStr">
        <is>
          <t>VÄSTERBOTTENS LÄN</t>
        </is>
      </c>
      <c r="E1834" t="inlineStr">
        <is>
          <t>LYCKSELE</t>
        </is>
      </c>
      <c r="F1834" t="inlineStr">
        <is>
          <t>SCA</t>
        </is>
      </c>
      <c r="G1834" t="n">
        <v>4.4</v>
      </c>
      <c r="H1834" t="n">
        <v>0</v>
      </c>
      <c r="I1834" t="n">
        <v>0</v>
      </c>
      <c r="J1834" t="n">
        <v>0</v>
      </c>
      <c r="K1834" t="n">
        <v>0</v>
      </c>
      <c r="L1834" t="n">
        <v>0</v>
      </c>
      <c r="M1834" t="n">
        <v>0</v>
      </c>
      <c r="N1834" t="n">
        <v>0</v>
      </c>
      <c r="O1834" t="n">
        <v>0</v>
      </c>
      <c r="P1834" t="n">
        <v>0</v>
      </c>
      <c r="Q1834" t="n">
        <v>0</v>
      </c>
      <c r="R1834" s="2" t="inlineStr"/>
    </row>
    <row r="1835" ht="15" customHeight="1">
      <c r="A1835" t="inlineStr">
        <is>
          <t>A 61366-2024</t>
        </is>
      </c>
      <c r="B1835" s="1" t="n">
        <v>45646</v>
      </c>
      <c r="C1835" s="1" t="n">
        <v>45849</v>
      </c>
      <c r="D1835" t="inlineStr">
        <is>
          <t>VÄSTERBOTTENS LÄN</t>
        </is>
      </c>
      <c r="E1835" t="inlineStr">
        <is>
          <t>LYCKSELE</t>
        </is>
      </c>
      <c r="G1835" t="n">
        <v>5</v>
      </c>
      <c r="H1835" t="n">
        <v>0</v>
      </c>
      <c r="I1835" t="n">
        <v>0</v>
      </c>
      <c r="J1835" t="n">
        <v>0</v>
      </c>
      <c r="K1835" t="n">
        <v>0</v>
      </c>
      <c r="L1835" t="n">
        <v>0</v>
      </c>
      <c r="M1835" t="n">
        <v>0</v>
      </c>
      <c r="N1835" t="n">
        <v>0</v>
      </c>
      <c r="O1835" t="n">
        <v>0</v>
      </c>
      <c r="P1835" t="n">
        <v>0</v>
      </c>
      <c r="Q1835" t="n">
        <v>0</v>
      </c>
      <c r="R1835" s="2" t="inlineStr"/>
    </row>
    <row r="1836" ht="15" customHeight="1">
      <c r="A1836" t="inlineStr">
        <is>
          <t>A 61562-2024</t>
        </is>
      </c>
      <c r="B1836" s="1" t="n">
        <v>45646</v>
      </c>
      <c r="C1836" s="1" t="n">
        <v>45849</v>
      </c>
      <c r="D1836" t="inlineStr">
        <is>
          <t>VÄSTERBOTTENS LÄN</t>
        </is>
      </c>
      <c r="E1836" t="inlineStr">
        <is>
          <t>LYCKSELE</t>
        </is>
      </c>
      <c r="G1836" t="n">
        <v>6.8</v>
      </c>
      <c r="H1836" t="n">
        <v>0</v>
      </c>
      <c r="I1836" t="n">
        <v>0</v>
      </c>
      <c r="J1836" t="n">
        <v>0</v>
      </c>
      <c r="K1836" t="n">
        <v>0</v>
      </c>
      <c r="L1836" t="n">
        <v>0</v>
      </c>
      <c r="M1836" t="n">
        <v>0</v>
      </c>
      <c r="N1836" t="n">
        <v>0</v>
      </c>
      <c r="O1836" t="n">
        <v>0</v>
      </c>
      <c r="P1836" t="n">
        <v>0</v>
      </c>
      <c r="Q1836" t="n">
        <v>0</v>
      </c>
      <c r="R1836" s="2" t="inlineStr"/>
    </row>
    <row r="1837" ht="15" customHeight="1">
      <c r="A1837" t="inlineStr">
        <is>
          <t>A 61382-2024</t>
        </is>
      </c>
      <c r="B1837" s="1" t="n">
        <v>45646</v>
      </c>
      <c r="C1837" s="1" t="n">
        <v>45849</v>
      </c>
      <c r="D1837" t="inlineStr">
        <is>
          <t>VÄSTERBOTTENS LÄN</t>
        </is>
      </c>
      <c r="E1837" t="inlineStr">
        <is>
          <t>LYCKSELE</t>
        </is>
      </c>
      <c r="G1837" t="n">
        <v>1.6</v>
      </c>
      <c r="H1837" t="n">
        <v>0</v>
      </c>
      <c r="I1837" t="n">
        <v>0</v>
      </c>
      <c r="J1837" t="n">
        <v>0</v>
      </c>
      <c r="K1837" t="n">
        <v>0</v>
      </c>
      <c r="L1837" t="n">
        <v>0</v>
      </c>
      <c r="M1837" t="n">
        <v>0</v>
      </c>
      <c r="N1837" t="n">
        <v>0</v>
      </c>
      <c r="O1837" t="n">
        <v>0</v>
      </c>
      <c r="P1837" t="n">
        <v>0</v>
      </c>
      <c r="Q1837" t="n">
        <v>0</v>
      </c>
      <c r="R1837" s="2" t="inlineStr"/>
    </row>
    <row r="1838" ht="15" customHeight="1">
      <c r="A1838" t="inlineStr">
        <is>
          <t>A 61367-2024</t>
        </is>
      </c>
      <c r="B1838" s="1" t="n">
        <v>45646</v>
      </c>
      <c r="C1838" s="1" t="n">
        <v>45849</v>
      </c>
      <c r="D1838" t="inlineStr">
        <is>
          <t>VÄSTERBOTTENS LÄN</t>
        </is>
      </c>
      <c r="E1838" t="inlineStr">
        <is>
          <t>LYCKSELE</t>
        </is>
      </c>
      <c r="G1838" t="n">
        <v>10.4</v>
      </c>
      <c r="H1838" t="n">
        <v>0</v>
      </c>
      <c r="I1838" t="n">
        <v>0</v>
      </c>
      <c r="J1838" t="n">
        <v>0</v>
      </c>
      <c r="K1838" t="n">
        <v>0</v>
      </c>
      <c r="L1838" t="n">
        <v>0</v>
      </c>
      <c r="M1838" t="n">
        <v>0</v>
      </c>
      <c r="N1838" t="n">
        <v>0</v>
      </c>
      <c r="O1838" t="n">
        <v>0</v>
      </c>
      <c r="P1838" t="n">
        <v>0</v>
      </c>
      <c r="Q1838" t="n">
        <v>0</v>
      </c>
      <c r="R1838" s="2" t="inlineStr"/>
    </row>
    <row r="1839" ht="15" customHeight="1">
      <c r="A1839" t="inlineStr">
        <is>
          <t>A 61401-2024</t>
        </is>
      </c>
      <c r="B1839" s="1" t="n">
        <v>45646</v>
      </c>
      <c r="C1839" s="1" t="n">
        <v>45849</v>
      </c>
      <c r="D1839" t="inlineStr">
        <is>
          <t>VÄSTERBOTTENS LÄN</t>
        </is>
      </c>
      <c r="E1839" t="inlineStr">
        <is>
          <t>LYCKSELE</t>
        </is>
      </c>
      <c r="G1839" t="n">
        <v>5.7</v>
      </c>
      <c r="H1839" t="n">
        <v>0</v>
      </c>
      <c r="I1839" t="n">
        <v>0</v>
      </c>
      <c r="J1839" t="n">
        <v>0</v>
      </c>
      <c r="K1839" t="n">
        <v>0</v>
      </c>
      <c r="L1839" t="n">
        <v>0</v>
      </c>
      <c r="M1839" t="n">
        <v>0</v>
      </c>
      <c r="N1839" t="n">
        <v>0</v>
      </c>
      <c r="O1839" t="n">
        <v>0</v>
      </c>
      <c r="P1839" t="n">
        <v>0</v>
      </c>
      <c r="Q1839" t="n">
        <v>0</v>
      </c>
      <c r="R1839" s="2" t="inlineStr"/>
    </row>
    <row r="1840" ht="15" customHeight="1">
      <c r="A1840" t="inlineStr">
        <is>
          <t>A 61899-2024</t>
        </is>
      </c>
      <c r="B1840" s="1" t="n">
        <v>45652</v>
      </c>
      <c r="C1840" s="1" t="n">
        <v>45849</v>
      </c>
      <c r="D1840" t="inlineStr">
        <is>
          <t>VÄSTERBOTTENS LÄN</t>
        </is>
      </c>
      <c r="E1840" t="inlineStr">
        <is>
          <t>LYCKSELE</t>
        </is>
      </c>
      <c r="G1840" t="n">
        <v>8.699999999999999</v>
      </c>
      <c r="H1840" t="n">
        <v>0</v>
      </c>
      <c r="I1840" t="n">
        <v>0</v>
      </c>
      <c r="J1840" t="n">
        <v>0</v>
      </c>
      <c r="K1840" t="n">
        <v>0</v>
      </c>
      <c r="L1840" t="n">
        <v>0</v>
      </c>
      <c r="M1840" t="n">
        <v>0</v>
      </c>
      <c r="N1840" t="n">
        <v>0</v>
      </c>
      <c r="O1840" t="n">
        <v>0</v>
      </c>
      <c r="P1840" t="n">
        <v>0</v>
      </c>
      <c r="Q1840" t="n">
        <v>0</v>
      </c>
      <c r="R1840" s="2" t="inlineStr"/>
    </row>
    <row r="1841" ht="15" customHeight="1">
      <c r="A1841" t="inlineStr">
        <is>
          <t>A 61895-2024</t>
        </is>
      </c>
      <c r="B1841" s="1" t="n">
        <v>45652</v>
      </c>
      <c r="C1841" s="1" t="n">
        <v>45849</v>
      </c>
      <c r="D1841" t="inlineStr">
        <is>
          <t>VÄSTERBOTTENS LÄN</t>
        </is>
      </c>
      <c r="E1841" t="inlineStr">
        <is>
          <t>LYCKSELE</t>
        </is>
      </c>
      <c r="G1841" t="n">
        <v>2.7</v>
      </c>
      <c r="H1841" t="n">
        <v>0</v>
      </c>
      <c r="I1841" t="n">
        <v>0</v>
      </c>
      <c r="J1841" t="n">
        <v>0</v>
      </c>
      <c r="K1841" t="n">
        <v>0</v>
      </c>
      <c r="L1841" t="n">
        <v>0</v>
      </c>
      <c r="M1841" t="n">
        <v>0</v>
      </c>
      <c r="N1841" t="n">
        <v>0</v>
      </c>
      <c r="O1841" t="n">
        <v>0</v>
      </c>
      <c r="P1841" t="n">
        <v>0</v>
      </c>
      <c r="Q1841" t="n">
        <v>0</v>
      </c>
      <c r="R1841" s="2" t="inlineStr"/>
    </row>
    <row r="1842" ht="15" customHeight="1">
      <c r="A1842" t="inlineStr">
        <is>
          <t>A 61891-2024</t>
        </is>
      </c>
      <c r="B1842" s="1" t="n">
        <v>45652</v>
      </c>
      <c r="C1842" s="1" t="n">
        <v>45849</v>
      </c>
      <c r="D1842" t="inlineStr">
        <is>
          <t>VÄSTERBOTTENS LÄN</t>
        </is>
      </c>
      <c r="E1842" t="inlineStr">
        <is>
          <t>LYCKSELE</t>
        </is>
      </c>
      <c r="G1842" t="n">
        <v>9</v>
      </c>
      <c r="H1842" t="n">
        <v>0</v>
      </c>
      <c r="I1842" t="n">
        <v>0</v>
      </c>
      <c r="J1842" t="n">
        <v>0</v>
      </c>
      <c r="K1842" t="n">
        <v>0</v>
      </c>
      <c r="L1842" t="n">
        <v>0</v>
      </c>
      <c r="M1842" t="n">
        <v>0</v>
      </c>
      <c r="N1842" t="n">
        <v>0</v>
      </c>
      <c r="O1842" t="n">
        <v>0</v>
      </c>
      <c r="P1842" t="n">
        <v>0</v>
      </c>
      <c r="Q1842" t="n">
        <v>0</v>
      </c>
      <c r="R1842" s="2" t="inlineStr"/>
    </row>
    <row r="1843" ht="15" customHeight="1">
      <c r="A1843" t="inlineStr">
        <is>
          <t>A 61887-2024</t>
        </is>
      </c>
      <c r="B1843" s="1" t="n">
        <v>45652</v>
      </c>
      <c r="C1843" s="1" t="n">
        <v>45849</v>
      </c>
      <c r="D1843" t="inlineStr">
        <is>
          <t>VÄSTERBOTTENS LÄN</t>
        </is>
      </c>
      <c r="E1843" t="inlineStr">
        <is>
          <t>LYCKSELE</t>
        </is>
      </c>
      <c r="G1843" t="n">
        <v>7.1</v>
      </c>
      <c r="H1843" t="n">
        <v>0</v>
      </c>
      <c r="I1843" t="n">
        <v>0</v>
      </c>
      <c r="J1843" t="n">
        <v>0</v>
      </c>
      <c r="K1843" t="n">
        <v>0</v>
      </c>
      <c r="L1843" t="n">
        <v>0</v>
      </c>
      <c r="M1843" t="n">
        <v>0</v>
      </c>
      <c r="N1843" t="n">
        <v>0</v>
      </c>
      <c r="O1843" t="n">
        <v>0</v>
      </c>
      <c r="P1843" t="n">
        <v>0</v>
      </c>
      <c r="Q1843" t="n">
        <v>0</v>
      </c>
      <c r="R1843" s="2" t="inlineStr"/>
    </row>
    <row r="1844" ht="15" customHeight="1">
      <c r="A1844" t="inlineStr">
        <is>
          <t>A 61883-2024</t>
        </is>
      </c>
      <c r="B1844" s="1" t="n">
        <v>45652</v>
      </c>
      <c r="C1844" s="1" t="n">
        <v>45849</v>
      </c>
      <c r="D1844" t="inlineStr">
        <is>
          <t>VÄSTERBOTTENS LÄN</t>
        </is>
      </c>
      <c r="E1844" t="inlineStr">
        <is>
          <t>LYCKSELE</t>
        </is>
      </c>
      <c r="F1844" t="inlineStr">
        <is>
          <t>Holmen skog AB</t>
        </is>
      </c>
      <c r="G1844" t="n">
        <v>2</v>
      </c>
      <c r="H1844" t="n">
        <v>0</v>
      </c>
      <c r="I1844" t="n">
        <v>0</v>
      </c>
      <c r="J1844" t="n">
        <v>0</v>
      </c>
      <c r="K1844" t="n">
        <v>0</v>
      </c>
      <c r="L1844" t="n">
        <v>0</v>
      </c>
      <c r="M1844" t="n">
        <v>0</v>
      </c>
      <c r="N1844" t="n">
        <v>0</v>
      </c>
      <c r="O1844" t="n">
        <v>0</v>
      </c>
      <c r="P1844" t="n">
        <v>0</v>
      </c>
      <c r="Q1844" t="n">
        <v>0</v>
      </c>
      <c r="R1844" s="2" t="inlineStr"/>
    </row>
    <row r="1845" ht="15" customHeight="1">
      <c r="A1845" t="inlineStr">
        <is>
          <t>A 61898-2024</t>
        </is>
      </c>
      <c r="B1845" s="1" t="n">
        <v>45652</v>
      </c>
      <c r="C1845" s="1" t="n">
        <v>45849</v>
      </c>
      <c r="D1845" t="inlineStr">
        <is>
          <t>VÄSTERBOTTENS LÄN</t>
        </is>
      </c>
      <c r="E1845" t="inlineStr">
        <is>
          <t>LYCKSELE</t>
        </is>
      </c>
      <c r="G1845" t="n">
        <v>9.300000000000001</v>
      </c>
      <c r="H1845" t="n">
        <v>0</v>
      </c>
      <c r="I1845" t="n">
        <v>0</v>
      </c>
      <c r="J1845" t="n">
        <v>0</v>
      </c>
      <c r="K1845" t="n">
        <v>0</v>
      </c>
      <c r="L1845" t="n">
        <v>0</v>
      </c>
      <c r="M1845" t="n">
        <v>0</v>
      </c>
      <c r="N1845" t="n">
        <v>0</v>
      </c>
      <c r="O1845" t="n">
        <v>0</v>
      </c>
      <c r="P1845" t="n">
        <v>0</v>
      </c>
      <c r="Q1845" t="n">
        <v>0</v>
      </c>
      <c r="R1845" s="2" t="inlineStr"/>
    </row>
    <row r="1846" ht="15" customHeight="1">
      <c r="A1846" t="inlineStr">
        <is>
          <t>A 61890-2024</t>
        </is>
      </c>
      <c r="B1846" s="1" t="n">
        <v>45652</v>
      </c>
      <c r="C1846" s="1" t="n">
        <v>45849</v>
      </c>
      <c r="D1846" t="inlineStr">
        <is>
          <t>VÄSTERBOTTENS LÄN</t>
        </is>
      </c>
      <c r="E1846" t="inlineStr">
        <is>
          <t>LYCKSELE</t>
        </is>
      </c>
      <c r="G1846" t="n">
        <v>14.2</v>
      </c>
      <c r="H1846" t="n">
        <v>0</v>
      </c>
      <c r="I1846" t="n">
        <v>0</v>
      </c>
      <c r="J1846" t="n">
        <v>0</v>
      </c>
      <c r="K1846" t="n">
        <v>0</v>
      </c>
      <c r="L1846" t="n">
        <v>0</v>
      </c>
      <c r="M1846" t="n">
        <v>0</v>
      </c>
      <c r="N1846" t="n">
        <v>0</v>
      </c>
      <c r="O1846" t="n">
        <v>0</v>
      </c>
      <c r="P1846" t="n">
        <v>0</v>
      </c>
      <c r="Q1846" t="n">
        <v>0</v>
      </c>
      <c r="R1846" s="2" t="inlineStr"/>
    </row>
    <row r="1847" ht="15" customHeight="1">
      <c r="A1847" t="inlineStr">
        <is>
          <t>A 61893-2024</t>
        </is>
      </c>
      <c r="B1847" s="1" t="n">
        <v>45652</v>
      </c>
      <c r="C1847" s="1" t="n">
        <v>45849</v>
      </c>
      <c r="D1847" t="inlineStr">
        <is>
          <t>VÄSTERBOTTENS LÄN</t>
        </is>
      </c>
      <c r="E1847" t="inlineStr">
        <is>
          <t>LYCKSELE</t>
        </is>
      </c>
      <c r="G1847" t="n">
        <v>1.6</v>
      </c>
      <c r="H1847" t="n">
        <v>0</v>
      </c>
      <c r="I1847" t="n">
        <v>0</v>
      </c>
      <c r="J1847" t="n">
        <v>0</v>
      </c>
      <c r="K1847" t="n">
        <v>0</v>
      </c>
      <c r="L1847" t="n">
        <v>0</v>
      </c>
      <c r="M1847" t="n">
        <v>0</v>
      </c>
      <c r="N1847" t="n">
        <v>0</v>
      </c>
      <c r="O1847" t="n">
        <v>0</v>
      </c>
      <c r="P1847" t="n">
        <v>0</v>
      </c>
      <c r="Q1847" t="n">
        <v>0</v>
      </c>
      <c r="R1847" s="2" t="inlineStr"/>
    </row>
    <row r="1848" ht="15" customHeight="1">
      <c r="A1848" t="inlineStr">
        <is>
          <t>A 61889-2024</t>
        </is>
      </c>
      <c r="B1848" s="1" t="n">
        <v>45652</v>
      </c>
      <c r="C1848" s="1" t="n">
        <v>45849</v>
      </c>
      <c r="D1848" t="inlineStr">
        <is>
          <t>VÄSTERBOTTENS LÄN</t>
        </is>
      </c>
      <c r="E1848" t="inlineStr">
        <is>
          <t>LYCKSELE</t>
        </is>
      </c>
      <c r="G1848" t="n">
        <v>10.9</v>
      </c>
      <c r="H1848" t="n">
        <v>0</v>
      </c>
      <c r="I1848" t="n">
        <v>0</v>
      </c>
      <c r="J1848" t="n">
        <v>0</v>
      </c>
      <c r="K1848" t="n">
        <v>0</v>
      </c>
      <c r="L1848" t="n">
        <v>0</v>
      </c>
      <c r="M1848" t="n">
        <v>0</v>
      </c>
      <c r="N1848" t="n">
        <v>0</v>
      </c>
      <c r="O1848" t="n">
        <v>0</v>
      </c>
      <c r="P1848" t="n">
        <v>0</v>
      </c>
      <c r="Q1848" t="n">
        <v>0</v>
      </c>
      <c r="R1848" s="2" t="inlineStr"/>
    </row>
    <row r="1849" ht="15" customHeight="1">
      <c r="A1849" t="inlineStr">
        <is>
          <t>A 61892-2024</t>
        </is>
      </c>
      <c r="B1849" s="1" t="n">
        <v>45652</v>
      </c>
      <c r="C1849" s="1" t="n">
        <v>45849</v>
      </c>
      <c r="D1849" t="inlineStr">
        <is>
          <t>VÄSTERBOTTENS LÄN</t>
        </is>
      </c>
      <c r="E1849" t="inlineStr">
        <is>
          <t>LYCKSELE</t>
        </is>
      </c>
      <c r="G1849" t="n">
        <v>3.8</v>
      </c>
      <c r="H1849" t="n">
        <v>0</v>
      </c>
      <c r="I1849" t="n">
        <v>0</v>
      </c>
      <c r="J1849" t="n">
        <v>0</v>
      </c>
      <c r="K1849" t="n">
        <v>0</v>
      </c>
      <c r="L1849" t="n">
        <v>0</v>
      </c>
      <c r="M1849" t="n">
        <v>0</v>
      </c>
      <c r="N1849" t="n">
        <v>0</v>
      </c>
      <c r="O1849" t="n">
        <v>0</v>
      </c>
      <c r="P1849" t="n">
        <v>0</v>
      </c>
      <c r="Q1849" t="n">
        <v>0</v>
      </c>
      <c r="R1849" s="2" t="inlineStr"/>
    </row>
    <row r="1850" ht="15" customHeight="1">
      <c r="A1850" t="inlineStr">
        <is>
          <t>A 61888-2024</t>
        </is>
      </c>
      <c r="B1850" s="1" t="n">
        <v>45652</v>
      </c>
      <c r="C1850" s="1" t="n">
        <v>45849</v>
      </c>
      <c r="D1850" t="inlineStr">
        <is>
          <t>VÄSTERBOTTENS LÄN</t>
        </is>
      </c>
      <c r="E1850" t="inlineStr">
        <is>
          <t>LYCKSELE</t>
        </is>
      </c>
      <c r="G1850" t="n">
        <v>2.3</v>
      </c>
      <c r="H1850" t="n">
        <v>0</v>
      </c>
      <c r="I1850" t="n">
        <v>0</v>
      </c>
      <c r="J1850" t="n">
        <v>0</v>
      </c>
      <c r="K1850" t="n">
        <v>0</v>
      </c>
      <c r="L1850" t="n">
        <v>0</v>
      </c>
      <c r="M1850" t="n">
        <v>0</v>
      </c>
      <c r="N1850" t="n">
        <v>0</v>
      </c>
      <c r="O1850" t="n">
        <v>0</v>
      </c>
      <c r="P1850" t="n">
        <v>0</v>
      </c>
      <c r="Q1850" t="n">
        <v>0</v>
      </c>
      <c r="R1850" s="2" t="inlineStr"/>
    </row>
    <row r="1851" ht="15" customHeight="1">
      <c r="A1851" t="inlineStr">
        <is>
          <t>A 62164-2024</t>
        </is>
      </c>
      <c r="B1851" s="1" t="n">
        <v>45657</v>
      </c>
      <c r="C1851" s="1" t="n">
        <v>45849</v>
      </c>
      <c r="D1851" t="inlineStr">
        <is>
          <t>VÄSTERBOTTENS LÄN</t>
        </is>
      </c>
      <c r="E1851" t="inlineStr">
        <is>
          <t>LYCKSELE</t>
        </is>
      </c>
      <c r="G1851" t="n">
        <v>6.9</v>
      </c>
      <c r="H1851" t="n">
        <v>0</v>
      </c>
      <c r="I1851" t="n">
        <v>0</v>
      </c>
      <c r="J1851" t="n">
        <v>0</v>
      </c>
      <c r="K1851" t="n">
        <v>0</v>
      </c>
      <c r="L1851" t="n">
        <v>0</v>
      </c>
      <c r="M1851" t="n">
        <v>0</v>
      </c>
      <c r="N1851" t="n">
        <v>0</v>
      </c>
      <c r="O1851" t="n">
        <v>0</v>
      </c>
      <c r="P1851" t="n">
        <v>0</v>
      </c>
      <c r="Q1851" t="n">
        <v>0</v>
      </c>
      <c r="R1851" s="2" t="inlineStr"/>
    </row>
    <row r="1852" ht="15" customHeight="1">
      <c r="A1852" t="inlineStr">
        <is>
          <t>A 62163-2024</t>
        </is>
      </c>
      <c r="B1852" s="1" t="n">
        <v>45657</v>
      </c>
      <c r="C1852" s="1" t="n">
        <v>45849</v>
      </c>
      <c r="D1852" t="inlineStr">
        <is>
          <t>VÄSTERBOTTENS LÄN</t>
        </is>
      </c>
      <c r="E1852" t="inlineStr">
        <is>
          <t>LYCKSELE</t>
        </is>
      </c>
      <c r="G1852" t="n">
        <v>4.6</v>
      </c>
      <c r="H1852" t="n">
        <v>0</v>
      </c>
      <c r="I1852" t="n">
        <v>0</v>
      </c>
      <c r="J1852" t="n">
        <v>0</v>
      </c>
      <c r="K1852" t="n">
        <v>0</v>
      </c>
      <c r="L1852" t="n">
        <v>0</v>
      </c>
      <c r="M1852" t="n">
        <v>0</v>
      </c>
      <c r="N1852" t="n">
        <v>0</v>
      </c>
      <c r="O1852" t="n">
        <v>0</v>
      </c>
      <c r="P1852" t="n">
        <v>0</v>
      </c>
      <c r="Q1852" t="n">
        <v>0</v>
      </c>
      <c r="R1852" s="2" t="inlineStr"/>
    </row>
    <row r="1853" ht="15" customHeight="1">
      <c r="A1853" t="inlineStr">
        <is>
          <t>A 395-2025</t>
        </is>
      </c>
      <c r="B1853" s="1" t="n">
        <v>45663</v>
      </c>
      <c r="C1853" s="1" t="n">
        <v>45849</v>
      </c>
      <c r="D1853" t="inlineStr">
        <is>
          <t>VÄSTERBOTTENS LÄN</t>
        </is>
      </c>
      <c r="E1853" t="inlineStr">
        <is>
          <t>LYCKSELE</t>
        </is>
      </c>
      <c r="G1853" t="n">
        <v>12.9</v>
      </c>
      <c r="H1853" t="n">
        <v>0</v>
      </c>
      <c r="I1853" t="n">
        <v>0</v>
      </c>
      <c r="J1853" t="n">
        <v>0</v>
      </c>
      <c r="K1853" t="n">
        <v>0</v>
      </c>
      <c r="L1853" t="n">
        <v>0</v>
      </c>
      <c r="M1853" t="n">
        <v>0</v>
      </c>
      <c r="N1853" t="n">
        <v>0</v>
      </c>
      <c r="O1853" t="n">
        <v>0</v>
      </c>
      <c r="P1853" t="n">
        <v>0</v>
      </c>
      <c r="Q1853" t="n">
        <v>0</v>
      </c>
      <c r="R1853" s="2" t="inlineStr"/>
    </row>
    <row r="1854" ht="15" customHeight="1">
      <c r="A1854" t="inlineStr">
        <is>
          <t>A 396-2025</t>
        </is>
      </c>
      <c r="B1854" s="1" t="n">
        <v>45663</v>
      </c>
      <c r="C1854" s="1" t="n">
        <v>45849</v>
      </c>
      <c r="D1854" t="inlineStr">
        <is>
          <t>VÄSTERBOTTENS LÄN</t>
        </is>
      </c>
      <c r="E1854" t="inlineStr">
        <is>
          <t>LYCKSELE</t>
        </is>
      </c>
      <c r="G1854" t="n">
        <v>5.5</v>
      </c>
      <c r="H1854" t="n">
        <v>0</v>
      </c>
      <c r="I1854" t="n">
        <v>0</v>
      </c>
      <c r="J1854" t="n">
        <v>0</v>
      </c>
      <c r="K1854" t="n">
        <v>0</v>
      </c>
      <c r="L1854" t="n">
        <v>0</v>
      </c>
      <c r="M1854" t="n">
        <v>0</v>
      </c>
      <c r="N1854" t="n">
        <v>0</v>
      </c>
      <c r="O1854" t="n">
        <v>0</v>
      </c>
      <c r="P1854" t="n">
        <v>0</v>
      </c>
      <c r="Q1854" t="n">
        <v>0</v>
      </c>
      <c r="R1854" s="2" t="inlineStr"/>
    </row>
    <row r="1855" ht="15" customHeight="1">
      <c r="A1855" t="inlineStr">
        <is>
          <t>A 886-2025</t>
        </is>
      </c>
      <c r="B1855" s="1" t="n">
        <v>45665</v>
      </c>
      <c r="C1855" s="1" t="n">
        <v>45849</v>
      </c>
      <c r="D1855" t="inlineStr">
        <is>
          <t>VÄSTERBOTTENS LÄN</t>
        </is>
      </c>
      <c r="E1855" t="inlineStr">
        <is>
          <t>LYCKSELE</t>
        </is>
      </c>
      <c r="F1855" t="inlineStr">
        <is>
          <t>Naturvårdsverket</t>
        </is>
      </c>
      <c r="G1855" t="n">
        <v>2.9</v>
      </c>
      <c r="H1855" t="n">
        <v>0</v>
      </c>
      <c r="I1855" t="n">
        <v>0</v>
      </c>
      <c r="J1855" t="n">
        <v>0</v>
      </c>
      <c r="K1855" t="n">
        <v>0</v>
      </c>
      <c r="L1855" t="n">
        <v>0</v>
      </c>
      <c r="M1855" t="n">
        <v>0</v>
      </c>
      <c r="N1855" t="n">
        <v>0</v>
      </c>
      <c r="O1855" t="n">
        <v>0</v>
      </c>
      <c r="P1855" t="n">
        <v>0</v>
      </c>
      <c r="Q1855" t="n">
        <v>0</v>
      </c>
      <c r="R1855" s="2" t="inlineStr"/>
    </row>
    <row r="1856" ht="15" customHeight="1">
      <c r="A1856" t="inlineStr">
        <is>
          <t>A 987-2025</t>
        </is>
      </c>
      <c r="B1856" s="1" t="n">
        <v>45666</v>
      </c>
      <c r="C1856" s="1" t="n">
        <v>45849</v>
      </c>
      <c r="D1856" t="inlineStr">
        <is>
          <t>VÄSTERBOTTENS LÄN</t>
        </is>
      </c>
      <c r="E1856" t="inlineStr">
        <is>
          <t>LYCKSELE</t>
        </is>
      </c>
      <c r="G1856" t="n">
        <v>3</v>
      </c>
      <c r="H1856" t="n">
        <v>0</v>
      </c>
      <c r="I1856" t="n">
        <v>0</v>
      </c>
      <c r="J1856" t="n">
        <v>0</v>
      </c>
      <c r="K1856" t="n">
        <v>0</v>
      </c>
      <c r="L1856" t="n">
        <v>0</v>
      </c>
      <c r="M1856" t="n">
        <v>0</v>
      </c>
      <c r="N1856" t="n">
        <v>0</v>
      </c>
      <c r="O1856" t="n">
        <v>0</v>
      </c>
      <c r="P1856" t="n">
        <v>0</v>
      </c>
      <c r="Q1856" t="n">
        <v>0</v>
      </c>
      <c r="R1856" s="2" t="inlineStr"/>
    </row>
    <row r="1857" ht="15" customHeight="1">
      <c r="A1857" t="inlineStr">
        <is>
          <t>A 2162-2025</t>
        </is>
      </c>
      <c r="B1857" s="1" t="n">
        <v>45672</v>
      </c>
      <c r="C1857" s="1" t="n">
        <v>45849</v>
      </c>
      <c r="D1857" t="inlineStr">
        <is>
          <t>VÄSTERBOTTENS LÄN</t>
        </is>
      </c>
      <c r="E1857" t="inlineStr">
        <is>
          <t>LYCKSELE</t>
        </is>
      </c>
      <c r="G1857" t="n">
        <v>2.9</v>
      </c>
      <c r="H1857" t="n">
        <v>0</v>
      </c>
      <c r="I1857" t="n">
        <v>0</v>
      </c>
      <c r="J1857" t="n">
        <v>0</v>
      </c>
      <c r="K1857" t="n">
        <v>0</v>
      </c>
      <c r="L1857" t="n">
        <v>0</v>
      </c>
      <c r="M1857" t="n">
        <v>0</v>
      </c>
      <c r="N1857" t="n">
        <v>0</v>
      </c>
      <c r="O1857" t="n">
        <v>0</v>
      </c>
      <c r="P1857" t="n">
        <v>0</v>
      </c>
      <c r="Q1857" t="n">
        <v>0</v>
      </c>
      <c r="R1857" s="2" t="inlineStr"/>
    </row>
    <row r="1858" ht="15" customHeight="1">
      <c r="A1858" t="inlineStr">
        <is>
          <t>A 2109-2025</t>
        </is>
      </c>
      <c r="B1858" s="1" t="n">
        <v>45672</v>
      </c>
      <c r="C1858" s="1" t="n">
        <v>45849</v>
      </c>
      <c r="D1858" t="inlineStr">
        <is>
          <t>VÄSTERBOTTENS LÄN</t>
        </is>
      </c>
      <c r="E1858" t="inlineStr">
        <is>
          <t>LYCKSELE</t>
        </is>
      </c>
      <c r="G1858" t="n">
        <v>5.6</v>
      </c>
      <c r="H1858" t="n">
        <v>0</v>
      </c>
      <c r="I1858" t="n">
        <v>0</v>
      </c>
      <c r="J1858" t="n">
        <v>0</v>
      </c>
      <c r="K1858" t="n">
        <v>0</v>
      </c>
      <c r="L1858" t="n">
        <v>0</v>
      </c>
      <c r="M1858" t="n">
        <v>0</v>
      </c>
      <c r="N1858" t="n">
        <v>0</v>
      </c>
      <c r="O1858" t="n">
        <v>0</v>
      </c>
      <c r="P1858" t="n">
        <v>0</v>
      </c>
      <c r="Q1858" t="n">
        <v>0</v>
      </c>
      <c r="R1858" s="2" t="inlineStr"/>
    </row>
    <row r="1859" ht="15" customHeight="1">
      <c r="A1859" t="inlineStr">
        <is>
          <t>A 2352-2025</t>
        </is>
      </c>
      <c r="B1859" s="1" t="n">
        <v>45673</v>
      </c>
      <c r="C1859" s="1" t="n">
        <v>45849</v>
      </c>
      <c r="D1859" t="inlineStr">
        <is>
          <t>VÄSTERBOTTENS LÄN</t>
        </is>
      </c>
      <c r="E1859" t="inlineStr">
        <is>
          <t>LYCKSELE</t>
        </is>
      </c>
      <c r="G1859" t="n">
        <v>5.6</v>
      </c>
      <c r="H1859" t="n">
        <v>0</v>
      </c>
      <c r="I1859" t="n">
        <v>0</v>
      </c>
      <c r="J1859" t="n">
        <v>0</v>
      </c>
      <c r="K1859" t="n">
        <v>0</v>
      </c>
      <c r="L1859" t="n">
        <v>0</v>
      </c>
      <c r="M1859" t="n">
        <v>0</v>
      </c>
      <c r="N1859" t="n">
        <v>0</v>
      </c>
      <c r="O1859" t="n">
        <v>0</v>
      </c>
      <c r="P1859" t="n">
        <v>0</v>
      </c>
      <c r="Q1859" t="n">
        <v>0</v>
      </c>
      <c r="R1859" s="2" t="inlineStr"/>
    </row>
    <row r="1860" ht="15" customHeight="1">
      <c r="A1860" t="inlineStr">
        <is>
          <t>A 2323-2025</t>
        </is>
      </c>
      <c r="B1860" s="1" t="n">
        <v>45673</v>
      </c>
      <c r="C1860" s="1" t="n">
        <v>45849</v>
      </c>
      <c r="D1860" t="inlineStr">
        <is>
          <t>VÄSTERBOTTENS LÄN</t>
        </is>
      </c>
      <c r="E1860" t="inlineStr">
        <is>
          <t>LYCKSELE</t>
        </is>
      </c>
      <c r="G1860" t="n">
        <v>0.6</v>
      </c>
      <c r="H1860" t="n">
        <v>0</v>
      </c>
      <c r="I1860" t="n">
        <v>0</v>
      </c>
      <c r="J1860" t="n">
        <v>0</v>
      </c>
      <c r="K1860" t="n">
        <v>0</v>
      </c>
      <c r="L1860" t="n">
        <v>0</v>
      </c>
      <c r="M1860" t="n">
        <v>0</v>
      </c>
      <c r="N1860" t="n">
        <v>0</v>
      </c>
      <c r="O1860" t="n">
        <v>0</v>
      </c>
      <c r="P1860" t="n">
        <v>0</v>
      </c>
      <c r="Q1860" t="n">
        <v>0</v>
      </c>
      <c r="R1860" s="2" t="inlineStr"/>
    </row>
    <row r="1861" ht="15" customHeight="1">
      <c r="A1861" t="inlineStr">
        <is>
          <t>A 2794-2025</t>
        </is>
      </c>
      <c r="B1861" s="1" t="n">
        <v>45677</v>
      </c>
      <c r="C1861" s="1" t="n">
        <v>45849</v>
      </c>
      <c r="D1861" t="inlineStr">
        <is>
          <t>VÄSTERBOTTENS LÄN</t>
        </is>
      </c>
      <c r="E1861" t="inlineStr">
        <is>
          <t>LYCKSELE</t>
        </is>
      </c>
      <c r="F1861" t="inlineStr">
        <is>
          <t>Sveaskog</t>
        </is>
      </c>
      <c r="G1861" t="n">
        <v>1.6</v>
      </c>
      <c r="H1861" t="n">
        <v>0</v>
      </c>
      <c r="I1861" t="n">
        <v>0</v>
      </c>
      <c r="J1861" t="n">
        <v>0</v>
      </c>
      <c r="K1861" t="n">
        <v>0</v>
      </c>
      <c r="L1861" t="n">
        <v>0</v>
      </c>
      <c r="M1861" t="n">
        <v>0</v>
      </c>
      <c r="N1861" t="n">
        <v>0</v>
      </c>
      <c r="O1861" t="n">
        <v>0</v>
      </c>
      <c r="P1861" t="n">
        <v>0</v>
      </c>
      <c r="Q1861" t="n">
        <v>0</v>
      </c>
      <c r="R1861" s="2" t="inlineStr"/>
    </row>
    <row r="1862" ht="15" customHeight="1">
      <c r="A1862" t="inlineStr">
        <is>
          <t>A 2761-2025</t>
        </is>
      </c>
      <c r="B1862" s="1" t="n">
        <v>45677</v>
      </c>
      <c r="C1862" s="1" t="n">
        <v>45849</v>
      </c>
      <c r="D1862" t="inlineStr">
        <is>
          <t>VÄSTERBOTTENS LÄN</t>
        </is>
      </c>
      <c r="E1862" t="inlineStr">
        <is>
          <t>LYCKSELE</t>
        </is>
      </c>
      <c r="G1862" t="n">
        <v>7.8</v>
      </c>
      <c r="H1862" t="n">
        <v>0</v>
      </c>
      <c r="I1862" t="n">
        <v>0</v>
      </c>
      <c r="J1862" t="n">
        <v>0</v>
      </c>
      <c r="K1862" t="n">
        <v>0</v>
      </c>
      <c r="L1862" t="n">
        <v>0</v>
      </c>
      <c r="M1862" t="n">
        <v>0</v>
      </c>
      <c r="N1862" t="n">
        <v>0</v>
      </c>
      <c r="O1862" t="n">
        <v>0</v>
      </c>
      <c r="P1862" t="n">
        <v>0</v>
      </c>
      <c r="Q1862" t="n">
        <v>0</v>
      </c>
      <c r="R1862" s="2" t="inlineStr"/>
    </row>
    <row r="1863" ht="15" customHeight="1">
      <c r="A1863" t="inlineStr">
        <is>
          <t>A 3401-2025</t>
        </is>
      </c>
      <c r="B1863" s="1" t="n">
        <v>45680</v>
      </c>
      <c r="C1863" s="1" t="n">
        <v>45849</v>
      </c>
      <c r="D1863" t="inlineStr">
        <is>
          <t>VÄSTERBOTTENS LÄN</t>
        </is>
      </c>
      <c r="E1863" t="inlineStr">
        <is>
          <t>LYCKSELE</t>
        </is>
      </c>
      <c r="G1863" t="n">
        <v>1.6</v>
      </c>
      <c r="H1863" t="n">
        <v>0</v>
      </c>
      <c r="I1863" t="n">
        <v>0</v>
      </c>
      <c r="J1863" t="n">
        <v>0</v>
      </c>
      <c r="K1863" t="n">
        <v>0</v>
      </c>
      <c r="L1863" t="n">
        <v>0</v>
      </c>
      <c r="M1863" t="n">
        <v>0</v>
      </c>
      <c r="N1863" t="n">
        <v>0</v>
      </c>
      <c r="O1863" t="n">
        <v>0</v>
      </c>
      <c r="P1863" t="n">
        <v>0</v>
      </c>
      <c r="Q1863" t="n">
        <v>0</v>
      </c>
      <c r="R1863" s="2" t="inlineStr"/>
    </row>
    <row r="1864" ht="15" customHeight="1">
      <c r="A1864" t="inlineStr">
        <is>
          <t>A 3791-2025</t>
        </is>
      </c>
      <c r="B1864" s="1" t="n">
        <v>45681</v>
      </c>
      <c r="C1864" s="1" t="n">
        <v>45849</v>
      </c>
      <c r="D1864" t="inlineStr">
        <is>
          <t>VÄSTERBOTTENS LÄN</t>
        </is>
      </c>
      <c r="E1864" t="inlineStr">
        <is>
          <t>LYCKSELE</t>
        </is>
      </c>
      <c r="G1864" t="n">
        <v>2.3</v>
      </c>
      <c r="H1864" t="n">
        <v>0</v>
      </c>
      <c r="I1864" t="n">
        <v>0</v>
      </c>
      <c r="J1864" t="n">
        <v>0</v>
      </c>
      <c r="K1864" t="n">
        <v>0</v>
      </c>
      <c r="L1864" t="n">
        <v>0</v>
      </c>
      <c r="M1864" t="n">
        <v>0</v>
      </c>
      <c r="N1864" t="n">
        <v>0</v>
      </c>
      <c r="O1864" t="n">
        <v>0</v>
      </c>
      <c r="P1864" t="n">
        <v>0</v>
      </c>
      <c r="Q1864" t="n">
        <v>0</v>
      </c>
      <c r="R1864" s="2" t="inlineStr"/>
    </row>
    <row r="1865" ht="15" customHeight="1">
      <c r="A1865" t="inlineStr">
        <is>
          <t>A 4215-2025</t>
        </is>
      </c>
      <c r="B1865" s="1" t="n">
        <v>45685</v>
      </c>
      <c r="C1865" s="1" t="n">
        <v>45849</v>
      </c>
      <c r="D1865" t="inlineStr">
        <is>
          <t>VÄSTERBOTTENS LÄN</t>
        </is>
      </c>
      <c r="E1865" t="inlineStr">
        <is>
          <t>LYCKSELE</t>
        </is>
      </c>
      <c r="F1865" t="inlineStr">
        <is>
          <t>Sveaskog</t>
        </is>
      </c>
      <c r="G1865" t="n">
        <v>4.8</v>
      </c>
      <c r="H1865" t="n">
        <v>0</v>
      </c>
      <c r="I1865" t="n">
        <v>0</v>
      </c>
      <c r="J1865" t="n">
        <v>0</v>
      </c>
      <c r="K1865" t="n">
        <v>0</v>
      </c>
      <c r="L1865" t="n">
        <v>0</v>
      </c>
      <c r="M1865" t="n">
        <v>0</v>
      </c>
      <c r="N1865" t="n">
        <v>0</v>
      </c>
      <c r="O1865" t="n">
        <v>0</v>
      </c>
      <c r="P1865" t="n">
        <v>0</v>
      </c>
      <c r="Q1865" t="n">
        <v>0</v>
      </c>
      <c r="R1865" s="2" t="inlineStr"/>
    </row>
    <row r="1866" ht="15" customHeight="1">
      <c r="A1866" t="inlineStr">
        <is>
          <t>A 4576-2025</t>
        </is>
      </c>
      <c r="B1866" s="1" t="n">
        <v>45687</v>
      </c>
      <c r="C1866" s="1" t="n">
        <v>45849</v>
      </c>
      <c r="D1866" t="inlineStr">
        <is>
          <t>VÄSTERBOTTENS LÄN</t>
        </is>
      </c>
      <c r="E1866" t="inlineStr">
        <is>
          <t>LYCKSELE</t>
        </is>
      </c>
      <c r="G1866" t="n">
        <v>4.8</v>
      </c>
      <c r="H1866" t="n">
        <v>0</v>
      </c>
      <c r="I1866" t="n">
        <v>0</v>
      </c>
      <c r="J1866" t="n">
        <v>0</v>
      </c>
      <c r="K1866" t="n">
        <v>0</v>
      </c>
      <c r="L1866" t="n">
        <v>0</v>
      </c>
      <c r="M1866" t="n">
        <v>0</v>
      </c>
      <c r="N1866" t="n">
        <v>0</v>
      </c>
      <c r="O1866" t="n">
        <v>0</v>
      </c>
      <c r="P1866" t="n">
        <v>0</v>
      </c>
      <c r="Q1866" t="n">
        <v>0</v>
      </c>
      <c r="R1866" s="2" t="inlineStr"/>
    </row>
    <row r="1867" ht="15" customHeight="1">
      <c r="A1867" t="inlineStr">
        <is>
          <t>A 4670-2025</t>
        </is>
      </c>
      <c r="B1867" s="1" t="n">
        <v>45687</v>
      </c>
      <c r="C1867" s="1" t="n">
        <v>45849</v>
      </c>
      <c r="D1867" t="inlineStr">
        <is>
          <t>VÄSTERBOTTENS LÄN</t>
        </is>
      </c>
      <c r="E1867" t="inlineStr">
        <is>
          <t>LYCKSELE</t>
        </is>
      </c>
      <c r="G1867" t="n">
        <v>15.5</v>
      </c>
      <c r="H1867" t="n">
        <v>0</v>
      </c>
      <c r="I1867" t="n">
        <v>0</v>
      </c>
      <c r="J1867" t="n">
        <v>0</v>
      </c>
      <c r="K1867" t="n">
        <v>0</v>
      </c>
      <c r="L1867" t="n">
        <v>0</v>
      </c>
      <c r="M1867" t="n">
        <v>0</v>
      </c>
      <c r="N1867" t="n">
        <v>0</v>
      </c>
      <c r="O1867" t="n">
        <v>0</v>
      </c>
      <c r="P1867" t="n">
        <v>0</v>
      </c>
      <c r="Q1867" t="n">
        <v>0</v>
      </c>
      <c r="R1867" s="2" t="inlineStr"/>
    </row>
    <row r="1868" ht="15" customHeight="1">
      <c r="A1868" t="inlineStr">
        <is>
          <t>A 4671-2025</t>
        </is>
      </c>
      <c r="B1868" s="1" t="n">
        <v>45687</v>
      </c>
      <c r="C1868" s="1" t="n">
        <v>45849</v>
      </c>
      <c r="D1868" t="inlineStr">
        <is>
          <t>VÄSTERBOTTENS LÄN</t>
        </is>
      </c>
      <c r="E1868" t="inlineStr">
        <is>
          <t>LYCKSELE</t>
        </is>
      </c>
      <c r="G1868" t="n">
        <v>3.4</v>
      </c>
      <c r="H1868" t="n">
        <v>0</v>
      </c>
      <c r="I1868" t="n">
        <v>0</v>
      </c>
      <c r="J1868" t="n">
        <v>0</v>
      </c>
      <c r="K1868" t="n">
        <v>0</v>
      </c>
      <c r="L1868" t="n">
        <v>0</v>
      </c>
      <c r="M1868" t="n">
        <v>0</v>
      </c>
      <c r="N1868" t="n">
        <v>0</v>
      </c>
      <c r="O1868" t="n">
        <v>0</v>
      </c>
      <c r="P1868" t="n">
        <v>0</v>
      </c>
      <c r="Q1868" t="n">
        <v>0</v>
      </c>
      <c r="R1868" s="2" t="inlineStr"/>
    </row>
    <row r="1869" ht="15" customHeight="1">
      <c r="A1869" t="inlineStr">
        <is>
          <t>A 4858-2025</t>
        </is>
      </c>
      <c r="B1869" s="1" t="n">
        <v>45688</v>
      </c>
      <c r="C1869" s="1" t="n">
        <v>45849</v>
      </c>
      <c r="D1869" t="inlineStr">
        <is>
          <t>VÄSTERBOTTENS LÄN</t>
        </is>
      </c>
      <c r="E1869" t="inlineStr">
        <is>
          <t>LYCKSELE</t>
        </is>
      </c>
      <c r="F1869" t="inlineStr">
        <is>
          <t>SCA</t>
        </is>
      </c>
      <c r="G1869" t="n">
        <v>4.9</v>
      </c>
      <c r="H1869" t="n">
        <v>0</v>
      </c>
      <c r="I1869" t="n">
        <v>0</v>
      </c>
      <c r="J1869" t="n">
        <v>0</v>
      </c>
      <c r="K1869" t="n">
        <v>0</v>
      </c>
      <c r="L1869" t="n">
        <v>0</v>
      </c>
      <c r="M1869" t="n">
        <v>0</v>
      </c>
      <c r="N1869" t="n">
        <v>0</v>
      </c>
      <c r="O1869" t="n">
        <v>0</v>
      </c>
      <c r="P1869" t="n">
        <v>0</v>
      </c>
      <c r="Q1869" t="n">
        <v>0</v>
      </c>
      <c r="R1869" s="2" t="inlineStr"/>
    </row>
    <row r="1870" ht="15" customHeight="1">
      <c r="A1870" t="inlineStr">
        <is>
          <t>A 4886-2025</t>
        </is>
      </c>
      <c r="B1870" s="1" t="n">
        <v>45688</v>
      </c>
      <c r="C1870" s="1" t="n">
        <v>45849</v>
      </c>
      <c r="D1870" t="inlineStr">
        <is>
          <t>VÄSTERBOTTENS LÄN</t>
        </is>
      </c>
      <c r="E1870" t="inlineStr">
        <is>
          <t>LYCKSELE</t>
        </is>
      </c>
      <c r="F1870" t="inlineStr">
        <is>
          <t>SCA</t>
        </is>
      </c>
      <c r="G1870" t="n">
        <v>1.2</v>
      </c>
      <c r="H1870" t="n">
        <v>0</v>
      </c>
      <c r="I1870" t="n">
        <v>0</v>
      </c>
      <c r="J1870" t="n">
        <v>0</v>
      </c>
      <c r="K1870" t="n">
        <v>0</v>
      </c>
      <c r="L1870" t="n">
        <v>0</v>
      </c>
      <c r="M1870" t="n">
        <v>0</v>
      </c>
      <c r="N1870" t="n">
        <v>0</v>
      </c>
      <c r="O1870" t="n">
        <v>0</v>
      </c>
      <c r="P1870" t="n">
        <v>0</v>
      </c>
      <c r="Q1870" t="n">
        <v>0</v>
      </c>
      <c r="R1870" s="2" t="inlineStr"/>
    </row>
    <row r="1871" ht="15" customHeight="1">
      <c r="A1871" t="inlineStr">
        <is>
          <t>A 5039-2025</t>
        </is>
      </c>
      <c r="B1871" s="1" t="n">
        <v>45691</v>
      </c>
      <c r="C1871" s="1" t="n">
        <v>45849</v>
      </c>
      <c r="D1871" t="inlineStr">
        <is>
          <t>VÄSTERBOTTENS LÄN</t>
        </is>
      </c>
      <c r="E1871" t="inlineStr">
        <is>
          <t>LYCKSELE</t>
        </is>
      </c>
      <c r="G1871" t="n">
        <v>6</v>
      </c>
      <c r="H1871" t="n">
        <v>0</v>
      </c>
      <c r="I1871" t="n">
        <v>0</v>
      </c>
      <c r="J1871" t="n">
        <v>0</v>
      </c>
      <c r="K1871" t="n">
        <v>0</v>
      </c>
      <c r="L1871" t="n">
        <v>0</v>
      </c>
      <c r="M1871" t="n">
        <v>0</v>
      </c>
      <c r="N1871" t="n">
        <v>0</v>
      </c>
      <c r="O1871" t="n">
        <v>0</v>
      </c>
      <c r="P1871" t="n">
        <v>0</v>
      </c>
      <c r="Q1871" t="n">
        <v>0</v>
      </c>
      <c r="R1871" s="2" t="inlineStr"/>
    </row>
    <row r="1872" ht="15" customHeight="1">
      <c r="A1872" t="inlineStr">
        <is>
          <t>A 5687-2025</t>
        </is>
      </c>
      <c r="B1872" s="1" t="n">
        <v>45694</v>
      </c>
      <c r="C1872" s="1" t="n">
        <v>45849</v>
      </c>
      <c r="D1872" t="inlineStr">
        <is>
          <t>VÄSTERBOTTENS LÄN</t>
        </is>
      </c>
      <c r="E1872" t="inlineStr">
        <is>
          <t>LYCKSELE</t>
        </is>
      </c>
      <c r="G1872" t="n">
        <v>3.4</v>
      </c>
      <c r="H1872" t="n">
        <v>0</v>
      </c>
      <c r="I1872" t="n">
        <v>0</v>
      </c>
      <c r="J1872" t="n">
        <v>0</v>
      </c>
      <c r="K1872" t="n">
        <v>0</v>
      </c>
      <c r="L1872" t="n">
        <v>0</v>
      </c>
      <c r="M1872" t="n">
        <v>0</v>
      </c>
      <c r="N1872" t="n">
        <v>0</v>
      </c>
      <c r="O1872" t="n">
        <v>0</v>
      </c>
      <c r="P1872" t="n">
        <v>0</v>
      </c>
      <c r="Q1872" t="n">
        <v>0</v>
      </c>
      <c r="R1872" s="2" t="inlineStr"/>
    </row>
    <row r="1873" ht="15" customHeight="1">
      <c r="A1873" t="inlineStr">
        <is>
          <t>A 5856-2025</t>
        </is>
      </c>
      <c r="B1873" s="1" t="n">
        <v>45695</v>
      </c>
      <c r="C1873" s="1" t="n">
        <v>45849</v>
      </c>
      <c r="D1873" t="inlineStr">
        <is>
          <t>VÄSTERBOTTENS LÄN</t>
        </is>
      </c>
      <c r="E1873" t="inlineStr">
        <is>
          <t>LYCKSELE</t>
        </is>
      </c>
      <c r="F1873" t="inlineStr">
        <is>
          <t>SCA</t>
        </is>
      </c>
      <c r="G1873" t="n">
        <v>1.3</v>
      </c>
      <c r="H1873" t="n">
        <v>0</v>
      </c>
      <c r="I1873" t="n">
        <v>0</v>
      </c>
      <c r="J1873" t="n">
        <v>0</v>
      </c>
      <c r="K1873" t="n">
        <v>0</v>
      </c>
      <c r="L1873" t="n">
        <v>0</v>
      </c>
      <c r="M1873" t="n">
        <v>0</v>
      </c>
      <c r="N1873" t="n">
        <v>0</v>
      </c>
      <c r="O1873" t="n">
        <v>0</v>
      </c>
      <c r="P1873" t="n">
        <v>0</v>
      </c>
      <c r="Q1873" t="n">
        <v>0</v>
      </c>
      <c r="R1873" s="2" t="inlineStr"/>
    </row>
    <row r="1874" ht="15" customHeight="1">
      <c r="A1874" t="inlineStr">
        <is>
          <t>A 5932-2025</t>
        </is>
      </c>
      <c r="B1874" s="1" t="n">
        <v>45695</v>
      </c>
      <c r="C1874" s="1" t="n">
        <v>45849</v>
      </c>
      <c r="D1874" t="inlineStr">
        <is>
          <t>VÄSTERBOTTENS LÄN</t>
        </is>
      </c>
      <c r="E1874" t="inlineStr">
        <is>
          <t>LYCKSELE</t>
        </is>
      </c>
      <c r="F1874" t="inlineStr">
        <is>
          <t>SCA</t>
        </is>
      </c>
      <c r="G1874" t="n">
        <v>14.2</v>
      </c>
      <c r="H1874" t="n">
        <v>0</v>
      </c>
      <c r="I1874" t="n">
        <v>0</v>
      </c>
      <c r="J1874" t="n">
        <v>0</v>
      </c>
      <c r="K1874" t="n">
        <v>0</v>
      </c>
      <c r="L1874" t="n">
        <v>0</v>
      </c>
      <c r="M1874" t="n">
        <v>0</v>
      </c>
      <c r="N1874" t="n">
        <v>0</v>
      </c>
      <c r="O1874" t="n">
        <v>0</v>
      </c>
      <c r="P1874" t="n">
        <v>0</v>
      </c>
      <c r="Q1874" t="n">
        <v>0</v>
      </c>
      <c r="R1874" s="2" t="inlineStr"/>
    </row>
    <row r="1875" ht="15" customHeight="1">
      <c r="A1875" t="inlineStr">
        <is>
          <t>A 6123-2025</t>
        </is>
      </c>
      <c r="B1875" s="1" t="n">
        <v>45698</v>
      </c>
      <c r="C1875" s="1" t="n">
        <v>45849</v>
      </c>
      <c r="D1875" t="inlineStr">
        <is>
          <t>VÄSTERBOTTENS LÄN</t>
        </is>
      </c>
      <c r="E1875" t="inlineStr">
        <is>
          <t>LYCKSELE</t>
        </is>
      </c>
      <c r="G1875" t="n">
        <v>10.5</v>
      </c>
      <c r="H1875" t="n">
        <v>0</v>
      </c>
      <c r="I1875" t="n">
        <v>0</v>
      </c>
      <c r="J1875" t="n">
        <v>0</v>
      </c>
      <c r="K1875" t="n">
        <v>0</v>
      </c>
      <c r="L1875" t="n">
        <v>0</v>
      </c>
      <c r="M1875" t="n">
        <v>0</v>
      </c>
      <c r="N1875" t="n">
        <v>0</v>
      </c>
      <c r="O1875" t="n">
        <v>0</v>
      </c>
      <c r="P1875" t="n">
        <v>0</v>
      </c>
      <c r="Q1875" t="n">
        <v>0</v>
      </c>
      <c r="R1875" s="2" t="inlineStr"/>
    </row>
    <row r="1876" ht="15" customHeight="1">
      <c r="A1876" t="inlineStr">
        <is>
          <t>A 6769-2025</t>
        </is>
      </c>
      <c r="B1876" s="1" t="n">
        <v>45700</v>
      </c>
      <c r="C1876" s="1" t="n">
        <v>45849</v>
      </c>
      <c r="D1876" t="inlineStr">
        <is>
          <t>VÄSTERBOTTENS LÄN</t>
        </is>
      </c>
      <c r="E1876" t="inlineStr">
        <is>
          <t>LYCKSELE</t>
        </is>
      </c>
      <c r="F1876" t="inlineStr">
        <is>
          <t>Sveaskog</t>
        </is>
      </c>
      <c r="G1876" t="n">
        <v>1.8</v>
      </c>
      <c r="H1876" t="n">
        <v>0</v>
      </c>
      <c r="I1876" t="n">
        <v>0</v>
      </c>
      <c r="J1876" t="n">
        <v>0</v>
      </c>
      <c r="K1876" t="n">
        <v>0</v>
      </c>
      <c r="L1876" t="n">
        <v>0</v>
      </c>
      <c r="M1876" t="n">
        <v>0</v>
      </c>
      <c r="N1876" t="n">
        <v>0</v>
      </c>
      <c r="O1876" t="n">
        <v>0</v>
      </c>
      <c r="P1876" t="n">
        <v>0</v>
      </c>
      <c r="Q1876" t="n">
        <v>0</v>
      </c>
      <c r="R1876" s="2" t="inlineStr"/>
    </row>
    <row r="1877" ht="15" customHeight="1">
      <c r="A1877" t="inlineStr">
        <is>
          <t>A 6700-2025</t>
        </is>
      </c>
      <c r="B1877" s="1" t="n">
        <v>45700</v>
      </c>
      <c r="C1877" s="1" t="n">
        <v>45849</v>
      </c>
      <c r="D1877" t="inlineStr">
        <is>
          <t>VÄSTERBOTTENS LÄN</t>
        </is>
      </c>
      <c r="E1877" t="inlineStr">
        <is>
          <t>LYCKSELE</t>
        </is>
      </c>
      <c r="G1877" t="n">
        <v>18.1</v>
      </c>
      <c r="H1877" t="n">
        <v>0</v>
      </c>
      <c r="I1877" t="n">
        <v>0</v>
      </c>
      <c r="J1877" t="n">
        <v>0</v>
      </c>
      <c r="K1877" t="n">
        <v>0</v>
      </c>
      <c r="L1877" t="n">
        <v>0</v>
      </c>
      <c r="M1877" t="n">
        <v>0</v>
      </c>
      <c r="N1877" t="n">
        <v>0</v>
      </c>
      <c r="O1877" t="n">
        <v>0</v>
      </c>
      <c r="P1877" t="n">
        <v>0</v>
      </c>
      <c r="Q1877" t="n">
        <v>0</v>
      </c>
      <c r="R1877" s="2" t="inlineStr"/>
    </row>
    <row r="1878" ht="15" customHeight="1">
      <c r="A1878" t="inlineStr">
        <is>
          <t>A 6800-2025</t>
        </is>
      </c>
      <c r="B1878" s="1" t="n">
        <v>45700</v>
      </c>
      <c r="C1878" s="1" t="n">
        <v>45849</v>
      </c>
      <c r="D1878" t="inlineStr">
        <is>
          <t>VÄSTERBOTTENS LÄN</t>
        </is>
      </c>
      <c r="E1878" t="inlineStr">
        <is>
          <t>LYCKSELE</t>
        </is>
      </c>
      <c r="G1878" t="n">
        <v>1.8</v>
      </c>
      <c r="H1878" t="n">
        <v>0</v>
      </c>
      <c r="I1878" t="n">
        <v>0</v>
      </c>
      <c r="J1878" t="n">
        <v>0</v>
      </c>
      <c r="K1878" t="n">
        <v>0</v>
      </c>
      <c r="L1878" t="n">
        <v>0</v>
      </c>
      <c r="M1878" t="n">
        <v>0</v>
      </c>
      <c r="N1878" t="n">
        <v>0</v>
      </c>
      <c r="O1878" t="n">
        <v>0</v>
      </c>
      <c r="P1878" t="n">
        <v>0</v>
      </c>
      <c r="Q1878" t="n">
        <v>0</v>
      </c>
      <c r="R1878" s="2" t="inlineStr"/>
    </row>
    <row r="1879" ht="15" customHeight="1">
      <c r="A1879" t="inlineStr">
        <is>
          <t>A 6942-2025</t>
        </is>
      </c>
      <c r="B1879" s="1" t="n">
        <v>45701</v>
      </c>
      <c r="C1879" s="1" t="n">
        <v>45849</v>
      </c>
      <c r="D1879" t="inlineStr">
        <is>
          <t>VÄSTERBOTTENS LÄN</t>
        </is>
      </c>
      <c r="E1879" t="inlineStr">
        <is>
          <t>LYCKSELE</t>
        </is>
      </c>
      <c r="G1879" t="n">
        <v>6.1</v>
      </c>
      <c r="H1879" t="n">
        <v>0</v>
      </c>
      <c r="I1879" t="n">
        <v>0</v>
      </c>
      <c r="J1879" t="n">
        <v>0</v>
      </c>
      <c r="K1879" t="n">
        <v>0</v>
      </c>
      <c r="L1879" t="n">
        <v>0</v>
      </c>
      <c r="M1879" t="n">
        <v>0</v>
      </c>
      <c r="N1879" t="n">
        <v>0</v>
      </c>
      <c r="O1879" t="n">
        <v>0</v>
      </c>
      <c r="P1879" t="n">
        <v>0</v>
      </c>
      <c r="Q1879" t="n">
        <v>0</v>
      </c>
      <c r="R1879" s="2" t="inlineStr"/>
    </row>
    <row r="1880" ht="15" customHeight="1">
      <c r="A1880" t="inlineStr">
        <is>
          <t>A 6943-2025</t>
        </is>
      </c>
      <c r="B1880" s="1" t="n">
        <v>45701</v>
      </c>
      <c r="C1880" s="1" t="n">
        <v>45849</v>
      </c>
      <c r="D1880" t="inlineStr">
        <is>
          <t>VÄSTERBOTTENS LÄN</t>
        </is>
      </c>
      <c r="E1880" t="inlineStr">
        <is>
          <t>LYCKSELE</t>
        </is>
      </c>
      <c r="G1880" t="n">
        <v>3.4</v>
      </c>
      <c r="H1880" t="n">
        <v>0</v>
      </c>
      <c r="I1880" t="n">
        <v>0</v>
      </c>
      <c r="J1880" t="n">
        <v>0</v>
      </c>
      <c r="K1880" t="n">
        <v>0</v>
      </c>
      <c r="L1880" t="n">
        <v>0</v>
      </c>
      <c r="M1880" t="n">
        <v>0</v>
      </c>
      <c r="N1880" t="n">
        <v>0</v>
      </c>
      <c r="O1880" t="n">
        <v>0</v>
      </c>
      <c r="P1880" t="n">
        <v>0</v>
      </c>
      <c r="Q1880" t="n">
        <v>0</v>
      </c>
      <c r="R1880" s="2" t="inlineStr"/>
    </row>
    <row r="1881" ht="15" customHeight="1">
      <c r="A1881" t="inlineStr">
        <is>
          <t>A 7499-2025</t>
        </is>
      </c>
      <c r="B1881" s="1" t="n">
        <v>45705</v>
      </c>
      <c r="C1881" s="1" t="n">
        <v>45849</v>
      </c>
      <c r="D1881" t="inlineStr">
        <is>
          <t>VÄSTERBOTTENS LÄN</t>
        </is>
      </c>
      <c r="E1881" t="inlineStr">
        <is>
          <t>LYCKSELE</t>
        </is>
      </c>
      <c r="G1881" t="n">
        <v>5.6</v>
      </c>
      <c r="H1881" t="n">
        <v>0</v>
      </c>
      <c r="I1881" t="n">
        <v>0</v>
      </c>
      <c r="J1881" t="n">
        <v>0</v>
      </c>
      <c r="K1881" t="n">
        <v>0</v>
      </c>
      <c r="L1881" t="n">
        <v>0</v>
      </c>
      <c r="M1881" t="n">
        <v>0</v>
      </c>
      <c r="N1881" t="n">
        <v>0</v>
      </c>
      <c r="O1881" t="n">
        <v>0</v>
      </c>
      <c r="P1881" t="n">
        <v>0</v>
      </c>
      <c r="Q1881" t="n">
        <v>0</v>
      </c>
      <c r="R1881" s="2" t="inlineStr"/>
    </row>
    <row r="1882" ht="15" customHeight="1">
      <c r="A1882" t="inlineStr">
        <is>
          <t>A 7623-2025</t>
        </is>
      </c>
      <c r="B1882" s="1" t="n">
        <v>45705</v>
      </c>
      <c r="C1882" s="1" t="n">
        <v>45849</v>
      </c>
      <c r="D1882" t="inlineStr">
        <is>
          <t>VÄSTERBOTTENS LÄN</t>
        </is>
      </c>
      <c r="E1882" t="inlineStr">
        <is>
          <t>LYCKSELE</t>
        </is>
      </c>
      <c r="G1882" t="n">
        <v>6.5</v>
      </c>
      <c r="H1882" t="n">
        <v>0</v>
      </c>
      <c r="I1882" t="n">
        <v>0</v>
      </c>
      <c r="J1882" t="n">
        <v>0</v>
      </c>
      <c r="K1882" t="n">
        <v>0</v>
      </c>
      <c r="L1882" t="n">
        <v>0</v>
      </c>
      <c r="M1882" t="n">
        <v>0</v>
      </c>
      <c r="N1882" t="n">
        <v>0</v>
      </c>
      <c r="O1882" t="n">
        <v>0</v>
      </c>
      <c r="P1882" t="n">
        <v>0</v>
      </c>
      <c r="Q1882" t="n">
        <v>0</v>
      </c>
      <c r="R1882" s="2" t="inlineStr"/>
    </row>
    <row r="1883" ht="15" customHeight="1">
      <c r="A1883" t="inlineStr">
        <is>
          <t>A 7398-2025</t>
        </is>
      </c>
      <c r="B1883" s="1" t="n">
        <v>45705</v>
      </c>
      <c r="C1883" s="1" t="n">
        <v>45849</v>
      </c>
      <c r="D1883" t="inlineStr">
        <is>
          <t>VÄSTERBOTTENS LÄN</t>
        </is>
      </c>
      <c r="E1883" t="inlineStr">
        <is>
          <t>LYCKSELE</t>
        </is>
      </c>
      <c r="G1883" t="n">
        <v>2.4</v>
      </c>
      <c r="H1883" t="n">
        <v>0</v>
      </c>
      <c r="I1883" t="n">
        <v>0</v>
      </c>
      <c r="J1883" t="n">
        <v>0</v>
      </c>
      <c r="K1883" t="n">
        <v>0</v>
      </c>
      <c r="L1883" t="n">
        <v>0</v>
      </c>
      <c r="M1883" t="n">
        <v>0</v>
      </c>
      <c r="N1883" t="n">
        <v>0</v>
      </c>
      <c r="O1883" t="n">
        <v>0</v>
      </c>
      <c r="P1883" t="n">
        <v>0</v>
      </c>
      <c r="Q1883" t="n">
        <v>0</v>
      </c>
      <c r="R1883" s="2" t="inlineStr"/>
    </row>
    <row r="1884" ht="15" customHeight="1">
      <c r="A1884" t="inlineStr">
        <is>
          <t>A 7708-2025</t>
        </is>
      </c>
      <c r="B1884" s="1" t="n">
        <v>45706</v>
      </c>
      <c r="C1884" s="1" t="n">
        <v>45849</v>
      </c>
      <c r="D1884" t="inlineStr">
        <is>
          <t>VÄSTERBOTTENS LÄN</t>
        </is>
      </c>
      <c r="E1884" t="inlineStr">
        <is>
          <t>LYCKSELE</t>
        </is>
      </c>
      <c r="G1884" t="n">
        <v>5.8</v>
      </c>
      <c r="H1884" t="n">
        <v>0</v>
      </c>
      <c r="I1884" t="n">
        <v>0</v>
      </c>
      <c r="J1884" t="n">
        <v>0</v>
      </c>
      <c r="K1884" t="n">
        <v>0</v>
      </c>
      <c r="L1884" t="n">
        <v>0</v>
      </c>
      <c r="M1884" t="n">
        <v>0</v>
      </c>
      <c r="N1884" t="n">
        <v>0</v>
      </c>
      <c r="O1884" t="n">
        <v>0</v>
      </c>
      <c r="P1884" t="n">
        <v>0</v>
      </c>
      <c r="Q1884" t="n">
        <v>0</v>
      </c>
      <c r="R1884" s="2" t="inlineStr"/>
    </row>
    <row r="1885" ht="15" customHeight="1">
      <c r="A1885" t="inlineStr">
        <is>
          <t>A 8313-2025</t>
        </is>
      </c>
      <c r="B1885" s="1" t="n">
        <v>45708</v>
      </c>
      <c r="C1885" s="1" t="n">
        <v>45849</v>
      </c>
      <c r="D1885" t="inlineStr">
        <is>
          <t>VÄSTERBOTTENS LÄN</t>
        </is>
      </c>
      <c r="E1885" t="inlineStr">
        <is>
          <t>LYCKSELE</t>
        </is>
      </c>
      <c r="F1885" t="inlineStr">
        <is>
          <t>SCA</t>
        </is>
      </c>
      <c r="G1885" t="n">
        <v>4.6</v>
      </c>
      <c r="H1885" t="n">
        <v>0</v>
      </c>
      <c r="I1885" t="n">
        <v>0</v>
      </c>
      <c r="J1885" t="n">
        <v>0</v>
      </c>
      <c r="K1885" t="n">
        <v>0</v>
      </c>
      <c r="L1885" t="n">
        <v>0</v>
      </c>
      <c r="M1885" t="n">
        <v>0</v>
      </c>
      <c r="N1885" t="n">
        <v>0</v>
      </c>
      <c r="O1885" t="n">
        <v>0</v>
      </c>
      <c r="P1885" t="n">
        <v>0</v>
      </c>
      <c r="Q1885" t="n">
        <v>0</v>
      </c>
      <c r="R1885" s="2" t="inlineStr"/>
    </row>
    <row r="1886" ht="15" customHeight="1">
      <c r="A1886" t="inlineStr">
        <is>
          <t>A 8278-2025</t>
        </is>
      </c>
      <c r="B1886" s="1" t="n">
        <v>45708</v>
      </c>
      <c r="C1886" s="1" t="n">
        <v>45849</v>
      </c>
      <c r="D1886" t="inlineStr">
        <is>
          <t>VÄSTERBOTTENS LÄN</t>
        </is>
      </c>
      <c r="E1886" t="inlineStr">
        <is>
          <t>LYCKSELE</t>
        </is>
      </c>
      <c r="F1886" t="inlineStr">
        <is>
          <t>SCA</t>
        </is>
      </c>
      <c r="G1886" t="n">
        <v>2.5</v>
      </c>
      <c r="H1886" t="n">
        <v>0</v>
      </c>
      <c r="I1886" t="n">
        <v>0</v>
      </c>
      <c r="J1886" t="n">
        <v>0</v>
      </c>
      <c r="K1886" t="n">
        <v>0</v>
      </c>
      <c r="L1886" t="n">
        <v>0</v>
      </c>
      <c r="M1886" t="n">
        <v>0</v>
      </c>
      <c r="N1886" t="n">
        <v>0</v>
      </c>
      <c r="O1886" t="n">
        <v>0</v>
      </c>
      <c r="P1886" t="n">
        <v>0</v>
      </c>
      <c r="Q1886" t="n">
        <v>0</v>
      </c>
      <c r="R1886" s="2" t="inlineStr"/>
    </row>
    <row r="1887" ht="15" customHeight="1">
      <c r="A1887" t="inlineStr">
        <is>
          <t>A 8596-2025</t>
        </is>
      </c>
      <c r="B1887" s="1" t="n">
        <v>45709</v>
      </c>
      <c r="C1887" s="1" t="n">
        <v>45849</v>
      </c>
      <c r="D1887" t="inlineStr">
        <is>
          <t>VÄSTERBOTTENS LÄN</t>
        </is>
      </c>
      <c r="E1887" t="inlineStr">
        <is>
          <t>LYCKSELE</t>
        </is>
      </c>
      <c r="G1887" t="n">
        <v>10.5</v>
      </c>
      <c r="H1887" t="n">
        <v>0</v>
      </c>
      <c r="I1887" t="n">
        <v>0</v>
      </c>
      <c r="J1887" t="n">
        <v>0</v>
      </c>
      <c r="K1887" t="n">
        <v>0</v>
      </c>
      <c r="L1887" t="n">
        <v>0</v>
      </c>
      <c r="M1887" t="n">
        <v>0</v>
      </c>
      <c r="N1887" t="n">
        <v>0</v>
      </c>
      <c r="O1887" t="n">
        <v>0</v>
      </c>
      <c r="P1887" t="n">
        <v>0</v>
      </c>
      <c r="Q1887" t="n">
        <v>0</v>
      </c>
      <c r="R1887" s="2" t="inlineStr"/>
    </row>
    <row r="1888" ht="15" customHeight="1">
      <c r="A1888" t="inlineStr">
        <is>
          <t>A 8600-2025</t>
        </is>
      </c>
      <c r="B1888" s="1" t="n">
        <v>45709</v>
      </c>
      <c r="C1888" s="1" t="n">
        <v>45849</v>
      </c>
      <c r="D1888" t="inlineStr">
        <is>
          <t>VÄSTERBOTTENS LÄN</t>
        </is>
      </c>
      <c r="E1888" t="inlineStr">
        <is>
          <t>LYCKSELE</t>
        </is>
      </c>
      <c r="G1888" t="n">
        <v>3.4</v>
      </c>
      <c r="H1888" t="n">
        <v>0</v>
      </c>
      <c r="I1888" t="n">
        <v>0</v>
      </c>
      <c r="J1888" t="n">
        <v>0</v>
      </c>
      <c r="K1888" t="n">
        <v>0</v>
      </c>
      <c r="L1888" t="n">
        <v>0</v>
      </c>
      <c r="M1888" t="n">
        <v>0</v>
      </c>
      <c r="N1888" t="n">
        <v>0</v>
      </c>
      <c r="O1888" t="n">
        <v>0</v>
      </c>
      <c r="P1888" t="n">
        <v>0</v>
      </c>
      <c r="Q1888" t="n">
        <v>0</v>
      </c>
      <c r="R1888" s="2" t="inlineStr"/>
    </row>
    <row r="1889" ht="15" customHeight="1">
      <c r="A1889" t="inlineStr">
        <is>
          <t>A 8599-2025</t>
        </is>
      </c>
      <c r="B1889" s="1" t="n">
        <v>45709</v>
      </c>
      <c r="C1889" s="1" t="n">
        <v>45849</v>
      </c>
      <c r="D1889" t="inlineStr">
        <is>
          <t>VÄSTERBOTTENS LÄN</t>
        </is>
      </c>
      <c r="E1889" t="inlineStr">
        <is>
          <t>LYCKSELE</t>
        </is>
      </c>
      <c r="G1889" t="n">
        <v>15.5</v>
      </c>
      <c r="H1889" t="n">
        <v>0</v>
      </c>
      <c r="I1889" t="n">
        <v>0</v>
      </c>
      <c r="J1889" t="n">
        <v>0</v>
      </c>
      <c r="K1889" t="n">
        <v>0</v>
      </c>
      <c r="L1889" t="n">
        <v>0</v>
      </c>
      <c r="M1889" t="n">
        <v>0</v>
      </c>
      <c r="N1889" t="n">
        <v>0</v>
      </c>
      <c r="O1889" t="n">
        <v>0</v>
      </c>
      <c r="P1889" t="n">
        <v>0</v>
      </c>
      <c r="Q1889" t="n">
        <v>0</v>
      </c>
      <c r="R1889" s="2" t="inlineStr"/>
    </row>
    <row r="1890" ht="15" customHeight="1">
      <c r="A1890" t="inlineStr">
        <is>
          <t>A 8748-2025</t>
        </is>
      </c>
      <c r="B1890" s="1" t="n">
        <v>45712</v>
      </c>
      <c r="C1890" s="1" t="n">
        <v>45849</v>
      </c>
      <c r="D1890" t="inlineStr">
        <is>
          <t>VÄSTERBOTTENS LÄN</t>
        </is>
      </c>
      <c r="E1890" t="inlineStr">
        <is>
          <t>LYCKSELE</t>
        </is>
      </c>
      <c r="G1890" t="n">
        <v>3.7</v>
      </c>
      <c r="H1890" t="n">
        <v>0</v>
      </c>
      <c r="I1890" t="n">
        <v>0</v>
      </c>
      <c r="J1890" t="n">
        <v>0</v>
      </c>
      <c r="K1890" t="n">
        <v>0</v>
      </c>
      <c r="L1890" t="n">
        <v>0</v>
      </c>
      <c r="M1890" t="n">
        <v>0</v>
      </c>
      <c r="N1890" t="n">
        <v>0</v>
      </c>
      <c r="O1890" t="n">
        <v>0</v>
      </c>
      <c r="P1890" t="n">
        <v>0</v>
      </c>
      <c r="Q1890" t="n">
        <v>0</v>
      </c>
      <c r="R1890" s="2" t="inlineStr"/>
    </row>
    <row r="1891" ht="15" customHeight="1">
      <c r="A1891" t="inlineStr">
        <is>
          <t>A 8864-2025</t>
        </is>
      </c>
      <c r="B1891" s="1" t="n">
        <v>45713</v>
      </c>
      <c r="C1891" s="1" t="n">
        <v>45849</v>
      </c>
      <c r="D1891" t="inlineStr">
        <is>
          <t>VÄSTERBOTTENS LÄN</t>
        </is>
      </c>
      <c r="E1891" t="inlineStr">
        <is>
          <t>LYCKSELE</t>
        </is>
      </c>
      <c r="F1891" t="inlineStr">
        <is>
          <t>SCA</t>
        </is>
      </c>
      <c r="G1891" t="n">
        <v>8.6</v>
      </c>
      <c r="H1891" t="n">
        <v>0</v>
      </c>
      <c r="I1891" t="n">
        <v>0</v>
      </c>
      <c r="J1891" t="n">
        <v>0</v>
      </c>
      <c r="K1891" t="n">
        <v>0</v>
      </c>
      <c r="L1891" t="n">
        <v>0</v>
      </c>
      <c r="M1891" t="n">
        <v>0</v>
      </c>
      <c r="N1891" t="n">
        <v>0</v>
      </c>
      <c r="O1891" t="n">
        <v>0</v>
      </c>
      <c r="P1891" t="n">
        <v>0</v>
      </c>
      <c r="Q1891" t="n">
        <v>0</v>
      </c>
      <c r="R1891" s="2" t="inlineStr"/>
    </row>
    <row r="1892" ht="15" customHeight="1">
      <c r="A1892" t="inlineStr">
        <is>
          <t>A 8915-2025</t>
        </is>
      </c>
      <c r="B1892" s="1" t="n">
        <v>45713</v>
      </c>
      <c r="C1892" s="1" t="n">
        <v>45849</v>
      </c>
      <c r="D1892" t="inlineStr">
        <is>
          <t>VÄSTERBOTTENS LÄN</t>
        </is>
      </c>
      <c r="E1892" t="inlineStr">
        <is>
          <t>LYCKSELE</t>
        </is>
      </c>
      <c r="G1892" t="n">
        <v>1.8</v>
      </c>
      <c r="H1892" t="n">
        <v>0</v>
      </c>
      <c r="I1892" t="n">
        <v>0</v>
      </c>
      <c r="J1892" t="n">
        <v>0</v>
      </c>
      <c r="K1892" t="n">
        <v>0</v>
      </c>
      <c r="L1892" t="n">
        <v>0</v>
      </c>
      <c r="M1892" t="n">
        <v>0</v>
      </c>
      <c r="N1892" t="n">
        <v>0</v>
      </c>
      <c r="O1892" t="n">
        <v>0</v>
      </c>
      <c r="P1892" t="n">
        <v>0</v>
      </c>
      <c r="Q1892" t="n">
        <v>0</v>
      </c>
      <c r="R1892" s="2" t="inlineStr"/>
    </row>
    <row r="1893" ht="15" customHeight="1">
      <c r="A1893" t="inlineStr">
        <is>
          <t>A 8957-2025</t>
        </is>
      </c>
      <c r="B1893" s="1" t="n">
        <v>45713</v>
      </c>
      <c r="C1893" s="1" t="n">
        <v>45849</v>
      </c>
      <c r="D1893" t="inlineStr">
        <is>
          <t>VÄSTERBOTTENS LÄN</t>
        </is>
      </c>
      <c r="E1893" t="inlineStr">
        <is>
          <t>LYCKSELE</t>
        </is>
      </c>
      <c r="G1893" t="n">
        <v>3</v>
      </c>
      <c r="H1893" t="n">
        <v>0</v>
      </c>
      <c r="I1893" t="n">
        <v>0</v>
      </c>
      <c r="J1893" t="n">
        <v>0</v>
      </c>
      <c r="K1893" t="n">
        <v>0</v>
      </c>
      <c r="L1893" t="n">
        <v>0</v>
      </c>
      <c r="M1893" t="n">
        <v>0</v>
      </c>
      <c r="N1893" t="n">
        <v>0</v>
      </c>
      <c r="O1893" t="n">
        <v>0</v>
      </c>
      <c r="P1893" t="n">
        <v>0</v>
      </c>
      <c r="Q1893" t="n">
        <v>0</v>
      </c>
      <c r="R1893" s="2" t="inlineStr"/>
    </row>
    <row r="1894" ht="15" customHeight="1">
      <c r="A1894" t="inlineStr">
        <is>
          <t>A 8992-2025</t>
        </is>
      </c>
      <c r="B1894" s="1" t="n">
        <v>45713</v>
      </c>
      <c r="C1894" s="1" t="n">
        <v>45849</v>
      </c>
      <c r="D1894" t="inlineStr">
        <is>
          <t>VÄSTERBOTTENS LÄN</t>
        </is>
      </c>
      <c r="E1894" t="inlineStr">
        <is>
          <t>LYCKSELE</t>
        </is>
      </c>
      <c r="G1894" t="n">
        <v>32.3</v>
      </c>
      <c r="H1894" t="n">
        <v>0</v>
      </c>
      <c r="I1894" t="n">
        <v>0</v>
      </c>
      <c r="J1894" t="n">
        <v>0</v>
      </c>
      <c r="K1894" t="n">
        <v>0</v>
      </c>
      <c r="L1894" t="n">
        <v>0</v>
      </c>
      <c r="M1894" t="n">
        <v>0</v>
      </c>
      <c r="N1894" t="n">
        <v>0</v>
      </c>
      <c r="O1894" t="n">
        <v>0</v>
      </c>
      <c r="P1894" t="n">
        <v>0</v>
      </c>
      <c r="Q1894" t="n">
        <v>0</v>
      </c>
      <c r="R1894" s="2" t="inlineStr"/>
    </row>
    <row r="1895" ht="15" customHeight="1">
      <c r="A1895" t="inlineStr">
        <is>
          <t>A 9019-2025</t>
        </is>
      </c>
      <c r="B1895" s="1" t="n">
        <v>45713</v>
      </c>
      <c r="C1895" s="1" t="n">
        <v>45849</v>
      </c>
      <c r="D1895" t="inlineStr">
        <is>
          <t>VÄSTERBOTTENS LÄN</t>
        </is>
      </c>
      <c r="E1895" t="inlineStr">
        <is>
          <t>LYCKSELE</t>
        </is>
      </c>
      <c r="F1895" t="inlineStr">
        <is>
          <t>SCA</t>
        </is>
      </c>
      <c r="G1895" t="n">
        <v>17.4</v>
      </c>
      <c r="H1895" t="n">
        <v>0</v>
      </c>
      <c r="I1895" t="n">
        <v>0</v>
      </c>
      <c r="J1895" t="n">
        <v>0</v>
      </c>
      <c r="K1895" t="n">
        <v>0</v>
      </c>
      <c r="L1895" t="n">
        <v>0</v>
      </c>
      <c r="M1895" t="n">
        <v>0</v>
      </c>
      <c r="N1895" t="n">
        <v>0</v>
      </c>
      <c r="O1895" t="n">
        <v>0</v>
      </c>
      <c r="P1895" t="n">
        <v>0</v>
      </c>
      <c r="Q1895" t="n">
        <v>0</v>
      </c>
      <c r="R1895" s="2" t="inlineStr"/>
    </row>
    <row r="1896" ht="15" customHeight="1">
      <c r="A1896" t="inlineStr">
        <is>
          <t>A 8941-2025</t>
        </is>
      </c>
      <c r="B1896" s="1" t="n">
        <v>45713</v>
      </c>
      <c r="C1896" s="1" t="n">
        <v>45849</v>
      </c>
      <c r="D1896" t="inlineStr">
        <is>
          <t>VÄSTERBOTTENS LÄN</t>
        </is>
      </c>
      <c r="E1896" t="inlineStr">
        <is>
          <t>LYCKSELE</t>
        </is>
      </c>
      <c r="G1896" t="n">
        <v>3.7</v>
      </c>
      <c r="H1896" t="n">
        <v>0</v>
      </c>
      <c r="I1896" t="n">
        <v>0</v>
      </c>
      <c r="J1896" t="n">
        <v>0</v>
      </c>
      <c r="K1896" t="n">
        <v>0</v>
      </c>
      <c r="L1896" t="n">
        <v>0</v>
      </c>
      <c r="M1896" t="n">
        <v>0</v>
      </c>
      <c r="N1896" t="n">
        <v>0</v>
      </c>
      <c r="O1896" t="n">
        <v>0</v>
      </c>
      <c r="P1896" t="n">
        <v>0</v>
      </c>
      <c r="Q1896" t="n">
        <v>0</v>
      </c>
      <c r="R1896" s="2" t="inlineStr"/>
    </row>
    <row r="1897" ht="15" customHeight="1">
      <c r="A1897" t="inlineStr">
        <is>
          <t>A 9020-2025</t>
        </is>
      </c>
      <c r="B1897" s="1" t="n">
        <v>45713</v>
      </c>
      <c r="C1897" s="1" t="n">
        <v>45849</v>
      </c>
      <c r="D1897" t="inlineStr">
        <is>
          <t>VÄSTERBOTTENS LÄN</t>
        </is>
      </c>
      <c r="E1897" t="inlineStr">
        <is>
          <t>LYCKSELE</t>
        </is>
      </c>
      <c r="F1897" t="inlineStr">
        <is>
          <t>SCA</t>
        </is>
      </c>
      <c r="G1897" t="n">
        <v>7.5</v>
      </c>
      <c r="H1897" t="n">
        <v>0</v>
      </c>
      <c r="I1897" t="n">
        <v>0</v>
      </c>
      <c r="J1897" t="n">
        <v>0</v>
      </c>
      <c r="K1897" t="n">
        <v>0</v>
      </c>
      <c r="L1897" t="n">
        <v>0</v>
      </c>
      <c r="M1897" t="n">
        <v>0</v>
      </c>
      <c r="N1897" t="n">
        <v>0</v>
      </c>
      <c r="O1897" t="n">
        <v>0</v>
      </c>
      <c r="P1897" t="n">
        <v>0</v>
      </c>
      <c r="Q1897" t="n">
        <v>0</v>
      </c>
      <c r="R1897" s="2" t="inlineStr"/>
    </row>
    <row r="1898" ht="15" customHeight="1">
      <c r="A1898" t="inlineStr">
        <is>
          <t>A 9090-2025</t>
        </is>
      </c>
      <c r="B1898" s="1" t="n">
        <v>45713</v>
      </c>
      <c r="C1898" s="1" t="n">
        <v>45849</v>
      </c>
      <c r="D1898" t="inlineStr">
        <is>
          <t>VÄSTERBOTTENS LÄN</t>
        </is>
      </c>
      <c r="E1898" t="inlineStr">
        <is>
          <t>LYCKSELE</t>
        </is>
      </c>
      <c r="F1898" t="inlineStr">
        <is>
          <t>SCA</t>
        </is>
      </c>
      <c r="G1898" t="n">
        <v>3</v>
      </c>
      <c r="H1898" t="n">
        <v>0</v>
      </c>
      <c r="I1898" t="n">
        <v>0</v>
      </c>
      <c r="J1898" t="n">
        <v>0</v>
      </c>
      <c r="K1898" t="n">
        <v>0</v>
      </c>
      <c r="L1898" t="n">
        <v>0</v>
      </c>
      <c r="M1898" t="n">
        <v>0</v>
      </c>
      <c r="N1898" t="n">
        <v>0</v>
      </c>
      <c r="O1898" t="n">
        <v>0</v>
      </c>
      <c r="P1898" t="n">
        <v>0</v>
      </c>
      <c r="Q1898" t="n">
        <v>0</v>
      </c>
      <c r="R1898" s="2" t="inlineStr"/>
    </row>
    <row r="1899" ht="15" customHeight="1">
      <c r="A1899" t="inlineStr">
        <is>
          <t>A 9517-2025</t>
        </is>
      </c>
      <c r="B1899" s="1" t="n">
        <v>45715</v>
      </c>
      <c r="C1899" s="1" t="n">
        <v>45849</v>
      </c>
      <c r="D1899" t="inlineStr">
        <is>
          <t>VÄSTERBOTTENS LÄN</t>
        </is>
      </c>
      <c r="E1899" t="inlineStr">
        <is>
          <t>LYCKSELE</t>
        </is>
      </c>
      <c r="F1899" t="inlineStr">
        <is>
          <t>SCA</t>
        </is>
      </c>
      <c r="G1899" t="n">
        <v>4.5</v>
      </c>
      <c r="H1899" t="n">
        <v>0</v>
      </c>
      <c r="I1899" t="n">
        <v>0</v>
      </c>
      <c r="J1899" t="n">
        <v>0</v>
      </c>
      <c r="K1899" t="n">
        <v>0</v>
      </c>
      <c r="L1899" t="n">
        <v>0</v>
      </c>
      <c r="M1899" t="n">
        <v>0</v>
      </c>
      <c r="N1899" t="n">
        <v>0</v>
      </c>
      <c r="O1899" t="n">
        <v>0</v>
      </c>
      <c r="P1899" t="n">
        <v>0</v>
      </c>
      <c r="Q1899" t="n">
        <v>0</v>
      </c>
      <c r="R1899" s="2" t="inlineStr"/>
    </row>
    <row r="1900" ht="15" customHeight="1">
      <c r="A1900" t="inlineStr">
        <is>
          <t>A 9590-2025</t>
        </is>
      </c>
      <c r="B1900" s="1" t="n">
        <v>45715</v>
      </c>
      <c r="C1900" s="1" t="n">
        <v>45849</v>
      </c>
      <c r="D1900" t="inlineStr">
        <is>
          <t>VÄSTERBOTTENS LÄN</t>
        </is>
      </c>
      <c r="E1900" t="inlineStr">
        <is>
          <t>LYCKSELE</t>
        </is>
      </c>
      <c r="G1900" t="n">
        <v>5.6</v>
      </c>
      <c r="H1900" t="n">
        <v>0</v>
      </c>
      <c r="I1900" t="n">
        <v>0</v>
      </c>
      <c r="J1900" t="n">
        <v>0</v>
      </c>
      <c r="K1900" t="n">
        <v>0</v>
      </c>
      <c r="L1900" t="n">
        <v>0</v>
      </c>
      <c r="M1900" t="n">
        <v>0</v>
      </c>
      <c r="N1900" t="n">
        <v>0</v>
      </c>
      <c r="O1900" t="n">
        <v>0</v>
      </c>
      <c r="P1900" t="n">
        <v>0</v>
      </c>
      <c r="Q1900" t="n">
        <v>0</v>
      </c>
      <c r="R1900" s="2" t="inlineStr"/>
    </row>
    <row r="1901" ht="15" customHeight="1">
      <c r="A1901" t="inlineStr">
        <is>
          <t>A 9551-2025</t>
        </is>
      </c>
      <c r="B1901" s="1" t="n">
        <v>45715</v>
      </c>
      <c r="C1901" s="1" t="n">
        <v>45849</v>
      </c>
      <c r="D1901" t="inlineStr">
        <is>
          <t>VÄSTERBOTTENS LÄN</t>
        </is>
      </c>
      <c r="E1901" t="inlineStr">
        <is>
          <t>LYCKSELE</t>
        </is>
      </c>
      <c r="F1901" t="inlineStr">
        <is>
          <t>SCA</t>
        </is>
      </c>
      <c r="G1901" t="n">
        <v>1</v>
      </c>
      <c r="H1901" t="n">
        <v>0</v>
      </c>
      <c r="I1901" t="n">
        <v>0</v>
      </c>
      <c r="J1901" t="n">
        <v>0</v>
      </c>
      <c r="K1901" t="n">
        <v>0</v>
      </c>
      <c r="L1901" t="n">
        <v>0</v>
      </c>
      <c r="M1901" t="n">
        <v>0</v>
      </c>
      <c r="N1901" t="n">
        <v>0</v>
      </c>
      <c r="O1901" t="n">
        <v>0</v>
      </c>
      <c r="P1901" t="n">
        <v>0</v>
      </c>
      <c r="Q1901" t="n">
        <v>0</v>
      </c>
      <c r="R1901" s="2" t="inlineStr"/>
    </row>
    <row r="1902" ht="15" customHeight="1">
      <c r="A1902" t="inlineStr">
        <is>
          <t>A 9550-2025</t>
        </is>
      </c>
      <c r="B1902" s="1" t="n">
        <v>45715</v>
      </c>
      <c r="C1902" s="1" t="n">
        <v>45849</v>
      </c>
      <c r="D1902" t="inlineStr">
        <is>
          <t>VÄSTERBOTTENS LÄN</t>
        </is>
      </c>
      <c r="E1902" t="inlineStr">
        <is>
          <t>LYCKSELE</t>
        </is>
      </c>
      <c r="F1902" t="inlineStr">
        <is>
          <t>SCA</t>
        </is>
      </c>
      <c r="G1902" t="n">
        <v>20.6</v>
      </c>
      <c r="H1902" t="n">
        <v>0</v>
      </c>
      <c r="I1902" t="n">
        <v>0</v>
      </c>
      <c r="J1902" t="n">
        <v>0</v>
      </c>
      <c r="K1902" t="n">
        <v>0</v>
      </c>
      <c r="L1902" t="n">
        <v>0</v>
      </c>
      <c r="M1902" t="n">
        <v>0</v>
      </c>
      <c r="N1902" t="n">
        <v>0</v>
      </c>
      <c r="O1902" t="n">
        <v>0</v>
      </c>
      <c r="P1902" t="n">
        <v>0</v>
      </c>
      <c r="Q1902" t="n">
        <v>0</v>
      </c>
      <c r="R1902" s="2" t="inlineStr"/>
    </row>
    <row r="1903" ht="15" customHeight="1">
      <c r="A1903" t="inlineStr">
        <is>
          <t>A 9670-2025</t>
        </is>
      </c>
      <c r="B1903" s="1" t="n">
        <v>45716</v>
      </c>
      <c r="C1903" s="1" t="n">
        <v>45849</v>
      </c>
      <c r="D1903" t="inlineStr">
        <is>
          <t>VÄSTERBOTTENS LÄN</t>
        </is>
      </c>
      <c r="E1903" t="inlineStr">
        <is>
          <t>LYCKSELE</t>
        </is>
      </c>
      <c r="G1903" t="n">
        <v>16</v>
      </c>
      <c r="H1903" t="n">
        <v>0</v>
      </c>
      <c r="I1903" t="n">
        <v>0</v>
      </c>
      <c r="J1903" t="n">
        <v>0</v>
      </c>
      <c r="K1903" t="n">
        <v>0</v>
      </c>
      <c r="L1903" t="n">
        <v>0</v>
      </c>
      <c r="M1903" t="n">
        <v>0</v>
      </c>
      <c r="N1903" t="n">
        <v>0</v>
      </c>
      <c r="O1903" t="n">
        <v>0</v>
      </c>
      <c r="P1903" t="n">
        <v>0</v>
      </c>
      <c r="Q1903" t="n">
        <v>0</v>
      </c>
      <c r="R1903" s="2" t="inlineStr"/>
    </row>
    <row r="1904" ht="15" customHeight="1">
      <c r="A1904" t="inlineStr">
        <is>
          <t>A 9951-2025</t>
        </is>
      </c>
      <c r="B1904" s="1" t="n">
        <v>45719</v>
      </c>
      <c r="C1904" s="1" t="n">
        <v>45849</v>
      </c>
      <c r="D1904" t="inlineStr">
        <is>
          <t>VÄSTERBOTTENS LÄN</t>
        </is>
      </c>
      <c r="E1904" t="inlineStr">
        <is>
          <t>LYCKSELE</t>
        </is>
      </c>
      <c r="F1904" t="inlineStr">
        <is>
          <t>SCA</t>
        </is>
      </c>
      <c r="G1904" t="n">
        <v>2.8</v>
      </c>
      <c r="H1904" t="n">
        <v>0</v>
      </c>
      <c r="I1904" t="n">
        <v>0</v>
      </c>
      <c r="J1904" t="n">
        <v>0</v>
      </c>
      <c r="K1904" t="n">
        <v>0</v>
      </c>
      <c r="L1904" t="n">
        <v>0</v>
      </c>
      <c r="M1904" t="n">
        <v>0</v>
      </c>
      <c r="N1904" t="n">
        <v>0</v>
      </c>
      <c r="O1904" t="n">
        <v>0</v>
      </c>
      <c r="P1904" t="n">
        <v>0</v>
      </c>
      <c r="Q1904" t="n">
        <v>0</v>
      </c>
      <c r="R1904" s="2" t="inlineStr"/>
    </row>
    <row r="1905" ht="15" customHeight="1">
      <c r="A1905" t="inlineStr">
        <is>
          <t>A 10336-2025</t>
        </is>
      </c>
      <c r="B1905" s="1" t="n">
        <v>45720</v>
      </c>
      <c r="C1905" s="1" t="n">
        <v>45849</v>
      </c>
      <c r="D1905" t="inlineStr">
        <is>
          <t>VÄSTERBOTTENS LÄN</t>
        </is>
      </c>
      <c r="E1905" t="inlineStr">
        <is>
          <t>LYCKSELE</t>
        </is>
      </c>
      <c r="F1905" t="inlineStr">
        <is>
          <t>SCA</t>
        </is>
      </c>
      <c r="G1905" t="n">
        <v>16.9</v>
      </c>
      <c r="H1905" t="n">
        <v>0</v>
      </c>
      <c r="I1905" t="n">
        <v>0</v>
      </c>
      <c r="J1905" t="n">
        <v>0</v>
      </c>
      <c r="K1905" t="n">
        <v>0</v>
      </c>
      <c r="L1905" t="n">
        <v>0</v>
      </c>
      <c r="M1905" t="n">
        <v>0</v>
      </c>
      <c r="N1905" t="n">
        <v>0</v>
      </c>
      <c r="O1905" t="n">
        <v>0</v>
      </c>
      <c r="P1905" t="n">
        <v>0</v>
      </c>
      <c r="Q1905" t="n">
        <v>0</v>
      </c>
      <c r="R1905" s="2" t="inlineStr"/>
    </row>
    <row r="1906" ht="15" customHeight="1">
      <c r="A1906" t="inlineStr">
        <is>
          <t>A 10586-2025</t>
        </is>
      </c>
      <c r="B1906" s="1" t="n">
        <v>45721</v>
      </c>
      <c r="C1906" s="1" t="n">
        <v>45849</v>
      </c>
      <c r="D1906" t="inlineStr">
        <is>
          <t>VÄSTERBOTTENS LÄN</t>
        </is>
      </c>
      <c r="E1906" t="inlineStr">
        <is>
          <t>LYCKSELE</t>
        </is>
      </c>
      <c r="F1906" t="inlineStr">
        <is>
          <t>SCA</t>
        </is>
      </c>
      <c r="G1906" t="n">
        <v>6.1</v>
      </c>
      <c r="H1906" t="n">
        <v>0</v>
      </c>
      <c r="I1906" t="n">
        <v>0</v>
      </c>
      <c r="J1906" t="n">
        <v>0</v>
      </c>
      <c r="K1906" t="n">
        <v>0</v>
      </c>
      <c r="L1906" t="n">
        <v>0</v>
      </c>
      <c r="M1906" t="n">
        <v>0</v>
      </c>
      <c r="N1906" t="n">
        <v>0</v>
      </c>
      <c r="O1906" t="n">
        <v>0</v>
      </c>
      <c r="P1906" t="n">
        <v>0</v>
      </c>
      <c r="Q1906" t="n">
        <v>0</v>
      </c>
      <c r="R1906" s="2" t="inlineStr"/>
    </row>
    <row r="1907" ht="15" customHeight="1">
      <c r="A1907" t="inlineStr">
        <is>
          <t>A 11090-2025</t>
        </is>
      </c>
      <c r="B1907" s="1" t="n">
        <v>45723</v>
      </c>
      <c r="C1907" s="1" t="n">
        <v>45849</v>
      </c>
      <c r="D1907" t="inlineStr">
        <is>
          <t>VÄSTERBOTTENS LÄN</t>
        </is>
      </c>
      <c r="E1907" t="inlineStr">
        <is>
          <t>LYCKSELE</t>
        </is>
      </c>
      <c r="F1907" t="inlineStr">
        <is>
          <t>SCA</t>
        </is>
      </c>
      <c r="G1907" t="n">
        <v>11.5</v>
      </c>
      <c r="H1907" t="n">
        <v>0</v>
      </c>
      <c r="I1907" t="n">
        <v>0</v>
      </c>
      <c r="J1907" t="n">
        <v>0</v>
      </c>
      <c r="K1907" t="n">
        <v>0</v>
      </c>
      <c r="L1907" t="n">
        <v>0</v>
      </c>
      <c r="M1907" t="n">
        <v>0</v>
      </c>
      <c r="N1907" t="n">
        <v>0</v>
      </c>
      <c r="O1907" t="n">
        <v>0</v>
      </c>
      <c r="P1907" t="n">
        <v>0</v>
      </c>
      <c r="Q1907" t="n">
        <v>0</v>
      </c>
      <c r="R1907" s="2" t="inlineStr"/>
    </row>
    <row r="1908" ht="15" customHeight="1">
      <c r="A1908" t="inlineStr">
        <is>
          <t>A 11474-2025</t>
        </is>
      </c>
      <c r="B1908" s="1" t="n">
        <v>45726</v>
      </c>
      <c r="C1908" s="1" t="n">
        <v>45849</v>
      </c>
      <c r="D1908" t="inlineStr">
        <is>
          <t>VÄSTERBOTTENS LÄN</t>
        </is>
      </c>
      <c r="E1908" t="inlineStr">
        <is>
          <t>LYCKSELE</t>
        </is>
      </c>
      <c r="G1908" t="n">
        <v>17</v>
      </c>
      <c r="H1908" t="n">
        <v>0</v>
      </c>
      <c r="I1908" t="n">
        <v>0</v>
      </c>
      <c r="J1908" t="n">
        <v>0</v>
      </c>
      <c r="K1908" t="n">
        <v>0</v>
      </c>
      <c r="L1908" t="n">
        <v>0</v>
      </c>
      <c r="M1908" t="n">
        <v>0</v>
      </c>
      <c r="N1908" t="n">
        <v>0</v>
      </c>
      <c r="O1908" t="n">
        <v>0</v>
      </c>
      <c r="P1908" t="n">
        <v>0</v>
      </c>
      <c r="Q1908" t="n">
        <v>0</v>
      </c>
      <c r="R1908" s="2" t="inlineStr"/>
    </row>
    <row r="1909" ht="15" customHeight="1">
      <c r="A1909" t="inlineStr">
        <is>
          <t>A 11475-2025</t>
        </is>
      </c>
      <c r="B1909" s="1" t="n">
        <v>45726</v>
      </c>
      <c r="C1909" s="1" t="n">
        <v>45849</v>
      </c>
      <c r="D1909" t="inlineStr">
        <is>
          <t>VÄSTERBOTTENS LÄN</t>
        </is>
      </c>
      <c r="E1909" t="inlineStr">
        <is>
          <t>LYCKSELE</t>
        </is>
      </c>
      <c r="G1909" t="n">
        <v>3.3</v>
      </c>
      <c r="H1909" t="n">
        <v>0</v>
      </c>
      <c r="I1909" t="n">
        <v>0</v>
      </c>
      <c r="J1909" t="n">
        <v>0</v>
      </c>
      <c r="K1909" t="n">
        <v>0</v>
      </c>
      <c r="L1909" t="n">
        <v>0</v>
      </c>
      <c r="M1909" t="n">
        <v>0</v>
      </c>
      <c r="N1909" t="n">
        <v>0</v>
      </c>
      <c r="O1909" t="n">
        <v>0</v>
      </c>
      <c r="P1909" t="n">
        <v>0</v>
      </c>
      <c r="Q1909" t="n">
        <v>0</v>
      </c>
      <c r="R1909" s="2" t="inlineStr"/>
    </row>
    <row r="1910" ht="15" customHeight="1">
      <c r="A1910" t="inlineStr">
        <is>
          <t>A 12255-2025</t>
        </is>
      </c>
      <c r="B1910" s="1" t="n">
        <v>45729</v>
      </c>
      <c r="C1910" s="1" t="n">
        <v>45849</v>
      </c>
      <c r="D1910" t="inlineStr">
        <is>
          <t>VÄSTERBOTTENS LÄN</t>
        </is>
      </c>
      <c r="E1910" t="inlineStr">
        <is>
          <t>LYCKSELE</t>
        </is>
      </c>
      <c r="F1910" t="inlineStr">
        <is>
          <t>SCA</t>
        </is>
      </c>
      <c r="G1910" t="n">
        <v>4.8</v>
      </c>
      <c r="H1910" t="n">
        <v>0</v>
      </c>
      <c r="I1910" t="n">
        <v>0</v>
      </c>
      <c r="J1910" t="n">
        <v>0</v>
      </c>
      <c r="K1910" t="n">
        <v>0</v>
      </c>
      <c r="L1910" t="n">
        <v>0</v>
      </c>
      <c r="M1910" t="n">
        <v>0</v>
      </c>
      <c r="N1910" t="n">
        <v>0</v>
      </c>
      <c r="O1910" t="n">
        <v>0</v>
      </c>
      <c r="P1910" t="n">
        <v>0</v>
      </c>
      <c r="Q1910" t="n">
        <v>0</v>
      </c>
      <c r="R1910" s="2" t="inlineStr"/>
    </row>
    <row r="1911" ht="15" customHeight="1">
      <c r="A1911" t="inlineStr">
        <is>
          <t>A 12424-2025</t>
        </is>
      </c>
      <c r="B1911" s="1" t="n">
        <v>45730</v>
      </c>
      <c r="C1911" s="1" t="n">
        <v>45849</v>
      </c>
      <c r="D1911" t="inlineStr">
        <is>
          <t>VÄSTERBOTTENS LÄN</t>
        </is>
      </c>
      <c r="E1911" t="inlineStr">
        <is>
          <t>LYCKSELE</t>
        </is>
      </c>
      <c r="G1911" t="n">
        <v>0.6</v>
      </c>
      <c r="H1911" t="n">
        <v>0</v>
      </c>
      <c r="I1911" t="n">
        <v>0</v>
      </c>
      <c r="J1911" t="n">
        <v>0</v>
      </c>
      <c r="K1911" t="n">
        <v>0</v>
      </c>
      <c r="L1911" t="n">
        <v>0</v>
      </c>
      <c r="M1911" t="n">
        <v>0</v>
      </c>
      <c r="N1911" t="n">
        <v>0</v>
      </c>
      <c r="O1911" t="n">
        <v>0</v>
      </c>
      <c r="P1911" t="n">
        <v>0</v>
      </c>
      <c r="Q1911" t="n">
        <v>0</v>
      </c>
      <c r="R1911" s="2" t="inlineStr"/>
    </row>
    <row r="1912" ht="15" customHeight="1">
      <c r="A1912" t="inlineStr">
        <is>
          <t>A 12430-2025</t>
        </is>
      </c>
      <c r="B1912" s="1" t="n">
        <v>45730</v>
      </c>
      <c r="C1912" s="1" t="n">
        <v>45849</v>
      </c>
      <c r="D1912" t="inlineStr">
        <is>
          <t>VÄSTERBOTTENS LÄN</t>
        </is>
      </c>
      <c r="E1912" t="inlineStr">
        <is>
          <t>LYCKSELE</t>
        </is>
      </c>
      <c r="G1912" t="n">
        <v>4.8</v>
      </c>
      <c r="H1912" t="n">
        <v>0</v>
      </c>
      <c r="I1912" t="n">
        <v>0</v>
      </c>
      <c r="J1912" t="n">
        <v>0</v>
      </c>
      <c r="K1912" t="n">
        <v>0</v>
      </c>
      <c r="L1912" t="n">
        <v>0</v>
      </c>
      <c r="M1912" t="n">
        <v>0</v>
      </c>
      <c r="N1912" t="n">
        <v>0</v>
      </c>
      <c r="O1912" t="n">
        <v>0</v>
      </c>
      <c r="P1912" t="n">
        <v>0</v>
      </c>
      <c r="Q1912" t="n">
        <v>0</v>
      </c>
      <c r="R1912" s="2" t="inlineStr"/>
    </row>
    <row r="1913" ht="15" customHeight="1">
      <c r="A1913" t="inlineStr">
        <is>
          <t>A 12585-2025</t>
        </is>
      </c>
      <c r="B1913" s="1" t="n">
        <v>45732</v>
      </c>
      <c r="C1913" s="1" t="n">
        <v>45849</v>
      </c>
      <c r="D1913" t="inlineStr">
        <is>
          <t>VÄSTERBOTTENS LÄN</t>
        </is>
      </c>
      <c r="E1913" t="inlineStr">
        <is>
          <t>LYCKSELE</t>
        </is>
      </c>
      <c r="G1913" t="n">
        <v>15.5</v>
      </c>
      <c r="H1913" t="n">
        <v>0</v>
      </c>
      <c r="I1913" t="n">
        <v>0</v>
      </c>
      <c r="J1913" t="n">
        <v>0</v>
      </c>
      <c r="K1913" t="n">
        <v>0</v>
      </c>
      <c r="L1913" t="n">
        <v>0</v>
      </c>
      <c r="M1913" t="n">
        <v>0</v>
      </c>
      <c r="N1913" t="n">
        <v>0</v>
      </c>
      <c r="O1913" t="n">
        <v>0</v>
      </c>
      <c r="P1913" t="n">
        <v>0</v>
      </c>
      <c r="Q1913" t="n">
        <v>0</v>
      </c>
      <c r="R1913" s="2" t="inlineStr"/>
    </row>
    <row r="1914" ht="15" customHeight="1">
      <c r="A1914" t="inlineStr">
        <is>
          <t>A 12934-2025</t>
        </is>
      </c>
      <c r="B1914" s="1" t="n">
        <v>45734</v>
      </c>
      <c r="C1914" s="1" t="n">
        <v>45849</v>
      </c>
      <c r="D1914" t="inlineStr">
        <is>
          <t>VÄSTERBOTTENS LÄN</t>
        </is>
      </c>
      <c r="E1914" t="inlineStr">
        <is>
          <t>LYCKSELE</t>
        </is>
      </c>
      <c r="G1914" t="n">
        <v>10.4</v>
      </c>
      <c r="H1914" t="n">
        <v>0</v>
      </c>
      <c r="I1914" t="n">
        <v>0</v>
      </c>
      <c r="J1914" t="n">
        <v>0</v>
      </c>
      <c r="K1914" t="n">
        <v>0</v>
      </c>
      <c r="L1914" t="n">
        <v>0</v>
      </c>
      <c r="M1914" t="n">
        <v>0</v>
      </c>
      <c r="N1914" t="n">
        <v>0</v>
      </c>
      <c r="O1914" t="n">
        <v>0</v>
      </c>
      <c r="P1914" t="n">
        <v>0</v>
      </c>
      <c r="Q1914" t="n">
        <v>0</v>
      </c>
      <c r="R1914" s="2" t="inlineStr"/>
    </row>
    <row r="1915" ht="15" customHeight="1">
      <c r="A1915" t="inlineStr">
        <is>
          <t>A 13216-2025</t>
        </is>
      </c>
      <c r="B1915" s="1" t="n">
        <v>45735</v>
      </c>
      <c r="C1915" s="1" t="n">
        <v>45849</v>
      </c>
      <c r="D1915" t="inlineStr">
        <is>
          <t>VÄSTERBOTTENS LÄN</t>
        </is>
      </c>
      <c r="E1915" t="inlineStr">
        <is>
          <t>LYCKSELE</t>
        </is>
      </c>
      <c r="F1915" t="inlineStr">
        <is>
          <t>SCA</t>
        </is>
      </c>
      <c r="G1915" t="n">
        <v>2.3</v>
      </c>
      <c r="H1915" t="n">
        <v>0</v>
      </c>
      <c r="I1915" t="n">
        <v>0</v>
      </c>
      <c r="J1915" t="n">
        <v>0</v>
      </c>
      <c r="K1915" t="n">
        <v>0</v>
      </c>
      <c r="L1915" t="n">
        <v>0</v>
      </c>
      <c r="M1915" t="n">
        <v>0</v>
      </c>
      <c r="N1915" t="n">
        <v>0</v>
      </c>
      <c r="O1915" t="n">
        <v>0</v>
      </c>
      <c r="P1915" t="n">
        <v>0</v>
      </c>
      <c r="Q1915" t="n">
        <v>0</v>
      </c>
      <c r="R1915" s="2" t="inlineStr"/>
    </row>
    <row r="1916" ht="15" customHeight="1">
      <c r="A1916" t="inlineStr">
        <is>
          <t>A 13202-2025</t>
        </is>
      </c>
      <c r="B1916" s="1" t="n">
        <v>45735</v>
      </c>
      <c r="C1916" s="1" t="n">
        <v>45849</v>
      </c>
      <c r="D1916" t="inlineStr">
        <is>
          <t>VÄSTERBOTTENS LÄN</t>
        </is>
      </c>
      <c r="E1916" t="inlineStr">
        <is>
          <t>LYCKSELE</t>
        </is>
      </c>
      <c r="F1916" t="inlineStr">
        <is>
          <t>SCA</t>
        </is>
      </c>
      <c r="G1916" t="n">
        <v>2.4</v>
      </c>
      <c r="H1916" t="n">
        <v>0</v>
      </c>
      <c r="I1916" t="n">
        <v>0</v>
      </c>
      <c r="J1916" t="n">
        <v>0</v>
      </c>
      <c r="K1916" t="n">
        <v>0</v>
      </c>
      <c r="L1916" t="n">
        <v>0</v>
      </c>
      <c r="M1916" t="n">
        <v>0</v>
      </c>
      <c r="N1916" t="n">
        <v>0</v>
      </c>
      <c r="O1916" t="n">
        <v>0</v>
      </c>
      <c r="P1916" t="n">
        <v>0</v>
      </c>
      <c r="Q1916" t="n">
        <v>0</v>
      </c>
      <c r="R1916" s="2" t="inlineStr"/>
    </row>
    <row r="1917" ht="15" customHeight="1">
      <c r="A1917" t="inlineStr">
        <is>
          <t>A 13883-2025</t>
        </is>
      </c>
      <c r="B1917" s="1" t="n">
        <v>45737</v>
      </c>
      <c r="C1917" s="1" t="n">
        <v>45849</v>
      </c>
      <c r="D1917" t="inlineStr">
        <is>
          <t>VÄSTERBOTTENS LÄN</t>
        </is>
      </c>
      <c r="E1917" t="inlineStr">
        <is>
          <t>LYCKSELE</t>
        </is>
      </c>
      <c r="F1917" t="inlineStr">
        <is>
          <t>Naturvårdsverket</t>
        </is>
      </c>
      <c r="G1917" t="n">
        <v>7</v>
      </c>
      <c r="H1917" t="n">
        <v>0</v>
      </c>
      <c r="I1917" t="n">
        <v>0</v>
      </c>
      <c r="J1917" t="n">
        <v>0</v>
      </c>
      <c r="K1917" t="n">
        <v>0</v>
      </c>
      <c r="L1917" t="n">
        <v>0</v>
      </c>
      <c r="M1917" t="n">
        <v>0</v>
      </c>
      <c r="N1917" t="n">
        <v>0</v>
      </c>
      <c r="O1917" t="n">
        <v>0</v>
      </c>
      <c r="P1917" t="n">
        <v>0</v>
      </c>
      <c r="Q1917" t="n">
        <v>0</v>
      </c>
      <c r="R1917" s="2" t="inlineStr"/>
    </row>
    <row r="1918" ht="15" customHeight="1">
      <c r="A1918" t="inlineStr">
        <is>
          <t>A 14249-2025</t>
        </is>
      </c>
      <c r="B1918" s="1" t="n">
        <v>45740</v>
      </c>
      <c r="C1918" s="1" t="n">
        <v>45849</v>
      </c>
      <c r="D1918" t="inlineStr">
        <is>
          <t>VÄSTERBOTTENS LÄN</t>
        </is>
      </c>
      <c r="E1918" t="inlineStr">
        <is>
          <t>LYCKSELE</t>
        </is>
      </c>
      <c r="F1918" t="inlineStr">
        <is>
          <t>SCA</t>
        </is>
      </c>
      <c r="G1918" t="n">
        <v>8</v>
      </c>
      <c r="H1918" t="n">
        <v>0</v>
      </c>
      <c r="I1918" t="n">
        <v>0</v>
      </c>
      <c r="J1918" t="n">
        <v>0</v>
      </c>
      <c r="K1918" t="n">
        <v>0</v>
      </c>
      <c r="L1918" t="n">
        <v>0</v>
      </c>
      <c r="M1918" t="n">
        <v>0</v>
      </c>
      <c r="N1918" t="n">
        <v>0</v>
      </c>
      <c r="O1918" t="n">
        <v>0</v>
      </c>
      <c r="P1918" t="n">
        <v>0</v>
      </c>
      <c r="Q1918" t="n">
        <v>0</v>
      </c>
      <c r="R1918" s="2" t="inlineStr"/>
    </row>
    <row r="1919" ht="15" customHeight="1">
      <c r="A1919" t="inlineStr">
        <is>
          <t>A 14248-2025</t>
        </is>
      </c>
      <c r="B1919" s="1" t="n">
        <v>45740</v>
      </c>
      <c r="C1919" s="1" t="n">
        <v>45849</v>
      </c>
      <c r="D1919" t="inlineStr">
        <is>
          <t>VÄSTERBOTTENS LÄN</t>
        </is>
      </c>
      <c r="E1919" t="inlineStr">
        <is>
          <t>LYCKSELE</t>
        </is>
      </c>
      <c r="F1919" t="inlineStr">
        <is>
          <t>SCA</t>
        </is>
      </c>
      <c r="G1919" t="n">
        <v>6</v>
      </c>
      <c r="H1919" t="n">
        <v>0</v>
      </c>
      <c r="I1919" t="n">
        <v>0</v>
      </c>
      <c r="J1919" t="n">
        <v>0</v>
      </c>
      <c r="K1919" t="n">
        <v>0</v>
      </c>
      <c r="L1919" t="n">
        <v>0</v>
      </c>
      <c r="M1919" t="n">
        <v>0</v>
      </c>
      <c r="N1919" t="n">
        <v>0</v>
      </c>
      <c r="O1919" t="n">
        <v>0</v>
      </c>
      <c r="P1919" t="n">
        <v>0</v>
      </c>
      <c r="Q1919" t="n">
        <v>0</v>
      </c>
      <c r="R1919" s="2" t="inlineStr"/>
    </row>
    <row r="1920" ht="15" customHeight="1">
      <c r="A1920" t="inlineStr">
        <is>
          <t>A 14276-2025</t>
        </is>
      </c>
      <c r="B1920" s="1" t="n">
        <v>45740</v>
      </c>
      <c r="C1920" s="1" t="n">
        <v>45849</v>
      </c>
      <c r="D1920" t="inlineStr">
        <is>
          <t>VÄSTERBOTTENS LÄN</t>
        </is>
      </c>
      <c r="E1920" t="inlineStr">
        <is>
          <t>LYCKSELE</t>
        </is>
      </c>
      <c r="G1920" t="n">
        <v>34.9</v>
      </c>
      <c r="H1920" t="n">
        <v>0</v>
      </c>
      <c r="I1920" t="n">
        <v>0</v>
      </c>
      <c r="J1920" t="n">
        <v>0</v>
      </c>
      <c r="K1920" t="n">
        <v>0</v>
      </c>
      <c r="L1920" t="n">
        <v>0</v>
      </c>
      <c r="M1920" t="n">
        <v>0</v>
      </c>
      <c r="N1920" t="n">
        <v>0</v>
      </c>
      <c r="O1920" t="n">
        <v>0</v>
      </c>
      <c r="P1920" t="n">
        <v>0</v>
      </c>
      <c r="Q1920" t="n">
        <v>0</v>
      </c>
      <c r="R1920" s="2" t="inlineStr"/>
    </row>
    <row r="1921" ht="15" customHeight="1">
      <c r="A1921" t="inlineStr">
        <is>
          <t>A 14085-2025</t>
        </is>
      </c>
      <c r="B1921" s="1" t="n">
        <v>45740</v>
      </c>
      <c r="C1921" s="1" t="n">
        <v>45849</v>
      </c>
      <c r="D1921" t="inlineStr">
        <is>
          <t>VÄSTERBOTTENS LÄN</t>
        </is>
      </c>
      <c r="E1921" t="inlineStr">
        <is>
          <t>LYCKSELE</t>
        </is>
      </c>
      <c r="G1921" t="n">
        <v>0.8</v>
      </c>
      <c r="H1921" t="n">
        <v>0</v>
      </c>
      <c r="I1921" t="n">
        <v>0</v>
      </c>
      <c r="J1921" t="n">
        <v>0</v>
      </c>
      <c r="K1921" t="n">
        <v>0</v>
      </c>
      <c r="L1921" t="n">
        <v>0</v>
      </c>
      <c r="M1921" t="n">
        <v>0</v>
      </c>
      <c r="N1921" t="n">
        <v>0</v>
      </c>
      <c r="O1921" t="n">
        <v>0</v>
      </c>
      <c r="P1921" t="n">
        <v>0</v>
      </c>
      <c r="Q1921" t="n">
        <v>0</v>
      </c>
      <c r="R1921" s="2" t="inlineStr"/>
    </row>
    <row r="1922" ht="15" customHeight="1">
      <c r="A1922" t="inlineStr">
        <is>
          <t>A 14343-2025</t>
        </is>
      </c>
      <c r="B1922" s="1" t="n">
        <v>45741</v>
      </c>
      <c r="C1922" s="1" t="n">
        <v>45849</v>
      </c>
      <c r="D1922" t="inlineStr">
        <is>
          <t>VÄSTERBOTTENS LÄN</t>
        </is>
      </c>
      <c r="E1922" t="inlineStr">
        <is>
          <t>LYCKSELE</t>
        </is>
      </c>
      <c r="G1922" t="n">
        <v>6.4</v>
      </c>
      <c r="H1922" t="n">
        <v>0</v>
      </c>
      <c r="I1922" t="n">
        <v>0</v>
      </c>
      <c r="J1922" t="n">
        <v>0</v>
      </c>
      <c r="K1922" t="n">
        <v>0</v>
      </c>
      <c r="L1922" t="n">
        <v>0</v>
      </c>
      <c r="M1922" t="n">
        <v>0</v>
      </c>
      <c r="N1922" t="n">
        <v>0</v>
      </c>
      <c r="O1922" t="n">
        <v>0</v>
      </c>
      <c r="P1922" t="n">
        <v>0</v>
      </c>
      <c r="Q1922" t="n">
        <v>0</v>
      </c>
      <c r="R1922" s="2" t="inlineStr"/>
    </row>
    <row r="1923" ht="15" customHeight="1">
      <c r="A1923" t="inlineStr">
        <is>
          <t>A 14795-2025</t>
        </is>
      </c>
      <c r="B1923" s="1" t="n">
        <v>45742</v>
      </c>
      <c r="C1923" s="1" t="n">
        <v>45849</v>
      </c>
      <c r="D1923" t="inlineStr">
        <is>
          <t>VÄSTERBOTTENS LÄN</t>
        </is>
      </c>
      <c r="E1923" t="inlineStr">
        <is>
          <t>LYCKSELE</t>
        </is>
      </c>
      <c r="G1923" t="n">
        <v>3.6</v>
      </c>
      <c r="H1923" t="n">
        <v>0</v>
      </c>
      <c r="I1923" t="n">
        <v>0</v>
      </c>
      <c r="J1923" t="n">
        <v>0</v>
      </c>
      <c r="K1923" t="n">
        <v>0</v>
      </c>
      <c r="L1923" t="n">
        <v>0</v>
      </c>
      <c r="M1923" t="n">
        <v>0</v>
      </c>
      <c r="N1923" t="n">
        <v>0</v>
      </c>
      <c r="O1923" t="n">
        <v>0</v>
      </c>
      <c r="P1923" t="n">
        <v>0</v>
      </c>
      <c r="Q1923" t="n">
        <v>0</v>
      </c>
      <c r="R1923" s="2" t="inlineStr"/>
    </row>
    <row r="1924" ht="15" customHeight="1">
      <c r="A1924" t="inlineStr">
        <is>
          <t>A 14794-2025</t>
        </is>
      </c>
      <c r="B1924" s="1" t="n">
        <v>45742</v>
      </c>
      <c r="C1924" s="1" t="n">
        <v>45849</v>
      </c>
      <c r="D1924" t="inlineStr">
        <is>
          <t>VÄSTERBOTTENS LÄN</t>
        </is>
      </c>
      <c r="E1924" t="inlineStr">
        <is>
          <t>LYCKSELE</t>
        </is>
      </c>
      <c r="G1924" t="n">
        <v>2</v>
      </c>
      <c r="H1924" t="n">
        <v>0</v>
      </c>
      <c r="I1924" t="n">
        <v>0</v>
      </c>
      <c r="J1924" t="n">
        <v>0</v>
      </c>
      <c r="K1924" t="n">
        <v>0</v>
      </c>
      <c r="L1924" t="n">
        <v>0</v>
      </c>
      <c r="M1924" t="n">
        <v>0</v>
      </c>
      <c r="N1924" t="n">
        <v>0</v>
      </c>
      <c r="O1924" t="n">
        <v>0</v>
      </c>
      <c r="P1924" t="n">
        <v>0</v>
      </c>
      <c r="Q1924" t="n">
        <v>0</v>
      </c>
      <c r="R1924" s="2" t="inlineStr"/>
    </row>
    <row r="1925" ht="15" customHeight="1">
      <c r="A1925" t="inlineStr">
        <is>
          <t>A 14623-2025</t>
        </is>
      </c>
      <c r="B1925" s="1" t="n">
        <v>45742</v>
      </c>
      <c r="C1925" s="1" t="n">
        <v>45849</v>
      </c>
      <c r="D1925" t="inlineStr">
        <is>
          <t>VÄSTERBOTTENS LÄN</t>
        </is>
      </c>
      <c r="E1925" t="inlineStr">
        <is>
          <t>LYCKSELE</t>
        </is>
      </c>
      <c r="F1925" t="inlineStr">
        <is>
          <t>Naturvårdsverket</t>
        </is>
      </c>
      <c r="G1925" t="n">
        <v>10.4</v>
      </c>
      <c r="H1925" t="n">
        <v>0</v>
      </c>
      <c r="I1925" t="n">
        <v>0</v>
      </c>
      <c r="J1925" t="n">
        <v>0</v>
      </c>
      <c r="K1925" t="n">
        <v>0</v>
      </c>
      <c r="L1925" t="n">
        <v>0</v>
      </c>
      <c r="M1925" t="n">
        <v>0</v>
      </c>
      <c r="N1925" t="n">
        <v>0</v>
      </c>
      <c r="O1925" t="n">
        <v>0</v>
      </c>
      <c r="P1925" t="n">
        <v>0</v>
      </c>
      <c r="Q1925" t="n">
        <v>0</v>
      </c>
      <c r="R1925" s="2" t="inlineStr"/>
    </row>
    <row r="1926" ht="15" customHeight="1">
      <c r="A1926" t="inlineStr">
        <is>
          <t>A 14773-2025</t>
        </is>
      </c>
      <c r="B1926" s="1" t="n">
        <v>45742</v>
      </c>
      <c r="C1926" s="1" t="n">
        <v>45849</v>
      </c>
      <c r="D1926" t="inlineStr">
        <is>
          <t>VÄSTERBOTTENS LÄN</t>
        </is>
      </c>
      <c r="E1926" t="inlineStr">
        <is>
          <t>LYCKSELE</t>
        </is>
      </c>
      <c r="F1926" t="inlineStr">
        <is>
          <t>Holmen skog AB</t>
        </is>
      </c>
      <c r="G1926" t="n">
        <v>50.1</v>
      </c>
      <c r="H1926" t="n">
        <v>0</v>
      </c>
      <c r="I1926" t="n">
        <v>0</v>
      </c>
      <c r="J1926" t="n">
        <v>0</v>
      </c>
      <c r="K1926" t="n">
        <v>0</v>
      </c>
      <c r="L1926" t="n">
        <v>0</v>
      </c>
      <c r="M1926" t="n">
        <v>0</v>
      </c>
      <c r="N1926" t="n">
        <v>0</v>
      </c>
      <c r="O1926" t="n">
        <v>0</v>
      </c>
      <c r="P1926" t="n">
        <v>0</v>
      </c>
      <c r="Q1926" t="n">
        <v>0</v>
      </c>
      <c r="R1926" s="2" t="inlineStr"/>
    </row>
    <row r="1927" ht="15" customHeight="1">
      <c r="A1927" t="inlineStr">
        <is>
          <t>A 15037-2025</t>
        </is>
      </c>
      <c r="B1927" s="1" t="n">
        <v>45743</v>
      </c>
      <c r="C1927" s="1" t="n">
        <v>45849</v>
      </c>
      <c r="D1927" t="inlineStr">
        <is>
          <t>VÄSTERBOTTENS LÄN</t>
        </is>
      </c>
      <c r="E1927" t="inlineStr">
        <is>
          <t>LYCKSELE</t>
        </is>
      </c>
      <c r="G1927" t="n">
        <v>12.1</v>
      </c>
      <c r="H1927" t="n">
        <v>0</v>
      </c>
      <c r="I1927" t="n">
        <v>0</v>
      </c>
      <c r="J1927" t="n">
        <v>0</v>
      </c>
      <c r="K1927" t="n">
        <v>0</v>
      </c>
      <c r="L1927" t="n">
        <v>0</v>
      </c>
      <c r="M1927" t="n">
        <v>0</v>
      </c>
      <c r="N1927" t="n">
        <v>0</v>
      </c>
      <c r="O1927" t="n">
        <v>0</v>
      </c>
      <c r="P1927" t="n">
        <v>0</v>
      </c>
      <c r="Q1927" t="n">
        <v>0</v>
      </c>
      <c r="R1927" s="2" t="inlineStr"/>
    </row>
    <row r="1928" ht="15" customHeight="1">
      <c r="A1928" t="inlineStr">
        <is>
          <t>A 15239-2025</t>
        </is>
      </c>
      <c r="B1928" s="1" t="n">
        <v>45744</v>
      </c>
      <c r="C1928" s="1" t="n">
        <v>45849</v>
      </c>
      <c r="D1928" t="inlineStr">
        <is>
          <t>VÄSTERBOTTENS LÄN</t>
        </is>
      </c>
      <c r="E1928" t="inlineStr">
        <is>
          <t>LYCKSELE</t>
        </is>
      </c>
      <c r="F1928" t="inlineStr">
        <is>
          <t>Holmen skog AB</t>
        </is>
      </c>
      <c r="G1928" t="n">
        <v>0.9</v>
      </c>
      <c r="H1928" t="n">
        <v>0</v>
      </c>
      <c r="I1928" t="n">
        <v>0</v>
      </c>
      <c r="J1928" t="n">
        <v>0</v>
      </c>
      <c r="K1928" t="n">
        <v>0</v>
      </c>
      <c r="L1928" t="n">
        <v>0</v>
      </c>
      <c r="M1928" t="n">
        <v>0</v>
      </c>
      <c r="N1928" t="n">
        <v>0</v>
      </c>
      <c r="O1928" t="n">
        <v>0</v>
      </c>
      <c r="P1928" t="n">
        <v>0</v>
      </c>
      <c r="Q1928" t="n">
        <v>0</v>
      </c>
      <c r="R1928" s="2" t="inlineStr"/>
    </row>
    <row r="1929" ht="15" customHeight="1">
      <c r="A1929" t="inlineStr">
        <is>
          <t>A 15221-2025</t>
        </is>
      </c>
      <c r="B1929" s="1" t="n">
        <v>45744</v>
      </c>
      <c r="C1929" s="1" t="n">
        <v>45849</v>
      </c>
      <c r="D1929" t="inlineStr">
        <is>
          <t>VÄSTERBOTTENS LÄN</t>
        </is>
      </c>
      <c r="E1929" t="inlineStr">
        <is>
          <t>LYCKSELE</t>
        </is>
      </c>
      <c r="F1929" t="inlineStr">
        <is>
          <t>Holmen skog AB</t>
        </is>
      </c>
      <c r="G1929" t="n">
        <v>12</v>
      </c>
      <c r="H1929" t="n">
        <v>0</v>
      </c>
      <c r="I1929" t="n">
        <v>0</v>
      </c>
      <c r="J1929" t="n">
        <v>0</v>
      </c>
      <c r="K1929" t="n">
        <v>0</v>
      </c>
      <c r="L1929" t="n">
        <v>0</v>
      </c>
      <c r="M1929" t="n">
        <v>0</v>
      </c>
      <c r="N1929" t="n">
        <v>0</v>
      </c>
      <c r="O1929" t="n">
        <v>0</v>
      </c>
      <c r="P1929" t="n">
        <v>0</v>
      </c>
      <c r="Q1929" t="n">
        <v>0</v>
      </c>
      <c r="R1929" s="2" t="inlineStr"/>
    </row>
    <row r="1930" ht="15" customHeight="1">
      <c r="A1930" t="inlineStr">
        <is>
          <t>A 16183-2025</t>
        </is>
      </c>
      <c r="B1930" s="1" t="n">
        <v>45750</v>
      </c>
      <c r="C1930" s="1" t="n">
        <v>45849</v>
      </c>
      <c r="D1930" t="inlineStr">
        <is>
          <t>VÄSTERBOTTENS LÄN</t>
        </is>
      </c>
      <c r="E1930" t="inlineStr">
        <is>
          <t>LYCKSELE</t>
        </is>
      </c>
      <c r="F1930" t="inlineStr">
        <is>
          <t>Sveaskog</t>
        </is>
      </c>
      <c r="G1930" t="n">
        <v>2.1</v>
      </c>
      <c r="H1930" t="n">
        <v>0</v>
      </c>
      <c r="I1930" t="n">
        <v>0</v>
      </c>
      <c r="J1930" t="n">
        <v>0</v>
      </c>
      <c r="K1930" t="n">
        <v>0</v>
      </c>
      <c r="L1930" t="n">
        <v>0</v>
      </c>
      <c r="M1930" t="n">
        <v>0</v>
      </c>
      <c r="N1930" t="n">
        <v>0</v>
      </c>
      <c r="O1930" t="n">
        <v>0</v>
      </c>
      <c r="P1930" t="n">
        <v>0</v>
      </c>
      <c r="Q1930" t="n">
        <v>0</v>
      </c>
      <c r="R1930" s="2" t="inlineStr"/>
    </row>
    <row r="1931" ht="15" customHeight="1">
      <c r="A1931" t="inlineStr">
        <is>
          <t>A 16504-2025</t>
        </is>
      </c>
      <c r="B1931" s="1" t="n">
        <v>45751</v>
      </c>
      <c r="C1931" s="1" t="n">
        <v>45849</v>
      </c>
      <c r="D1931" t="inlineStr">
        <is>
          <t>VÄSTERBOTTENS LÄN</t>
        </is>
      </c>
      <c r="E1931" t="inlineStr">
        <is>
          <t>LYCKSELE</t>
        </is>
      </c>
      <c r="F1931" t="inlineStr">
        <is>
          <t>Holmen skog AB</t>
        </is>
      </c>
      <c r="G1931" t="n">
        <v>3.2</v>
      </c>
      <c r="H1931" t="n">
        <v>0</v>
      </c>
      <c r="I1931" t="n">
        <v>0</v>
      </c>
      <c r="J1931" t="n">
        <v>0</v>
      </c>
      <c r="K1931" t="n">
        <v>0</v>
      </c>
      <c r="L1931" t="n">
        <v>0</v>
      </c>
      <c r="M1931" t="n">
        <v>0</v>
      </c>
      <c r="N1931" t="n">
        <v>0</v>
      </c>
      <c r="O1931" t="n">
        <v>0</v>
      </c>
      <c r="P1931" t="n">
        <v>0</v>
      </c>
      <c r="Q1931" t="n">
        <v>0</v>
      </c>
      <c r="R1931" s="2" t="inlineStr"/>
    </row>
    <row r="1932" ht="15" customHeight="1">
      <c r="A1932" t="inlineStr">
        <is>
          <t>A 16289-2025</t>
        </is>
      </c>
      <c r="B1932" s="1" t="n">
        <v>45751</v>
      </c>
      <c r="C1932" s="1" t="n">
        <v>45849</v>
      </c>
      <c r="D1932" t="inlineStr">
        <is>
          <t>VÄSTERBOTTENS LÄN</t>
        </is>
      </c>
      <c r="E1932" t="inlineStr">
        <is>
          <t>LYCKSELE</t>
        </is>
      </c>
      <c r="F1932" t="inlineStr">
        <is>
          <t>Holmen skog AB</t>
        </is>
      </c>
      <c r="G1932" t="n">
        <v>0.7</v>
      </c>
      <c r="H1932" t="n">
        <v>0</v>
      </c>
      <c r="I1932" t="n">
        <v>0</v>
      </c>
      <c r="J1932" t="n">
        <v>0</v>
      </c>
      <c r="K1932" t="n">
        <v>0</v>
      </c>
      <c r="L1932" t="n">
        <v>0</v>
      </c>
      <c r="M1932" t="n">
        <v>0</v>
      </c>
      <c r="N1932" t="n">
        <v>0</v>
      </c>
      <c r="O1932" t="n">
        <v>0</v>
      </c>
      <c r="P1932" t="n">
        <v>0</v>
      </c>
      <c r="Q1932" t="n">
        <v>0</v>
      </c>
      <c r="R1932" s="2" t="inlineStr"/>
    </row>
    <row r="1933" ht="15" customHeight="1">
      <c r="A1933" t="inlineStr">
        <is>
          <t>A 16292-2025</t>
        </is>
      </c>
      <c r="B1933" s="1" t="n">
        <v>45751</v>
      </c>
      <c r="C1933" s="1" t="n">
        <v>45849</v>
      </c>
      <c r="D1933" t="inlineStr">
        <is>
          <t>VÄSTERBOTTENS LÄN</t>
        </is>
      </c>
      <c r="E1933" t="inlineStr">
        <is>
          <t>LYCKSELE</t>
        </is>
      </c>
      <c r="F1933" t="inlineStr">
        <is>
          <t>Holmen skog AB</t>
        </is>
      </c>
      <c r="G1933" t="n">
        <v>7</v>
      </c>
      <c r="H1933" t="n">
        <v>0</v>
      </c>
      <c r="I1933" t="n">
        <v>0</v>
      </c>
      <c r="J1933" t="n">
        <v>0</v>
      </c>
      <c r="K1933" t="n">
        <v>0</v>
      </c>
      <c r="L1933" t="n">
        <v>0</v>
      </c>
      <c r="M1933" t="n">
        <v>0</v>
      </c>
      <c r="N1933" t="n">
        <v>0</v>
      </c>
      <c r="O1933" t="n">
        <v>0</v>
      </c>
      <c r="P1933" t="n">
        <v>0</v>
      </c>
      <c r="Q1933" t="n">
        <v>0</v>
      </c>
      <c r="R1933" s="2" t="inlineStr"/>
    </row>
    <row r="1934" ht="15" customHeight="1">
      <c r="A1934" t="inlineStr">
        <is>
          <t>A 17312-2025</t>
        </is>
      </c>
      <c r="B1934" s="1" t="n">
        <v>45756</v>
      </c>
      <c r="C1934" s="1" t="n">
        <v>45849</v>
      </c>
      <c r="D1934" t="inlineStr">
        <is>
          <t>VÄSTERBOTTENS LÄN</t>
        </is>
      </c>
      <c r="E1934" t="inlineStr">
        <is>
          <t>LYCKSELE</t>
        </is>
      </c>
      <c r="F1934" t="inlineStr">
        <is>
          <t>SCA</t>
        </is>
      </c>
      <c r="G1934" t="n">
        <v>5.4</v>
      </c>
      <c r="H1934" t="n">
        <v>0</v>
      </c>
      <c r="I1934" t="n">
        <v>0</v>
      </c>
      <c r="J1934" t="n">
        <v>0</v>
      </c>
      <c r="K1934" t="n">
        <v>0</v>
      </c>
      <c r="L1934" t="n">
        <v>0</v>
      </c>
      <c r="M1934" t="n">
        <v>0</v>
      </c>
      <c r="N1934" t="n">
        <v>0</v>
      </c>
      <c r="O1934" t="n">
        <v>0</v>
      </c>
      <c r="P1934" t="n">
        <v>0</v>
      </c>
      <c r="Q1934" t="n">
        <v>0</v>
      </c>
      <c r="R1934" s="2" t="inlineStr"/>
    </row>
    <row r="1935" ht="15" customHeight="1">
      <c r="A1935" t="inlineStr">
        <is>
          <t>A 17192-2025</t>
        </is>
      </c>
      <c r="B1935" s="1" t="n">
        <v>45756</v>
      </c>
      <c r="C1935" s="1" t="n">
        <v>45849</v>
      </c>
      <c r="D1935" t="inlineStr">
        <is>
          <t>VÄSTERBOTTENS LÄN</t>
        </is>
      </c>
      <c r="E1935" t="inlineStr">
        <is>
          <t>LYCKSELE</t>
        </is>
      </c>
      <c r="F1935" t="inlineStr">
        <is>
          <t>Holmen skog AB</t>
        </is>
      </c>
      <c r="G1935" t="n">
        <v>0.5</v>
      </c>
      <c r="H1935" t="n">
        <v>0</v>
      </c>
      <c r="I1935" t="n">
        <v>0</v>
      </c>
      <c r="J1935" t="n">
        <v>0</v>
      </c>
      <c r="K1935" t="n">
        <v>0</v>
      </c>
      <c r="L1935" t="n">
        <v>0</v>
      </c>
      <c r="M1935" t="n">
        <v>0</v>
      </c>
      <c r="N1935" t="n">
        <v>0</v>
      </c>
      <c r="O1935" t="n">
        <v>0</v>
      </c>
      <c r="P1935" t="n">
        <v>0</v>
      </c>
      <c r="Q1935" t="n">
        <v>0</v>
      </c>
      <c r="R1935" s="2" t="inlineStr"/>
    </row>
    <row r="1936" ht="15" customHeight="1">
      <c r="A1936" t="inlineStr">
        <is>
          <t>A 17415-2025</t>
        </is>
      </c>
      <c r="B1936" s="1" t="n">
        <v>45757</v>
      </c>
      <c r="C1936" s="1" t="n">
        <v>45849</v>
      </c>
      <c r="D1936" t="inlineStr">
        <is>
          <t>VÄSTERBOTTENS LÄN</t>
        </is>
      </c>
      <c r="E1936" t="inlineStr">
        <is>
          <t>LYCKSELE</t>
        </is>
      </c>
      <c r="F1936" t="inlineStr">
        <is>
          <t>Holmen skog AB</t>
        </is>
      </c>
      <c r="G1936" t="n">
        <v>11.9</v>
      </c>
      <c r="H1936" t="n">
        <v>0</v>
      </c>
      <c r="I1936" t="n">
        <v>0</v>
      </c>
      <c r="J1936" t="n">
        <v>0</v>
      </c>
      <c r="K1936" t="n">
        <v>0</v>
      </c>
      <c r="L1936" t="n">
        <v>0</v>
      </c>
      <c r="M1936" t="n">
        <v>0</v>
      </c>
      <c r="N1936" t="n">
        <v>0</v>
      </c>
      <c r="O1936" t="n">
        <v>0</v>
      </c>
      <c r="P1936" t="n">
        <v>0</v>
      </c>
      <c r="Q1936" t="n">
        <v>0</v>
      </c>
      <c r="R1936" s="2" t="inlineStr"/>
    </row>
    <row r="1937" ht="15" customHeight="1">
      <c r="A1937" t="inlineStr">
        <is>
          <t>A 17459-2025</t>
        </is>
      </c>
      <c r="B1937" s="1" t="n">
        <v>45757</v>
      </c>
      <c r="C1937" s="1" t="n">
        <v>45849</v>
      </c>
      <c r="D1937" t="inlineStr">
        <is>
          <t>VÄSTERBOTTENS LÄN</t>
        </is>
      </c>
      <c r="E1937" t="inlineStr">
        <is>
          <t>LYCKSELE</t>
        </is>
      </c>
      <c r="F1937" t="inlineStr">
        <is>
          <t>Holmen skog AB</t>
        </is>
      </c>
      <c r="G1937" t="n">
        <v>4.2</v>
      </c>
      <c r="H1937" t="n">
        <v>0</v>
      </c>
      <c r="I1937" t="n">
        <v>0</v>
      </c>
      <c r="J1937" t="n">
        <v>0</v>
      </c>
      <c r="K1937" t="n">
        <v>0</v>
      </c>
      <c r="L1937" t="n">
        <v>0</v>
      </c>
      <c r="M1937" t="n">
        <v>0</v>
      </c>
      <c r="N1937" t="n">
        <v>0</v>
      </c>
      <c r="O1937" t="n">
        <v>0</v>
      </c>
      <c r="P1937" t="n">
        <v>0</v>
      </c>
      <c r="Q1937" t="n">
        <v>0</v>
      </c>
      <c r="R1937" s="2" t="inlineStr"/>
    </row>
    <row r="1938" ht="15" customHeight="1">
      <c r="A1938" t="inlineStr">
        <is>
          <t>A 17513-2025</t>
        </is>
      </c>
      <c r="B1938" s="1" t="n">
        <v>45757</v>
      </c>
      <c r="C1938" s="1" t="n">
        <v>45849</v>
      </c>
      <c r="D1938" t="inlineStr">
        <is>
          <t>VÄSTERBOTTENS LÄN</t>
        </is>
      </c>
      <c r="E1938" t="inlineStr">
        <is>
          <t>LYCKSELE</t>
        </is>
      </c>
      <c r="F1938" t="inlineStr">
        <is>
          <t>SCA</t>
        </is>
      </c>
      <c r="G1938" t="n">
        <v>1.7</v>
      </c>
      <c r="H1938" t="n">
        <v>0</v>
      </c>
      <c r="I1938" t="n">
        <v>0</v>
      </c>
      <c r="J1938" t="n">
        <v>0</v>
      </c>
      <c r="K1938" t="n">
        <v>0</v>
      </c>
      <c r="L1938" t="n">
        <v>0</v>
      </c>
      <c r="M1938" t="n">
        <v>0</v>
      </c>
      <c r="N1938" t="n">
        <v>0</v>
      </c>
      <c r="O1938" t="n">
        <v>0</v>
      </c>
      <c r="P1938" t="n">
        <v>0</v>
      </c>
      <c r="Q1938" t="n">
        <v>0</v>
      </c>
      <c r="R1938" s="2" t="inlineStr"/>
    </row>
    <row r="1939" ht="15" customHeight="1">
      <c r="A1939" t="inlineStr">
        <is>
          <t>A 17423-2025</t>
        </is>
      </c>
      <c r="B1939" s="1" t="n">
        <v>45757</v>
      </c>
      <c r="C1939" s="1" t="n">
        <v>45849</v>
      </c>
      <c r="D1939" t="inlineStr">
        <is>
          <t>VÄSTERBOTTENS LÄN</t>
        </is>
      </c>
      <c r="E1939" t="inlineStr">
        <is>
          <t>LYCKSELE</t>
        </is>
      </c>
      <c r="F1939" t="inlineStr">
        <is>
          <t>Holmen skog AB</t>
        </is>
      </c>
      <c r="G1939" t="n">
        <v>1.6</v>
      </c>
      <c r="H1939" t="n">
        <v>0</v>
      </c>
      <c r="I1939" t="n">
        <v>0</v>
      </c>
      <c r="J1939" t="n">
        <v>0</v>
      </c>
      <c r="K1939" t="n">
        <v>0</v>
      </c>
      <c r="L1939" t="n">
        <v>0</v>
      </c>
      <c r="M1939" t="n">
        <v>0</v>
      </c>
      <c r="N1939" t="n">
        <v>0</v>
      </c>
      <c r="O1939" t="n">
        <v>0</v>
      </c>
      <c r="P1939" t="n">
        <v>0</v>
      </c>
      <c r="Q1939" t="n">
        <v>0</v>
      </c>
      <c r="R1939" s="2" t="inlineStr"/>
    </row>
    <row r="1940" ht="15" customHeight="1">
      <c r="A1940" t="inlineStr">
        <is>
          <t>A 17736-2025</t>
        </is>
      </c>
      <c r="B1940" s="1" t="n">
        <v>45758</v>
      </c>
      <c r="C1940" s="1" t="n">
        <v>45849</v>
      </c>
      <c r="D1940" t="inlineStr">
        <is>
          <t>VÄSTERBOTTENS LÄN</t>
        </is>
      </c>
      <c r="E1940" t="inlineStr">
        <is>
          <t>LYCKSELE</t>
        </is>
      </c>
      <c r="F1940" t="inlineStr">
        <is>
          <t>SCA</t>
        </is>
      </c>
      <c r="G1940" t="n">
        <v>2.5</v>
      </c>
      <c r="H1940" t="n">
        <v>0</v>
      </c>
      <c r="I1940" t="n">
        <v>0</v>
      </c>
      <c r="J1940" t="n">
        <v>0</v>
      </c>
      <c r="K1940" t="n">
        <v>0</v>
      </c>
      <c r="L1940" t="n">
        <v>0</v>
      </c>
      <c r="M1940" t="n">
        <v>0</v>
      </c>
      <c r="N1940" t="n">
        <v>0</v>
      </c>
      <c r="O1940" t="n">
        <v>0</v>
      </c>
      <c r="P1940" t="n">
        <v>0</v>
      </c>
      <c r="Q1940" t="n">
        <v>0</v>
      </c>
      <c r="R1940" s="2" t="inlineStr"/>
    </row>
    <row r="1941" ht="15" customHeight="1">
      <c r="A1941" t="inlineStr">
        <is>
          <t>A 17688-2025</t>
        </is>
      </c>
      <c r="B1941" s="1" t="n">
        <v>45758</v>
      </c>
      <c r="C1941" s="1" t="n">
        <v>45849</v>
      </c>
      <c r="D1941" t="inlineStr">
        <is>
          <t>VÄSTERBOTTENS LÄN</t>
        </is>
      </c>
      <c r="E1941" t="inlineStr">
        <is>
          <t>LYCKSELE</t>
        </is>
      </c>
      <c r="F1941" t="inlineStr">
        <is>
          <t>Sveaskog</t>
        </is>
      </c>
      <c r="G1941" t="n">
        <v>3.5</v>
      </c>
      <c r="H1941" t="n">
        <v>0</v>
      </c>
      <c r="I1941" t="n">
        <v>0</v>
      </c>
      <c r="J1941" t="n">
        <v>0</v>
      </c>
      <c r="K1941" t="n">
        <v>0</v>
      </c>
      <c r="L1941" t="n">
        <v>0</v>
      </c>
      <c r="M1941" t="n">
        <v>0</v>
      </c>
      <c r="N1941" t="n">
        <v>0</v>
      </c>
      <c r="O1941" t="n">
        <v>0</v>
      </c>
      <c r="P1941" t="n">
        <v>0</v>
      </c>
      <c r="Q1941" t="n">
        <v>0</v>
      </c>
      <c r="R1941" s="2" t="inlineStr"/>
    </row>
    <row r="1942" ht="15" customHeight="1">
      <c r="A1942" t="inlineStr">
        <is>
          <t>A 17982-2025</t>
        </is>
      </c>
      <c r="B1942" s="1" t="n">
        <v>45761</v>
      </c>
      <c r="C1942" s="1" t="n">
        <v>45849</v>
      </c>
      <c r="D1942" t="inlineStr">
        <is>
          <t>VÄSTERBOTTENS LÄN</t>
        </is>
      </c>
      <c r="E1942" t="inlineStr">
        <is>
          <t>LYCKSELE</t>
        </is>
      </c>
      <c r="G1942" t="n">
        <v>4.8</v>
      </c>
      <c r="H1942" t="n">
        <v>0</v>
      </c>
      <c r="I1942" t="n">
        <v>0</v>
      </c>
      <c r="J1942" t="n">
        <v>0</v>
      </c>
      <c r="K1942" t="n">
        <v>0</v>
      </c>
      <c r="L1942" t="n">
        <v>0</v>
      </c>
      <c r="M1942" t="n">
        <v>0</v>
      </c>
      <c r="N1942" t="n">
        <v>0</v>
      </c>
      <c r="O1942" t="n">
        <v>0</v>
      </c>
      <c r="P1942" t="n">
        <v>0</v>
      </c>
      <c r="Q1942" t="n">
        <v>0</v>
      </c>
      <c r="R1942" s="2" t="inlineStr"/>
    </row>
    <row r="1943" ht="15" customHeight="1">
      <c r="A1943" t="inlineStr">
        <is>
          <t>A 18339-2025</t>
        </is>
      </c>
      <c r="B1943" s="1" t="n">
        <v>45762</v>
      </c>
      <c r="C1943" s="1" t="n">
        <v>45849</v>
      </c>
      <c r="D1943" t="inlineStr">
        <is>
          <t>VÄSTERBOTTENS LÄN</t>
        </is>
      </c>
      <c r="E1943" t="inlineStr">
        <is>
          <t>LYCKSELE</t>
        </is>
      </c>
      <c r="F1943" t="inlineStr">
        <is>
          <t>Naturvårdsverket</t>
        </is>
      </c>
      <c r="G1943" t="n">
        <v>13.4</v>
      </c>
      <c r="H1943" t="n">
        <v>0</v>
      </c>
      <c r="I1943" t="n">
        <v>0</v>
      </c>
      <c r="J1943" t="n">
        <v>0</v>
      </c>
      <c r="K1943" t="n">
        <v>0</v>
      </c>
      <c r="L1943" t="n">
        <v>0</v>
      </c>
      <c r="M1943" t="n">
        <v>0</v>
      </c>
      <c r="N1943" t="n">
        <v>0</v>
      </c>
      <c r="O1943" t="n">
        <v>0</v>
      </c>
      <c r="P1943" t="n">
        <v>0</v>
      </c>
      <c r="Q1943" t="n">
        <v>0</v>
      </c>
      <c r="R1943" s="2" t="inlineStr"/>
    </row>
    <row r="1944" ht="15" customHeight="1">
      <c r="A1944" t="inlineStr">
        <is>
          <t>A 18262-2025</t>
        </is>
      </c>
      <c r="B1944" s="1" t="n">
        <v>45762</v>
      </c>
      <c r="C1944" s="1" t="n">
        <v>45849</v>
      </c>
      <c r="D1944" t="inlineStr">
        <is>
          <t>VÄSTERBOTTENS LÄN</t>
        </is>
      </c>
      <c r="E1944" t="inlineStr">
        <is>
          <t>LYCKSELE</t>
        </is>
      </c>
      <c r="F1944" t="inlineStr">
        <is>
          <t>SCA</t>
        </is>
      </c>
      <c r="G1944" t="n">
        <v>5.6</v>
      </c>
      <c r="H1944" t="n">
        <v>0</v>
      </c>
      <c r="I1944" t="n">
        <v>0</v>
      </c>
      <c r="J1944" t="n">
        <v>0</v>
      </c>
      <c r="K1944" t="n">
        <v>0</v>
      </c>
      <c r="L1944" t="n">
        <v>0</v>
      </c>
      <c r="M1944" t="n">
        <v>0</v>
      </c>
      <c r="N1944" t="n">
        <v>0</v>
      </c>
      <c r="O1944" t="n">
        <v>0</v>
      </c>
      <c r="P1944" t="n">
        <v>0</v>
      </c>
      <c r="Q1944" t="n">
        <v>0</v>
      </c>
      <c r="R1944" s="2" t="inlineStr"/>
    </row>
    <row r="1945" ht="15" customHeight="1">
      <c r="A1945" t="inlineStr">
        <is>
          <t>A 18632-2025</t>
        </is>
      </c>
      <c r="B1945" s="1" t="n">
        <v>45763</v>
      </c>
      <c r="C1945" s="1" t="n">
        <v>45849</v>
      </c>
      <c r="D1945" t="inlineStr">
        <is>
          <t>VÄSTERBOTTENS LÄN</t>
        </is>
      </c>
      <c r="E1945" t="inlineStr">
        <is>
          <t>LYCKSELE</t>
        </is>
      </c>
      <c r="F1945" t="inlineStr">
        <is>
          <t>Naturvårdsverket</t>
        </is>
      </c>
      <c r="G1945" t="n">
        <v>11.5</v>
      </c>
      <c r="H1945" t="n">
        <v>0</v>
      </c>
      <c r="I1945" t="n">
        <v>0</v>
      </c>
      <c r="J1945" t="n">
        <v>0</v>
      </c>
      <c r="K1945" t="n">
        <v>0</v>
      </c>
      <c r="L1945" t="n">
        <v>0</v>
      </c>
      <c r="M1945" t="n">
        <v>0</v>
      </c>
      <c r="N1945" t="n">
        <v>0</v>
      </c>
      <c r="O1945" t="n">
        <v>0</v>
      </c>
      <c r="P1945" t="n">
        <v>0</v>
      </c>
      <c r="Q1945" t="n">
        <v>0</v>
      </c>
      <c r="R1945" s="2" t="inlineStr"/>
    </row>
    <row r="1946" ht="15" customHeight="1">
      <c r="A1946" t="inlineStr">
        <is>
          <t>A 18594-2025</t>
        </is>
      </c>
      <c r="B1946" s="1" t="n">
        <v>45763</v>
      </c>
      <c r="C1946" s="1" t="n">
        <v>45849</v>
      </c>
      <c r="D1946" t="inlineStr">
        <is>
          <t>VÄSTERBOTTENS LÄN</t>
        </is>
      </c>
      <c r="E1946" t="inlineStr">
        <is>
          <t>LYCKSELE</t>
        </is>
      </c>
      <c r="F1946" t="inlineStr">
        <is>
          <t>Holmen skog AB</t>
        </is>
      </c>
      <c r="G1946" t="n">
        <v>6.2</v>
      </c>
      <c r="H1946" t="n">
        <v>0</v>
      </c>
      <c r="I1946" t="n">
        <v>0</v>
      </c>
      <c r="J1946" t="n">
        <v>0</v>
      </c>
      <c r="K1946" t="n">
        <v>0</v>
      </c>
      <c r="L1946" t="n">
        <v>0</v>
      </c>
      <c r="M1946" t="n">
        <v>0</v>
      </c>
      <c r="N1946" t="n">
        <v>0</v>
      </c>
      <c r="O1946" t="n">
        <v>0</v>
      </c>
      <c r="P1946" t="n">
        <v>0</v>
      </c>
      <c r="Q1946" t="n">
        <v>0</v>
      </c>
      <c r="R1946" s="2" t="inlineStr"/>
    </row>
    <row r="1947" ht="15" customHeight="1">
      <c r="A1947" t="inlineStr">
        <is>
          <t>A 18674-2025</t>
        </is>
      </c>
      <c r="B1947" s="1" t="n">
        <v>45763</v>
      </c>
      <c r="C1947" s="1" t="n">
        <v>45849</v>
      </c>
      <c r="D1947" t="inlineStr">
        <is>
          <t>VÄSTERBOTTENS LÄN</t>
        </is>
      </c>
      <c r="E1947" t="inlineStr">
        <is>
          <t>LYCKSELE</t>
        </is>
      </c>
      <c r="F1947" t="inlineStr">
        <is>
          <t>Holmen skog AB</t>
        </is>
      </c>
      <c r="G1947" t="n">
        <v>7.9</v>
      </c>
      <c r="H1947" t="n">
        <v>0</v>
      </c>
      <c r="I1947" t="n">
        <v>0</v>
      </c>
      <c r="J1947" t="n">
        <v>0</v>
      </c>
      <c r="K1947" t="n">
        <v>0</v>
      </c>
      <c r="L1947" t="n">
        <v>0</v>
      </c>
      <c r="M1947" t="n">
        <v>0</v>
      </c>
      <c r="N1947" t="n">
        <v>0</v>
      </c>
      <c r="O1947" t="n">
        <v>0</v>
      </c>
      <c r="P1947" t="n">
        <v>0</v>
      </c>
      <c r="Q1947" t="n">
        <v>0</v>
      </c>
      <c r="R1947" s="2" t="inlineStr"/>
    </row>
    <row r="1948" ht="15" customHeight="1">
      <c r="A1948" t="inlineStr">
        <is>
          <t>A 18709-2025</t>
        </is>
      </c>
      <c r="B1948" s="1" t="n">
        <v>45763</v>
      </c>
      <c r="C1948" s="1" t="n">
        <v>45849</v>
      </c>
      <c r="D1948" t="inlineStr">
        <is>
          <t>VÄSTERBOTTENS LÄN</t>
        </is>
      </c>
      <c r="E1948" t="inlineStr">
        <is>
          <t>LYCKSELE</t>
        </is>
      </c>
      <c r="F1948" t="inlineStr">
        <is>
          <t>Naturvårdsverket</t>
        </is>
      </c>
      <c r="G1948" t="n">
        <v>6.8</v>
      </c>
      <c r="H1948" t="n">
        <v>0</v>
      </c>
      <c r="I1948" t="n">
        <v>0</v>
      </c>
      <c r="J1948" t="n">
        <v>0</v>
      </c>
      <c r="K1948" t="n">
        <v>0</v>
      </c>
      <c r="L1948" t="n">
        <v>0</v>
      </c>
      <c r="M1948" t="n">
        <v>0</v>
      </c>
      <c r="N1948" t="n">
        <v>0</v>
      </c>
      <c r="O1948" t="n">
        <v>0</v>
      </c>
      <c r="P1948" t="n">
        <v>0</v>
      </c>
      <c r="Q1948" t="n">
        <v>0</v>
      </c>
      <c r="R1948" s="2" t="inlineStr"/>
    </row>
    <row r="1949" ht="15" customHeight="1">
      <c r="A1949" t="inlineStr">
        <is>
          <t>A 18705-2025</t>
        </is>
      </c>
      <c r="B1949" s="1" t="n">
        <v>45763</v>
      </c>
      <c r="C1949" s="1" t="n">
        <v>45849</v>
      </c>
      <c r="D1949" t="inlineStr">
        <is>
          <t>VÄSTERBOTTENS LÄN</t>
        </is>
      </c>
      <c r="E1949" t="inlineStr">
        <is>
          <t>LYCKSELE</t>
        </is>
      </c>
      <c r="F1949" t="inlineStr">
        <is>
          <t>Holmen skog AB</t>
        </is>
      </c>
      <c r="G1949" t="n">
        <v>13.6</v>
      </c>
      <c r="H1949" t="n">
        <v>0</v>
      </c>
      <c r="I1949" t="n">
        <v>0</v>
      </c>
      <c r="J1949" t="n">
        <v>0</v>
      </c>
      <c r="K1949" t="n">
        <v>0</v>
      </c>
      <c r="L1949" t="n">
        <v>0</v>
      </c>
      <c r="M1949" t="n">
        <v>0</v>
      </c>
      <c r="N1949" t="n">
        <v>0</v>
      </c>
      <c r="O1949" t="n">
        <v>0</v>
      </c>
      <c r="P1949" t="n">
        <v>0</v>
      </c>
      <c r="Q1949" t="n">
        <v>0</v>
      </c>
      <c r="R1949" s="2" t="inlineStr"/>
    </row>
    <row r="1950" ht="15" customHeight="1">
      <c r="A1950" t="inlineStr">
        <is>
          <t>A 18688-2025</t>
        </is>
      </c>
      <c r="B1950" s="1" t="n">
        <v>45763</v>
      </c>
      <c r="C1950" s="1" t="n">
        <v>45849</v>
      </c>
      <c r="D1950" t="inlineStr">
        <is>
          <t>VÄSTERBOTTENS LÄN</t>
        </is>
      </c>
      <c r="E1950" t="inlineStr">
        <is>
          <t>LYCKSELE</t>
        </is>
      </c>
      <c r="G1950" t="n">
        <v>9.9</v>
      </c>
      <c r="H1950" t="n">
        <v>0</v>
      </c>
      <c r="I1950" t="n">
        <v>0</v>
      </c>
      <c r="J1950" t="n">
        <v>0</v>
      </c>
      <c r="K1950" t="n">
        <v>0</v>
      </c>
      <c r="L1950" t="n">
        <v>0</v>
      </c>
      <c r="M1950" t="n">
        <v>0</v>
      </c>
      <c r="N1950" t="n">
        <v>0</v>
      </c>
      <c r="O1950" t="n">
        <v>0</v>
      </c>
      <c r="P1950" t="n">
        <v>0</v>
      </c>
      <c r="Q1950" t="n">
        <v>0</v>
      </c>
      <c r="R1950" s="2" t="inlineStr"/>
    </row>
    <row r="1951" ht="15" customHeight="1">
      <c r="A1951" t="inlineStr">
        <is>
          <t>A 18566-2025</t>
        </is>
      </c>
      <c r="B1951" s="1" t="n">
        <v>45763</v>
      </c>
      <c r="C1951" s="1" t="n">
        <v>45849</v>
      </c>
      <c r="D1951" t="inlineStr">
        <is>
          <t>VÄSTERBOTTENS LÄN</t>
        </is>
      </c>
      <c r="E1951" t="inlineStr">
        <is>
          <t>LYCKSELE</t>
        </is>
      </c>
      <c r="F1951" t="inlineStr">
        <is>
          <t>Holmen skog AB</t>
        </is>
      </c>
      <c r="G1951" t="n">
        <v>1.5</v>
      </c>
      <c r="H1951" t="n">
        <v>0</v>
      </c>
      <c r="I1951" t="n">
        <v>0</v>
      </c>
      <c r="J1951" t="n">
        <v>0</v>
      </c>
      <c r="K1951" t="n">
        <v>0</v>
      </c>
      <c r="L1951" t="n">
        <v>0</v>
      </c>
      <c r="M1951" t="n">
        <v>0</v>
      </c>
      <c r="N1951" t="n">
        <v>0</v>
      </c>
      <c r="O1951" t="n">
        <v>0</v>
      </c>
      <c r="P1951" t="n">
        <v>0</v>
      </c>
      <c r="Q1951" t="n">
        <v>0</v>
      </c>
      <c r="R1951" s="2" t="inlineStr"/>
    </row>
    <row r="1952" ht="15" customHeight="1">
      <c r="A1952" t="inlineStr">
        <is>
          <t>A 18810-2025</t>
        </is>
      </c>
      <c r="B1952" s="1" t="n">
        <v>45764</v>
      </c>
      <c r="C1952" s="1" t="n">
        <v>45849</v>
      </c>
      <c r="D1952" t="inlineStr">
        <is>
          <t>VÄSTERBOTTENS LÄN</t>
        </is>
      </c>
      <c r="E1952" t="inlineStr">
        <is>
          <t>LYCKSELE</t>
        </is>
      </c>
      <c r="F1952" t="inlineStr">
        <is>
          <t>Holmen skog AB</t>
        </is>
      </c>
      <c r="G1952" t="n">
        <v>1.2</v>
      </c>
      <c r="H1952" t="n">
        <v>0</v>
      </c>
      <c r="I1952" t="n">
        <v>0</v>
      </c>
      <c r="J1952" t="n">
        <v>0</v>
      </c>
      <c r="K1952" t="n">
        <v>0</v>
      </c>
      <c r="L1952" t="n">
        <v>0</v>
      </c>
      <c r="M1952" t="n">
        <v>0</v>
      </c>
      <c r="N1952" t="n">
        <v>0</v>
      </c>
      <c r="O1952" t="n">
        <v>0</v>
      </c>
      <c r="P1952" t="n">
        <v>0</v>
      </c>
      <c r="Q1952" t="n">
        <v>0</v>
      </c>
      <c r="R1952" s="2" t="inlineStr"/>
    </row>
    <row r="1953" ht="15" customHeight="1">
      <c r="A1953" t="inlineStr">
        <is>
          <t>A 19246-2025</t>
        </is>
      </c>
      <c r="B1953" s="1" t="n">
        <v>45769</v>
      </c>
      <c r="C1953" s="1" t="n">
        <v>45849</v>
      </c>
      <c r="D1953" t="inlineStr">
        <is>
          <t>VÄSTERBOTTENS LÄN</t>
        </is>
      </c>
      <c r="E1953" t="inlineStr">
        <is>
          <t>LYCKSELE</t>
        </is>
      </c>
      <c r="G1953" t="n">
        <v>9.4</v>
      </c>
      <c r="H1953" t="n">
        <v>0</v>
      </c>
      <c r="I1953" t="n">
        <v>0</v>
      </c>
      <c r="J1953" t="n">
        <v>0</v>
      </c>
      <c r="K1953" t="n">
        <v>0</v>
      </c>
      <c r="L1953" t="n">
        <v>0</v>
      </c>
      <c r="M1953" t="n">
        <v>0</v>
      </c>
      <c r="N1953" t="n">
        <v>0</v>
      </c>
      <c r="O1953" t="n">
        <v>0</v>
      </c>
      <c r="P1953" t="n">
        <v>0</v>
      </c>
      <c r="Q1953" t="n">
        <v>0</v>
      </c>
      <c r="R1953" s="2" t="inlineStr"/>
    </row>
    <row r="1954" ht="15" customHeight="1">
      <c r="A1954" t="inlineStr">
        <is>
          <t>A 19606-2025</t>
        </is>
      </c>
      <c r="B1954" s="1" t="n">
        <v>45770</v>
      </c>
      <c r="C1954" s="1" t="n">
        <v>45849</v>
      </c>
      <c r="D1954" t="inlineStr">
        <is>
          <t>VÄSTERBOTTENS LÄN</t>
        </is>
      </c>
      <c r="E1954" t="inlineStr">
        <is>
          <t>LYCKSELE</t>
        </is>
      </c>
      <c r="F1954" t="inlineStr">
        <is>
          <t>Holmen skog AB</t>
        </is>
      </c>
      <c r="G1954" t="n">
        <v>1.9</v>
      </c>
      <c r="H1954" t="n">
        <v>0</v>
      </c>
      <c r="I1954" t="n">
        <v>0</v>
      </c>
      <c r="J1954" t="n">
        <v>0</v>
      </c>
      <c r="K1954" t="n">
        <v>0</v>
      </c>
      <c r="L1954" t="n">
        <v>0</v>
      </c>
      <c r="M1954" t="n">
        <v>0</v>
      </c>
      <c r="N1954" t="n">
        <v>0</v>
      </c>
      <c r="O1954" t="n">
        <v>0</v>
      </c>
      <c r="P1954" t="n">
        <v>0</v>
      </c>
      <c r="Q1954" t="n">
        <v>0</v>
      </c>
      <c r="R1954" s="2" t="inlineStr"/>
    </row>
    <row r="1955" ht="15" customHeight="1">
      <c r="A1955" t="inlineStr">
        <is>
          <t>A 19531-2025</t>
        </is>
      </c>
      <c r="B1955" s="1" t="n">
        <v>45770</v>
      </c>
      <c r="C1955" s="1" t="n">
        <v>45849</v>
      </c>
      <c r="D1955" t="inlineStr">
        <is>
          <t>VÄSTERBOTTENS LÄN</t>
        </is>
      </c>
      <c r="E1955" t="inlineStr">
        <is>
          <t>LYCKSELE</t>
        </is>
      </c>
      <c r="G1955" t="n">
        <v>2.4</v>
      </c>
      <c r="H1955" t="n">
        <v>0</v>
      </c>
      <c r="I1955" t="n">
        <v>0</v>
      </c>
      <c r="J1955" t="n">
        <v>0</v>
      </c>
      <c r="K1955" t="n">
        <v>0</v>
      </c>
      <c r="L1955" t="n">
        <v>0</v>
      </c>
      <c r="M1955" t="n">
        <v>0</v>
      </c>
      <c r="N1955" t="n">
        <v>0</v>
      </c>
      <c r="O1955" t="n">
        <v>0</v>
      </c>
      <c r="P1955" t="n">
        <v>0</v>
      </c>
      <c r="Q1955" t="n">
        <v>0</v>
      </c>
      <c r="R1955" s="2" t="inlineStr"/>
    </row>
    <row r="1956" ht="15" customHeight="1">
      <c r="A1956" t="inlineStr">
        <is>
          <t>A 20026-2025</t>
        </is>
      </c>
      <c r="B1956" s="1" t="n">
        <v>45772</v>
      </c>
      <c r="C1956" s="1" t="n">
        <v>45849</v>
      </c>
      <c r="D1956" t="inlineStr">
        <is>
          <t>VÄSTERBOTTENS LÄN</t>
        </is>
      </c>
      <c r="E1956" t="inlineStr">
        <is>
          <t>LYCKSELE</t>
        </is>
      </c>
      <c r="G1956" t="n">
        <v>1.3</v>
      </c>
      <c r="H1956" t="n">
        <v>0</v>
      </c>
      <c r="I1956" t="n">
        <v>0</v>
      </c>
      <c r="J1956" t="n">
        <v>0</v>
      </c>
      <c r="K1956" t="n">
        <v>0</v>
      </c>
      <c r="L1956" t="n">
        <v>0</v>
      </c>
      <c r="M1956" t="n">
        <v>0</v>
      </c>
      <c r="N1956" t="n">
        <v>0</v>
      </c>
      <c r="O1956" t="n">
        <v>0</v>
      </c>
      <c r="P1956" t="n">
        <v>0</v>
      </c>
      <c r="Q1956" t="n">
        <v>0</v>
      </c>
      <c r="R1956" s="2" t="inlineStr"/>
    </row>
    <row r="1957" ht="15" customHeight="1">
      <c r="A1957" t="inlineStr">
        <is>
          <t>A 20161-2025</t>
        </is>
      </c>
      <c r="B1957" s="1" t="n">
        <v>45772</v>
      </c>
      <c r="C1957" s="1" t="n">
        <v>45849</v>
      </c>
      <c r="D1957" t="inlineStr">
        <is>
          <t>VÄSTERBOTTENS LÄN</t>
        </is>
      </c>
      <c r="E1957" t="inlineStr">
        <is>
          <t>LYCKSELE</t>
        </is>
      </c>
      <c r="F1957" t="inlineStr">
        <is>
          <t>Holmen skog AB</t>
        </is>
      </c>
      <c r="G1957" t="n">
        <v>6.5</v>
      </c>
      <c r="H1957" t="n">
        <v>0</v>
      </c>
      <c r="I1957" t="n">
        <v>0</v>
      </c>
      <c r="J1957" t="n">
        <v>0</v>
      </c>
      <c r="K1957" t="n">
        <v>0</v>
      </c>
      <c r="L1957" t="n">
        <v>0</v>
      </c>
      <c r="M1957" t="n">
        <v>0</v>
      </c>
      <c r="N1957" t="n">
        <v>0</v>
      </c>
      <c r="O1957" t="n">
        <v>0</v>
      </c>
      <c r="P1957" t="n">
        <v>0</v>
      </c>
      <c r="Q1957" t="n">
        <v>0</v>
      </c>
      <c r="R1957" s="2" t="inlineStr"/>
    </row>
    <row r="1958" ht="15" customHeight="1">
      <c r="A1958" t="inlineStr">
        <is>
          <t>A 20034-2025</t>
        </is>
      </c>
      <c r="B1958" s="1" t="n">
        <v>45772</v>
      </c>
      <c r="C1958" s="1" t="n">
        <v>45849</v>
      </c>
      <c r="D1958" t="inlineStr">
        <is>
          <t>VÄSTERBOTTENS LÄN</t>
        </is>
      </c>
      <c r="E1958" t="inlineStr">
        <is>
          <t>LYCKSELE</t>
        </is>
      </c>
      <c r="G1958" t="n">
        <v>2.8</v>
      </c>
      <c r="H1958" t="n">
        <v>0</v>
      </c>
      <c r="I1958" t="n">
        <v>0</v>
      </c>
      <c r="J1958" t="n">
        <v>0</v>
      </c>
      <c r="K1958" t="n">
        <v>0</v>
      </c>
      <c r="L1958" t="n">
        <v>0</v>
      </c>
      <c r="M1958" t="n">
        <v>0</v>
      </c>
      <c r="N1958" t="n">
        <v>0</v>
      </c>
      <c r="O1958" t="n">
        <v>0</v>
      </c>
      <c r="P1958" t="n">
        <v>0</v>
      </c>
      <c r="Q1958" t="n">
        <v>0</v>
      </c>
      <c r="R1958" s="2" t="inlineStr"/>
    </row>
    <row r="1959" ht="15" customHeight="1">
      <c r="A1959" t="inlineStr">
        <is>
          <t>A 20148-2025</t>
        </is>
      </c>
      <c r="B1959" s="1" t="n">
        <v>45772</v>
      </c>
      <c r="C1959" s="1" t="n">
        <v>45849</v>
      </c>
      <c r="D1959" t="inlineStr">
        <is>
          <t>VÄSTERBOTTENS LÄN</t>
        </is>
      </c>
      <c r="E1959" t="inlineStr">
        <is>
          <t>LYCKSELE</t>
        </is>
      </c>
      <c r="G1959" t="n">
        <v>1.2</v>
      </c>
      <c r="H1959" t="n">
        <v>0</v>
      </c>
      <c r="I1959" t="n">
        <v>0</v>
      </c>
      <c r="J1959" t="n">
        <v>0</v>
      </c>
      <c r="K1959" t="n">
        <v>0</v>
      </c>
      <c r="L1959" t="n">
        <v>0</v>
      </c>
      <c r="M1959" t="n">
        <v>0</v>
      </c>
      <c r="N1959" t="n">
        <v>0</v>
      </c>
      <c r="O1959" t="n">
        <v>0</v>
      </c>
      <c r="P1959" t="n">
        <v>0</v>
      </c>
      <c r="Q1959" t="n">
        <v>0</v>
      </c>
      <c r="R1959" s="2" t="inlineStr"/>
    </row>
    <row r="1960" ht="15" customHeight="1">
      <c r="A1960" t="inlineStr">
        <is>
          <t>A 20344-2025</t>
        </is>
      </c>
      <c r="B1960" s="1" t="n">
        <v>45775</v>
      </c>
      <c r="C1960" s="1" t="n">
        <v>45849</v>
      </c>
      <c r="D1960" t="inlineStr">
        <is>
          <t>VÄSTERBOTTENS LÄN</t>
        </is>
      </c>
      <c r="E1960" t="inlineStr">
        <is>
          <t>LYCKSELE</t>
        </is>
      </c>
      <c r="F1960" t="inlineStr">
        <is>
          <t>Sveaskog</t>
        </is>
      </c>
      <c r="G1960" t="n">
        <v>3</v>
      </c>
      <c r="H1960" t="n">
        <v>0</v>
      </c>
      <c r="I1960" t="n">
        <v>0</v>
      </c>
      <c r="J1960" t="n">
        <v>0</v>
      </c>
      <c r="K1960" t="n">
        <v>0</v>
      </c>
      <c r="L1960" t="n">
        <v>0</v>
      </c>
      <c r="M1960" t="n">
        <v>0</v>
      </c>
      <c r="N1960" t="n">
        <v>0</v>
      </c>
      <c r="O1960" t="n">
        <v>0</v>
      </c>
      <c r="P1960" t="n">
        <v>0</v>
      </c>
      <c r="Q1960" t="n">
        <v>0</v>
      </c>
      <c r="R1960" s="2" t="inlineStr"/>
    </row>
    <row r="1961" ht="15" customHeight="1">
      <c r="A1961" t="inlineStr">
        <is>
          <t>A 20560-2025</t>
        </is>
      </c>
      <c r="B1961" s="1" t="n">
        <v>45775</v>
      </c>
      <c r="C1961" s="1" t="n">
        <v>45849</v>
      </c>
      <c r="D1961" t="inlineStr">
        <is>
          <t>VÄSTERBOTTENS LÄN</t>
        </is>
      </c>
      <c r="E1961" t="inlineStr">
        <is>
          <t>LYCKSELE</t>
        </is>
      </c>
      <c r="G1961" t="n">
        <v>1.5</v>
      </c>
      <c r="H1961" t="n">
        <v>0</v>
      </c>
      <c r="I1961" t="n">
        <v>0</v>
      </c>
      <c r="J1961" t="n">
        <v>0</v>
      </c>
      <c r="K1961" t="n">
        <v>0</v>
      </c>
      <c r="L1961" t="n">
        <v>0</v>
      </c>
      <c r="M1961" t="n">
        <v>0</v>
      </c>
      <c r="N1961" t="n">
        <v>0</v>
      </c>
      <c r="O1961" t="n">
        <v>0</v>
      </c>
      <c r="P1961" t="n">
        <v>0</v>
      </c>
      <c r="Q1961" t="n">
        <v>0</v>
      </c>
      <c r="R1961" s="2" t="inlineStr"/>
    </row>
    <row r="1962" ht="15" customHeight="1">
      <c r="A1962" t="inlineStr">
        <is>
          <t>A 20508-2025</t>
        </is>
      </c>
      <c r="B1962" s="1" t="n">
        <v>45775</v>
      </c>
      <c r="C1962" s="1" t="n">
        <v>45849</v>
      </c>
      <c r="D1962" t="inlineStr">
        <is>
          <t>VÄSTERBOTTENS LÄN</t>
        </is>
      </c>
      <c r="E1962" t="inlineStr">
        <is>
          <t>LYCKSELE</t>
        </is>
      </c>
      <c r="G1962" t="n">
        <v>1.5</v>
      </c>
      <c r="H1962" t="n">
        <v>0</v>
      </c>
      <c r="I1962" t="n">
        <v>0</v>
      </c>
      <c r="J1962" t="n">
        <v>0</v>
      </c>
      <c r="K1962" t="n">
        <v>0</v>
      </c>
      <c r="L1962" t="n">
        <v>0</v>
      </c>
      <c r="M1962" t="n">
        <v>0</v>
      </c>
      <c r="N1962" t="n">
        <v>0</v>
      </c>
      <c r="O1962" t="n">
        <v>0</v>
      </c>
      <c r="P1962" t="n">
        <v>0</v>
      </c>
      <c r="Q1962" t="n">
        <v>0</v>
      </c>
      <c r="R1962" s="2" t="inlineStr"/>
    </row>
    <row r="1963" ht="15" customHeight="1">
      <c r="A1963" t="inlineStr">
        <is>
          <t>A 20685-2025</t>
        </is>
      </c>
      <c r="B1963" s="1" t="n">
        <v>45776</v>
      </c>
      <c r="C1963" s="1" t="n">
        <v>45849</v>
      </c>
      <c r="D1963" t="inlineStr">
        <is>
          <t>VÄSTERBOTTENS LÄN</t>
        </is>
      </c>
      <c r="E1963" t="inlineStr">
        <is>
          <t>LYCKSELE</t>
        </is>
      </c>
      <c r="G1963" t="n">
        <v>0.9</v>
      </c>
      <c r="H1963" t="n">
        <v>0</v>
      </c>
      <c r="I1963" t="n">
        <v>0</v>
      </c>
      <c r="J1963" t="n">
        <v>0</v>
      </c>
      <c r="K1963" t="n">
        <v>0</v>
      </c>
      <c r="L1963" t="n">
        <v>0</v>
      </c>
      <c r="M1963" t="n">
        <v>0</v>
      </c>
      <c r="N1963" t="n">
        <v>0</v>
      </c>
      <c r="O1963" t="n">
        <v>0</v>
      </c>
      <c r="P1963" t="n">
        <v>0</v>
      </c>
      <c r="Q1963" t="n">
        <v>0</v>
      </c>
      <c r="R1963" s="2" t="inlineStr"/>
    </row>
    <row r="1964" ht="15" customHeight="1">
      <c r="A1964" t="inlineStr">
        <is>
          <t>A 20671-2025</t>
        </is>
      </c>
      <c r="B1964" s="1" t="n">
        <v>45776</v>
      </c>
      <c r="C1964" s="1" t="n">
        <v>45849</v>
      </c>
      <c r="D1964" t="inlineStr">
        <is>
          <t>VÄSTERBOTTENS LÄN</t>
        </is>
      </c>
      <c r="E1964" t="inlineStr">
        <is>
          <t>LYCKSELE</t>
        </is>
      </c>
      <c r="G1964" t="n">
        <v>1.1</v>
      </c>
      <c r="H1964" t="n">
        <v>0</v>
      </c>
      <c r="I1964" t="n">
        <v>0</v>
      </c>
      <c r="J1964" t="n">
        <v>0</v>
      </c>
      <c r="K1964" t="n">
        <v>0</v>
      </c>
      <c r="L1964" t="n">
        <v>0</v>
      </c>
      <c r="M1964" t="n">
        <v>0</v>
      </c>
      <c r="N1964" t="n">
        <v>0</v>
      </c>
      <c r="O1964" t="n">
        <v>0</v>
      </c>
      <c r="P1964" t="n">
        <v>0</v>
      </c>
      <c r="Q1964" t="n">
        <v>0</v>
      </c>
      <c r="R1964" s="2" t="inlineStr"/>
    </row>
    <row r="1965" ht="15" customHeight="1">
      <c r="A1965" t="inlineStr">
        <is>
          <t>A 20979-2025</t>
        </is>
      </c>
      <c r="B1965" s="1" t="n">
        <v>45777</v>
      </c>
      <c r="C1965" s="1" t="n">
        <v>45849</v>
      </c>
      <c r="D1965" t="inlineStr">
        <is>
          <t>VÄSTERBOTTENS LÄN</t>
        </is>
      </c>
      <c r="E1965" t="inlineStr">
        <is>
          <t>LYCKSELE</t>
        </is>
      </c>
      <c r="F1965" t="inlineStr">
        <is>
          <t>Sveaskog</t>
        </is>
      </c>
      <c r="G1965" t="n">
        <v>2.1</v>
      </c>
      <c r="H1965" t="n">
        <v>0</v>
      </c>
      <c r="I1965" t="n">
        <v>0</v>
      </c>
      <c r="J1965" t="n">
        <v>0</v>
      </c>
      <c r="K1965" t="n">
        <v>0</v>
      </c>
      <c r="L1965" t="n">
        <v>0</v>
      </c>
      <c r="M1965" t="n">
        <v>0</v>
      </c>
      <c r="N1965" t="n">
        <v>0</v>
      </c>
      <c r="O1965" t="n">
        <v>0</v>
      </c>
      <c r="P1965" t="n">
        <v>0</v>
      </c>
      <c r="Q1965" t="n">
        <v>0</v>
      </c>
      <c r="R1965" s="2" t="inlineStr"/>
    </row>
    <row r="1966" ht="15" customHeight="1">
      <c r="A1966" t="inlineStr">
        <is>
          <t>A 20958-2025</t>
        </is>
      </c>
      <c r="B1966" s="1" t="n">
        <v>45777</v>
      </c>
      <c r="C1966" s="1" t="n">
        <v>45849</v>
      </c>
      <c r="D1966" t="inlineStr">
        <is>
          <t>VÄSTERBOTTENS LÄN</t>
        </is>
      </c>
      <c r="E1966" t="inlineStr">
        <is>
          <t>LYCKSELE</t>
        </is>
      </c>
      <c r="F1966" t="inlineStr">
        <is>
          <t>Sveaskog</t>
        </is>
      </c>
      <c r="G1966" t="n">
        <v>31.1</v>
      </c>
      <c r="H1966" t="n">
        <v>0</v>
      </c>
      <c r="I1966" t="n">
        <v>0</v>
      </c>
      <c r="J1966" t="n">
        <v>0</v>
      </c>
      <c r="K1966" t="n">
        <v>0</v>
      </c>
      <c r="L1966" t="n">
        <v>0</v>
      </c>
      <c r="M1966" t="n">
        <v>0</v>
      </c>
      <c r="N1966" t="n">
        <v>0</v>
      </c>
      <c r="O1966" t="n">
        <v>0</v>
      </c>
      <c r="P1966" t="n">
        <v>0</v>
      </c>
      <c r="Q1966" t="n">
        <v>0</v>
      </c>
      <c r="R1966" s="2" t="inlineStr"/>
    </row>
    <row r="1967" ht="15" customHeight="1">
      <c r="A1967" t="inlineStr">
        <is>
          <t>A 21046-2025</t>
        </is>
      </c>
      <c r="B1967" s="1" t="n">
        <v>45777</v>
      </c>
      <c r="C1967" s="1" t="n">
        <v>45849</v>
      </c>
      <c r="D1967" t="inlineStr">
        <is>
          <t>VÄSTERBOTTENS LÄN</t>
        </is>
      </c>
      <c r="E1967" t="inlineStr">
        <is>
          <t>LYCKSELE</t>
        </is>
      </c>
      <c r="F1967" t="inlineStr">
        <is>
          <t>Holmen skog AB</t>
        </is>
      </c>
      <c r="G1967" t="n">
        <v>1</v>
      </c>
      <c r="H1967" t="n">
        <v>0</v>
      </c>
      <c r="I1967" t="n">
        <v>0</v>
      </c>
      <c r="J1967" t="n">
        <v>0</v>
      </c>
      <c r="K1967" t="n">
        <v>0</v>
      </c>
      <c r="L1967" t="n">
        <v>0</v>
      </c>
      <c r="M1967" t="n">
        <v>0</v>
      </c>
      <c r="N1967" t="n">
        <v>0</v>
      </c>
      <c r="O1967" t="n">
        <v>0</v>
      </c>
      <c r="P1967" t="n">
        <v>0</v>
      </c>
      <c r="Q1967" t="n">
        <v>0</v>
      </c>
      <c r="R1967" s="2" t="inlineStr"/>
    </row>
    <row r="1968" ht="15" customHeight="1">
      <c r="A1968" t="inlineStr">
        <is>
          <t>A 21266-2025</t>
        </is>
      </c>
      <c r="B1968" s="1" t="n">
        <v>45779</v>
      </c>
      <c r="C1968" s="1" t="n">
        <v>45849</v>
      </c>
      <c r="D1968" t="inlineStr">
        <is>
          <t>VÄSTERBOTTENS LÄN</t>
        </is>
      </c>
      <c r="E1968" t="inlineStr">
        <is>
          <t>LYCKSELE</t>
        </is>
      </c>
      <c r="F1968" t="inlineStr">
        <is>
          <t>SCA</t>
        </is>
      </c>
      <c r="G1968" t="n">
        <v>3.3</v>
      </c>
      <c r="H1968" t="n">
        <v>0</v>
      </c>
      <c r="I1968" t="n">
        <v>0</v>
      </c>
      <c r="J1968" t="n">
        <v>0</v>
      </c>
      <c r="K1968" t="n">
        <v>0</v>
      </c>
      <c r="L1968" t="n">
        <v>0</v>
      </c>
      <c r="M1968" t="n">
        <v>0</v>
      </c>
      <c r="N1968" t="n">
        <v>0</v>
      </c>
      <c r="O1968" t="n">
        <v>0</v>
      </c>
      <c r="P1968" t="n">
        <v>0</v>
      </c>
      <c r="Q1968" t="n">
        <v>0</v>
      </c>
      <c r="R1968" s="2" t="inlineStr"/>
    </row>
    <row r="1969" ht="15" customHeight="1">
      <c r="A1969" t="inlineStr">
        <is>
          <t>A 21195-2025</t>
        </is>
      </c>
      <c r="B1969" s="1" t="n">
        <v>45779</v>
      </c>
      <c r="C1969" s="1" t="n">
        <v>45849</v>
      </c>
      <c r="D1969" t="inlineStr">
        <is>
          <t>VÄSTERBOTTENS LÄN</t>
        </is>
      </c>
      <c r="E1969" t="inlineStr">
        <is>
          <t>LYCKSELE</t>
        </is>
      </c>
      <c r="F1969" t="inlineStr">
        <is>
          <t>SCA</t>
        </is>
      </c>
      <c r="G1969" t="n">
        <v>6.5</v>
      </c>
      <c r="H1969" t="n">
        <v>0</v>
      </c>
      <c r="I1969" t="n">
        <v>0</v>
      </c>
      <c r="J1969" t="n">
        <v>0</v>
      </c>
      <c r="K1969" t="n">
        <v>0</v>
      </c>
      <c r="L1969" t="n">
        <v>0</v>
      </c>
      <c r="M1969" t="n">
        <v>0</v>
      </c>
      <c r="N1969" t="n">
        <v>0</v>
      </c>
      <c r="O1969" t="n">
        <v>0</v>
      </c>
      <c r="P1969" t="n">
        <v>0</v>
      </c>
      <c r="Q1969" t="n">
        <v>0</v>
      </c>
      <c r="R1969" s="2" t="inlineStr"/>
    </row>
    <row r="1970" ht="15" customHeight="1">
      <c r="A1970" t="inlineStr">
        <is>
          <t>A 21171-2025</t>
        </is>
      </c>
      <c r="B1970" s="1" t="n">
        <v>45779</v>
      </c>
      <c r="C1970" s="1" t="n">
        <v>45849</v>
      </c>
      <c r="D1970" t="inlineStr">
        <is>
          <t>VÄSTERBOTTENS LÄN</t>
        </is>
      </c>
      <c r="E1970" t="inlineStr">
        <is>
          <t>LYCKSELE</t>
        </is>
      </c>
      <c r="F1970" t="inlineStr">
        <is>
          <t>Sveaskog</t>
        </is>
      </c>
      <c r="G1970" t="n">
        <v>4.9</v>
      </c>
      <c r="H1970" t="n">
        <v>0</v>
      </c>
      <c r="I1970" t="n">
        <v>0</v>
      </c>
      <c r="J1970" t="n">
        <v>0</v>
      </c>
      <c r="K1970" t="n">
        <v>0</v>
      </c>
      <c r="L1970" t="n">
        <v>0</v>
      </c>
      <c r="M1970" t="n">
        <v>0</v>
      </c>
      <c r="N1970" t="n">
        <v>0</v>
      </c>
      <c r="O1970" t="n">
        <v>0</v>
      </c>
      <c r="P1970" t="n">
        <v>0</v>
      </c>
      <c r="Q1970" t="n">
        <v>0</v>
      </c>
      <c r="R1970" s="2" t="inlineStr"/>
    </row>
    <row r="1971" ht="15" customHeight="1">
      <c r="A1971" t="inlineStr">
        <is>
          <t>A 21289-2025</t>
        </is>
      </c>
      <c r="B1971" s="1" t="n">
        <v>45779</v>
      </c>
      <c r="C1971" s="1" t="n">
        <v>45849</v>
      </c>
      <c r="D1971" t="inlineStr">
        <is>
          <t>VÄSTERBOTTENS LÄN</t>
        </is>
      </c>
      <c r="E1971" t="inlineStr">
        <is>
          <t>LYCKSELE</t>
        </is>
      </c>
      <c r="G1971" t="n">
        <v>0.7</v>
      </c>
      <c r="H1971" t="n">
        <v>0</v>
      </c>
      <c r="I1971" t="n">
        <v>0</v>
      </c>
      <c r="J1971" t="n">
        <v>0</v>
      </c>
      <c r="K1971" t="n">
        <v>0</v>
      </c>
      <c r="L1971" t="n">
        <v>0</v>
      </c>
      <c r="M1971" t="n">
        <v>0</v>
      </c>
      <c r="N1971" t="n">
        <v>0</v>
      </c>
      <c r="O1971" t="n">
        <v>0</v>
      </c>
      <c r="P1971" t="n">
        <v>0</v>
      </c>
      <c r="Q1971" t="n">
        <v>0</v>
      </c>
      <c r="R1971" s="2" t="inlineStr"/>
    </row>
    <row r="1972" ht="15" customHeight="1">
      <c r="A1972" t="inlineStr">
        <is>
          <t>A 21374-2025</t>
        </is>
      </c>
      <c r="B1972" s="1" t="n">
        <v>45782</v>
      </c>
      <c r="C1972" s="1" t="n">
        <v>45849</v>
      </c>
      <c r="D1972" t="inlineStr">
        <is>
          <t>VÄSTERBOTTENS LÄN</t>
        </is>
      </c>
      <c r="E1972" t="inlineStr">
        <is>
          <t>LYCKSELE</t>
        </is>
      </c>
      <c r="F1972" t="inlineStr">
        <is>
          <t>SCA</t>
        </is>
      </c>
      <c r="G1972" t="n">
        <v>3.1</v>
      </c>
      <c r="H1972" t="n">
        <v>0</v>
      </c>
      <c r="I1972" t="n">
        <v>0</v>
      </c>
      <c r="J1972" t="n">
        <v>0</v>
      </c>
      <c r="K1972" t="n">
        <v>0</v>
      </c>
      <c r="L1972" t="n">
        <v>0</v>
      </c>
      <c r="M1972" t="n">
        <v>0</v>
      </c>
      <c r="N1972" t="n">
        <v>0</v>
      </c>
      <c r="O1972" t="n">
        <v>0</v>
      </c>
      <c r="P1972" t="n">
        <v>0</v>
      </c>
      <c r="Q1972" t="n">
        <v>0</v>
      </c>
      <c r="R1972" s="2" t="inlineStr"/>
    </row>
    <row r="1973" ht="15" customHeight="1">
      <c r="A1973" t="inlineStr">
        <is>
          <t>A 21655-2025</t>
        </is>
      </c>
      <c r="B1973" s="1" t="n">
        <v>45783</v>
      </c>
      <c r="C1973" s="1" t="n">
        <v>45849</v>
      </c>
      <c r="D1973" t="inlineStr">
        <is>
          <t>VÄSTERBOTTENS LÄN</t>
        </is>
      </c>
      <c r="E1973" t="inlineStr">
        <is>
          <t>LYCKSELE</t>
        </is>
      </c>
      <c r="F1973" t="inlineStr">
        <is>
          <t>Holmen skog AB</t>
        </is>
      </c>
      <c r="G1973" t="n">
        <v>3.4</v>
      </c>
      <c r="H1973" t="n">
        <v>0</v>
      </c>
      <c r="I1973" t="n">
        <v>0</v>
      </c>
      <c r="J1973" t="n">
        <v>0</v>
      </c>
      <c r="K1973" t="n">
        <v>0</v>
      </c>
      <c r="L1973" t="n">
        <v>0</v>
      </c>
      <c r="M1973" t="n">
        <v>0</v>
      </c>
      <c r="N1973" t="n">
        <v>0</v>
      </c>
      <c r="O1973" t="n">
        <v>0</v>
      </c>
      <c r="P1973" t="n">
        <v>0</v>
      </c>
      <c r="Q1973" t="n">
        <v>0</v>
      </c>
      <c r="R1973" s="2" t="inlineStr"/>
    </row>
    <row r="1974" ht="15" customHeight="1">
      <c r="A1974" t="inlineStr">
        <is>
          <t>A 21727-2025</t>
        </is>
      </c>
      <c r="B1974" s="1" t="n">
        <v>45783</v>
      </c>
      <c r="C1974" s="1" t="n">
        <v>45849</v>
      </c>
      <c r="D1974" t="inlineStr">
        <is>
          <t>VÄSTERBOTTENS LÄN</t>
        </is>
      </c>
      <c r="E1974" t="inlineStr">
        <is>
          <t>LYCKSELE</t>
        </is>
      </c>
      <c r="F1974" t="inlineStr">
        <is>
          <t>SCA</t>
        </is>
      </c>
      <c r="G1974" t="n">
        <v>5.4</v>
      </c>
      <c r="H1974" t="n">
        <v>0</v>
      </c>
      <c r="I1974" t="n">
        <v>0</v>
      </c>
      <c r="J1974" t="n">
        <v>0</v>
      </c>
      <c r="K1974" t="n">
        <v>0</v>
      </c>
      <c r="L1974" t="n">
        <v>0</v>
      </c>
      <c r="M1974" t="n">
        <v>0</v>
      </c>
      <c r="N1974" t="n">
        <v>0</v>
      </c>
      <c r="O1974" t="n">
        <v>0</v>
      </c>
      <c r="P1974" t="n">
        <v>0</v>
      </c>
      <c r="Q1974" t="n">
        <v>0</v>
      </c>
      <c r="R1974" s="2" t="inlineStr"/>
    </row>
    <row r="1975" ht="15" customHeight="1">
      <c r="A1975" t="inlineStr">
        <is>
          <t>A 21888-2025</t>
        </is>
      </c>
      <c r="B1975" s="1" t="n">
        <v>45784</v>
      </c>
      <c r="C1975" s="1" t="n">
        <v>45849</v>
      </c>
      <c r="D1975" t="inlineStr">
        <is>
          <t>VÄSTERBOTTENS LÄN</t>
        </is>
      </c>
      <c r="E1975" t="inlineStr">
        <is>
          <t>LYCKSELE</t>
        </is>
      </c>
      <c r="F1975" t="inlineStr">
        <is>
          <t>Holmen skog AB</t>
        </is>
      </c>
      <c r="G1975" t="n">
        <v>4.4</v>
      </c>
      <c r="H1975" t="n">
        <v>0</v>
      </c>
      <c r="I1975" t="n">
        <v>0</v>
      </c>
      <c r="J1975" t="n">
        <v>0</v>
      </c>
      <c r="K1975" t="n">
        <v>0</v>
      </c>
      <c r="L1975" t="n">
        <v>0</v>
      </c>
      <c r="M1975" t="n">
        <v>0</v>
      </c>
      <c r="N1975" t="n">
        <v>0</v>
      </c>
      <c r="O1975" t="n">
        <v>0</v>
      </c>
      <c r="P1975" t="n">
        <v>0</v>
      </c>
      <c r="Q1975" t="n">
        <v>0</v>
      </c>
      <c r="R1975" s="2" t="inlineStr"/>
    </row>
    <row r="1976" ht="15" customHeight="1">
      <c r="A1976" t="inlineStr">
        <is>
          <t>A 21861-2025</t>
        </is>
      </c>
      <c r="B1976" s="1" t="n">
        <v>45784</v>
      </c>
      <c r="C1976" s="1" t="n">
        <v>45849</v>
      </c>
      <c r="D1976" t="inlineStr">
        <is>
          <t>VÄSTERBOTTENS LÄN</t>
        </is>
      </c>
      <c r="E1976" t="inlineStr">
        <is>
          <t>LYCKSELE</t>
        </is>
      </c>
      <c r="F1976" t="inlineStr">
        <is>
          <t>SCA</t>
        </is>
      </c>
      <c r="G1976" t="n">
        <v>10.5</v>
      </c>
      <c r="H1976" t="n">
        <v>0</v>
      </c>
      <c r="I1976" t="n">
        <v>0</v>
      </c>
      <c r="J1976" t="n">
        <v>0</v>
      </c>
      <c r="K1976" t="n">
        <v>0</v>
      </c>
      <c r="L1976" t="n">
        <v>0</v>
      </c>
      <c r="M1976" t="n">
        <v>0</v>
      </c>
      <c r="N1976" t="n">
        <v>0</v>
      </c>
      <c r="O1976" t="n">
        <v>0</v>
      </c>
      <c r="P1976" t="n">
        <v>0</v>
      </c>
      <c r="Q1976" t="n">
        <v>0</v>
      </c>
      <c r="R1976" s="2" t="inlineStr"/>
    </row>
    <row r="1977" ht="15" customHeight="1">
      <c r="A1977" t="inlineStr">
        <is>
          <t>A 22127-2025</t>
        </is>
      </c>
      <c r="B1977" s="1" t="n">
        <v>45785</v>
      </c>
      <c r="C1977" s="1" t="n">
        <v>45849</v>
      </c>
      <c r="D1977" t="inlineStr">
        <is>
          <t>VÄSTERBOTTENS LÄN</t>
        </is>
      </c>
      <c r="E1977" t="inlineStr">
        <is>
          <t>LYCKSELE</t>
        </is>
      </c>
      <c r="F1977" t="inlineStr">
        <is>
          <t>Sveaskog</t>
        </is>
      </c>
      <c r="G1977" t="n">
        <v>0.7</v>
      </c>
      <c r="H1977" t="n">
        <v>0</v>
      </c>
      <c r="I1977" t="n">
        <v>0</v>
      </c>
      <c r="J1977" t="n">
        <v>0</v>
      </c>
      <c r="K1977" t="n">
        <v>0</v>
      </c>
      <c r="L1977" t="n">
        <v>0</v>
      </c>
      <c r="M1977" t="n">
        <v>0</v>
      </c>
      <c r="N1977" t="n">
        <v>0</v>
      </c>
      <c r="O1977" t="n">
        <v>0</v>
      </c>
      <c r="P1977" t="n">
        <v>0</v>
      </c>
      <c r="Q1977" t="n">
        <v>0</v>
      </c>
      <c r="R1977" s="2" t="inlineStr"/>
    </row>
    <row r="1978" ht="15" customHeight="1">
      <c r="A1978" t="inlineStr">
        <is>
          <t>A 22107-2025</t>
        </is>
      </c>
      <c r="B1978" s="1" t="n">
        <v>45785</v>
      </c>
      <c r="C1978" s="1" t="n">
        <v>45849</v>
      </c>
      <c r="D1978" t="inlineStr">
        <is>
          <t>VÄSTERBOTTENS LÄN</t>
        </is>
      </c>
      <c r="E1978" t="inlineStr">
        <is>
          <t>LYCKSELE</t>
        </is>
      </c>
      <c r="F1978" t="inlineStr">
        <is>
          <t>SCA</t>
        </is>
      </c>
      <c r="G1978" t="n">
        <v>8.4</v>
      </c>
      <c r="H1978" t="n">
        <v>0</v>
      </c>
      <c r="I1978" t="n">
        <v>0</v>
      </c>
      <c r="J1978" t="n">
        <v>0</v>
      </c>
      <c r="K1978" t="n">
        <v>0</v>
      </c>
      <c r="L1978" t="n">
        <v>0</v>
      </c>
      <c r="M1978" t="n">
        <v>0</v>
      </c>
      <c r="N1978" t="n">
        <v>0</v>
      </c>
      <c r="O1978" t="n">
        <v>0</v>
      </c>
      <c r="P1978" t="n">
        <v>0</v>
      </c>
      <c r="Q1978" t="n">
        <v>0</v>
      </c>
      <c r="R1978" s="2" t="inlineStr"/>
    </row>
    <row r="1979" ht="15" customHeight="1">
      <c r="A1979" t="inlineStr">
        <is>
          <t>A 22229-2025</t>
        </is>
      </c>
      <c r="B1979" s="1" t="n">
        <v>45785</v>
      </c>
      <c r="C1979" s="1" t="n">
        <v>45849</v>
      </c>
      <c r="D1979" t="inlineStr">
        <is>
          <t>VÄSTERBOTTENS LÄN</t>
        </is>
      </c>
      <c r="E1979" t="inlineStr">
        <is>
          <t>LYCKSELE</t>
        </is>
      </c>
      <c r="F1979" t="inlineStr">
        <is>
          <t>Holmen skog AB</t>
        </is>
      </c>
      <c r="G1979" t="n">
        <v>1</v>
      </c>
      <c r="H1979" t="n">
        <v>0</v>
      </c>
      <c r="I1979" t="n">
        <v>0</v>
      </c>
      <c r="J1979" t="n">
        <v>0</v>
      </c>
      <c r="K1979" t="n">
        <v>0</v>
      </c>
      <c r="L1979" t="n">
        <v>0</v>
      </c>
      <c r="M1979" t="n">
        <v>0</v>
      </c>
      <c r="N1979" t="n">
        <v>0</v>
      </c>
      <c r="O1979" t="n">
        <v>0</v>
      </c>
      <c r="P1979" t="n">
        <v>0</v>
      </c>
      <c r="Q1979" t="n">
        <v>0</v>
      </c>
      <c r="R1979" s="2" t="inlineStr"/>
    </row>
    <row r="1980" ht="15" customHeight="1">
      <c r="A1980" t="inlineStr">
        <is>
          <t>A 22423-2025</t>
        </is>
      </c>
      <c r="B1980" s="1" t="n">
        <v>45786</v>
      </c>
      <c r="C1980" s="1" t="n">
        <v>45849</v>
      </c>
      <c r="D1980" t="inlineStr">
        <is>
          <t>VÄSTERBOTTENS LÄN</t>
        </is>
      </c>
      <c r="E1980" t="inlineStr">
        <is>
          <t>LYCKSELE</t>
        </is>
      </c>
      <c r="G1980" t="n">
        <v>3.2</v>
      </c>
      <c r="H1980" t="n">
        <v>0</v>
      </c>
      <c r="I1980" t="n">
        <v>0</v>
      </c>
      <c r="J1980" t="n">
        <v>0</v>
      </c>
      <c r="K1980" t="n">
        <v>0</v>
      </c>
      <c r="L1980" t="n">
        <v>0</v>
      </c>
      <c r="M1980" t="n">
        <v>0</v>
      </c>
      <c r="N1980" t="n">
        <v>0</v>
      </c>
      <c r="O1980" t="n">
        <v>0</v>
      </c>
      <c r="P1980" t="n">
        <v>0</v>
      </c>
      <c r="Q1980" t="n">
        <v>0</v>
      </c>
      <c r="R1980" s="2" t="inlineStr"/>
    </row>
    <row r="1981" ht="15" customHeight="1">
      <c r="A1981" t="inlineStr">
        <is>
          <t>A 22343-2025</t>
        </is>
      </c>
      <c r="B1981" s="1" t="n">
        <v>45786</v>
      </c>
      <c r="C1981" s="1" t="n">
        <v>45849</v>
      </c>
      <c r="D1981" t="inlineStr">
        <is>
          <t>VÄSTERBOTTENS LÄN</t>
        </is>
      </c>
      <c r="E1981" t="inlineStr">
        <is>
          <t>LYCKSELE</t>
        </is>
      </c>
      <c r="F1981" t="inlineStr">
        <is>
          <t>SCA</t>
        </is>
      </c>
      <c r="G1981" t="n">
        <v>4.7</v>
      </c>
      <c r="H1981" t="n">
        <v>0</v>
      </c>
      <c r="I1981" t="n">
        <v>0</v>
      </c>
      <c r="J1981" t="n">
        <v>0</v>
      </c>
      <c r="K1981" t="n">
        <v>0</v>
      </c>
      <c r="L1981" t="n">
        <v>0</v>
      </c>
      <c r="M1981" t="n">
        <v>0</v>
      </c>
      <c r="N1981" t="n">
        <v>0</v>
      </c>
      <c r="O1981" t="n">
        <v>0</v>
      </c>
      <c r="P1981" t="n">
        <v>0</v>
      </c>
      <c r="Q1981" t="n">
        <v>0</v>
      </c>
      <c r="R1981" s="2" t="inlineStr"/>
    </row>
    <row r="1982" ht="15" customHeight="1">
      <c r="A1982" t="inlineStr">
        <is>
          <t>A 22344-2025</t>
        </is>
      </c>
      <c r="B1982" s="1" t="n">
        <v>45786</v>
      </c>
      <c r="C1982" s="1" t="n">
        <v>45849</v>
      </c>
      <c r="D1982" t="inlineStr">
        <is>
          <t>VÄSTERBOTTENS LÄN</t>
        </is>
      </c>
      <c r="E1982" t="inlineStr">
        <is>
          <t>LYCKSELE</t>
        </is>
      </c>
      <c r="F1982" t="inlineStr">
        <is>
          <t>SCA</t>
        </is>
      </c>
      <c r="G1982" t="n">
        <v>2</v>
      </c>
      <c r="H1982" t="n">
        <v>0</v>
      </c>
      <c r="I1982" t="n">
        <v>0</v>
      </c>
      <c r="J1982" t="n">
        <v>0</v>
      </c>
      <c r="K1982" t="n">
        <v>0</v>
      </c>
      <c r="L1982" t="n">
        <v>0</v>
      </c>
      <c r="M1982" t="n">
        <v>0</v>
      </c>
      <c r="N1982" t="n">
        <v>0</v>
      </c>
      <c r="O1982" t="n">
        <v>0</v>
      </c>
      <c r="P1982" t="n">
        <v>0</v>
      </c>
      <c r="Q1982" t="n">
        <v>0</v>
      </c>
      <c r="R1982" s="2" t="inlineStr"/>
    </row>
    <row r="1983" ht="15" customHeight="1">
      <c r="A1983" t="inlineStr">
        <is>
          <t>A 22456-2025</t>
        </is>
      </c>
      <c r="B1983" s="1" t="n">
        <v>45786</v>
      </c>
      <c r="C1983" s="1" t="n">
        <v>45849</v>
      </c>
      <c r="D1983" t="inlineStr">
        <is>
          <t>VÄSTERBOTTENS LÄN</t>
        </is>
      </c>
      <c r="E1983" t="inlineStr">
        <is>
          <t>LYCKSELE</t>
        </is>
      </c>
      <c r="F1983" t="inlineStr">
        <is>
          <t>Sveaskog</t>
        </is>
      </c>
      <c r="G1983" t="n">
        <v>4.2</v>
      </c>
      <c r="H1983" t="n">
        <v>0</v>
      </c>
      <c r="I1983" t="n">
        <v>0</v>
      </c>
      <c r="J1983" t="n">
        <v>0</v>
      </c>
      <c r="K1983" t="n">
        <v>0</v>
      </c>
      <c r="L1983" t="n">
        <v>0</v>
      </c>
      <c r="M1983" t="n">
        <v>0</v>
      </c>
      <c r="N1983" t="n">
        <v>0</v>
      </c>
      <c r="O1983" t="n">
        <v>0</v>
      </c>
      <c r="P1983" t="n">
        <v>0</v>
      </c>
      <c r="Q1983" t="n">
        <v>0</v>
      </c>
      <c r="R1983" s="2" t="inlineStr"/>
    </row>
    <row r="1984" ht="15" customHeight="1">
      <c r="A1984" t="inlineStr">
        <is>
          <t>A 22408-2025</t>
        </is>
      </c>
      <c r="B1984" s="1" t="n">
        <v>45786</v>
      </c>
      <c r="C1984" s="1" t="n">
        <v>45849</v>
      </c>
      <c r="D1984" t="inlineStr">
        <is>
          <t>VÄSTERBOTTENS LÄN</t>
        </is>
      </c>
      <c r="E1984" t="inlineStr">
        <is>
          <t>LYCKSELE</t>
        </is>
      </c>
      <c r="G1984" t="n">
        <v>1.1</v>
      </c>
      <c r="H1984" t="n">
        <v>0</v>
      </c>
      <c r="I1984" t="n">
        <v>0</v>
      </c>
      <c r="J1984" t="n">
        <v>0</v>
      </c>
      <c r="K1984" t="n">
        <v>0</v>
      </c>
      <c r="L1984" t="n">
        <v>0</v>
      </c>
      <c r="M1984" t="n">
        <v>0</v>
      </c>
      <c r="N1984" t="n">
        <v>0</v>
      </c>
      <c r="O1984" t="n">
        <v>0</v>
      </c>
      <c r="P1984" t="n">
        <v>0</v>
      </c>
      <c r="Q1984" t="n">
        <v>0</v>
      </c>
      <c r="R1984" s="2" t="inlineStr"/>
    </row>
    <row r="1985" ht="15" customHeight="1">
      <c r="A1985" t="inlineStr">
        <is>
          <t>A 22309-2025</t>
        </is>
      </c>
      <c r="B1985" s="1" t="n">
        <v>45786</v>
      </c>
      <c r="C1985" s="1" t="n">
        <v>45849</v>
      </c>
      <c r="D1985" t="inlineStr">
        <is>
          <t>VÄSTERBOTTENS LÄN</t>
        </is>
      </c>
      <c r="E1985" t="inlineStr">
        <is>
          <t>LYCKSELE</t>
        </is>
      </c>
      <c r="F1985" t="inlineStr">
        <is>
          <t>Holmen skog AB</t>
        </is>
      </c>
      <c r="G1985" t="n">
        <v>3.1</v>
      </c>
      <c r="H1985" t="n">
        <v>0</v>
      </c>
      <c r="I1985" t="n">
        <v>0</v>
      </c>
      <c r="J1985" t="n">
        <v>0</v>
      </c>
      <c r="K1985" t="n">
        <v>0</v>
      </c>
      <c r="L1985" t="n">
        <v>0</v>
      </c>
      <c r="M1985" t="n">
        <v>0</v>
      </c>
      <c r="N1985" t="n">
        <v>0</v>
      </c>
      <c r="O1985" t="n">
        <v>0</v>
      </c>
      <c r="P1985" t="n">
        <v>0</v>
      </c>
      <c r="Q1985" t="n">
        <v>0</v>
      </c>
      <c r="R1985" s="2" t="inlineStr"/>
    </row>
    <row r="1986" ht="15" customHeight="1">
      <c r="A1986" t="inlineStr">
        <is>
          <t>A 22403-2025</t>
        </is>
      </c>
      <c r="B1986" s="1" t="n">
        <v>45786</v>
      </c>
      <c r="C1986" s="1" t="n">
        <v>45849</v>
      </c>
      <c r="D1986" t="inlineStr">
        <is>
          <t>VÄSTERBOTTENS LÄN</t>
        </is>
      </c>
      <c r="E1986" t="inlineStr">
        <is>
          <t>LYCKSELE</t>
        </is>
      </c>
      <c r="F1986" t="inlineStr">
        <is>
          <t>Sveaskog</t>
        </is>
      </c>
      <c r="G1986" t="n">
        <v>20.7</v>
      </c>
      <c r="H1986" t="n">
        <v>0</v>
      </c>
      <c r="I1986" t="n">
        <v>0</v>
      </c>
      <c r="J1986" t="n">
        <v>0</v>
      </c>
      <c r="K1986" t="n">
        <v>0</v>
      </c>
      <c r="L1986" t="n">
        <v>0</v>
      </c>
      <c r="M1986" t="n">
        <v>0</v>
      </c>
      <c r="N1986" t="n">
        <v>0</v>
      </c>
      <c r="O1986" t="n">
        <v>0</v>
      </c>
      <c r="P1986" t="n">
        <v>0</v>
      </c>
      <c r="Q1986" t="n">
        <v>0</v>
      </c>
      <c r="R1986" s="2" t="inlineStr"/>
    </row>
    <row r="1987" ht="15" customHeight="1">
      <c r="A1987" t="inlineStr">
        <is>
          <t>A 22452-2025</t>
        </is>
      </c>
      <c r="B1987" s="1" t="n">
        <v>45786</v>
      </c>
      <c r="C1987" s="1" t="n">
        <v>45849</v>
      </c>
      <c r="D1987" t="inlineStr">
        <is>
          <t>VÄSTERBOTTENS LÄN</t>
        </is>
      </c>
      <c r="E1987" t="inlineStr">
        <is>
          <t>LYCKSELE</t>
        </is>
      </c>
      <c r="F1987" t="inlineStr">
        <is>
          <t>Sveaskog</t>
        </is>
      </c>
      <c r="G1987" t="n">
        <v>11.4</v>
      </c>
      <c r="H1987" t="n">
        <v>0</v>
      </c>
      <c r="I1987" t="n">
        <v>0</v>
      </c>
      <c r="J1987" t="n">
        <v>0</v>
      </c>
      <c r="K1987" t="n">
        <v>0</v>
      </c>
      <c r="L1987" t="n">
        <v>0</v>
      </c>
      <c r="M1987" t="n">
        <v>0</v>
      </c>
      <c r="N1987" t="n">
        <v>0</v>
      </c>
      <c r="O1987" t="n">
        <v>0</v>
      </c>
      <c r="P1987" t="n">
        <v>0</v>
      </c>
      <c r="Q1987" t="n">
        <v>0</v>
      </c>
      <c r="R1987" s="2" t="inlineStr"/>
    </row>
    <row r="1988" ht="15" customHeight="1">
      <c r="A1988" t="inlineStr">
        <is>
          <t>A 22453-2025</t>
        </is>
      </c>
      <c r="B1988" s="1" t="n">
        <v>45786</v>
      </c>
      <c r="C1988" s="1" t="n">
        <v>45849</v>
      </c>
      <c r="D1988" t="inlineStr">
        <is>
          <t>VÄSTERBOTTENS LÄN</t>
        </is>
      </c>
      <c r="E1988" t="inlineStr">
        <is>
          <t>LYCKSELE</t>
        </is>
      </c>
      <c r="F1988" t="inlineStr">
        <is>
          <t>Sveaskog</t>
        </is>
      </c>
      <c r="G1988" t="n">
        <v>5.9</v>
      </c>
      <c r="H1988" t="n">
        <v>0</v>
      </c>
      <c r="I1988" t="n">
        <v>0</v>
      </c>
      <c r="J1988" t="n">
        <v>0</v>
      </c>
      <c r="K1988" t="n">
        <v>0</v>
      </c>
      <c r="L1988" t="n">
        <v>0</v>
      </c>
      <c r="M1988" t="n">
        <v>0</v>
      </c>
      <c r="N1988" t="n">
        <v>0</v>
      </c>
      <c r="O1988" t="n">
        <v>0</v>
      </c>
      <c r="P1988" t="n">
        <v>0</v>
      </c>
      <c r="Q1988" t="n">
        <v>0</v>
      </c>
      <c r="R1988" s="2" t="inlineStr"/>
    </row>
    <row r="1989" ht="15" customHeight="1">
      <c r="A1989" t="inlineStr">
        <is>
          <t>A 22378-2025</t>
        </is>
      </c>
      <c r="B1989" s="1" t="n">
        <v>45786</v>
      </c>
      <c r="C1989" s="1" t="n">
        <v>45849</v>
      </c>
      <c r="D1989" t="inlineStr">
        <is>
          <t>VÄSTERBOTTENS LÄN</t>
        </is>
      </c>
      <c r="E1989" t="inlineStr">
        <is>
          <t>LYCKSELE</t>
        </is>
      </c>
      <c r="F1989" t="inlineStr">
        <is>
          <t>SCA</t>
        </is>
      </c>
      <c r="G1989" t="n">
        <v>11.9</v>
      </c>
      <c r="H1989" t="n">
        <v>0</v>
      </c>
      <c r="I1989" t="n">
        <v>0</v>
      </c>
      <c r="J1989" t="n">
        <v>0</v>
      </c>
      <c r="K1989" t="n">
        <v>0</v>
      </c>
      <c r="L1989" t="n">
        <v>0</v>
      </c>
      <c r="M1989" t="n">
        <v>0</v>
      </c>
      <c r="N1989" t="n">
        <v>0</v>
      </c>
      <c r="O1989" t="n">
        <v>0</v>
      </c>
      <c r="P1989" t="n">
        <v>0</v>
      </c>
      <c r="Q1989" t="n">
        <v>0</v>
      </c>
      <c r="R1989" s="2" t="inlineStr"/>
    </row>
    <row r="1990" ht="15" customHeight="1">
      <c r="A1990" t="inlineStr">
        <is>
          <t>A 22720-2025</t>
        </is>
      </c>
      <c r="B1990" s="1" t="n">
        <v>45789</v>
      </c>
      <c r="C1990" s="1" t="n">
        <v>45849</v>
      </c>
      <c r="D1990" t="inlineStr">
        <is>
          <t>VÄSTERBOTTENS LÄN</t>
        </is>
      </c>
      <c r="E1990" t="inlineStr">
        <is>
          <t>LYCKSELE</t>
        </is>
      </c>
      <c r="F1990" t="inlineStr">
        <is>
          <t>Sveaskog</t>
        </is>
      </c>
      <c r="G1990" t="n">
        <v>29</v>
      </c>
      <c r="H1990" t="n">
        <v>0</v>
      </c>
      <c r="I1990" t="n">
        <v>0</v>
      </c>
      <c r="J1990" t="n">
        <v>0</v>
      </c>
      <c r="K1990" t="n">
        <v>0</v>
      </c>
      <c r="L1990" t="n">
        <v>0</v>
      </c>
      <c r="M1990" t="n">
        <v>0</v>
      </c>
      <c r="N1990" t="n">
        <v>0</v>
      </c>
      <c r="O1990" t="n">
        <v>0</v>
      </c>
      <c r="P1990" t="n">
        <v>0</v>
      </c>
      <c r="Q1990" t="n">
        <v>0</v>
      </c>
      <c r="R1990" s="2" t="inlineStr"/>
    </row>
    <row r="1991" ht="15" customHeight="1">
      <c r="A1991" t="inlineStr">
        <is>
          <t>A 22759-2025</t>
        </is>
      </c>
      <c r="B1991" s="1" t="n">
        <v>45789</v>
      </c>
      <c r="C1991" s="1" t="n">
        <v>45849</v>
      </c>
      <c r="D1991" t="inlineStr">
        <is>
          <t>VÄSTERBOTTENS LÄN</t>
        </is>
      </c>
      <c r="E1991" t="inlineStr">
        <is>
          <t>LYCKSELE</t>
        </is>
      </c>
      <c r="F1991" t="inlineStr">
        <is>
          <t>Sveaskog</t>
        </is>
      </c>
      <c r="G1991" t="n">
        <v>25.5</v>
      </c>
      <c r="H1991" t="n">
        <v>0</v>
      </c>
      <c r="I1991" t="n">
        <v>0</v>
      </c>
      <c r="J1991" t="n">
        <v>0</v>
      </c>
      <c r="K1991" t="n">
        <v>0</v>
      </c>
      <c r="L1991" t="n">
        <v>0</v>
      </c>
      <c r="M1991" t="n">
        <v>0</v>
      </c>
      <c r="N1991" t="n">
        <v>0</v>
      </c>
      <c r="O1991" t="n">
        <v>0</v>
      </c>
      <c r="P1991" t="n">
        <v>0</v>
      </c>
      <c r="Q1991" t="n">
        <v>0</v>
      </c>
      <c r="R1991" s="2" t="inlineStr"/>
    </row>
    <row r="1992" ht="15" customHeight="1">
      <c r="A1992" t="inlineStr">
        <is>
          <t>A 22732-2025</t>
        </is>
      </c>
      <c r="B1992" s="1" t="n">
        <v>45789</v>
      </c>
      <c r="C1992" s="1" t="n">
        <v>45849</v>
      </c>
      <c r="D1992" t="inlineStr">
        <is>
          <t>VÄSTERBOTTENS LÄN</t>
        </is>
      </c>
      <c r="E1992" t="inlineStr">
        <is>
          <t>LYCKSELE</t>
        </is>
      </c>
      <c r="F1992" t="inlineStr">
        <is>
          <t>Sveaskog</t>
        </is>
      </c>
      <c r="G1992" t="n">
        <v>29</v>
      </c>
      <c r="H1992" t="n">
        <v>0</v>
      </c>
      <c r="I1992" t="n">
        <v>0</v>
      </c>
      <c r="J1992" t="n">
        <v>0</v>
      </c>
      <c r="K1992" t="n">
        <v>0</v>
      </c>
      <c r="L1992" t="n">
        <v>0</v>
      </c>
      <c r="M1992" t="n">
        <v>0</v>
      </c>
      <c r="N1992" t="n">
        <v>0</v>
      </c>
      <c r="O1992" t="n">
        <v>0</v>
      </c>
      <c r="P1992" t="n">
        <v>0</v>
      </c>
      <c r="Q1992" t="n">
        <v>0</v>
      </c>
      <c r="R1992" s="2" t="inlineStr"/>
    </row>
    <row r="1993" ht="15" customHeight="1">
      <c r="A1993" t="inlineStr">
        <is>
          <t>A 22584-2025</t>
        </is>
      </c>
      <c r="B1993" s="1" t="n">
        <v>45789</v>
      </c>
      <c r="C1993" s="1" t="n">
        <v>45849</v>
      </c>
      <c r="D1993" t="inlineStr">
        <is>
          <t>VÄSTERBOTTENS LÄN</t>
        </is>
      </c>
      <c r="E1993" t="inlineStr">
        <is>
          <t>LYCKSELE</t>
        </is>
      </c>
      <c r="G1993" t="n">
        <v>5.2</v>
      </c>
      <c r="H1993" t="n">
        <v>0</v>
      </c>
      <c r="I1993" t="n">
        <v>0</v>
      </c>
      <c r="J1993" t="n">
        <v>0</v>
      </c>
      <c r="K1993" t="n">
        <v>0</v>
      </c>
      <c r="L1993" t="n">
        <v>0</v>
      </c>
      <c r="M1993" t="n">
        <v>0</v>
      </c>
      <c r="N1993" t="n">
        <v>0</v>
      </c>
      <c r="O1993" t="n">
        <v>0</v>
      </c>
      <c r="P1993" t="n">
        <v>0</v>
      </c>
      <c r="Q1993" t="n">
        <v>0</v>
      </c>
      <c r="R1993" s="2" t="inlineStr"/>
    </row>
    <row r="1994" ht="15" customHeight="1">
      <c r="A1994" t="inlineStr">
        <is>
          <t>A 23008-2025</t>
        </is>
      </c>
      <c r="B1994" s="1" t="n">
        <v>45790</v>
      </c>
      <c r="C1994" s="1" t="n">
        <v>45849</v>
      </c>
      <c r="D1994" t="inlineStr">
        <is>
          <t>VÄSTERBOTTENS LÄN</t>
        </is>
      </c>
      <c r="E1994" t="inlineStr">
        <is>
          <t>LYCKSELE</t>
        </is>
      </c>
      <c r="F1994" t="inlineStr">
        <is>
          <t>SCA</t>
        </is>
      </c>
      <c r="G1994" t="n">
        <v>6.2</v>
      </c>
      <c r="H1994" t="n">
        <v>0</v>
      </c>
      <c r="I1994" t="n">
        <v>0</v>
      </c>
      <c r="J1994" t="n">
        <v>0</v>
      </c>
      <c r="K1994" t="n">
        <v>0</v>
      </c>
      <c r="L1994" t="n">
        <v>0</v>
      </c>
      <c r="M1994" t="n">
        <v>0</v>
      </c>
      <c r="N1994" t="n">
        <v>0</v>
      </c>
      <c r="O1994" t="n">
        <v>0</v>
      </c>
      <c r="P1994" t="n">
        <v>0</v>
      </c>
      <c r="Q1994" t="n">
        <v>0</v>
      </c>
      <c r="R1994" s="2" t="inlineStr"/>
    </row>
    <row r="1995" ht="15" customHeight="1">
      <c r="A1995" t="inlineStr">
        <is>
          <t>A 23269-2025</t>
        </is>
      </c>
      <c r="B1995" s="1" t="n">
        <v>45791</v>
      </c>
      <c r="C1995" s="1" t="n">
        <v>45849</v>
      </c>
      <c r="D1995" t="inlineStr">
        <is>
          <t>VÄSTERBOTTENS LÄN</t>
        </is>
      </c>
      <c r="E1995" t="inlineStr">
        <is>
          <t>LYCKSELE</t>
        </is>
      </c>
      <c r="F1995" t="inlineStr">
        <is>
          <t>Sveaskog</t>
        </is>
      </c>
      <c r="G1995" t="n">
        <v>15.1</v>
      </c>
      <c r="H1995" t="n">
        <v>0</v>
      </c>
      <c r="I1995" t="n">
        <v>0</v>
      </c>
      <c r="J1995" t="n">
        <v>0</v>
      </c>
      <c r="K1995" t="n">
        <v>0</v>
      </c>
      <c r="L1995" t="n">
        <v>0</v>
      </c>
      <c r="M1995" t="n">
        <v>0</v>
      </c>
      <c r="N1995" t="n">
        <v>0</v>
      </c>
      <c r="O1995" t="n">
        <v>0</v>
      </c>
      <c r="P1995" t="n">
        <v>0</v>
      </c>
      <c r="Q1995" t="n">
        <v>0</v>
      </c>
      <c r="R1995" s="2" t="inlineStr"/>
    </row>
    <row r="1996" ht="15" customHeight="1">
      <c r="A1996" t="inlineStr">
        <is>
          <t>A 23274-2025</t>
        </is>
      </c>
      <c r="B1996" s="1" t="n">
        <v>45791</v>
      </c>
      <c r="C1996" s="1" t="n">
        <v>45849</v>
      </c>
      <c r="D1996" t="inlineStr">
        <is>
          <t>VÄSTERBOTTENS LÄN</t>
        </is>
      </c>
      <c r="E1996" t="inlineStr">
        <is>
          <t>LYCKSELE</t>
        </is>
      </c>
      <c r="F1996" t="inlineStr">
        <is>
          <t>Sveaskog</t>
        </is>
      </c>
      <c r="G1996" t="n">
        <v>15.1</v>
      </c>
      <c r="H1996" t="n">
        <v>0</v>
      </c>
      <c r="I1996" t="n">
        <v>0</v>
      </c>
      <c r="J1996" t="n">
        <v>0</v>
      </c>
      <c r="K1996" t="n">
        <v>0</v>
      </c>
      <c r="L1996" t="n">
        <v>0</v>
      </c>
      <c r="M1996" t="n">
        <v>0</v>
      </c>
      <c r="N1996" t="n">
        <v>0</v>
      </c>
      <c r="O1996" t="n">
        <v>0</v>
      </c>
      <c r="P1996" t="n">
        <v>0</v>
      </c>
      <c r="Q1996" t="n">
        <v>0</v>
      </c>
      <c r="R1996" s="2" t="inlineStr"/>
    </row>
    <row r="1997" ht="15" customHeight="1">
      <c r="A1997" t="inlineStr">
        <is>
          <t>A 23277-2025</t>
        </is>
      </c>
      <c r="B1997" s="1" t="n">
        <v>45791</v>
      </c>
      <c r="C1997" s="1" t="n">
        <v>45849</v>
      </c>
      <c r="D1997" t="inlineStr">
        <is>
          <t>VÄSTERBOTTENS LÄN</t>
        </is>
      </c>
      <c r="E1997" t="inlineStr">
        <is>
          <t>LYCKSELE</t>
        </is>
      </c>
      <c r="F1997" t="inlineStr">
        <is>
          <t>Sveaskog</t>
        </is>
      </c>
      <c r="G1997" t="n">
        <v>15.1</v>
      </c>
      <c r="H1997" t="n">
        <v>0</v>
      </c>
      <c r="I1997" t="n">
        <v>0</v>
      </c>
      <c r="J1997" t="n">
        <v>0</v>
      </c>
      <c r="K1997" t="n">
        <v>0</v>
      </c>
      <c r="L1997" t="n">
        <v>0</v>
      </c>
      <c r="M1997" t="n">
        <v>0</v>
      </c>
      <c r="N1997" t="n">
        <v>0</v>
      </c>
      <c r="O1997" t="n">
        <v>0</v>
      </c>
      <c r="P1997" t="n">
        <v>0</v>
      </c>
      <c r="Q1997" t="n">
        <v>0</v>
      </c>
      <c r="R1997" s="2" t="inlineStr"/>
    </row>
    <row r="1998" ht="15" customHeight="1">
      <c r="A1998" t="inlineStr">
        <is>
          <t>A 23549-2025</t>
        </is>
      </c>
      <c r="B1998" s="1" t="n">
        <v>45792</v>
      </c>
      <c r="C1998" s="1" t="n">
        <v>45849</v>
      </c>
      <c r="D1998" t="inlineStr">
        <is>
          <t>VÄSTERBOTTENS LÄN</t>
        </is>
      </c>
      <c r="E1998" t="inlineStr">
        <is>
          <t>LYCKSELE</t>
        </is>
      </c>
      <c r="F1998" t="inlineStr">
        <is>
          <t>Naturvårdsverket</t>
        </is>
      </c>
      <c r="G1998" t="n">
        <v>29.9</v>
      </c>
      <c r="H1998" t="n">
        <v>0</v>
      </c>
      <c r="I1998" t="n">
        <v>0</v>
      </c>
      <c r="J1998" t="n">
        <v>0</v>
      </c>
      <c r="K1998" t="n">
        <v>0</v>
      </c>
      <c r="L1998" t="n">
        <v>0</v>
      </c>
      <c r="M1998" t="n">
        <v>0</v>
      </c>
      <c r="N1998" t="n">
        <v>0</v>
      </c>
      <c r="O1998" t="n">
        <v>0</v>
      </c>
      <c r="P1998" t="n">
        <v>0</v>
      </c>
      <c r="Q1998" t="n">
        <v>0</v>
      </c>
      <c r="R1998" s="2" t="inlineStr"/>
    </row>
    <row r="1999" ht="15" customHeight="1">
      <c r="A1999" t="inlineStr">
        <is>
          <t>A 23551-2025</t>
        </is>
      </c>
      <c r="B1999" s="1" t="n">
        <v>45792</v>
      </c>
      <c r="C1999" s="1" t="n">
        <v>45849</v>
      </c>
      <c r="D1999" t="inlineStr">
        <is>
          <t>VÄSTERBOTTENS LÄN</t>
        </is>
      </c>
      <c r="E1999" t="inlineStr">
        <is>
          <t>LYCKSELE</t>
        </is>
      </c>
      <c r="F1999" t="inlineStr">
        <is>
          <t>SCA</t>
        </is>
      </c>
      <c r="G1999" t="n">
        <v>5.3</v>
      </c>
      <c r="H1999" t="n">
        <v>0</v>
      </c>
      <c r="I1999" t="n">
        <v>0</v>
      </c>
      <c r="J1999" t="n">
        <v>0</v>
      </c>
      <c r="K1999" t="n">
        <v>0</v>
      </c>
      <c r="L1999" t="n">
        <v>0</v>
      </c>
      <c r="M1999" t="n">
        <v>0</v>
      </c>
      <c r="N1999" t="n">
        <v>0</v>
      </c>
      <c r="O1999" t="n">
        <v>0</v>
      </c>
      <c r="P1999" t="n">
        <v>0</v>
      </c>
      <c r="Q1999" t="n">
        <v>0</v>
      </c>
      <c r="R1999" s="2" t="inlineStr"/>
    </row>
    <row r="2000" ht="15" customHeight="1">
      <c r="A2000" t="inlineStr">
        <is>
          <t>A 23645-2025</t>
        </is>
      </c>
      <c r="B2000" s="1" t="n">
        <v>45792</v>
      </c>
      <c r="C2000" s="1" t="n">
        <v>45849</v>
      </c>
      <c r="D2000" t="inlineStr">
        <is>
          <t>VÄSTERBOTTENS LÄN</t>
        </is>
      </c>
      <c r="E2000" t="inlineStr">
        <is>
          <t>LYCKSELE</t>
        </is>
      </c>
      <c r="F2000" t="inlineStr">
        <is>
          <t>Sveaskog</t>
        </is>
      </c>
      <c r="G2000" t="n">
        <v>2.3</v>
      </c>
      <c r="H2000" t="n">
        <v>0</v>
      </c>
      <c r="I2000" t="n">
        <v>0</v>
      </c>
      <c r="J2000" t="n">
        <v>0</v>
      </c>
      <c r="K2000" t="n">
        <v>0</v>
      </c>
      <c r="L2000" t="n">
        <v>0</v>
      </c>
      <c r="M2000" t="n">
        <v>0</v>
      </c>
      <c r="N2000" t="n">
        <v>0</v>
      </c>
      <c r="O2000" t="n">
        <v>0</v>
      </c>
      <c r="P2000" t="n">
        <v>0</v>
      </c>
      <c r="Q2000" t="n">
        <v>0</v>
      </c>
      <c r="R2000" s="2" t="inlineStr"/>
    </row>
    <row r="2001" ht="15" customHeight="1">
      <c r="A2001" t="inlineStr">
        <is>
          <t>A 23554-2025</t>
        </is>
      </c>
      <c r="B2001" s="1" t="n">
        <v>45792</v>
      </c>
      <c r="C2001" s="1" t="n">
        <v>45849</v>
      </c>
      <c r="D2001" t="inlineStr">
        <is>
          <t>VÄSTERBOTTENS LÄN</t>
        </is>
      </c>
      <c r="E2001" t="inlineStr">
        <is>
          <t>LYCKSELE</t>
        </is>
      </c>
      <c r="F2001" t="inlineStr">
        <is>
          <t>Holmen skog AB</t>
        </is>
      </c>
      <c r="G2001" t="n">
        <v>4.4</v>
      </c>
      <c r="H2001" t="n">
        <v>0</v>
      </c>
      <c r="I2001" t="n">
        <v>0</v>
      </c>
      <c r="J2001" t="n">
        <v>0</v>
      </c>
      <c r="K2001" t="n">
        <v>0</v>
      </c>
      <c r="L2001" t="n">
        <v>0</v>
      </c>
      <c r="M2001" t="n">
        <v>0</v>
      </c>
      <c r="N2001" t="n">
        <v>0</v>
      </c>
      <c r="O2001" t="n">
        <v>0</v>
      </c>
      <c r="P2001" t="n">
        <v>0</v>
      </c>
      <c r="Q2001" t="n">
        <v>0</v>
      </c>
      <c r="R2001" s="2" t="inlineStr"/>
    </row>
    <row r="2002" ht="15" customHeight="1">
      <c r="A2002" t="inlineStr">
        <is>
          <t>A 23798-2025</t>
        </is>
      </c>
      <c r="B2002" s="1" t="n">
        <v>45793</v>
      </c>
      <c r="C2002" s="1" t="n">
        <v>45849</v>
      </c>
      <c r="D2002" t="inlineStr">
        <is>
          <t>VÄSTERBOTTENS LÄN</t>
        </is>
      </c>
      <c r="E2002" t="inlineStr">
        <is>
          <t>LYCKSELE</t>
        </is>
      </c>
      <c r="F2002" t="inlineStr">
        <is>
          <t>SCA</t>
        </is>
      </c>
      <c r="G2002" t="n">
        <v>3.2</v>
      </c>
      <c r="H2002" t="n">
        <v>0</v>
      </c>
      <c r="I2002" t="n">
        <v>0</v>
      </c>
      <c r="J2002" t="n">
        <v>0</v>
      </c>
      <c r="K2002" t="n">
        <v>0</v>
      </c>
      <c r="L2002" t="n">
        <v>0</v>
      </c>
      <c r="M2002" t="n">
        <v>0</v>
      </c>
      <c r="N2002" t="n">
        <v>0</v>
      </c>
      <c r="O2002" t="n">
        <v>0</v>
      </c>
      <c r="P2002" t="n">
        <v>0</v>
      </c>
      <c r="Q2002" t="n">
        <v>0</v>
      </c>
      <c r="R2002" s="2" t="inlineStr"/>
    </row>
    <row r="2003" ht="15" customHeight="1">
      <c r="A2003" t="inlineStr">
        <is>
          <t>A 23802-2025</t>
        </is>
      </c>
      <c r="B2003" s="1" t="n">
        <v>45793</v>
      </c>
      <c r="C2003" s="1" t="n">
        <v>45849</v>
      </c>
      <c r="D2003" t="inlineStr">
        <is>
          <t>VÄSTERBOTTENS LÄN</t>
        </is>
      </c>
      <c r="E2003" t="inlineStr">
        <is>
          <t>LYCKSELE</t>
        </is>
      </c>
      <c r="F2003" t="inlineStr">
        <is>
          <t>Holmen skog AB</t>
        </is>
      </c>
      <c r="G2003" t="n">
        <v>15.4</v>
      </c>
      <c r="H2003" t="n">
        <v>0</v>
      </c>
      <c r="I2003" t="n">
        <v>0</v>
      </c>
      <c r="J2003" t="n">
        <v>0</v>
      </c>
      <c r="K2003" t="n">
        <v>0</v>
      </c>
      <c r="L2003" t="n">
        <v>0</v>
      </c>
      <c r="M2003" t="n">
        <v>0</v>
      </c>
      <c r="N2003" t="n">
        <v>0</v>
      </c>
      <c r="O2003" t="n">
        <v>0</v>
      </c>
      <c r="P2003" t="n">
        <v>0</v>
      </c>
      <c r="Q2003" t="n">
        <v>0</v>
      </c>
      <c r="R2003" s="2" t="inlineStr"/>
    </row>
    <row r="2004" ht="15" customHeight="1">
      <c r="A2004" t="inlineStr">
        <is>
          <t>A 23827-2025</t>
        </is>
      </c>
      <c r="B2004" s="1" t="n">
        <v>45793</v>
      </c>
      <c r="C2004" s="1" t="n">
        <v>45849</v>
      </c>
      <c r="D2004" t="inlineStr">
        <is>
          <t>VÄSTERBOTTENS LÄN</t>
        </is>
      </c>
      <c r="E2004" t="inlineStr">
        <is>
          <t>LYCKSELE</t>
        </is>
      </c>
      <c r="F2004" t="inlineStr">
        <is>
          <t>SCA</t>
        </is>
      </c>
      <c r="G2004" t="n">
        <v>3.7</v>
      </c>
      <c r="H2004" t="n">
        <v>0</v>
      </c>
      <c r="I2004" t="n">
        <v>0</v>
      </c>
      <c r="J2004" t="n">
        <v>0</v>
      </c>
      <c r="K2004" t="n">
        <v>0</v>
      </c>
      <c r="L2004" t="n">
        <v>0</v>
      </c>
      <c r="M2004" t="n">
        <v>0</v>
      </c>
      <c r="N2004" t="n">
        <v>0</v>
      </c>
      <c r="O2004" t="n">
        <v>0</v>
      </c>
      <c r="P2004" t="n">
        <v>0</v>
      </c>
      <c r="Q2004" t="n">
        <v>0</v>
      </c>
      <c r="R2004" s="2" t="inlineStr"/>
    </row>
    <row r="2005" ht="15" customHeight="1">
      <c r="A2005" t="inlineStr">
        <is>
          <t>A 23679-2025</t>
        </is>
      </c>
      <c r="B2005" s="1" t="n">
        <v>45793</v>
      </c>
      <c r="C2005" s="1" t="n">
        <v>45849</v>
      </c>
      <c r="D2005" t="inlineStr">
        <is>
          <t>VÄSTERBOTTENS LÄN</t>
        </is>
      </c>
      <c r="E2005" t="inlineStr">
        <is>
          <t>LYCKSELE</t>
        </is>
      </c>
      <c r="F2005" t="inlineStr">
        <is>
          <t>Sveaskog</t>
        </is>
      </c>
      <c r="G2005" t="n">
        <v>29</v>
      </c>
      <c r="H2005" t="n">
        <v>0</v>
      </c>
      <c r="I2005" t="n">
        <v>0</v>
      </c>
      <c r="J2005" t="n">
        <v>0</v>
      </c>
      <c r="K2005" t="n">
        <v>0</v>
      </c>
      <c r="L2005" t="n">
        <v>0</v>
      </c>
      <c r="M2005" t="n">
        <v>0</v>
      </c>
      <c r="N2005" t="n">
        <v>0</v>
      </c>
      <c r="O2005" t="n">
        <v>0</v>
      </c>
      <c r="P2005" t="n">
        <v>0</v>
      </c>
      <c r="Q2005" t="n">
        <v>0</v>
      </c>
      <c r="R2005" s="2" t="inlineStr"/>
    </row>
    <row r="2006" ht="15" customHeight="1">
      <c r="A2006" t="inlineStr">
        <is>
          <t>A 23801-2025</t>
        </is>
      </c>
      <c r="B2006" s="1" t="n">
        <v>45793</v>
      </c>
      <c r="C2006" s="1" t="n">
        <v>45849</v>
      </c>
      <c r="D2006" t="inlineStr">
        <is>
          <t>VÄSTERBOTTENS LÄN</t>
        </is>
      </c>
      <c r="E2006" t="inlineStr">
        <is>
          <t>LYCKSELE</t>
        </is>
      </c>
      <c r="F2006" t="inlineStr">
        <is>
          <t>Holmen skog AB</t>
        </is>
      </c>
      <c r="G2006" t="n">
        <v>4.6</v>
      </c>
      <c r="H2006" t="n">
        <v>0</v>
      </c>
      <c r="I2006" t="n">
        <v>0</v>
      </c>
      <c r="J2006" t="n">
        <v>0</v>
      </c>
      <c r="K2006" t="n">
        <v>0</v>
      </c>
      <c r="L2006" t="n">
        <v>0</v>
      </c>
      <c r="M2006" t="n">
        <v>0</v>
      </c>
      <c r="N2006" t="n">
        <v>0</v>
      </c>
      <c r="O2006" t="n">
        <v>0</v>
      </c>
      <c r="P2006" t="n">
        <v>0</v>
      </c>
      <c r="Q2006" t="n">
        <v>0</v>
      </c>
      <c r="R2006" s="2" t="inlineStr"/>
    </row>
    <row r="2007" ht="15" customHeight="1">
      <c r="A2007" t="inlineStr">
        <is>
          <t>A 24063-2025</t>
        </is>
      </c>
      <c r="B2007" s="1" t="n">
        <v>45796</v>
      </c>
      <c r="C2007" s="1" t="n">
        <v>45849</v>
      </c>
      <c r="D2007" t="inlineStr">
        <is>
          <t>VÄSTERBOTTENS LÄN</t>
        </is>
      </c>
      <c r="E2007" t="inlineStr">
        <is>
          <t>LYCKSELE</t>
        </is>
      </c>
      <c r="G2007" t="n">
        <v>9.6</v>
      </c>
      <c r="H2007" t="n">
        <v>0</v>
      </c>
      <c r="I2007" t="n">
        <v>0</v>
      </c>
      <c r="J2007" t="n">
        <v>0</v>
      </c>
      <c r="K2007" t="n">
        <v>0</v>
      </c>
      <c r="L2007" t="n">
        <v>0</v>
      </c>
      <c r="M2007" t="n">
        <v>0</v>
      </c>
      <c r="N2007" t="n">
        <v>0</v>
      </c>
      <c r="O2007" t="n">
        <v>0</v>
      </c>
      <c r="P2007" t="n">
        <v>0</v>
      </c>
      <c r="Q2007" t="n">
        <v>0</v>
      </c>
      <c r="R2007" s="2" t="inlineStr"/>
    </row>
    <row r="2008" ht="15" customHeight="1">
      <c r="A2008" t="inlineStr">
        <is>
          <t>A 24129-2025</t>
        </is>
      </c>
      <c r="B2008" s="1" t="n">
        <v>45796</v>
      </c>
      <c r="C2008" s="1" t="n">
        <v>45849</v>
      </c>
      <c r="D2008" t="inlineStr">
        <is>
          <t>VÄSTERBOTTENS LÄN</t>
        </is>
      </c>
      <c r="E2008" t="inlineStr">
        <is>
          <t>LYCKSELE</t>
        </is>
      </c>
      <c r="F2008" t="inlineStr">
        <is>
          <t>Holmen skog AB</t>
        </is>
      </c>
      <c r="G2008" t="n">
        <v>4.9</v>
      </c>
      <c r="H2008" t="n">
        <v>0</v>
      </c>
      <c r="I2008" t="n">
        <v>0</v>
      </c>
      <c r="J2008" t="n">
        <v>0</v>
      </c>
      <c r="K2008" t="n">
        <v>0</v>
      </c>
      <c r="L2008" t="n">
        <v>0</v>
      </c>
      <c r="M2008" t="n">
        <v>0</v>
      </c>
      <c r="N2008" t="n">
        <v>0</v>
      </c>
      <c r="O2008" t="n">
        <v>0</v>
      </c>
      <c r="P2008" t="n">
        <v>0</v>
      </c>
      <c r="Q2008" t="n">
        <v>0</v>
      </c>
      <c r="R2008" s="2" t="inlineStr"/>
    </row>
    <row r="2009" ht="15" customHeight="1">
      <c r="A2009" t="inlineStr">
        <is>
          <t>A 24509-2025</t>
        </is>
      </c>
      <c r="B2009" s="1" t="n">
        <v>45798</v>
      </c>
      <c r="C2009" s="1" t="n">
        <v>45849</v>
      </c>
      <c r="D2009" t="inlineStr">
        <is>
          <t>VÄSTERBOTTENS LÄN</t>
        </is>
      </c>
      <c r="E2009" t="inlineStr">
        <is>
          <t>LYCKSELE</t>
        </is>
      </c>
      <c r="F2009" t="inlineStr">
        <is>
          <t>Sveaskog</t>
        </is>
      </c>
      <c r="G2009" t="n">
        <v>29</v>
      </c>
      <c r="H2009" t="n">
        <v>0</v>
      </c>
      <c r="I2009" t="n">
        <v>0</v>
      </c>
      <c r="J2009" t="n">
        <v>0</v>
      </c>
      <c r="K2009" t="n">
        <v>0</v>
      </c>
      <c r="L2009" t="n">
        <v>0</v>
      </c>
      <c r="M2009" t="n">
        <v>0</v>
      </c>
      <c r="N2009" t="n">
        <v>0</v>
      </c>
      <c r="O2009" t="n">
        <v>0</v>
      </c>
      <c r="P2009" t="n">
        <v>0</v>
      </c>
      <c r="Q2009" t="n">
        <v>0</v>
      </c>
      <c r="R2009" s="2" t="inlineStr"/>
    </row>
    <row r="2010" ht="15" customHeight="1">
      <c r="A2010" t="inlineStr">
        <is>
          <t>A 24511-2025</t>
        </is>
      </c>
      <c r="B2010" s="1" t="n">
        <v>45798</v>
      </c>
      <c r="C2010" s="1" t="n">
        <v>45849</v>
      </c>
      <c r="D2010" t="inlineStr">
        <is>
          <t>VÄSTERBOTTENS LÄN</t>
        </is>
      </c>
      <c r="E2010" t="inlineStr">
        <is>
          <t>LYCKSELE</t>
        </is>
      </c>
      <c r="F2010" t="inlineStr">
        <is>
          <t>Sveaskog</t>
        </is>
      </c>
      <c r="G2010" t="n">
        <v>29</v>
      </c>
      <c r="H2010" t="n">
        <v>0</v>
      </c>
      <c r="I2010" t="n">
        <v>0</v>
      </c>
      <c r="J2010" t="n">
        <v>0</v>
      </c>
      <c r="K2010" t="n">
        <v>0</v>
      </c>
      <c r="L2010" t="n">
        <v>0</v>
      </c>
      <c r="M2010" t="n">
        <v>0</v>
      </c>
      <c r="N2010" t="n">
        <v>0</v>
      </c>
      <c r="O2010" t="n">
        <v>0</v>
      </c>
      <c r="P2010" t="n">
        <v>0</v>
      </c>
      <c r="Q2010" t="n">
        <v>0</v>
      </c>
      <c r="R2010" s="2" t="inlineStr"/>
    </row>
    <row r="2011" ht="15" customHeight="1">
      <c r="A2011" t="inlineStr">
        <is>
          <t>A 24514-2025</t>
        </is>
      </c>
      <c r="B2011" s="1" t="n">
        <v>45798</v>
      </c>
      <c r="C2011" s="1" t="n">
        <v>45849</v>
      </c>
      <c r="D2011" t="inlineStr">
        <is>
          <t>VÄSTERBOTTENS LÄN</t>
        </is>
      </c>
      <c r="E2011" t="inlineStr">
        <is>
          <t>LYCKSELE</t>
        </is>
      </c>
      <c r="F2011" t="inlineStr">
        <is>
          <t>Sveaskog</t>
        </is>
      </c>
      <c r="G2011" t="n">
        <v>8.300000000000001</v>
      </c>
      <c r="H2011" t="n">
        <v>0</v>
      </c>
      <c r="I2011" t="n">
        <v>0</v>
      </c>
      <c r="J2011" t="n">
        <v>0</v>
      </c>
      <c r="K2011" t="n">
        <v>0</v>
      </c>
      <c r="L2011" t="n">
        <v>0</v>
      </c>
      <c r="M2011" t="n">
        <v>0</v>
      </c>
      <c r="N2011" t="n">
        <v>0</v>
      </c>
      <c r="O2011" t="n">
        <v>0</v>
      </c>
      <c r="P2011" t="n">
        <v>0</v>
      </c>
      <c r="Q2011" t="n">
        <v>0</v>
      </c>
      <c r="R2011" s="2" t="inlineStr"/>
    </row>
    <row r="2012" ht="15" customHeight="1">
      <c r="A2012" t="inlineStr">
        <is>
          <t>A 24518-2025</t>
        </is>
      </c>
      <c r="B2012" s="1" t="n">
        <v>45798</v>
      </c>
      <c r="C2012" s="1" t="n">
        <v>45849</v>
      </c>
      <c r="D2012" t="inlineStr">
        <is>
          <t>VÄSTERBOTTENS LÄN</t>
        </is>
      </c>
      <c r="E2012" t="inlineStr">
        <is>
          <t>LYCKSELE</t>
        </is>
      </c>
      <c r="F2012" t="inlineStr">
        <is>
          <t>Sveaskog</t>
        </is>
      </c>
      <c r="G2012" t="n">
        <v>29</v>
      </c>
      <c r="H2012" t="n">
        <v>0</v>
      </c>
      <c r="I2012" t="n">
        <v>0</v>
      </c>
      <c r="J2012" t="n">
        <v>0</v>
      </c>
      <c r="K2012" t="n">
        <v>0</v>
      </c>
      <c r="L2012" t="n">
        <v>0</v>
      </c>
      <c r="M2012" t="n">
        <v>0</v>
      </c>
      <c r="N2012" t="n">
        <v>0</v>
      </c>
      <c r="O2012" t="n">
        <v>0</v>
      </c>
      <c r="P2012" t="n">
        <v>0</v>
      </c>
      <c r="Q2012" t="n">
        <v>0</v>
      </c>
      <c r="R2012" s="2" t="inlineStr"/>
    </row>
    <row r="2013" ht="15" customHeight="1">
      <c r="A2013" t="inlineStr">
        <is>
          <t>A 24603-2025</t>
        </is>
      </c>
      <c r="B2013" s="1" t="n">
        <v>45798</v>
      </c>
      <c r="C2013" s="1" t="n">
        <v>45849</v>
      </c>
      <c r="D2013" t="inlineStr">
        <is>
          <t>VÄSTERBOTTENS LÄN</t>
        </is>
      </c>
      <c r="E2013" t="inlineStr">
        <is>
          <t>LYCKSELE</t>
        </is>
      </c>
      <c r="F2013" t="inlineStr">
        <is>
          <t>SCA</t>
        </is>
      </c>
      <c r="G2013" t="n">
        <v>8</v>
      </c>
      <c r="H2013" t="n">
        <v>0</v>
      </c>
      <c r="I2013" t="n">
        <v>0</v>
      </c>
      <c r="J2013" t="n">
        <v>0</v>
      </c>
      <c r="K2013" t="n">
        <v>0</v>
      </c>
      <c r="L2013" t="n">
        <v>0</v>
      </c>
      <c r="M2013" t="n">
        <v>0</v>
      </c>
      <c r="N2013" t="n">
        <v>0</v>
      </c>
      <c r="O2013" t="n">
        <v>0</v>
      </c>
      <c r="P2013" t="n">
        <v>0</v>
      </c>
      <c r="Q2013" t="n">
        <v>0</v>
      </c>
      <c r="R2013" s="2" t="inlineStr"/>
    </row>
    <row r="2014" ht="15" customHeight="1">
      <c r="A2014" t="inlineStr">
        <is>
          <t>A 24680-2025</t>
        </is>
      </c>
      <c r="B2014" s="1" t="n">
        <v>45798</v>
      </c>
      <c r="C2014" s="1" t="n">
        <v>45849</v>
      </c>
      <c r="D2014" t="inlineStr">
        <is>
          <t>VÄSTERBOTTENS LÄN</t>
        </is>
      </c>
      <c r="E2014" t="inlineStr">
        <is>
          <t>LYCKSELE</t>
        </is>
      </c>
      <c r="G2014" t="n">
        <v>0.8</v>
      </c>
      <c r="H2014" t="n">
        <v>0</v>
      </c>
      <c r="I2014" t="n">
        <v>0</v>
      </c>
      <c r="J2014" t="n">
        <v>0</v>
      </c>
      <c r="K2014" t="n">
        <v>0</v>
      </c>
      <c r="L2014" t="n">
        <v>0</v>
      </c>
      <c r="M2014" t="n">
        <v>0</v>
      </c>
      <c r="N2014" t="n">
        <v>0</v>
      </c>
      <c r="O2014" t="n">
        <v>0</v>
      </c>
      <c r="P2014" t="n">
        <v>0</v>
      </c>
      <c r="Q2014" t="n">
        <v>0</v>
      </c>
      <c r="R2014" s="2" t="inlineStr"/>
    </row>
    <row r="2015" ht="15" customHeight="1">
      <c r="A2015" t="inlineStr">
        <is>
          <t>A 24679-2025</t>
        </is>
      </c>
      <c r="B2015" s="1" t="n">
        <v>45798</v>
      </c>
      <c r="C2015" s="1" t="n">
        <v>45849</v>
      </c>
      <c r="D2015" t="inlineStr">
        <is>
          <t>VÄSTERBOTTENS LÄN</t>
        </is>
      </c>
      <c r="E2015" t="inlineStr">
        <is>
          <t>LYCKSELE</t>
        </is>
      </c>
      <c r="G2015" t="n">
        <v>0.7</v>
      </c>
      <c r="H2015" t="n">
        <v>0</v>
      </c>
      <c r="I2015" t="n">
        <v>0</v>
      </c>
      <c r="J2015" t="n">
        <v>0</v>
      </c>
      <c r="K2015" t="n">
        <v>0</v>
      </c>
      <c r="L2015" t="n">
        <v>0</v>
      </c>
      <c r="M2015" t="n">
        <v>0</v>
      </c>
      <c r="N2015" t="n">
        <v>0</v>
      </c>
      <c r="O2015" t="n">
        <v>0</v>
      </c>
      <c r="P2015" t="n">
        <v>0</v>
      </c>
      <c r="Q2015" t="n">
        <v>0</v>
      </c>
      <c r="R2015" s="2" t="inlineStr"/>
    </row>
    <row r="2016" ht="15" customHeight="1">
      <c r="A2016" t="inlineStr">
        <is>
          <t>A 24770-2025</t>
        </is>
      </c>
      <c r="B2016" s="1" t="n">
        <v>45799</v>
      </c>
      <c r="C2016" s="1" t="n">
        <v>45849</v>
      </c>
      <c r="D2016" t="inlineStr">
        <is>
          <t>VÄSTERBOTTENS LÄN</t>
        </is>
      </c>
      <c r="E2016" t="inlineStr">
        <is>
          <t>LYCKSELE</t>
        </is>
      </c>
      <c r="F2016" t="inlineStr">
        <is>
          <t>Holmen skog AB</t>
        </is>
      </c>
      <c r="G2016" t="n">
        <v>8.5</v>
      </c>
      <c r="H2016" t="n">
        <v>0</v>
      </c>
      <c r="I2016" t="n">
        <v>0</v>
      </c>
      <c r="J2016" t="n">
        <v>0</v>
      </c>
      <c r="K2016" t="n">
        <v>0</v>
      </c>
      <c r="L2016" t="n">
        <v>0</v>
      </c>
      <c r="M2016" t="n">
        <v>0</v>
      </c>
      <c r="N2016" t="n">
        <v>0</v>
      </c>
      <c r="O2016" t="n">
        <v>0</v>
      </c>
      <c r="P2016" t="n">
        <v>0</v>
      </c>
      <c r="Q2016" t="n">
        <v>0</v>
      </c>
      <c r="R2016" s="2" t="inlineStr"/>
    </row>
    <row r="2017" ht="15" customHeight="1">
      <c r="A2017" t="inlineStr">
        <is>
          <t>A 25061-2025</t>
        </is>
      </c>
      <c r="B2017" s="1" t="n">
        <v>45799</v>
      </c>
      <c r="C2017" s="1" t="n">
        <v>45849</v>
      </c>
      <c r="D2017" t="inlineStr">
        <is>
          <t>VÄSTERBOTTENS LÄN</t>
        </is>
      </c>
      <c r="E2017" t="inlineStr">
        <is>
          <t>LYCKSELE</t>
        </is>
      </c>
      <c r="F2017" t="inlineStr">
        <is>
          <t>SCA</t>
        </is>
      </c>
      <c r="G2017" t="n">
        <v>13.7</v>
      </c>
      <c r="H2017" t="n">
        <v>0</v>
      </c>
      <c r="I2017" t="n">
        <v>0</v>
      </c>
      <c r="J2017" t="n">
        <v>0</v>
      </c>
      <c r="K2017" t="n">
        <v>0</v>
      </c>
      <c r="L2017" t="n">
        <v>0</v>
      </c>
      <c r="M2017" t="n">
        <v>0</v>
      </c>
      <c r="N2017" t="n">
        <v>0</v>
      </c>
      <c r="O2017" t="n">
        <v>0</v>
      </c>
      <c r="P2017" t="n">
        <v>0</v>
      </c>
      <c r="Q2017" t="n">
        <v>0</v>
      </c>
      <c r="R2017" s="2" t="inlineStr"/>
    </row>
    <row r="2018" ht="15" customHeight="1">
      <c r="A2018" t="inlineStr">
        <is>
          <t>A 24729-2025</t>
        </is>
      </c>
      <c r="B2018" s="1" t="n">
        <v>45799</v>
      </c>
      <c r="C2018" s="1" t="n">
        <v>45849</v>
      </c>
      <c r="D2018" t="inlineStr">
        <is>
          <t>VÄSTERBOTTENS LÄN</t>
        </is>
      </c>
      <c r="E2018" t="inlineStr">
        <is>
          <t>LYCKSELE</t>
        </is>
      </c>
      <c r="F2018" t="inlineStr">
        <is>
          <t>Holmen skog AB</t>
        </is>
      </c>
      <c r="G2018" t="n">
        <v>4.8</v>
      </c>
      <c r="H2018" t="n">
        <v>0</v>
      </c>
      <c r="I2018" t="n">
        <v>0</v>
      </c>
      <c r="J2018" t="n">
        <v>0</v>
      </c>
      <c r="K2018" t="n">
        <v>0</v>
      </c>
      <c r="L2018" t="n">
        <v>0</v>
      </c>
      <c r="M2018" t="n">
        <v>0</v>
      </c>
      <c r="N2018" t="n">
        <v>0</v>
      </c>
      <c r="O2018" t="n">
        <v>0</v>
      </c>
      <c r="P2018" t="n">
        <v>0</v>
      </c>
      <c r="Q2018" t="n">
        <v>0</v>
      </c>
      <c r="R2018" s="2" t="inlineStr"/>
    </row>
    <row r="2019" ht="15" customHeight="1">
      <c r="A2019" t="inlineStr">
        <is>
          <t>A 24906-2025</t>
        </is>
      </c>
      <c r="B2019" s="1" t="n">
        <v>45799</v>
      </c>
      <c r="C2019" s="1" t="n">
        <v>45849</v>
      </c>
      <c r="D2019" t="inlineStr">
        <is>
          <t>VÄSTERBOTTENS LÄN</t>
        </is>
      </c>
      <c r="E2019" t="inlineStr">
        <is>
          <t>LYCKSELE</t>
        </is>
      </c>
      <c r="G2019" t="n">
        <v>1.4</v>
      </c>
      <c r="H2019" t="n">
        <v>0</v>
      </c>
      <c r="I2019" t="n">
        <v>0</v>
      </c>
      <c r="J2019" t="n">
        <v>0</v>
      </c>
      <c r="K2019" t="n">
        <v>0</v>
      </c>
      <c r="L2019" t="n">
        <v>0</v>
      </c>
      <c r="M2019" t="n">
        <v>0</v>
      </c>
      <c r="N2019" t="n">
        <v>0</v>
      </c>
      <c r="O2019" t="n">
        <v>0</v>
      </c>
      <c r="P2019" t="n">
        <v>0</v>
      </c>
      <c r="Q2019" t="n">
        <v>0</v>
      </c>
      <c r="R2019" s="2" t="inlineStr"/>
    </row>
    <row r="2020" ht="15" customHeight="1">
      <c r="A2020" t="inlineStr">
        <is>
          <t>A 24951-2025</t>
        </is>
      </c>
      <c r="B2020" s="1" t="n">
        <v>45799</v>
      </c>
      <c r="C2020" s="1" t="n">
        <v>45849</v>
      </c>
      <c r="D2020" t="inlineStr">
        <is>
          <t>VÄSTERBOTTENS LÄN</t>
        </is>
      </c>
      <c r="E2020" t="inlineStr">
        <is>
          <t>LYCKSELE</t>
        </is>
      </c>
      <c r="G2020" t="n">
        <v>2.8</v>
      </c>
      <c r="H2020" t="n">
        <v>0</v>
      </c>
      <c r="I2020" t="n">
        <v>0</v>
      </c>
      <c r="J2020" t="n">
        <v>0</v>
      </c>
      <c r="K2020" t="n">
        <v>0</v>
      </c>
      <c r="L2020" t="n">
        <v>0</v>
      </c>
      <c r="M2020" t="n">
        <v>0</v>
      </c>
      <c r="N2020" t="n">
        <v>0</v>
      </c>
      <c r="O2020" t="n">
        <v>0</v>
      </c>
      <c r="P2020" t="n">
        <v>0</v>
      </c>
      <c r="Q2020" t="n">
        <v>0</v>
      </c>
      <c r="R2020" s="2" t="inlineStr"/>
    </row>
    <row r="2021" ht="15" customHeight="1">
      <c r="A2021" t="inlineStr">
        <is>
          <t>A 24995-2025</t>
        </is>
      </c>
      <c r="B2021" s="1" t="n">
        <v>45799</v>
      </c>
      <c r="C2021" s="1" t="n">
        <v>45849</v>
      </c>
      <c r="D2021" t="inlineStr">
        <is>
          <t>VÄSTERBOTTENS LÄN</t>
        </is>
      </c>
      <c r="E2021" t="inlineStr">
        <is>
          <t>LYCKSELE</t>
        </is>
      </c>
      <c r="F2021" t="inlineStr">
        <is>
          <t>Sveaskog</t>
        </is>
      </c>
      <c r="G2021" t="n">
        <v>8.5</v>
      </c>
      <c r="H2021" t="n">
        <v>0</v>
      </c>
      <c r="I2021" t="n">
        <v>0</v>
      </c>
      <c r="J2021" t="n">
        <v>0</v>
      </c>
      <c r="K2021" t="n">
        <v>0</v>
      </c>
      <c r="L2021" t="n">
        <v>0</v>
      </c>
      <c r="M2021" t="n">
        <v>0</v>
      </c>
      <c r="N2021" t="n">
        <v>0</v>
      </c>
      <c r="O2021" t="n">
        <v>0</v>
      </c>
      <c r="P2021" t="n">
        <v>0</v>
      </c>
      <c r="Q2021" t="n">
        <v>0</v>
      </c>
      <c r="R2021" s="2" t="inlineStr"/>
    </row>
    <row r="2022" ht="15" customHeight="1">
      <c r="A2022" t="inlineStr">
        <is>
          <t>A 25000-2025</t>
        </is>
      </c>
      <c r="B2022" s="1" t="n">
        <v>45799</v>
      </c>
      <c r="C2022" s="1" t="n">
        <v>45849</v>
      </c>
      <c r="D2022" t="inlineStr">
        <is>
          <t>VÄSTERBOTTENS LÄN</t>
        </is>
      </c>
      <c r="E2022" t="inlineStr">
        <is>
          <t>LYCKSELE</t>
        </is>
      </c>
      <c r="F2022" t="inlineStr">
        <is>
          <t>Sveaskog</t>
        </is>
      </c>
      <c r="G2022" t="n">
        <v>2.9</v>
      </c>
      <c r="H2022" t="n">
        <v>0</v>
      </c>
      <c r="I2022" t="n">
        <v>0</v>
      </c>
      <c r="J2022" t="n">
        <v>0</v>
      </c>
      <c r="K2022" t="n">
        <v>0</v>
      </c>
      <c r="L2022" t="n">
        <v>0</v>
      </c>
      <c r="M2022" t="n">
        <v>0</v>
      </c>
      <c r="N2022" t="n">
        <v>0</v>
      </c>
      <c r="O2022" t="n">
        <v>0</v>
      </c>
      <c r="P2022" t="n">
        <v>0</v>
      </c>
      <c r="Q2022" t="n">
        <v>0</v>
      </c>
      <c r="R2022" s="2" t="inlineStr"/>
    </row>
    <row r="2023" ht="15" customHeight="1">
      <c r="A2023" t="inlineStr">
        <is>
          <t>A 25655-2025</t>
        </is>
      </c>
      <c r="B2023" s="1" t="n">
        <v>45803</v>
      </c>
      <c r="C2023" s="1" t="n">
        <v>45849</v>
      </c>
      <c r="D2023" t="inlineStr">
        <is>
          <t>VÄSTERBOTTENS LÄN</t>
        </is>
      </c>
      <c r="E2023" t="inlineStr">
        <is>
          <t>LYCKSELE</t>
        </is>
      </c>
      <c r="F2023" t="inlineStr">
        <is>
          <t>Sveaskog</t>
        </is>
      </c>
      <c r="G2023" t="n">
        <v>1.3</v>
      </c>
      <c r="H2023" t="n">
        <v>0</v>
      </c>
      <c r="I2023" t="n">
        <v>0</v>
      </c>
      <c r="J2023" t="n">
        <v>0</v>
      </c>
      <c r="K2023" t="n">
        <v>0</v>
      </c>
      <c r="L2023" t="n">
        <v>0</v>
      </c>
      <c r="M2023" t="n">
        <v>0</v>
      </c>
      <c r="N2023" t="n">
        <v>0</v>
      </c>
      <c r="O2023" t="n">
        <v>0</v>
      </c>
      <c r="P2023" t="n">
        <v>0</v>
      </c>
      <c r="Q2023" t="n">
        <v>0</v>
      </c>
      <c r="R2023" s="2" t="inlineStr"/>
    </row>
    <row r="2024" ht="15" customHeight="1">
      <c r="A2024" t="inlineStr">
        <is>
          <t>A 25537-2025</t>
        </is>
      </c>
      <c r="B2024" s="1" t="n">
        <v>45803</v>
      </c>
      <c r="C2024" s="1" t="n">
        <v>45849</v>
      </c>
      <c r="D2024" t="inlineStr">
        <is>
          <t>VÄSTERBOTTENS LÄN</t>
        </is>
      </c>
      <c r="E2024" t="inlineStr">
        <is>
          <t>LYCKSELE</t>
        </is>
      </c>
      <c r="F2024" t="inlineStr">
        <is>
          <t>Holmen skog AB</t>
        </is>
      </c>
      <c r="G2024" t="n">
        <v>2.5</v>
      </c>
      <c r="H2024" t="n">
        <v>0</v>
      </c>
      <c r="I2024" t="n">
        <v>0</v>
      </c>
      <c r="J2024" t="n">
        <v>0</v>
      </c>
      <c r="K2024" t="n">
        <v>0</v>
      </c>
      <c r="L2024" t="n">
        <v>0</v>
      </c>
      <c r="M2024" t="n">
        <v>0</v>
      </c>
      <c r="N2024" t="n">
        <v>0</v>
      </c>
      <c r="O2024" t="n">
        <v>0</v>
      </c>
      <c r="P2024" t="n">
        <v>0</v>
      </c>
      <c r="Q2024" t="n">
        <v>0</v>
      </c>
      <c r="R2024" s="2" t="inlineStr"/>
    </row>
    <row r="2025" ht="15" customHeight="1">
      <c r="A2025" t="inlineStr">
        <is>
          <t>A 25618-2025</t>
        </is>
      </c>
      <c r="B2025" s="1" t="n">
        <v>45803</v>
      </c>
      <c r="C2025" s="1" t="n">
        <v>45849</v>
      </c>
      <c r="D2025" t="inlineStr">
        <is>
          <t>VÄSTERBOTTENS LÄN</t>
        </is>
      </c>
      <c r="E2025" t="inlineStr">
        <is>
          <t>LYCKSELE</t>
        </is>
      </c>
      <c r="F2025" t="inlineStr">
        <is>
          <t>SCA</t>
        </is>
      </c>
      <c r="G2025" t="n">
        <v>5.1</v>
      </c>
      <c r="H2025" t="n">
        <v>0</v>
      </c>
      <c r="I2025" t="n">
        <v>0</v>
      </c>
      <c r="J2025" t="n">
        <v>0</v>
      </c>
      <c r="K2025" t="n">
        <v>0</v>
      </c>
      <c r="L2025" t="n">
        <v>0</v>
      </c>
      <c r="M2025" t="n">
        <v>0</v>
      </c>
      <c r="N2025" t="n">
        <v>0</v>
      </c>
      <c r="O2025" t="n">
        <v>0</v>
      </c>
      <c r="P2025" t="n">
        <v>0</v>
      </c>
      <c r="Q2025" t="n">
        <v>0</v>
      </c>
      <c r="R2025" s="2" t="inlineStr"/>
    </row>
    <row r="2026" ht="15" customHeight="1">
      <c r="A2026" t="inlineStr">
        <is>
          <t>A 25590-2025</t>
        </is>
      </c>
      <c r="B2026" s="1" t="n">
        <v>45803</v>
      </c>
      <c r="C2026" s="1" t="n">
        <v>45849</v>
      </c>
      <c r="D2026" t="inlineStr">
        <is>
          <t>VÄSTERBOTTENS LÄN</t>
        </is>
      </c>
      <c r="E2026" t="inlineStr">
        <is>
          <t>LYCKSELE</t>
        </is>
      </c>
      <c r="G2026" t="n">
        <v>2.7</v>
      </c>
      <c r="H2026" t="n">
        <v>0</v>
      </c>
      <c r="I2026" t="n">
        <v>0</v>
      </c>
      <c r="J2026" t="n">
        <v>0</v>
      </c>
      <c r="K2026" t="n">
        <v>0</v>
      </c>
      <c r="L2026" t="n">
        <v>0</v>
      </c>
      <c r="M2026" t="n">
        <v>0</v>
      </c>
      <c r="N2026" t="n">
        <v>0</v>
      </c>
      <c r="O2026" t="n">
        <v>0</v>
      </c>
      <c r="P2026" t="n">
        <v>0</v>
      </c>
      <c r="Q2026" t="n">
        <v>0</v>
      </c>
      <c r="R2026" s="2" t="inlineStr"/>
    </row>
    <row r="2027" ht="15" customHeight="1">
      <c r="A2027" t="inlineStr">
        <is>
          <t>A 25581-2025</t>
        </is>
      </c>
      <c r="B2027" s="1" t="n">
        <v>45803</v>
      </c>
      <c r="C2027" s="1" t="n">
        <v>45849</v>
      </c>
      <c r="D2027" t="inlineStr">
        <is>
          <t>VÄSTERBOTTENS LÄN</t>
        </is>
      </c>
      <c r="E2027" t="inlineStr">
        <is>
          <t>LYCKSELE</t>
        </is>
      </c>
      <c r="G2027" t="n">
        <v>1</v>
      </c>
      <c r="H2027" t="n">
        <v>0</v>
      </c>
      <c r="I2027" t="n">
        <v>0</v>
      </c>
      <c r="J2027" t="n">
        <v>0</v>
      </c>
      <c r="K2027" t="n">
        <v>0</v>
      </c>
      <c r="L2027" t="n">
        <v>0</v>
      </c>
      <c r="M2027" t="n">
        <v>0</v>
      </c>
      <c r="N2027" t="n">
        <v>0</v>
      </c>
      <c r="O2027" t="n">
        <v>0</v>
      </c>
      <c r="P2027" t="n">
        <v>0</v>
      </c>
      <c r="Q2027" t="n">
        <v>0</v>
      </c>
      <c r="R2027" s="2" t="inlineStr"/>
    </row>
    <row r="2028" ht="15" customHeight="1">
      <c r="A2028" t="inlineStr">
        <is>
          <t>A 25573-2025</t>
        </is>
      </c>
      <c r="B2028" s="1" t="n">
        <v>45803</v>
      </c>
      <c r="C2028" s="1" t="n">
        <v>45849</v>
      </c>
      <c r="D2028" t="inlineStr">
        <is>
          <t>VÄSTERBOTTENS LÄN</t>
        </is>
      </c>
      <c r="E2028" t="inlineStr">
        <is>
          <t>LYCKSELE</t>
        </is>
      </c>
      <c r="G2028" t="n">
        <v>6.3</v>
      </c>
      <c r="H2028" t="n">
        <v>0</v>
      </c>
      <c r="I2028" t="n">
        <v>0</v>
      </c>
      <c r="J2028" t="n">
        <v>0</v>
      </c>
      <c r="K2028" t="n">
        <v>0</v>
      </c>
      <c r="L2028" t="n">
        <v>0</v>
      </c>
      <c r="M2028" t="n">
        <v>0</v>
      </c>
      <c r="N2028" t="n">
        <v>0</v>
      </c>
      <c r="O2028" t="n">
        <v>0</v>
      </c>
      <c r="P2028" t="n">
        <v>0</v>
      </c>
      <c r="Q2028" t="n">
        <v>0</v>
      </c>
      <c r="R2028" s="2" t="inlineStr"/>
    </row>
    <row r="2029" ht="15" customHeight="1">
      <c r="A2029" t="inlineStr">
        <is>
          <t>A 25565-2025</t>
        </is>
      </c>
      <c r="B2029" s="1" t="n">
        <v>45803</v>
      </c>
      <c r="C2029" s="1" t="n">
        <v>45849</v>
      </c>
      <c r="D2029" t="inlineStr">
        <is>
          <t>VÄSTERBOTTENS LÄN</t>
        </is>
      </c>
      <c r="E2029" t="inlineStr">
        <is>
          <t>LYCKSELE</t>
        </is>
      </c>
      <c r="G2029" t="n">
        <v>21.9</v>
      </c>
      <c r="H2029" t="n">
        <v>0</v>
      </c>
      <c r="I2029" t="n">
        <v>0</v>
      </c>
      <c r="J2029" t="n">
        <v>0</v>
      </c>
      <c r="K2029" t="n">
        <v>0</v>
      </c>
      <c r="L2029" t="n">
        <v>0</v>
      </c>
      <c r="M2029" t="n">
        <v>0</v>
      </c>
      <c r="N2029" t="n">
        <v>0</v>
      </c>
      <c r="O2029" t="n">
        <v>0</v>
      </c>
      <c r="P2029" t="n">
        <v>0</v>
      </c>
      <c r="Q2029" t="n">
        <v>0</v>
      </c>
      <c r="R2029" s="2" t="inlineStr"/>
    </row>
    <row r="2030" ht="15" customHeight="1">
      <c r="A2030" t="inlineStr">
        <is>
          <t>A 25616-2025</t>
        </is>
      </c>
      <c r="B2030" s="1" t="n">
        <v>45803</v>
      </c>
      <c r="C2030" s="1" t="n">
        <v>45849</v>
      </c>
      <c r="D2030" t="inlineStr">
        <is>
          <t>VÄSTERBOTTENS LÄN</t>
        </is>
      </c>
      <c r="E2030" t="inlineStr">
        <is>
          <t>LYCKSELE</t>
        </is>
      </c>
      <c r="F2030" t="inlineStr">
        <is>
          <t>Sveaskog</t>
        </is>
      </c>
      <c r="G2030" t="n">
        <v>1.1</v>
      </c>
      <c r="H2030" t="n">
        <v>0</v>
      </c>
      <c r="I2030" t="n">
        <v>0</v>
      </c>
      <c r="J2030" t="n">
        <v>0</v>
      </c>
      <c r="K2030" t="n">
        <v>0</v>
      </c>
      <c r="L2030" t="n">
        <v>0</v>
      </c>
      <c r="M2030" t="n">
        <v>0</v>
      </c>
      <c r="N2030" t="n">
        <v>0</v>
      </c>
      <c r="O2030" t="n">
        <v>0</v>
      </c>
      <c r="P2030" t="n">
        <v>0</v>
      </c>
      <c r="Q2030" t="n">
        <v>0</v>
      </c>
      <c r="R2030" s="2" t="inlineStr"/>
    </row>
    <row r="2031" ht="15" customHeight="1">
      <c r="A2031" t="inlineStr">
        <is>
          <t>A 26295-2025</t>
        </is>
      </c>
      <c r="B2031" s="1" t="n">
        <v>45805</v>
      </c>
      <c r="C2031" s="1" t="n">
        <v>45849</v>
      </c>
      <c r="D2031" t="inlineStr">
        <is>
          <t>VÄSTERBOTTENS LÄN</t>
        </is>
      </c>
      <c r="E2031" t="inlineStr">
        <is>
          <t>LYCKSELE</t>
        </is>
      </c>
      <c r="F2031" t="inlineStr">
        <is>
          <t>SCA</t>
        </is>
      </c>
      <c r="G2031" t="n">
        <v>3.7</v>
      </c>
      <c r="H2031" t="n">
        <v>0</v>
      </c>
      <c r="I2031" t="n">
        <v>0</v>
      </c>
      <c r="J2031" t="n">
        <v>0</v>
      </c>
      <c r="K2031" t="n">
        <v>0</v>
      </c>
      <c r="L2031" t="n">
        <v>0</v>
      </c>
      <c r="M2031" t="n">
        <v>0</v>
      </c>
      <c r="N2031" t="n">
        <v>0</v>
      </c>
      <c r="O2031" t="n">
        <v>0</v>
      </c>
      <c r="P2031" t="n">
        <v>0</v>
      </c>
      <c r="Q2031" t="n">
        <v>0</v>
      </c>
      <c r="R2031" s="2" t="inlineStr"/>
    </row>
    <row r="2032" ht="15" customHeight="1">
      <c r="A2032" t="inlineStr">
        <is>
          <t>A 26199-2025</t>
        </is>
      </c>
      <c r="B2032" s="1" t="n">
        <v>45805</v>
      </c>
      <c r="C2032" s="1" t="n">
        <v>45849</v>
      </c>
      <c r="D2032" t="inlineStr">
        <is>
          <t>VÄSTERBOTTENS LÄN</t>
        </is>
      </c>
      <c r="E2032" t="inlineStr">
        <is>
          <t>LYCKSELE</t>
        </is>
      </c>
      <c r="G2032" t="n">
        <v>1.1</v>
      </c>
      <c r="H2032" t="n">
        <v>0</v>
      </c>
      <c r="I2032" t="n">
        <v>0</v>
      </c>
      <c r="J2032" t="n">
        <v>0</v>
      </c>
      <c r="K2032" t="n">
        <v>0</v>
      </c>
      <c r="L2032" t="n">
        <v>0</v>
      </c>
      <c r="M2032" t="n">
        <v>0</v>
      </c>
      <c r="N2032" t="n">
        <v>0</v>
      </c>
      <c r="O2032" t="n">
        <v>0</v>
      </c>
      <c r="P2032" t="n">
        <v>0</v>
      </c>
      <c r="Q2032" t="n">
        <v>0</v>
      </c>
      <c r="R2032" s="2" t="inlineStr"/>
    </row>
    <row r="2033" ht="15" customHeight="1">
      <c r="A2033" t="inlineStr">
        <is>
          <t>A 26234-2025</t>
        </is>
      </c>
      <c r="B2033" s="1" t="n">
        <v>45805</v>
      </c>
      <c r="C2033" s="1" t="n">
        <v>45849</v>
      </c>
      <c r="D2033" t="inlineStr">
        <is>
          <t>VÄSTERBOTTENS LÄN</t>
        </is>
      </c>
      <c r="E2033" t="inlineStr">
        <is>
          <t>LYCKSELE</t>
        </is>
      </c>
      <c r="G2033" t="n">
        <v>2.2</v>
      </c>
      <c r="H2033" t="n">
        <v>0</v>
      </c>
      <c r="I2033" t="n">
        <v>0</v>
      </c>
      <c r="J2033" t="n">
        <v>0</v>
      </c>
      <c r="K2033" t="n">
        <v>0</v>
      </c>
      <c r="L2033" t="n">
        <v>0</v>
      </c>
      <c r="M2033" t="n">
        <v>0</v>
      </c>
      <c r="N2033" t="n">
        <v>0</v>
      </c>
      <c r="O2033" t="n">
        <v>0</v>
      </c>
      <c r="P2033" t="n">
        <v>0</v>
      </c>
      <c r="Q2033" t="n">
        <v>0</v>
      </c>
      <c r="R2033" s="2" t="inlineStr"/>
    </row>
    <row r="2034" ht="15" customHeight="1">
      <c r="A2034" t="inlineStr">
        <is>
          <t>A 26151-2025</t>
        </is>
      </c>
      <c r="B2034" s="1" t="n">
        <v>45805</v>
      </c>
      <c r="C2034" s="1" t="n">
        <v>45849</v>
      </c>
      <c r="D2034" t="inlineStr">
        <is>
          <t>VÄSTERBOTTENS LÄN</t>
        </is>
      </c>
      <c r="E2034" t="inlineStr">
        <is>
          <t>LYCKSELE</t>
        </is>
      </c>
      <c r="G2034" t="n">
        <v>6.8</v>
      </c>
      <c r="H2034" t="n">
        <v>0</v>
      </c>
      <c r="I2034" t="n">
        <v>0</v>
      </c>
      <c r="J2034" t="n">
        <v>0</v>
      </c>
      <c r="K2034" t="n">
        <v>0</v>
      </c>
      <c r="L2034" t="n">
        <v>0</v>
      </c>
      <c r="M2034" t="n">
        <v>0</v>
      </c>
      <c r="N2034" t="n">
        <v>0</v>
      </c>
      <c r="O2034" t="n">
        <v>0</v>
      </c>
      <c r="P2034" t="n">
        <v>0</v>
      </c>
      <c r="Q2034" t="n">
        <v>0</v>
      </c>
      <c r="R2034" s="2" t="inlineStr"/>
    </row>
    <row r="2035" ht="15" customHeight="1">
      <c r="A2035" t="inlineStr">
        <is>
          <t>A 26228-2025</t>
        </is>
      </c>
      <c r="B2035" s="1" t="n">
        <v>45805</v>
      </c>
      <c r="C2035" s="1" t="n">
        <v>45849</v>
      </c>
      <c r="D2035" t="inlineStr">
        <is>
          <t>VÄSTERBOTTENS LÄN</t>
        </is>
      </c>
      <c r="E2035" t="inlineStr">
        <is>
          <t>LYCKSELE</t>
        </is>
      </c>
      <c r="F2035" t="inlineStr">
        <is>
          <t>Sveaskog</t>
        </is>
      </c>
      <c r="G2035" t="n">
        <v>3.2</v>
      </c>
      <c r="H2035" t="n">
        <v>0</v>
      </c>
      <c r="I2035" t="n">
        <v>0</v>
      </c>
      <c r="J2035" t="n">
        <v>0</v>
      </c>
      <c r="K2035" t="n">
        <v>0</v>
      </c>
      <c r="L2035" t="n">
        <v>0</v>
      </c>
      <c r="M2035" t="n">
        <v>0</v>
      </c>
      <c r="N2035" t="n">
        <v>0</v>
      </c>
      <c r="O2035" t="n">
        <v>0</v>
      </c>
      <c r="P2035" t="n">
        <v>0</v>
      </c>
      <c r="Q2035" t="n">
        <v>0</v>
      </c>
      <c r="R2035" s="2" t="inlineStr"/>
    </row>
    <row r="2036" ht="15" customHeight="1">
      <c r="A2036" t="inlineStr">
        <is>
          <t>A 26227-2025</t>
        </is>
      </c>
      <c r="B2036" s="1" t="n">
        <v>45805</v>
      </c>
      <c r="C2036" s="1" t="n">
        <v>45849</v>
      </c>
      <c r="D2036" t="inlineStr">
        <is>
          <t>VÄSTERBOTTENS LÄN</t>
        </is>
      </c>
      <c r="E2036" t="inlineStr">
        <is>
          <t>LYCKSELE</t>
        </is>
      </c>
      <c r="G2036" t="n">
        <v>1.9</v>
      </c>
      <c r="H2036" t="n">
        <v>0</v>
      </c>
      <c r="I2036" t="n">
        <v>0</v>
      </c>
      <c r="J2036" t="n">
        <v>0</v>
      </c>
      <c r="K2036" t="n">
        <v>0</v>
      </c>
      <c r="L2036" t="n">
        <v>0</v>
      </c>
      <c r="M2036" t="n">
        <v>0</v>
      </c>
      <c r="N2036" t="n">
        <v>0</v>
      </c>
      <c r="O2036" t="n">
        <v>0</v>
      </c>
      <c r="P2036" t="n">
        <v>0</v>
      </c>
      <c r="Q2036" t="n">
        <v>0</v>
      </c>
      <c r="R2036" s="2" t="inlineStr"/>
    </row>
    <row r="2037" ht="15" customHeight="1">
      <c r="A2037" t="inlineStr">
        <is>
          <t>A 26419-2025</t>
        </is>
      </c>
      <c r="B2037" s="1" t="n">
        <v>45807</v>
      </c>
      <c r="C2037" s="1" t="n">
        <v>45849</v>
      </c>
      <c r="D2037" t="inlineStr">
        <is>
          <t>VÄSTERBOTTENS LÄN</t>
        </is>
      </c>
      <c r="E2037" t="inlineStr">
        <is>
          <t>LYCKSELE</t>
        </is>
      </c>
      <c r="F2037" t="inlineStr">
        <is>
          <t>Sveaskog</t>
        </is>
      </c>
      <c r="G2037" t="n">
        <v>9.4</v>
      </c>
      <c r="H2037" t="n">
        <v>0</v>
      </c>
      <c r="I2037" t="n">
        <v>0</v>
      </c>
      <c r="J2037" t="n">
        <v>0</v>
      </c>
      <c r="K2037" t="n">
        <v>0</v>
      </c>
      <c r="L2037" t="n">
        <v>0</v>
      </c>
      <c r="M2037" t="n">
        <v>0</v>
      </c>
      <c r="N2037" t="n">
        <v>0</v>
      </c>
      <c r="O2037" t="n">
        <v>0</v>
      </c>
      <c r="P2037" t="n">
        <v>0</v>
      </c>
      <c r="Q2037" t="n">
        <v>0</v>
      </c>
      <c r="R2037" s="2" t="inlineStr"/>
    </row>
    <row r="2038" ht="15" customHeight="1">
      <c r="A2038" t="inlineStr">
        <is>
          <t>A 26422-2025</t>
        </is>
      </c>
      <c r="B2038" s="1" t="n">
        <v>45807</v>
      </c>
      <c r="C2038" s="1" t="n">
        <v>45849</v>
      </c>
      <c r="D2038" t="inlineStr">
        <is>
          <t>VÄSTERBOTTENS LÄN</t>
        </is>
      </c>
      <c r="E2038" t="inlineStr">
        <is>
          <t>LYCKSELE</t>
        </is>
      </c>
      <c r="F2038" t="inlineStr">
        <is>
          <t>Sveaskog</t>
        </is>
      </c>
      <c r="G2038" t="n">
        <v>3.9</v>
      </c>
      <c r="H2038" t="n">
        <v>0</v>
      </c>
      <c r="I2038" t="n">
        <v>0</v>
      </c>
      <c r="J2038" t="n">
        <v>0</v>
      </c>
      <c r="K2038" t="n">
        <v>0</v>
      </c>
      <c r="L2038" t="n">
        <v>0</v>
      </c>
      <c r="M2038" t="n">
        <v>0</v>
      </c>
      <c r="N2038" t="n">
        <v>0</v>
      </c>
      <c r="O2038" t="n">
        <v>0</v>
      </c>
      <c r="P2038" t="n">
        <v>0</v>
      </c>
      <c r="Q2038" t="n">
        <v>0</v>
      </c>
      <c r="R2038" s="2" t="inlineStr"/>
    </row>
    <row r="2039" ht="15" customHeight="1">
      <c r="A2039" t="inlineStr">
        <is>
          <t>A 26410-2025</t>
        </is>
      </c>
      <c r="B2039" s="1" t="n">
        <v>45807</v>
      </c>
      <c r="C2039" s="1" t="n">
        <v>45849</v>
      </c>
      <c r="D2039" t="inlineStr">
        <is>
          <t>VÄSTERBOTTENS LÄN</t>
        </is>
      </c>
      <c r="E2039" t="inlineStr">
        <is>
          <t>LYCKSELE</t>
        </is>
      </c>
      <c r="F2039" t="inlineStr">
        <is>
          <t>Holmen skog AB</t>
        </is>
      </c>
      <c r="G2039" t="n">
        <v>2.2</v>
      </c>
      <c r="H2039" t="n">
        <v>0</v>
      </c>
      <c r="I2039" t="n">
        <v>0</v>
      </c>
      <c r="J2039" t="n">
        <v>0</v>
      </c>
      <c r="K2039" t="n">
        <v>0</v>
      </c>
      <c r="L2039" t="n">
        <v>0</v>
      </c>
      <c r="M2039" t="n">
        <v>0</v>
      </c>
      <c r="N2039" t="n">
        <v>0</v>
      </c>
      <c r="O2039" t="n">
        <v>0</v>
      </c>
      <c r="P2039" t="n">
        <v>0</v>
      </c>
      <c r="Q2039" t="n">
        <v>0</v>
      </c>
      <c r="R2039" s="2" t="inlineStr"/>
    </row>
    <row r="2040" ht="15" customHeight="1">
      <c r="A2040" t="inlineStr">
        <is>
          <t>A 26398-2025</t>
        </is>
      </c>
      <c r="B2040" s="1" t="n">
        <v>45807</v>
      </c>
      <c r="C2040" s="1" t="n">
        <v>45849</v>
      </c>
      <c r="D2040" t="inlineStr">
        <is>
          <t>VÄSTERBOTTENS LÄN</t>
        </is>
      </c>
      <c r="E2040" t="inlineStr">
        <is>
          <t>LYCKSELE</t>
        </is>
      </c>
      <c r="F2040" t="inlineStr">
        <is>
          <t>Holmen skog AB</t>
        </is>
      </c>
      <c r="G2040" t="n">
        <v>4.9</v>
      </c>
      <c r="H2040" t="n">
        <v>0</v>
      </c>
      <c r="I2040" t="n">
        <v>0</v>
      </c>
      <c r="J2040" t="n">
        <v>0</v>
      </c>
      <c r="K2040" t="n">
        <v>0</v>
      </c>
      <c r="L2040" t="n">
        <v>0</v>
      </c>
      <c r="M2040" t="n">
        <v>0</v>
      </c>
      <c r="N2040" t="n">
        <v>0</v>
      </c>
      <c r="O2040" t="n">
        <v>0</v>
      </c>
      <c r="P2040" t="n">
        <v>0</v>
      </c>
      <c r="Q2040" t="n">
        <v>0</v>
      </c>
      <c r="R2040" s="2" t="inlineStr"/>
    </row>
    <row r="2041" ht="15" customHeight="1">
      <c r="A2041" t="inlineStr">
        <is>
          <t>A 26622-2025</t>
        </is>
      </c>
      <c r="B2041" s="1" t="n">
        <v>45810</v>
      </c>
      <c r="C2041" s="1" t="n">
        <v>45849</v>
      </c>
      <c r="D2041" t="inlineStr">
        <is>
          <t>VÄSTERBOTTENS LÄN</t>
        </is>
      </c>
      <c r="E2041" t="inlineStr">
        <is>
          <t>LYCKSELE</t>
        </is>
      </c>
      <c r="G2041" t="n">
        <v>3.6</v>
      </c>
      <c r="H2041" t="n">
        <v>0</v>
      </c>
      <c r="I2041" t="n">
        <v>0</v>
      </c>
      <c r="J2041" t="n">
        <v>0</v>
      </c>
      <c r="K2041" t="n">
        <v>0</v>
      </c>
      <c r="L2041" t="n">
        <v>0</v>
      </c>
      <c r="M2041" t="n">
        <v>0</v>
      </c>
      <c r="N2041" t="n">
        <v>0</v>
      </c>
      <c r="O2041" t="n">
        <v>0</v>
      </c>
      <c r="P2041" t="n">
        <v>0</v>
      </c>
      <c r="Q2041" t="n">
        <v>0</v>
      </c>
      <c r="R2041" s="2" t="inlineStr"/>
    </row>
    <row r="2042" ht="15" customHeight="1">
      <c r="A2042" t="inlineStr">
        <is>
          <t>A 26951-2025</t>
        </is>
      </c>
      <c r="B2042" s="1" t="n">
        <v>45811</v>
      </c>
      <c r="C2042" s="1" t="n">
        <v>45849</v>
      </c>
      <c r="D2042" t="inlineStr">
        <is>
          <t>VÄSTERBOTTENS LÄN</t>
        </is>
      </c>
      <c r="E2042" t="inlineStr">
        <is>
          <t>LYCKSELE</t>
        </is>
      </c>
      <c r="F2042" t="inlineStr">
        <is>
          <t>Holmen skog AB</t>
        </is>
      </c>
      <c r="G2042" t="n">
        <v>3.1</v>
      </c>
      <c r="H2042" t="n">
        <v>0</v>
      </c>
      <c r="I2042" t="n">
        <v>0</v>
      </c>
      <c r="J2042" t="n">
        <v>0</v>
      </c>
      <c r="K2042" t="n">
        <v>0</v>
      </c>
      <c r="L2042" t="n">
        <v>0</v>
      </c>
      <c r="M2042" t="n">
        <v>0</v>
      </c>
      <c r="N2042" t="n">
        <v>0</v>
      </c>
      <c r="O2042" t="n">
        <v>0</v>
      </c>
      <c r="P2042" t="n">
        <v>0</v>
      </c>
      <c r="Q2042" t="n">
        <v>0</v>
      </c>
      <c r="R2042" s="2" t="inlineStr"/>
    </row>
    <row r="2043" ht="15" customHeight="1">
      <c r="A2043" t="inlineStr">
        <is>
          <t>A 26893-2025</t>
        </is>
      </c>
      <c r="B2043" s="1" t="n">
        <v>45811</v>
      </c>
      <c r="C2043" s="1" t="n">
        <v>45849</v>
      </c>
      <c r="D2043" t="inlineStr">
        <is>
          <t>VÄSTERBOTTENS LÄN</t>
        </is>
      </c>
      <c r="E2043" t="inlineStr">
        <is>
          <t>LYCKSELE</t>
        </is>
      </c>
      <c r="F2043" t="inlineStr">
        <is>
          <t>Holmen skog AB</t>
        </is>
      </c>
      <c r="G2043" t="n">
        <v>22</v>
      </c>
      <c r="H2043" t="n">
        <v>0</v>
      </c>
      <c r="I2043" t="n">
        <v>0</v>
      </c>
      <c r="J2043" t="n">
        <v>0</v>
      </c>
      <c r="K2043" t="n">
        <v>0</v>
      </c>
      <c r="L2043" t="n">
        <v>0</v>
      </c>
      <c r="M2043" t="n">
        <v>0</v>
      </c>
      <c r="N2043" t="n">
        <v>0</v>
      </c>
      <c r="O2043" t="n">
        <v>0</v>
      </c>
      <c r="P2043" t="n">
        <v>0</v>
      </c>
      <c r="Q2043" t="n">
        <v>0</v>
      </c>
      <c r="R2043" s="2" t="inlineStr"/>
    </row>
    <row r="2044" ht="15" customHeight="1">
      <c r="A2044" t="inlineStr">
        <is>
          <t>A 27072-2025</t>
        </is>
      </c>
      <c r="B2044" s="1" t="n">
        <v>45811</v>
      </c>
      <c r="C2044" s="1" t="n">
        <v>45849</v>
      </c>
      <c r="D2044" t="inlineStr">
        <is>
          <t>VÄSTERBOTTENS LÄN</t>
        </is>
      </c>
      <c r="E2044" t="inlineStr">
        <is>
          <t>LYCKSELE</t>
        </is>
      </c>
      <c r="F2044" t="inlineStr">
        <is>
          <t>Sveaskog</t>
        </is>
      </c>
      <c r="G2044" t="n">
        <v>4.2</v>
      </c>
      <c r="H2044" t="n">
        <v>0</v>
      </c>
      <c r="I2044" t="n">
        <v>0</v>
      </c>
      <c r="J2044" t="n">
        <v>0</v>
      </c>
      <c r="K2044" t="n">
        <v>0</v>
      </c>
      <c r="L2044" t="n">
        <v>0</v>
      </c>
      <c r="M2044" t="n">
        <v>0</v>
      </c>
      <c r="N2044" t="n">
        <v>0</v>
      </c>
      <c r="O2044" t="n">
        <v>0</v>
      </c>
      <c r="P2044" t="n">
        <v>0</v>
      </c>
      <c r="Q2044" t="n">
        <v>0</v>
      </c>
      <c r="R2044" s="2" t="inlineStr"/>
    </row>
    <row r="2045" ht="15" customHeight="1">
      <c r="A2045" t="inlineStr">
        <is>
          <t>A 27080-2025</t>
        </is>
      </c>
      <c r="B2045" s="1" t="n">
        <v>45811</v>
      </c>
      <c r="C2045" s="1" t="n">
        <v>45849</v>
      </c>
      <c r="D2045" t="inlineStr">
        <is>
          <t>VÄSTERBOTTENS LÄN</t>
        </is>
      </c>
      <c r="E2045" t="inlineStr">
        <is>
          <t>LYCKSELE</t>
        </is>
      </c>
      <c r="F2045" t="inlineStr">
        <is>
          <t>Holmen skog AB</t>
        </is>
      </c>
      <c r="G2045" t="n">
        <v>2.3</v>
      </c>
      <c r="H2045" t="n">
        <v>0</v>
      </c>
      <c r="I2045" t="n">
        <v>0</v>
      </c>
      <c r="J2045" t="n">
        <v>0</v>
      </c>
      <c r="K2045" t="n">
        <v>0</v>
      </c>
      <c r="L2045" t="n">
        <v>0</v>
      </c>
      <c r="M2045" t="n">
        <v>0</v>
      </c>
      <c r="N2045" t="n">
        <v>0</v>
      </c>
      <c r="O2045" t="n">
        <v>0</v>
      </c>
      <c r="P2045" t="n">
        <v>0</v>
      </c>
      <c r="Q2045" t="n">
        <v>0</v>
      </c>
      <c r="R2045" s="2" t="inlineStr"/>
    </row>
    <row r="2046" ht="15" customHeight="1">
      <c r="A2046" t="inlineStr">
        <is>
          <t>A 27306-2025</t>
        </is>
      </c>
      <c r="B2046" s="1" t="n">
        <v>45812</v>
      </c>
      <c r="C2046" s="1" t="n">
        <v>45849</v>
      </c>
      <c r="D2046" t="inlineStr">
        <is>
          <t>VÄSTERBOTTENS LÄN</t>
        </is>
      </c>
      <c r="E2046" t="inlineStr">
        <is>
          <t>LYCKSELE</t>
        </is>
      </c>
      <c r="F2046" t="inlineStr">
        <is>
          <t>SCA</t>
        </is>
      </c>
      <c r="G2046" t="n">
        <v>7.1</v>
      </c>
      <c r="H2046" t="n">
        <v>0</v>
      </c>
      <c r="I2046" t="n">
        <v>0</v>
      </c>
      <c r="J2046" t="n">
        <v>0</v>
      </c>
      <c r="K2046" t="n">
        <v>0</v>
      </c>
      <c r="L2046" t="n">
        <v>0</v>
      </c>
      <c r="M2046" t="n">
        <v>0</v>
      </c>
      <c r="N2046" t="n">
        <v>0</v>
      </c>
      <c r="O2046" t="n">
        <v>0</v>
      </c>
      <c r="P2046" t="n">
        <v>0</v>
      </c>
      <c r="Q2046" t="n">
        <v>0</v>
      </c>
      <c r="R2046" s="2" t="inlineStr"/>
    </row>
    <row r="2047" ht="15" customHeight="1">
      <c r="A2047" t="inlineStr">
        <is>
          <t>A 27595-2025</t>
        </is>
      </c>
      <c r="B2047" s="1" t="n">
        <v>45813</v>
      </c>
      <c r="C2047" s="1" t="n">
        <v>45849</v>
      </c>
      <c r="D2047" t="inlineStr">
        <is>
          <t>VÄSTERBOTTENS LÄN</t>
        </is>
      </c>
      <c r="E2047" t="inlineStr">
        <is>
          <t>LYCKSELE</t>
        </is>
      </c>
      <c r="G2047" t="n">
        <v>10</v>
      </c>
      <c r="H2047" t="n">
        <v>0</v>
      </c>
      <c r="I2047" t="n">
        <v>0</v>
      </c>
      <c r="J2047" t="n">
        <v>0</v>
      </c>
      <c r="K2047" t="n">
        <v>0</v>
      </c>
      <c r="L2047" t="n">
        <v>0</v>
      </c>
      <c r="M2047" t="n">
        <v>0</v>
      </c>
      <c r="N2047" t="n">
        <v>0</v>
      </c>
      <c r="O2047" t="n">
        <v>0</v>
      </c>
      <c r="P2047" t="n">
        <v>0</v>
      </c>
      <c r="Q2047" t="n">
        <v>0</v>
      </c>
      <c r="R2047" s="2" t="inlineStr"/>
    </row>
    <row r="2048" ht="15" customHeight="1">
      <c r="A2048" t="inlineStr">
        <is>
          <t>A 27564-2025</t>
        </is>
      </c>
      <c r="B2048" s="1" t="n">
        <v>45813</v>
      </c>
      <c r="C2048" s="1" t="n">
        <v>45849</v>
      </c>
      <c r="D2048" t="inlineStr">
        <is>
          <t>VÄSTERBOTTENS LÄN</t>
        </is>
      </c>
      <c r="E2048" t="inlineStr">
        <is>
          <t>LYCKSELE</t>
        </is>
      </c>
      <c r="G2048" t="n">
        <v>6.7</v>
      </c>
      <c r="H2048" t="n">
        <v>0</v>
      </c>
      <c r="I2048" t="n">
        <v>0</v>
      </c>
      <c r="J2048" t="n">
        <v>0</v>
      </c>
      <c r="K2048" t="n">
        <v>0</v>
      </c>
      <c r="L2048" t="n">
        <v>0</v>
      </c>
      <c r="M2048" t="n">
        <v>0</v>
      </c>
      <c r="N2048" t="n">
        <v>0</v>
      </c>
      <c r="O2048" t="n">
        <v>0</v>
      </c>
      <c r="P2048" t="n">
        <v>0</v>
      </c>
      <c r="Q2048" t="n">
        <v>0</v>
      </c>
      <c r="R2048" s="2" t="inlineStr"/>
    </row>
    <row r="2049" ht="15" customHeight="1">
      <c r="A2049" t="inlineStr">
        <is>
          <t>A 27588-2025</t>
        </is>
      </c>
      <c r="B2049" s="1" t="n">
        <v>45813</v>
      </c>
      <c r="C2049" s="1" t="n">
        <v>45849</v>
      </c>
      <c r="D2049" t="inlineStr">
        <is>
          <t>VÄSTERBOTTENS LÄN</t>
        </is>
      </c>
      <c r="E2049" t="inlineStr">
        <is>
          <t>LYCKSELE</t>
        </is>
      </c>
      <c r="G2049" t="n">
        <v>5.3</v>
      </c>
      <c r="H2049" t="n">
        <v>0</v>
      </c>
      <c r="I2049" t="n">
        <v>0</v>
      </c>
      <c r="J2049" t="n">
        <v>0</v>
      </c>
      <c r="K2049" t="n">
        <v>0</v>
      </c>
      <c r="L2049" t="n">
        <v>0</v>
      </c>
      <c r="M2049" t="n">
        <v>0</v>
      </c>
      <c r="N2049" t="n">
        <v>0</v>
      </c>
      <c r="O2049" t="n">
        <v>0</v>
      </c>
      <c r="P2049" t="n">
        <v>0</v>
      </c>
      <c r="Q2049" t="n">
        <v>0</v>
      </c>
      <c r="R2049" s="2" t="inlineStr"/>
    </row>
    <row r="2050" ht="15" customHeight="1">
      <c r="A2050" t="inlineStr">
        <is>
          <t>A 27637-2025</t>
        </is>
      </c>
      <c r="B2050" s="1" t="n">
        <v>45813</v>
      </c>
      <c r="C2050" s="1" t="n">
        <v>45849</v>
      </c>
      <c r="D2050" t="inlineStr">
        <is>
          <t>VÄSTERBOTTENS LÄN</t>
        </is>
      </c>
      <c r="E2050" t="inlineStr">
        <is>
          <t>LYCKSELE</t>
        </is>
      </c>
      <c r="F2050" t="inlineStr">
        <is>
          <t>Holmen skog AB</t>
        </is>
      </c>
      <c r="G2050" t="n">
        <v>8.5</v>
      </c>
      <c r="H2050" t="n">
        <v>0</v>
      </c>
      <c r="I2050" t="n">
        <v>0</v>
      </c>
      <c r="J2050" t="n">
        <v>0</v>
      </c>
      <c r="K2050" t="n">
        <v>0</v>
      </c>
      <c r="L2050" t="n">
        <v>0</v>
      </c>
      <c r="M2050" t="n">
        <v>0</v>
      </c>
      <c r="N2050" t="n">
        <v>0</v>
      </c>
      <c r="O2050" t="n">
        <v>0</v>
      </c>
      <c r="P2050" t="n">
        <v>0</v>
      </c>
      <c r="Q2050" t="n">
        <v>0</v>
      </c>
      <c r="R2050" s="2" t="inlineStr"/>
    </row>
    <row r="2051" ht="15" customHeight="1">
      <c r="A2051" t="inlineStr">
        <is>
          <t>A 27643-2025</t>
        </is>
      </c>
      <c r="B2051" s="1" t="n">
        <v>45813</v>
      </c>
      <c r="C2051" s="1" t="n">
        <v>45849</v>
      </c>
      <c r="D2051" t="inlineStr">
        <is>
          <t>VÄSTERBOTTENS LÄN</t>
        </is>
      </c>
      <c r="E2051" t="inlineStr">
        <is>
          <t>LYCKSELE</t>
        </is>
      </c>
      <c r="F2051" t="inlineStr">
        <is>
          <t>SCA</t>
        </is>
      </c>
      <c r="G2051" t="n">
        <v>6.3</v>
      </c>
      <c r="H2051" t="n">
        <v>0</v>
      </c>
      <c r="I2051" t="n">
        <v>0</v>
      </c>
      <c r="J2051" t="n">
        <v>0</v>
      </c>
      <c r="K2051" t="n">
        <v>0</v>
      </c>
      <c r="L2051" t="n">
        <v>0</v>
      </c>
      <c r="M2051" t="n">
        <v>0</v>
      </c>
      <c r="N2051" t="n">
        <v>0</v>
      </c>
      <c r="O2051" t="n">
        <v>0</v>
      </c>
      <c r="P2051" t="n">
        <v>0</v>
      </c>
      <c r="Q2051" t="n">
        <v>0</v>
      </c>
      <c r="R2051" s="2" t="inlineStr"/>
    </row>
    <row r="2052" ht="15" customHeight="1">
      <c r="A2052" t="inlineStr">
        <is>
          <t>A 27562-2025</t>
        </is>
      </c>
      <c r="B2052" s="1" t="n">
        <v>45813</v>
      </c>
      <c r="C2052" s="1" t="n">
        <v>45849</v>
      </c>
      <c r="D2052" t="inlineStr">
        <is>
          <t>VÄSTERBOTTENS LÄN</t>
        </is>
      </c>
      <c r="E2052" t="inlineStr">
        <is>
          <t>LYCKSELE</t>
        </is>
      </c>
      <c r="G2052" t="n">
        <v>3.8</v>
      </c>
      <c r="H2052" t="n">
        <v>0</v>
      </c>
      <c r="I2052" t="n">
        <v>0</v>
      </c>
      <c r="J2052" t="n">
        <v>0</v>
      </c>
      <c r="K2052" t="n">
        <v>0</v>
      </c>
      <c r="L2052" t="n">
        <v>0</v>
      </c>
      <c r="M2052" t="n">
        <v>0</v>
      </c>
      <c r="N2052" t="n">
        <v>0</v>
      </c>
      <c r="O2052" t="n">
        <v>0</v>
      </c>
      <c r="P2052" t="n">
        <v>0</v>
      </c>
      <c r="Q2052" t="n">
        <v>0</v>
      </c>
      <c r="R2052" s="2" t="inlineStr"/>
    </row>
    <row r="2053" ht="15" customHeight="1">
      <c r="A2053" t="inlineStr">
        <is>
          <t>A 27610-2025</t>
        </is>
      </c>
      <c r="B2053" s="1" t="n">
        <v>45813</v>
      </c>
      <c r="C2053" s="1" t="n">
        <v>45849</v>
      </c>
      <c r="D2053" t="inlineStr">
        <is>
          <t>VÄSTERBOTTENS LÄN</t>
        </is>
      </c>
      <c r="E2053" t="inlineStr">
        <is>
          <t>LYCKSELE</t>
        </is>
      </c>
      <c r="F2053" t="inlineStr">
        <is>
          <t>Holmen skog AB</t>
        </is>
      </c>
      <c r="G2053" t="n">
        <v>15</v>
      </c>
      <c r="H2053" t="n">
        <v>0</v>
      </c>
      <c r="I2053" t="n">
        <v>0</v>
      </c>
      <c r="J2053" t="n">
        <v>0</v>
      </c>
      <c r="K2053" t="n">
        <v>0</v>
      </c>
      <c r="L2053" t="n">
        <v>0</v>
      </c>
      <c r="M2053" t="n">
        <v>0</v>
      </c>
      <c r="N2053" t="n">
        <v>0</v>
      </c>
      <c r="O2053" t="n">
        <v>0</v>
      </c>
      <c r="P2053" t="n">
        <v>0</v>
      </c>
      <c r="Q2053" t="n">
        <v>0</v>
      </c>
      <c r="R2053" s="2" t="inlineStr"/>
    </row>
    <row r="2054" ht="15" customHeight="1">
      <c r="A2054" t="inlineStr">
        <is>
          <t>A 27471-2025</t>
        </is>
      </c>
      <c r="B2054" s="1" t="n">
        <v>45813</v>
      </c>
      <c r="C2054" s="1" t="n">
        <v>45849</v>
      </c>
      <c r="D2054" t="inlineStr">
        <is>
          <t>VÄSTERBOTTENS LÄN</t>
        </is>
      </c>
      <c r="E2054" t="inlineStr">
        <is>
          <t>LYCKSELE</t>
        </is>
      </c>
      <c r="G2054" t="n">
        <v>6</v>
      </c>
      <c r="H2054" t="n">
        <v>0</v>
      </c>
      <c r="I2054" t="n">
        <v>0</v>
      </c>
      <c r="J2054" t="n">
        <v>0</v>
      </c>
      <c r="K2054" t="n">
        <v>0</v>
      </c>
      <c r="L2054" t="n">
        <v>0</v>
      </c>
      <c r="M2054" t="n">
        <v>0</v>
      </c>
      <c r="N2054" t="n">
        <v>0</v>
      </c>
      <c r="O2054" t="n">
        <v>0</v>
      </c>
      <c r="P2054" t="n">
        <v>0</v>
      </c>
      <c r="Q2054" t="n">
        <v>0</v>
      </c>
      <c r="R2054" s="2" t="inlineStr"/>
    </row>
    <row r="2055" ht="15" customHeight="1">
      <c r="A2055" t="inlineStr">
        <is>
          <t>A 27736-2025</t>
        </is>
      </c>
      <c r="B2055" s="1" t="n">
        <v>45815</v>
      </c>
      <c r="C2055" s="1" t="n">
        <v>45849</v>
      </c>
      <c r="D2055" t="inlineStr">
        <is>
          <t>VÄSTERBOTTENS LÄN</t>
        </is>
      </c>
      <c r="E2055" t="inlineStr">
        <is>
          <t>LYCKSELE</t>
        </is>
      </c>
      <c r="G2055" t="n">
        <v>6.8</v>
      </c>
      <c r="H2055" t="n">
        <v>0</v>
      </c>
      <c r="I2055" t="n">
        <v>0</v>
      </c>
      <c r="J2055" t="n">
        <v>0</v>
      </c>
      <c r="K2055" t="n">
        <v>0</v>
      </c>
      <c r="L2055" t="n">
        <v>0</v>
      </c>
      <c r="M2055" t="n">
        <v>0</v>
      </c>
      <c r="N2055" t="n">
        <v>0</v>
      </c>
      <c r="O2055" t="n">
        <v>0</v>
      </c>
      <c r="P2055" t="n">
        <v>0</v>
      </c>
      <c r="Q2055" t="n">
        <v>0</v>
      </c>
      <c r="R2055" s="2" t="inlineStr"/>
    </row>
    <row r="2056" ht="15" customHeight="1">
      <c r="A2056" t="inlineStr">
        <is>
          <t>A 27735-2025</t>
        </is>
      </c>
      <c r="B2056" s="1" t="n">
        <v>45815</v>
      </c>
      <c r="C2056" s="1" t="n">
        <v>45849</v>
      </c>
      <c r="D2056" t="inlineStr">
        <is>
          <t>VÄSTERBOTTENS LÄN</t>
        </is>
      </c>
      <c r="E2056" t="inlineStr">
        <is>
          <t>LYCKSELE</t>
        </is>
      </c>
      <c r="G2056" t="n">
        <v>7.9</v>
      </c>
      <c r="H2056" t="n">
        <v>0</v>
      </c>
      <c r="I2056" t="n">
        <v>0</v>
      </c>
      <c r="J2056" t="n">
        <v>0</v>
      </c>
      <c r="K2056" t="n">
        <v>0</v>
      </c>
      <c r="L2056" t="n">
        <v>0</v>
      </c>
      <c r="M2056" t="n">
        <v>0</v>
      </c>
      <c r="N2056" t="n">
        <v>0</v>
      </c>
      <c r="O2056" t="n">
        <v>0</v>
      </c>
      <c r="P2056" t="n">
        <v>0</v>
      </c>
      <c r="Q2056" t="n">
        <v>0</v>
      </c>
      <c r="R2056" s="2" t="inlineStr"/>
    </row>
    <row r="2057" ht="15" customHeight="1">
      <c r="A2057" t="inlineStr">
        <is>
          <t>A 28170-2025</t>
        </is>
      </c>
      <c r="B2057" s="1" t="n">
        <v>45818</v>
      </c>
      <c r="C2057" s="1" t="n">
        <v>45849</v>
      </c>
      <c r="D2057" t="inlineStr">
        <is>
          <t>VÄSTERBOTTENS LÄN</t>
        </is>
      </c>
      <c r="E2057" t="inlineStr">
        <is>
          <t>LYCKSELE</t>
        </is>
      </c>
      <c r="F2057" t="inlineStr">
        <is>
          <t>Sveaskog</t>
        </is>
      </c>
      <c r="G2057" t="n">
        <v>12.6</v>
      </c>
      <c r="H2057" t="n">
        <v>0</v>
      </c>
      <c r="I2057" t="n">
        <v>0</v>
      </c>
      <c r="J2057" t="n">
        <v>0</v>
      </c>
      <c r="K2057" t="n">
        <v>0</v>
      </c>
      <c r="L2057" t="n">
        <v>0</v>
      </c>
      <c r="M2057" t="n">
        <v>0</v>
      </c>
      <c r="N2057" t="n">
        <v>0</v>
      </c>
      <c r="O2057" t="n">
        <v>0</v>
      </c>
      <c r="P2057" t="n">
        <v>0</v>
      </c>
      <c r="Q2057" t="n">
        <v>0</v>
      </c>
      <c r="R2057" s="2" t="inlineStr"/>
    </row>
    <row r="2058" ht="15" customHeight="1">
      <c r="A2058" t="inlineStr">
        <is>
          <t>A 28306-2025</t>
        </is>
      </c>
      <c r="B2058" s="1" t="n">
        <v>45818</v>
      </c>
      <c r="C2058" s="1" t="n">
        <v>45849</v>
      </c>
      <c r="D2058" t="inlineStr">
        <is>
          <t>VÄSTERBOTTENS LÄN</t>
        </is>
      </c>
      <c r="E2058" t="inlineStr">
        <is>
          <t>LYCKSELE</t>
        </is>
      </c>
      <c r="F2058" t="inlineStr">
        <is>
          <t>Sveaskog</t>
        </is>
      </c>
      <c r="G2058" t="n">
        <v>3</v>
      </c>
      <c r="H2058" t="n">
        <v>0</v>
      </c>
      <c r="I2058" t="n">
        <v>0</v>
      </c>
      <c r="J2058" t="n">
        <v>0</v>
      </c>
      <c r="K2058" t="n">
        <v>0</v>
      </c>
      <c r="L2058" t="n">
        <v>0</v>
      </c>
      <c r="M2058" t="n">
        <v>0</v>
      </c>
      <c r="N2058" t="n">
        <v>0</v>
      </c>
      <c r="O2058" t="n">
        <v>0</v>
      </c>
      <c r="P2058" t="n">
        <v>0</v>
      </c>
      <c r="Q2058" t="n">
        <v>0</v>
      </c>
      <c r="R2058" s="2" t="inlineStr"/>
    </row>
    <row r="2059" ht="15" customHeight="1">
      <c r="A2059" t="inlineStr">
        <is>
          <t>A 28345-2025</t>
        </is>
      </c>
      <c r="B2059" s="1" t="n">
        <v>45818</v>
      </c>
      <c r="C2059" s="1" t="n">
        <v>45849</v>
      </c>
      <c r="D2059" t="inlineStr">
        <is>
          <t>VÄSTERBOTTENS LÄN</t>
        </is>
      </c>
      <c r="E2059" t="inlineStr">
        <is>
          <t>LYCKSELE</t>
        </is>
      </c>
      <c r="F2059" t="inlineStr">
        <is>
          <t>Holmen skog AB</t>
        </is>
      </c>
      <c r="G2059" t="n">
        <v>16.9</v>
      </c>
      <c r="H2059" t="n">
        <v>0</v>
      </c>
      <c r="I2059" t="n">
        <v>0</v>
      </c>
      <c r="J2059" t="n">
        <v>0</v>
      </c>
      <c r="K2059" t="n">
        <v>0</v>
      </c>
      <c r="L2059" t="n">
        <v>0</v>
      </c>
      <c r="M2059" t="n">
        <v>0</v>
      </c>
      <c r="N2059" t="n">
        <v>0</v>
      </c>
      <c r="O2059" t="n">
        <v>0</v>
      </c>
      <c r="P2059" t="n">
        <v>0</v>
      </c>
      <c r="Q2059" t="n">
        <v>0</v>
      </c>
      <c r="R2059" s="2" t="inlineStr"/>
    </row>
    <row r="2060" ht="15" customHeight="1">
      <c r="A2060" t="inlineStr">
        <is>
          <t>A 28486-2025</t>
        </is>
      </c>
      <c r="B2060" s="1" t="n">
        <v>45819</v>
      </c>
      <c r="C2060" s="1" t="n">
        <v>45849</v>
      </c>
      <c r="D2060" t="inlineStr">
        <is>
          <t>VÄSTERBOTTENS LÄN</t>
        </is>
      </c>
      <c r="E2060" t="inlineStr">
        <is>
          <t>LYCKSELE</t>
        </is>
      </c>
      <c r="F2060" t="inlineStr">
        <is>
          <t>Holmen skog AB</t>
        </is>
      </c>
      <c r="G2060" t="n">
        <v>3.5</v>
      </c>
      <c r="H2060" t="n">
        <v>0</v>
      </c>
      <c r="I2060" t="n">
        <v>0</v>
      </c>
      <c r="J2060" t="n">
        <v>0</v>
      </c>
      <c r="K2060" t="n">
        <v>0</v>
      </c>
      <c r="L2060" t="n">
        <v>0</v>
      </c>
      <c r="M2060" t="n">
        <v>0</v>
      </c>
      <c r="N2060" t="n">
        <v>0</v>
      </c>
      <c r="O2060" t="n">
        <v>0</v>
      </c>
      <c r="P2060" t="n">
        <v>0</v>
      </c>
      <c r="Q2060" t="n">
        <v>0</v>
      </c>
      <c r="R2060" s="2" t="inlineStr"/>
    </row>
    <row r="2061" ht="15" customHeight="1">
      <c r="A2061" t="inlineStr">
        <is>
          <t>A 28825-2025</t>
        </is>
      </c>
      <c r="B2061" s="1" t="n">
        <v>45820</v>
      </c>
      <c r="C2061" s="1" t="n">
        <v>45849</v>
      </c>
      <c r="D2061" t="inlineStr">
        <is>
          <t>VÄSTERBOTTENS LÄN</t>
        </is>
      </c>
      <c r="E2061" t="inlineStr">
        <is>
          <t>LYCKSELE</t>
        </is>
      </c>
      <c r="F2061" t="inlineStr">
        <is>
          <t>Sveaskog</t>
        </is>
      </c>
      <c r="G2061" t="n">
        <v>11.9</v>
      </c>
      <c r="H2061" t="n">
        <v>0</v>
      </c>
      <c r="I2061" t="n">
        <v>0</v>
      </c>
      <c r="J2061" t="n">
        <v>0</v>
      </c>
      <c r="K2061" t="n">
        <v>0</v>
      </c>
      <c r="L2061" t="n">
        <v>0</v>
      </c>
      <c r="M2061" t="n">
        <v>0</v>
      </c>
      <c r="N2061" t="n">
        <v>0</v>
      </c>
      <c r="O2061" t="n">
        <v>0</v>
      </c>
      <c r="P2061" t="n">
        <v>0</v>
      </c>
      <c r="Q2061" t="n">
        <v>0</v>
      </c>
      <c r="R2061" s="2" t="inlineStr"/>
    </row>
    <row r="2062" ht="15" customHeight="1">
      <c r="A2062" t="inlineStr">
        <is>
          <t>A 28826-2025</t>
        </is>
      </c>
      <c r="B2062" s="1" t="n">
        <v>45820</v>
      </c>
      <c r="C2062" s="1" t="n">
        <v>45849</v>
      </c>
      <c r="D2062" t="inlineStr">
        <is>
          <t>VÄSTERBOTTENS LÄN</t>
        </is>
      </c>
      <c r="E2062" t="inlineStr">
        <is>
          <t>LYCKSELE</t>
        </is>
      </c>
      <c r="F2062" t="inlineStr">
        <is>
          <t>Sveaskog</t>
        </is>
      </c>
      <c r="G2062" t="n">
        <v>5.7</v>
      </c>
      <c r="H2062" t="n">
        <v>0</v>
      </c>
      <c r="I2062" t="n">
        <v>0</v>
      </c>
      <c r="J2062" t="n">
        <v>0</v>
      </c>
      <c r="K2062" t="n">
        <v>0</v>
      </c>
      <c r="L2062" t="n">
        <v>0</v>
      </c>
      <c r="M2062" t="n">
        <v>0</v>
      </c>
      <c r="N2062" t="n">
        <v>0</v>
      </c>
      <c r="O2062" t="n">
        <v>0</v>
      </c>
      <c r="P2062" t="n">
        <v>0</v>
      </c>
      <c r="Q2062" t="n">
        <v>0</v>
      </c>
      <c r="R2062" s="2" t="inlineStr"/>
    </row>
    <row r="2063" ht="15" customHeight="1">
      <c r="A2063" t="inlineStr">
        <is>
          <t>A 28833-2025</t>
        </is>
      </c>
      <c r="B2063" s="1" t="n">
        <v>45820</v>
      </c>
      <c r="C2063" s="1" t="n">
        <v>45849</v>
      </c>
      <c r="D2063" t="inlineStr">
        <is>
          <t>VÄSTERBOTTENS LÄN</t>
        </is>
      </c>
      <c r="E2063" t="inlineStr">
        <is>
          <t>LYCKSELE</t>
        </is>
      </c>
      <c r="F2063" t="inlineStr">
        <is>
          <t>Sveaskog</t>
        </is>
      </c>
      <c r="G2063" t="n">
        <v>2.5</v>
      </c>
      <c r="H2063" t="n">
        <v>0</v>
      </c>
      <c r="I2063" t="n">
        <v>0</v>
      </c>
      <c r="J2063" t="n">
        <v>0</v>
      </c>
      <c r="K2063" t="n">
        <v>0</v>
      </c>
      <c r="L2063" t="n">
        <v>0</v>
      </c>
      <c r="M2063" t="n">
        <v>0</v>
      </c>
      <c r="N2063" t="n">
        <v>0</v>
      </c>
      <c r="O2063" t="n">
        <v>0</v>
      </c>
      <c r="P2063" t="n">
        <v>0</v>
      </c>
      <c r="Q2063" t="n">
        <v>0</v>
      </c>
      <c r="R2063" s="2" t="inlineStr"/>
    </row>
    <row r="2064" ht="15" customHeight="1">
      <c r="A2064" t="inlineStr">
        <is>
          <t>A 28726-2025</t>
        </is>
      </c>
      <c r="B2064" s="1" t="n">
        <v>45820</v>
      </c>
      <c r="C2064" s="1" t="n">
        <v>45849</v>
      </c>
      <c r="D2064" t="inlineStr">
        <is>
          <t>VÄSTERBOTTENS LÄN</t>
        </is>
      </c>
      <c r="E2064" t="inlineStr">
        <is>
          <t>LYCKSELE</t>
        </is>
      </c>
      <c r="F2064" t="inlineStr">
        <is>
          <t>SCA</t>
        </is>
      </c>
      <c r="G2064" t="n">
        <v>0.8</v>
      </c>
      <c r="H2064" t="n">
        <v>0</v>
      </c>
      <c r="I2064" t="n">
        <v>0</v>
      </c>
      <c r="J2064" t="n">
        <v>0</v>
      </c>
      <c r="K2064" t="n">
        <v>0</v>
      </c>
      <c r="L2064" t="n">
        <v>0</v>
      </c>
      <c r="M2064" t="n">
        <v>0</v>
      </c>
      <c r="N2064" t="n">
        <v>0</v>
      </c>
      <c r="O2064" t="n">
        <v>0</v>
      </c>
      <c r="P2064" t="n">
        <v>0</v>
      </c>
      <c r="Q2064" t="n">
        <v>0</v>
      </c>
      <c r="R2064" s="2" t="inlineStr"/>
    </row>
    <row r="2065" ht="15" customHeight="1">
      <c r="A2065" t="inlineStr">
        <is>
          <t>A 29045-2025</t>
        </is>
      </c>
      <c r="B2065" s="1" t="n">
        <v>45821</v>
      </c>
      <c r="C2065" s="1" t="n">
        <v>45849</v>
      </c>
      <c r="D2065" t="inlineStr">
        <is>
          <t>VÄSTERBOTTENS LÄN</t>
        </is>
      </c>
      <c r="E2065" t="inlineStr">
        <is>
          <t>LYCKSELE</t>
        </is>
      </c>
      <c r="G2065" t="n">
        <v>1.3</v>
      </c>
      <c r="H2065" t="n">
        <v>0</v>
      </c>
      <c r="I2065" t="n">
        <v>0</v>
      </c>
      <c r="J2065" t="n">
        <v>0</v>
      </c>
      <c r="K2065" t="n">
        <v>0</v>
      </c>
      <c r="L2065" t="n">
        <v>0</v>
      </c>
      <c r="M2065" t="n">
        <v>0</v>
      </c>
      <c r="N2065" t="n">
        <v>0</v>
      </c>
      <c r="O2065" t="n">
        <v>0</v>
      </c>
      <c r="P2065" t="n">
        <v>0</v>
      </c>
      <c r="Q2065" t="n">
        <v>0</v>
      </c>
      <c r="R2065" s="2" t="inlineStr"/>
    </row>
    <row r="2066" ht="15" customHeight="1">
      <c r="A2066" t="inlineStr">
        <is>
          <t>A 29095-2025</t>
        </is>
      </c>
      <c r="B2066" s="1" t="n">
        <v>45821</v>
      </c>
      <c r="C2066" s="1" t="n">
        <v>45849</v>
      </c>
      <c r="D2066" t="inlineStr">
        <is>
          <t>VÄSTERBOTTENS LÄN</t>
        </is>
      </c>
      <c r="E2066" t="inlineStr">
        <is>
          <t>LYCKSELE</t>
        </is>
      </c>
      <c r="F2066" t="inlineStr">
        <is>
          <t>Holmen skog AB</t>
        </is>
      </c>
      <c r="G2066" t="n">
        <v>1.6</v>
      </c>
      <c r="H2066" t="n">
        <v>0</v>
      </c>
      <c r="I2066" t="n">
        <v>0</v>
      </c>
      <c r="J2066" t="n">
        <v>0</v>
      </c>
      <c r="K2066" t="n">
        <v>0</v>
      </c>
      <c r="L2066" t="n">
        <v>0</v>
      </c>
      <c r="M2066" t="n">
        <v>0</v>
      </c>
      <c r="N2066" t="n">
        <v>0</v>
      </c>
      <c r="O2066" t="n">
        <v>0</v>
      </c>
      <c r="P2066" t="n">
        <v>0</v>
      </c>
      <c r="Q2066" t="n">
        <v>0</v>
      </c>
      <c r="R2066" s="2" t="inlineStr"/>
    </row>
    <row r="2067" ht="15" customHeight="1">
      <c r="A2067" t="inlineStr">
        <is>
          <t>A 29034-2025</t>
        </is>
      </c>
      <c r="B2067" s="1" t="n">
        <v>45821</v>
      </c>
      <c r="C2067" s="1" t="n">
        <v>45849</v>
      </c>
      <c r="D2067" t="inlineStr">
        <is>
          <t>VÄSTERBOTTENS LÄN</t>
        </is>
      </c>
      <c r="E2067" t="inlineStr">
        <is>
          <t>LYCKSELE</t>
        </is>
      </c>
      <c r="G2067" t="n">
        <v>1.3</v>
      </c>
      <c r="H2067" t="n">
        <v>0</v>
      </c>
      <c r="I2067" t="n">
        <v>0</v>
      </c>
      <c r="J2067" t="n">
        <v>0</v>
      </c>
      <c r="K2067" t="n">
        <v>0</v>
      </c>
      <c r="L2067" t="n">
        <v>0</v>
      </c>
      <c r="M2067" t="n">
        <v>0</v>
      </c>
      <c r="N2067" t="n">
        <v>0</v>
      </c>
      <c r="O2067" t="n">
        <v>0</v>
      </c>
      <c r="P2067" t="n">
        <v>0</v>
      </c>
      <c r="Q2067" t="n">
        <v>0</v>
      </c>
      <c r="R2067" s="2" t="inlineStr"/>
    </row>
    <row r="2068" ht="15" customHeight="1">
      <c r="A2068" t="inlineStr">
        <is>
          <t>A 29088-2025</t>
        </is>
      </c>
      <c r="B2068" s="1" t="n">
        <v>45821</v>
      </c>
      <c r="C2068" s="1" t="n">
        <v>45849</v>
      </c>
      <c r="D2068" t="inlineStr">
        <is>
          <t>VÄSTERBOTTENS LÄN</t>
        </is>
      </c>
      <c r="E2068" t="inlineStr">
        <is>
          <t>LYCKSELE</t>
        </is>
      </c>
      <c r="G2068" t="n">
        <v>1.5</v>
      </c>
      <c r="H2068" t="n">
        <v>0</v>
      </c>
      <c r="I2068" t="n">
        <v>0</v>
      </c>
      <c r="J2068" t="n">
        <v>0</v>
      </c>
      <c r="K2068" t="n">
        <v>0</v>
      </c>
      <c r="L2068" t="n">
        <v>0</v>
      </c>
      <c r="M2068" t="n">
        <v>0</v>
      </c>
      <c r="N2068" t="n">
        <v>0</v>
      </c>
      <c r="O2068" t="n">
        <v>0</v>
      </c>
      <c r="P2068" t="n">
        <v>0</v>
      </c>
      <c r="Q2068" t="n">
        <v>0</v>
      </c>
      <c r="R2068" s="2" t="inlineStr"/>
    </row>
    <row r="2069" ht="15" customHeight="1">
      <c r="A2069" t="inlineStr">
        <is>
          <t>A 29123-2025</t>
        </is>
      </c>
      <c r="B2069" s="1" t="n">
        <v>45821</v>
      </c>
      <c r="C2069" s="1" t="n">
        <v>45849</v>
      </c>
      <c r="D2069" t="inlineStr">
        <is>
          <t>VÄSTERBOTTENS LÄN</t>
        </is>
      </c>
      <c r="E2069" t="inlineStr">
        <is>
          <t>LYCKSELE</t>
        </is>
      </c>
      <c r="G2069" t="n">
        <v>5.2</v>
      </c>
      <c r="H2069" t="n">
        <v>0</v>
      </c>
      <c r="I2069" t="n">
        <v>0</v>
      </c>
      <c r="J2069" t="n">
        <v>0</v>
      </c>
      <c r="K2069" t="n">
        <v>0</v>
      </c>
      <c r="L2069" t="n">
        <v>0</v>
      </c>
      <c r="M2069" t="n">
        <v>0</v>
      </c>
      <c r="N2069" t="n">
        <v>0</v>
      </c>
      <c r="O2069" t="n">
        <v>0</v>
      </c>
      <c r="P2069" t="n">
        <v>0</v>
      </c>
      <c r="Q2069" t="n">
        <v>0</v>
      </c>
      <c r="R2069" s="2" t="inlineStr"/>
    </row>
    <row r="2070" ht="15" customHeight="1">
      <c r="A2070" t="inlineStr">
        <is>
          <t>A 29195-2025</t>
        </is>
      </c>
      <c r="B2070" s="1" t="n">
        <v>45823</v>
      </c>
      <c r="C2070" s="1" t="n">
        <v>45849</v>
      </c>
      <c r="D2070" t="inlineStr">
        <is>
          <t>VÄSTERBOTTENS LÄN</t>
        </is>
      </c>
      <c r="E2070" t="inlineStr">
        <is>
          <t>LYCKSELE</t>
        </is>
      </c>
      <c r="G2070" t="n">
        <v>5.3</v>
      </c>
      <c r="H2070" t="n">
        <v>0</v>
      </c>
      <c r="I2070" t="n">
        <v>0</v>
      </c>
      <c r="J2070" t="n">
        <v>0</v>
      </c>
      <c r="K2070" t="n">
        <v>0</v>
      </c>
      <c r="L2070" t="n">
        <v>0</v>
      </c>
      <c r="M2070" t="n">
        <v>0</v>
      </c>
      <c r="N2070" t="n">
        <v>0</v>
      </c>
      <c r="O2070" t="n">
        <v>0</v>
      </c>
      <c r="P2070" t="n">
        <v>0</v>
      </c>
      <c r="Q2070" t="n">
        <v>0</v>
      </c>
      <c r="R2070" s="2" t="inlineStr"/>
    </row>
    <row r="2071" ht="15" customHeight="1">
      <c r="A2071" t="inlineStr">
        <is>
          <t>A 29236-2025</t>
        </is>
      </c>
      <c r="B2071" s="1" t="n">
        <v>45824</v>
      </c>
      <c r="C2071" s="1" t="n">
        <v>45849</v>
      </c>
      <c r="D2071" t="inlineStr">
        <is>
          <t>VÄSTERBOTTENS LÄN</t>
        </is>
      </c>
      <c r="E2071" t="inlineStr">
        <is>
          <t>LYCKSELE</t>
        </is>
      </c>
      <c r="G2071" t="n">
        <v>1.4</v>
      </c>
      <c r="H2071" t="n">
        <v>0</v>
      </c>
      <c r="I2071" t="n">
        <v>0</v>
      </c>
      <c r="J2071" t="n">
        <v>0</v>
      </c>
      <c r="K2071" t="n">
        <v>0</v>
      </c>
      <c r="L2071" t="n">
        <v>0</v>
      </c>
      <c r="M2071" t="n">
        <v>0</v>
      </c>
      <c r="N2071" t="n">
        <v>0</v>
      </c>
      <c r="O2071" t="n">
        <v>0</v>
      </c>
      <c r="P2071" t="n">
        <v>0</v>
      </c>
      <c r="Q2071" t="n">
        <v>0</v>
      </c>
      <c r="R2071" s="2" t="inlineStr"/>
    </row>
    <row r="2072" ht="15" customHeight="1">
      <c r="A2072" t="inlineStr">
        <is>
          <t>A 29438-2025</t>
        </is>
      </c>
      <c r="B2072" s="1" t="n">
        <v>45824</v>
      </c>
      <c r="C2072" s="1" t="n">
        <v>45849</v>
      </c>
      <c r="D2072" t="inlineStr">
        <is>
          <t>VÄSTERBOTTENS LÄN</t>
        </is>
      </c>
      <c r="E2072" t="inlineStr">
        <is>
          <t>LYCKSELE</t>
        </is>
      </c>
      <c r="G2072" t="n">
        <v>4.5</v>
      </c>
      <c r="H2072" t="n">
        <v>0</v>
      </c>
      <c r="I2072" t="n">
        <v>0</v>
      </c>
      <c r="J2072" t="n">
        <v>0</v>
      </c>
      <c r="K2072" t="n">
        <v>0</v>
      </c>
      <c r="L2072" t="n">
        <v>0</v>
      </c>
      <c r="M2072" t="n">
        <v>0</v>
      </c>
      <c r="N2072" t="n">
        <v>0</v>
      </c>
      <c r="O2072" t="n">
        <v>0</v>
      </c>
      <c r="P2072" t="n">
        <v>0</v>
      </c>
      <c r="Q2072" t="n">
        <v>0</v>
      </c>
      <c r="R2072" s="2" t="inlineStr"/>
    </row>
    <row r="2073" ht="15" customHeight="1">
      <c r="A2073" t="inlineStr">
        <is>
          <t>A 29235-2025</t>
        </is>
      </c>
      <c r="B2073" s="1" t="n">
        <v>45824</v>
      </c>
      <c r="C2073" s="1" t="n">
        <v>45849</v>
      </c>
      <c r="D2073" t="inlineStr">
        <is>
          <t>VÄSTERBOTTENS LÄN</t>
        </is>
      </c>
      <c r="E2073" t="inlineStr">
        <is>
          <t>LYCKSELE</t>
        </is>
      </c>
      <c r="G2073" t="n">
        <v>3.3</v>
      </c>
      <c r="H2073" t="n">
        <v>0</v>
      </c>
      <c r="I2073" t="n">
        <v>0</v>
      </c>
      <c r="J2073" t="n">
        <v>0</v>
      </c>
      <c r="K2073" t="n">
        <v>0</v>
      </c>
      <c r="L2073" t="n">
        <v>0</v>
      </c>
      <c r="M2073" t="n">
        <v>0</v>
      </c>
      <c r="N2073" t="n">
        <v>0</v>
      </c>
      <c r="O2073" t="n">
        <v>0</v>
      </c>
      <c r="P2073" t="n">
        <v>0</v>
      </c>
      <c r="Q2073" t="n">
        <v>0</v>
      </c>
      <c r="R2073" s="2" t="inlineStr"/>
    </row>
    <row r="2074" ht="15" customHeight="1">
      <c r="A2074" t="inlineStr">
        <is>
          <t>A 29709-2025</t>
        </is>
      </c>
      <c r="B2074" s="1" t="n">
        <v>45825</v>
      </c>
      <c r="C2074" s="1" t="n">
        <v>45849</v>
      </c>
      <c r="D2074" t="inlineStr">
        <is>
          <t>VÄSTERBOTTENS LÄN</t>
        </is>
      </c>
      <c r="E2074" t="inlineStr">
        <is>
          <t>LYCKSELE</t>
        </is>
      </c>
      <c r="F2074" t="inlineStr">
        <is>
          <t>Holmen skog AB</t>
        </is>
      </c>
      <c r="G2074" t="n">
        <v>52.4</v>
      </c>
      <c r="H2074" t="n">
        <v>0</v>
      </c>
      <c r="I2074" t="n">
        <v>0</v>
      </c>
      <c r="J2074" t="n">
        <v>0</v>
      </c>
      <c r="K2074" t="n">
        <v>0</v>
      </c>
      <c r="L2074" t="n">
        <v>0</v>
      </c>
      <c r="M2074" t="n">
        <v>0</v>
      </c>
      <c r="N2074" t="n">
        <v>0</v>
      </c>
      <c r="O2074" t="n">
        <v>0</v>
      </c>
      <c r="P2074" t="n">
        <v>0</v>
      </c>
      <c r="Q2074" t="n">
        <v>0</v>
      </c>
      <c r="R2074" s="2" t="inlineStr"/>
    </row>
    <row r="2075" ht="15" customHeight="1">
      <c r="A2075" t="inlineStr">
        <is>
          <t>A 29784-2025</t>
        </is>
      </c>
      <c r="B2075" s="1" t="n">
        <v>45825</v>
      </c>
      <c r="C2075" s="1" t="n">
        <v>45849</v>
      </c>
      <c r="D2075" t="inlineStr">
        <is>
          <t>VÄSTERBOTTENS LÄN</t>
        </is>
      </c>
      <c r="E2075" t="inlineStr">
        <is>
          <t>LYCKSELE</t>
        </is>
      </c>
      <c r="F2075" t="inlineStr">
        <is>
          <t>Holmen skog AB</t>
        </is>
      </c>
      <c r="G2075" t="n">
        <v>2.7</v>
      </c>
      <c r="H2075" t="n">
        <v>0</v>
      </c>
      <c r="I2075" t="n">
        <v>0</v>
      </c>
      <c r="J2075" t="n">
        <v>0</v>
      </c>
      <c r="K2075" t="n">
        <v>0</v>
      </c>
      <c r="L2075" t="n">
        <v>0</v>
      </c>
      <c r="M2075" t="n">
        <v>0</v>
      </c>
      <c r="N2075" t="n">
        <v>0</v>
      </c>
      <c r="O2075" t="n">
        <v>0</v>
      </c>
      <c r="P2075" t="n">
        <v>0</v>
      </c>
      <c r="Q2075" t="n">
        <v>0</v>
      </c>
      <c r="R2075" s="2" t="inlineStr"/>
    </row>
    <row r="2076" ht="15" customHeight="1">
      <c r="A2076" t="inlineStr">
        <is>
          <t>A 30101-2025</t>
        </is>
      </c>
      <c r="B2076" s="1" t="n">
        <v>45826</v>
      </c>
      <c r="C2076" s="1" t="n">
        <v>45849</v>
      </c>
      <c r="D2076" t="inlineStr">
        <is>
          <t>VÄSTERBOTTENS LÄN</t>
        </is>
      </c>
      <c r="E2076" t="inlineStr">
        <is>
          <t>LYCKSELE</t>
        </is>
      </c>
      <c r="F2076" t="inlineStr">
        <is>
          <t>Holmen skog AB</t>
        </is>
      </c>
      <c r="G2076" t="n">
        <v>8.1</v>
      </c>
      <c r="H2076" t="n">
        <v>0</v>
      </c>
      <c r="I2076" t="n">
        <v>0</v>
      </c>
      <c r="J2076" t="n">
        <v>0</v>
      </c>
      <c r="K2076" t="n">
        <v>0</v>
      </c>
      <c r="L2076" t="n">
        <v>0</v>
      </c>
      <c r="M2076" t="n">
        <v>0</v>
      </c>
      <c r="N2076" t="n">
        <v>0</v>
      </c>
      <c r="O2076" t="n">
        <v>0</v>
      </c>
      <c r="P2076" t="n">
        <v>0</v>
      </c>
      <c r="Q2076" t="n">
        <v>0</v>
      </c>
      <c r="R2076" s="2" t="inlineStr"/>
    </row>
    <row r="2077" ht="15" customHeight="1">
      <c r="A2077" t="inlineStr">
        <is>
          <t>A 29866-2025</t>
        </is>
      </c>
      <c r="B2077" s="1" t="n">
        <v>45826</v>
      </c>
      <c r="C2077" s="1" t="n">
        <v>45849</v>
      </c>
      <c r="D2077" t="inlineStr">
        <is>
          <t>VÄSTERBOTTENS LÄN</t>
        </is>
      </c>
      <c r="E2077" t="inlineStr">
        <is>
          <t>LYCKSELE</t>
        </is>
      </c>
      <c r="F2077" t="inlineStr">
        <is>
          <t>Holmen skog AB</t>
        </is>
      </c>
      <c r="G2077" t="n">
        <v>6.7</v>
      </c>
      <c r="H2077" t="n">
        <v>0</v>
      </c>
      <c r="I2077" t="n">
        <v>0</v>
      </c>
      <c r="J2077" t="n">
        <v>0</v>
      </c>
      <c r="K2077" t="n">
        <v>0</v>
      </c>
      <c r="L2077" t="n">
        <v>0</v>
      </c>
      <c r="M2077" t="n">
        <v>0</v>
      </c>
      <c r="N2077" t="n">
        <v>0</v>
      </c>
      <c r="O2077" t="n">
        <v>0</v>
      </c>
      <c r="P2077" t="n">
        <v>0</v>
      </c>
      <c r="Q2077" t="n">
        <v>0</v>
      </c>
      <c r="R2077" s="2" t="inlineStr"/>
    </row>
    <row r="2078" ht="15" customHeight="1">
      <c r="A2078" t="inlineStr">
        <is>
          <t>A 30154-2025</t>
        </is>
      </c>
      <c r="B2078" s="1" t="n">
        <v>45827</v>
      </c>
      <c r="C2078" s="1" t="n">
        <v>45849</v>
      </c>
      <c r="D2078" t="inlineStr">
        <is>
          <t>VÄSTERBOTTENS LÄN</t>
        </is>
      </c>
      <c r="E2078" t="inlineStr">
        <is>
          <t>LYCKSELE</t>
        </is>
      </c>
      <c r="G2078" t="n">
        <v>3.7</v>
      </c>
      <c r="H2078" t="n">
        <v>0</v>
      </c>
      <c r="I2078" t="n">
        <v>0</v>
      </c>
      <c r="J2078" t="n">
        <v>0</v>
      </c>
      <c r="K2078" t="n">
        <v>0</v>
      </c>
      <c r="L2078" t="n">
        <v>0</v>
      </c>
      <c r="M2078" t="n">
        <v>0</v>
      </c>
      <c r="N2078" t="n">
        <v>0</v>
      </c>
      <c r="O2078" t="n">
        <v>0</v>
      </c>
      <c r="P2078" t="n">
        <v>0</v>
      </c>
      <c r="Q2078" t="n">
        <v>0</v>
      </c>
      <c r="R2078" s="2" t="inlineStr"/>
    </row>
    <row r="2079" ht="15" customHeight="1">
      <c r="A2079" t="inlineStr">
        <is>
          <t>A 30258-2025</t>
        </is>
      </c>
      <c r="B2079" s="1" t="n">
        <v>45827</v>
      </c>
      <c r="C2079" s="1" t="n">
        <v>45849</v>
      </c>
      <c r="D2079" t="inlineStr">
        <is>
          <t>VÄSTERBOTTENS LÄN</t>
        </is>
      </c>
      <c r="E2079" t="inlineStr">
        <is>
          <t>LYCKSELE</t>
        </is>
      </c>
      <c r="F2079" t="inlineStr">
        <is>
          <t>Holmen skog AB</t>
        </is>
      </c>
      <c r="G2079" t="n">
        <v>19.5</v>
      </c>
      <c r="H2079" t="n">
        <v>0</v>
      </c>
      <c r="I2079" t="n">
        <v>0</v>
      </c>
      <c r="J2079" t="n">
        <v>0</v>
      </c>
      <c r="K2079" t="n">
        <v>0</v>
      </c>
      <c r="L2079" t="n">
        <v>0</v>
      </c>
      <c r="M2079" t="n">
        <v>0</v>
      </c>
      <c r="N2079" t="n">
        <v>0</v>
      </c>
      <c r="O2079" t="n">
        <v>0</v>
      </c>
      <c r="P2079" t="n">
        <v>0</v>
      </c>
      <c r="Q2079" t="n">
        <v>0</v>
      </c>
      <c r="R2079" s="2" t="inlineStr"/>
    </row>
    <row r="2080" ht="15" customHeight="1">
      <c r="A2080" t="inlineStr">
        <is>
          <t>A 30336-2025</t>
        </is>
      </c>
      <c r="B2080" s="1" t="n">
        <v>45827</v>
      </c>
      <c r="C2080" s="1" t="n">
        <v>45849</v>
      </c>
      <c r="D2080" t="inlineStr">
        <is>
          <t>VÄSTERBOTTENS LÄN</t>
        </is>
      </c>
      <c r="E2080" t="inlineStr">
        <is>
          <t>LYCKSELE</t>
        </is>
      </c>
      <c r="F2080" t="inlineStr">
        <is>
          <t>SCA</t>
        </is>
      </c>
      <c r="G2080" t="n">
        <v>5.2</v>
      </c>
      <c r="H2080" t="n">
        <v>0</v>
      </c>
      <c r="I2080" t="n">
        <v>0</v>
      </c>
      <c r="J2080" t="n">
        <v>0</v>
      </c>
      <c r="K2080" t="n">
        <v>0</v>
      </c>
      <c r="L2080" t="n">
        <v>0</v>
      </c>
      <c r="M2080" t="n">
        <v>0</v>
      </c>
      <c r="N2080" t="n">
        <v>0</v>
      </c>
      <c r="O2080" t="n">
        <v>0</v>
      </c>
      <c r="P2080" t="n">
        <v>0</v>
      </c>
      <c r="Q2080" t="n">
        <v>0</v>
      </c>
      <c r="R2080" s="2" t="inlineStr"/>
    </row>
    <row r="2081" ht="15" customHeight="1">
      <c r="A2081" t="inlineStr">
        <is>
          <t>A 30385-2025</t>
        </is>
      </c>
      <c r="B2081" s="1" t="n">
        <v>45827</v>
      </c>
      <c r="C2081" s="1" t="n">
        <v>45849</v>
      </c>
      <c r="D2081" t="inlineStr">
        <is>
          <t>VÄSTERBOTTENS LÄN</t>
        </is>
      </c>
      <c r="E2081" t="inlineStr">
        <is>
          <t>LYCKSELE</t>
        </is>
      </c>
      <c r="F2081" t="inlineStr">
        <is>
          <t>Sveaskog</t>
        </is>
      </c>
      <c r="G2081" t="n">
        <v>2.5</v>
      </c>
      <c r="H2081" t="n">
        <v>0</v>
      </c>
      <c r="I2081" t="n">
        <v>0</v>
      </c>
      <c r="J2081" t="n">
        <v>0</v>
      </c>
      <c r="K2081" t="n">
        <v>0</v>
      </c>
      <c r="L2081" t="n">
        <v>0</v>
      </c>
      <c r="M2081" t="n">
        <v>0</v>
      </c>
      <c r="N2081" t="n">
        <v>0</v>
      </c>
      <c r="O2081" t="n">
        <v>0</v>
      </c>
      <c r="P2081" t="n">
        <v>0</v>
      </c>
      <c r="Q2081" t="n">
        <v>0</v>
      </c>
      <c r="R2081" s="2" t="inlineStr"/>
    </row>
    <row r="2082" ht="15" customHeight="1">
      <c r="A2082" t="inlineStr">
        <is>
          <t>A 30426-2025</t>
        </is>
      </c>
      <c r="B2082" s="1" t="n">
        <v>45827</v>
      </c>
      <c r="C2082" s="1" t="n">
        <v>45849</v>
      </c>
      <c r="D2082" t="inlineStr">
        <is>
          <t>VÄSTERBOTTENS LÄN</t>
        </is>
      </c>
      <c r="E2082" t="inlineStr">
        <is>
          <t>LYCKSELE</t>
        </is>
      </c>
      <c r="G2082" t="n">
        <v>1</v>
      </c>
      <c r="H2082" t="n">
        <v>0</v>
      </c>
      <c r="I2082" t="n">
        <v>0</v>
      </c>
      <c r="J2082" t="n">
        <v>0</v>
      </c>
      <c r="K2082" t="n">
        <v>0</v>
      </c>
      <c r="L2082" t="n">
        <v>0</v>
      </c>
      <c r="M2082" t="n">
        <v>0</v>
      </c>
      <c r="N2082" t="n">
        <v>0</v>
      </c>
      <c r="O2082" t="n">
        <v>0</v>
      </c>
      <c r="P2082" t="n">
        <v>0</v>
      </c>
      <c r="Q2082" t="n">
        <v>0</v>
      </c>
      <c r="R2082" s="2" t="inlineStr"/>
    </row>
    <row r="2083" ht="15" customHeight="1">
      <c r="A2083" t="inlineStr">
        <is>
          <t>A 30656-2025</t>
        </is>
      </c>
      <c r="B2083" s="1" t="n">
        <v>45831</v>
      </c>
      <c r="C2083" s="1" t="n">
        <v>45849</v>
      </c>
      <c r="D2083" t="inlineStr">
        <is>
          <t>VÄSTERBOTTENS LÄN</t>
        </is>
      </c>
      <c r="E2083" t="inlineStr">
        <is>
          <t>LYCKSELE</t>
        </is>
      </c>
      <c r="F2083" t="inlineStr">
        <is>
          <t>Sveaskog</t>
        </is>
      </c>
      <c r="G2083" t="n">
        <v>5.9</v>
      </c>
      <c r="H2083" t="n">
        <v>0</v>
      </c>
      <c r="I2083" t="n">
        <v>0</v>
      </c>
      <c r="J2083" t="n">
        <v>0</v>
      </c>
      <c r="K2083" t="n">
        <v>0</v>
      </c>
      <c r="L2083" t="n">
        <v>0</v>
      </c>
      <c r="M2083" t="n">
        <v>0</v>
      </c>
      <c r="N2083" t="n">
        <v>0</v>
      </c>
      <c r="O2083" t="n">
        <v>0</v>
      </c>
      <c r="P2083" t="n">
        <v>0</v>
      </c>
      <c r="Q2083" t="n">
        <v>0</v>
      </c>
      <c r="R2083" s="2" t="inlineStr"/>
    </row>
    <row r="2084" ht="15" customHeight="1">
      <c r="A2084" t="inlineStr">
        <is>
          <t>A 30624-2025</t>
        </is>
      </c>
      <c r="B2084" s="1" t="n">
        <v>45831</v>
      </c>
      <c r="C2084" s="1" t="n">
        <v>45849</v>
      </c>
      <c r="D2084" t="inlineStr">
        <is>
          <t>VÄSTERBOTTENS LÄN</t>
        </is>
      </c>
      <c r="E2084" t="inlineStr">
        <is>
          <t>LYCKSELE</t>
        </is>
      </c>
      <c r="F2084" t="inlineStr">
        <is>
          <t>Holmen skog AB</t>
        </is>
      </c>
      <c r="G2084" t="n">
        <v>9.5</v>
      </c>
      <c r="H2084" t="n">
        <v>0</v>
      </c>
      <c r="I2084" t="n">
        <v>0</v>
      </c>
      <c r="J2084" t="n">
        <v>0</v>
      </c>
      <c r="K2084" t="n">
        <v>0</v>
      </c>
      <c r="L2084" t="n">
        <v>0</v>
      </c>
      <c r="M2084" t="n">
        <v>0</v>
      </c>
      <c r="N2084" t="n">
        <v>0</v>
      </c>
      <c r="O2084" t="n">
        <v>0</v>
      </c>
      <c r="P2084" t="n">
        <v>0</v>
      </c>
      <c r="Q2084" t="n">
        <v>0</v>
      </c>
      <c r="R2084" s="2" t="inlineStr"/>
    </row>
    <row r="2085" ht="15" customHeight="1">
      <c r="A2085" t="inlineStr">
        <is>
          <t>A 30578-2025</t>
        </is>
      </c>
      <c r="B2085" s="1" t="n">
        <v>45831</v>
      </c>
      <c r="C2085" s="1" t="n">
        <v>45849</v>
      </c>
      <c r="D2085" t="inlineStr">
        <is>
          <t>VÄSTERBOTTENS LÄN</t>
        </is>
      </c>
      <c r="E2085" t="inlineStr">
        <is>
          <t>LYCKSELE</t>
        </is>
      </c>
      <c r="F2085" t="inlineStr">
        <is>
          <t>Sveaskog</t>
        </is>
      </c>
      <c r="G2085" t="n">
        <v>17.8</v>
      </c>
      <c r="H2085" t="n">
        <v>0</v>
      </c>
      <c r="I2085" t="n">
        <v>0</v>
      </c>
      <c r="J2085" t="n">
        <v>0</v>
      </c>
      <c r="K2085" t="n">
        <v>0</v>
      </c>
      <c r="L2085" t="n">
        <v>0</v>
      </c>
      <c r="M2085" t="n">
        <v>0</v>
      </c>
      <c r="N2085" t="n">
        <v>0</v>
      </c>
      <c r="O2085" t="n">
        <v>0</v>
      </c>
      <c r="P2085" t="n">
        <v>0</v>
      </c>
      <c r="Q2085" t="n">
        <v>0</v>
      </c>
      <c r="R2085" s="2" t="inlineStr"/>
    </row>
    <row r="2086" ht="15" customHeight="1">
      <c r="A2086" t="inlineStr">
        <is>
          <t>A 30632-2025</t>
        </is>
      </c>
      <c r="B2086" s="1" t="n">
        <v>45831</v>
      </c>
      <c r="C2086" s="1" t="n">
        <v>45849</v>
      </c>
      <c r="D2086" t="inlineStr">
        <is>
          <t>VÄSTERBOTTENS LÄN</t>
        </is>
      </c>
      <c r="E2086" t="inlineStr">
        <is>
          <t>LYCKSELE</t>
        </is>
      </c>
      <c r="G2086" t="n">
        <v>1.9</v>
      </c>
      <c r="H2086" t="n">
        <v>0</v>
      </c>
      <c r="I2086" t="n">
        <v>0</v>
      </c>
      <c r="J2086" t="n">
        <v>0</v>
      </c>
      <c r="K2086" t="n">
        <v>0</v>
      </c>
      <c r="L2086" t="n">
        <v>0</v>
      </c>
      <c r="M2086" t="n">
        <v>0</v>
      </c>
      <c r="N2086" t="n">
        <v>0</v>
      </c>
      <c r="O2086" t="n">
        <v>0</v>
      </c>
      <c r="P2086" t="n">
        <v>0</v>
      </c>
      <c r="Q2086" t="n">
        <v>0</v>
      </c>
      <c r="R2086" s="2" t="inlineStr"/>
    </row>
    <row r="2087" ht="15" customHeight="1">
      <c r="A2087" t="inlineStr">
        <is>
          <t>A 30623-2025</t>
        </is>
      </c>
      <c r="B2087" s="1" t="n">
        <v>45831</v>
      </c>
      <c r="C2087" s="1" t="n">
        <v>45849</v>
      </c>
      <c r="D2087" t="inlineStr">
        <is>
          <t>VÄSTERBOTTENS LÄN</t>
        </is>
      </c>
      <c r="E2087" t="inlineStr">
        <is>
          <t>LYCKSELE</t>
        </is>
      </c>
      <c r="G2087" t="n">
        <v>2.6</v>
      </c>
      <c r="H2087" t="n">
        <v>0</v>
      </c>
      <c r="I2087" t="n">
        <v>0</v>
      </c>
      <c r="J2087" t="n">
        <v>0</v>
      </c>
      <c r="K2087" t="n">
        <v>0</v>
      </c>
      <c r="L2087" t="n">
        <v>0</v>
      </c>
      <c r="M2087" t="n">
        <v>0</v>
      </c>
      <c r="N2087" t="n">
        <v>0</v>
      </c>
      <c r="O2087" t="n">
        <v>0</v>
      </c>
      <c r="P2087" t="n">
        <v>0</v>
      </c>
      <c r="Q2087" t="n">
        <v>0</v>
      </c>
      <c r="R2087" s="2" t="inlineStr"/>
    </row>
    <row r="2088" ht="15" customHeight="1">
      <c r="A2088" t="inlineStr">
        <is>
          <t>A 30573-2025</t>
        </is>
      </c>
      <c r="B2088" s="1" t="n">
        <v>45831</v>
      </c>
      <c r="C2088" s="1" t="n">
        <v>45849</v>
      </c>
      <c r="D2088" t="inlineStr">
        <is>
          <t>VÄSTERBOTTENS LÄN</t>
        </is>
      </c>
      <c r="E2088" t="inlineStr">
        <is>
          <t>LYCKSELE</t>
        </is>
      </c>
      <c r="F2088" t="inlineStr">
        <is>
          <t>Sveaskog</t>
        </is>
      </c>
      <c r="G2088" t="n">
        <v>16.6</v>
      </c>
      <c r="H2088" t="n">
        <v>0</v>
      </c>
      <c r="I2088" t="n">
        <v>0</v>
      </c>
      <c r="J2088" t="n">
        <v>0</v>
      </c>
      <c r="K2088" t="n">
        <v>0</v>
      </c>
      <c r="L2088" t="n">
        <v>0</v>
      </c>
      <c r="M2088" t="n">
        <v>0</v>
      </c>
      <c r="N2088" t="n">
        <v>0</v>
      </c>
      <c r="O2088" t="n">
        <v>0</v>
      </c>
      <c r="P2088" t="n">
        <v>0</v>
      </c>
      <c r="Q2088" t="n">
        <v>0</v>
      </c>
      <c r="R2088" s="2" t="inlineStr"/>
    </row>
    <row r="2089" ht="15" customHeight="1">
      <c r="A2089" t="inlineStr">
        <is>
          <t>A 30586-2025</t>
        </is>
      </c>
      <c r="B2089" s="1" t="n">
        <v>45831</v>
      </c>
      <c r="C2089" s="1" t="n">
        <v>45849</v>
      </c>
      <c r="D2089" t="inlineStr">
        <is>
          <t>VÄSTERBOTTENS LÄN</t>
        </is>
      </c>
      <c r="E2089" t="inlineStr">
        <is>
          <t>LYCKSELE</t>
        </is>
      </c>
      <c r="G2089" t="n">
        <v>13.1</v>
      </c>
      <c r="H2089" t="n">
        <v>0</v>
      </c>
      <c r="I2089" t="n">
        <v>0</v>
      </c>
      <c r="J2089" t="n">
        <v>0</v>
      </c>
      <c r="K2089" t="n">
        <v>0</v>
      </c>
      <c r="L2089" t="n">
        <v>0</v>
      </c>
      <c r="M2089" t="n">
        <v>0</v>
      </c>
      <c r="N2089" t="n">
        <v>0</v>
      </c>
      <c r="O2089" t="n">
        <v>0</v>
      </c>
      <c r="P2089" t="n">
        <v>0</v>
      </c>
      <c r="Q2089" t="n">
        <v>0</v>
      </c>
      <c r="R2089" s="2" t="inlineStr"/>
    </row>
    <row r="2090" ht="15" customHeight="1">
      <c r="A2090" t="inlineStr">
        <is>
          <t>A 30783-2025</t>
        </is>
      </c>
      <c r="B2090" s="1" t="n">
        <v>45831</v>
      </c>
      <c r="C2090" s="1" t="n">
        <v>45849</v>
      </c>
      <c r="D2090" t="inlineStr">
        <is>
          <t>VÄSTERBOTTENS LÄN</t>
        </is>
      </c>
      <c r="E2090" t="inlineStr">
        <is>
          <t>LYCKSELE</t>
        </is>
      </c>
      <c r="G2090" t="n">
        <v>6.4</v>
      </c>
      <c r="H2090" t="n">
        <v>0</v>
      </c>
      <c r="I2090" t="n">
        <v>0</v>
      </c>
      <c r="J2090" t="n">
        <v>0</v>
      </c>
      <c r="K2090" t="n">
        <v>0</v>
      </c>
      <c r="L2090" t="n">
        <v>0</v>
      </c>
      <c r="M2090" t="n">
        <v>0</v>
      </c>
      <c r="N2090" t="n">
        <v>0</v>
      </c>
      <c r="O2090" t="n">
        <v>0</v>
      </c>
      <c r="P2090" t="n">
        <v>0</v>
      </c>
      <c r="Q2090" t="n">
        <v>0</v>
      </c>
      <c r="R2090" s="2" t="inlineStr"/>
    </row>
    <row r="2091" ht="15" customHeight="1">
      <c r="A2091" t="inlineStr">
        <is>
          <t>A 31060-2025</t>
        </is>
      </c>
      <c r="B2091" s="1" t="n">
        <v>45832</v>
      </c>
      <c r="C2091" s="1" t="n">
        <v>45849</v>
      </c>
      <c r="D2091" t="inlineStr">
        <is>
          <t>VÄSTERBOTTENS LÄN</t>
        </is>
      </c>
      <c r="E2091" t="inlineStr">
        <is>
          <t>LYCKSELE</t>
        </is>
      </c>
      <c r="F2091" t="inlineStr">
        <is>
          <t>SCA</t>
        </is>
      </c>
      <c r="G2091" t="n">
        <v>3</v>
      </c>
      <c r="H2091" t="n">
        <v>0</v>
      </c>
      <c r="I2091" t="n">
        <v>0</v>
      </c>
      <c r="J2091" t="n">
        <v>0</v>
      </c>
      <c r="K2091" t="n">
        <v>0</v>
      </c>
      <c r="L2091" t="n">
        <v>0</v>
      </c>
      <c r="M2091" t="n">
        <v>0</v>
      </c>
      <c r="N2091" t="n">
        <v>0</v>
      </c>
      <c r="O2091" t="n">
        <v>0</v>
      </c>
      <c r="P2091" t="n">
        <v>0</v>
      </c>
      <c r="Q2091" t="n">
        <v>0</v>
      </c>
      <c r="R2091" s="2" t="inlineStr"/>
    </row>
    <row r="2092" ht="15" customHeight="1">
      <c r="A2092" t="inlineStr">
        <is>
          <t>A 31044-2025</t>
        </is>
      </c>
      <c r="B2092" s="1" t="n">
        <v>45832</v>
      </c>
      <c r="C2092" s="1" t="n">
        <v>45849</v>
      </c>
      <c r="D2092" t="inlineStr">
        <is>
          <t>VÄSTERBOTTENS LÄN</t>
        </is>
      </c>
      <c r="E2092" t="inlineStr">
        <is>
          <t>LYCKSELE</t>
        </is>
      </c>
      <c r="F2092" t="inlineStr">
        <is>
          <t>Sveaskog</t>
        </is>
      </c>
      <c r="G2092" t="n">
        <v>22.9</v>
      </c>
      <c r="H2092" t="n">
        <v>0</v>
      </c>
      <c r="I2092" t="n">
        <v>0</v>
      </c>
      <c r="J2092" t="n">
        <v>0</v>
      </c>
      <c r="K2092" t="n">
        <v>0</v>
      </c>
      <c r="L2092" t="n">
        <v>0</v>
      </c>
      <c r="M2092" t="n">
        <v>0</v>
      </c>
      <c r="N2092" t="n">
        <v>0</v>
      </c>
      <c r="O2092" t="n">
        <v>0</v>
      </c>
      <c r="P2092" t="n">
        <v>0</v>
      </c>
      <c r="Q2092" t="n">
        <v>0</v>
      </c>
      <c r="R2092" s="2" t="inlineStr"/>
    </row>
    <row r="2093" ht="15" customHeight="1">
      <c r="A2093" t="inlineStr">
        <is>
          <t>A 31046-2025</t>
        </is>
      </c>
      <c r="B2093" s="1" t="n">
        <v>45832</v>
      </c>
      <c r="C2093" s="1" t="n">
        <v>45849</v>
      </c>
      <c r="D2093" t="inlineStr">
        <is>
          <t>VÄSTERBOTTENS LÄN</t>
        </is>
      </c>
      <c r="E2093" t="inlineStr">
        <is>
          <t>LYCKSELE</t>
        </is>
      </c>
      <c r="F2093" t="inlineStr">
        <is>
          <t>Sveaskog</t>
        </is>
      </c>
      <c r="G2093" t="n">
        <v>3.3</v>
      </c>
      <c r="H2093" t="n">
        <v>0</v>
      </c>
      <c r="I2093" t="n">
        <v>0</v>
      </c>
      <c r="J2093" t="n">
        <v>0</v>
      </c>
      <c r="K2093" t="n">
        <v>0</v>
      </c>
      <c r="L2093" t="n">
        <v>0</v>
      </c>
      <c r="M2093" t="n">
        <v>0</v>
      </c>
      <c r="N2093" t="n">
        <v>0</v>
      </c>
      <c r="O2093" t="n">
        <v>0</v>
      </c>
      <c r="P2093" t="n">
        <v>0</v>
      </c>
      <c r="Q2093" t="n">
        <v>0</v>
      </c>
      <c r="R2093" s="2" t="inlineStr"/>
    </row>
    <row r="2094" ht="15" customHeight="1">
      <c r="A2094" t="inlineStr">
        <is>
          <t>A 30865-2025</t>
        </is>
      </c>
      <c r="B2094" s="1" t="n">
        <v>45832</v>
      </c>
      <c r="C2094" s="1" t="n">
        <v>45849</v>
      </c>
      <c r="D2094" t="inlineStr">
        <is>
          <t>VÄSTERBOTTENS LÄN</t>
        </is>
      </c>
      <c r="E2094" t="inlineStr">
        <is>
          <t>LYCKSELE</t>
        </is>
      </c>
      <c r="F2094" t="inlineStr">
        <is>
          <t>Sveaskog</t>
        </is>
      </c>
      <c r="G2094" t="n">
        <v>12</v>
      </c>
      <c r="H2094" t="n">
        <v>0</v>
      </c>
      <c r="I2094" t="n">
        <v>0</v>
      </c>
      <c r="J2094" t="n">
        <v>0</v>
      </c>
      <c r="K2094" t="n">
        <v>0</v>
      </c>
      <c r="L2094" t="n">
        <v>0</v>
      </c>
      <c r="M2094" t="n">
        <v>0</v>
      </c>
      <c r="N2094" t="n">
        <v>0</v>
      </c>
      <c r="O2094" t="n">
        <v>0</v>
      </c>
      <c r="P2094" t="n">
        <v>0</v>
      </c>
      <c r="Q2094" t="n">
        <v>0</v>
      </c>
      <c r="R2094" s="2" t="inlineStr"/>
    </row>
    <row r="2095" ht="15" customHeight="1">
      <c r="A2095" t="inlineStr">
        <is>
          <t>A 30864-2025</t>
        </is>
      </c>
      <c r="B2095" s="1" t="n">
        <v>45832</v>
      </c>
      <c r="C2095" s="1" t="n">
        <v>45849</v>
      </c>
      <c r="D2095" t="inlineStr">
        <is>
          <t>VÄSTERBOTTENS LÄN</t>
        </is>
      </c>
      <c r="E2095" t="inlineStr">
        <is>
          <t>LYCKSELE</t>
        </is>
      </c>
      <c r="F2095" t="inlineStr">
        <is>
          <t>Sveaskog</t>
        </is>
      </c>
      <c r="G2095" t="n">
        <v>8.9</v>
      </c>
      <c r="H2095" t="n">
        <v>0</v>
      </c>
      <c r="I2095" t="n">
        <v>0</v>
      </c>
      <c r="J2095" t="n">
        <v>0</v>
      </c>
      <c r="K2095" t="n">
        <v>0</v>
      </c>
      <c r="L2095" t="n">
        <v>0</v>
      </c>
      <c r="M2095" t="n">
        <v>0</v>
      </c>
      <c r="N2095" t="n">
        <v>0</v>
      </c>
      <c r="O2095" t="n">
        <v>0</v>
      </c>
      <c r="P2095" t="n">
        <v>0</v>
      </c>
      <c r="Q2095" t="n">
        <v>0</v>
      </c>
      <c r="R2095" s="2" t="inlineStr"/>
    </row>
    <row r="2096" ht="15" customHeight="1">
      <c r="A2096" t="inlineStr">
        <is>
          <t>A 30901-2025</t>
        </is>
      </c>
      <c r="B2096" s="1" t="n">
        <v>45832</v>
      </c>
      <c r="C2096" s="1" t="n">
        <v>45849</v>
      </c>
      <c r="D2096" t="inlineStr">
        <is>
          <t>VÄSTERBOTTENS LÄN</t>
        </is>
      </c>
      <c r="E2096" t="inlineStr">
        <is>
          <t>LYCKSELE</t>
        </is>
      </c>
      <c r="F2096" t="inlineStr">
        <is>
          <t>Sveaskog</t>
        </is>
      </c>
      <c r="G2096" t="n">
        <v>8.6</v>
      </c>
      <c r="H2096" t="n">
        <v>0</v>
      </c>
      <c r="I2096" t="n">
        <v>0</v>
      </c>
      <c r="J2096" t="n">
        <v>0</v>
      </c>
      <c r="K2096" t="n">
        <v>0</v>
      </c>
      <c r="L2096" t="n">
        <v>0</v>
      </c>
      <c r="M2096" t="n">
        <v>0</v>
      </c>
      <c r="N2096" t="n">
        <v>0</v>
      </c>
      <c r="O2096" t="n">
        <v>0</v>
      </c>
      <c r="P2096" t="n">
        <v>0</v>
      </c>
      <c r="Q2096" t="n">
        <v>0</v>
      </c>
      <c r="R2096" s="2" t="inlineStr"/>
    </row>
    <row r="2097" ht="15" customHeight="1">
      <c r="A2097" t="inlineStr">
        <is>
          <t>A 30906-2025</t>
        </is>
      </c>
      <c r="B2097" s="1" t="n">
        <v>45832</v>
      </c>
      <c r="C2097" s="1" t="n">
        <v>45849</v>
      </c>
      <c r="D2097" t="inlineStr">
        <is>
          <t>VÄSTERBOTTENS LÄN</t>
        </is>
      </c>
      <c r="E2097" t="inlineStr">
        <is>
          <t>LYCKSELE</t>
        </is>
      </c>
      <c r="F2097" t="inlineStr">
        <is>
          <t>Sveaskog</t>
        </is>
      </c>
      <c r="G2097" t="n">
        <v>20.1</v>
      </c>
      <c r="H2097" t="n">
        <v>0</v>
      </c>
      <c r="I2097" t="n">
        <v>0</v>
      </c>
      <c r="J2097" t="n">
        <v>0</v>
      </c>
      <c r="K2097" t="n">
        <v>0</v>
      </c>
      <c r="L2097" t="n">
        <v>0</v>
      </c>
      <c r="M2097" t="n">
        <v>0</v>
      </c>
      <c r="N2097" t="n">
        <v>0</v>
      </c>
      <c r="O2097" t="n">
        <v>0</v>
      </c>
      <c r="P2097" t="n">
        <v>0</v>
      </c>
      <c r="Q2097" t="n">
        <v>0</v>
      </c>
      <c r="R2097" s="2" t="inlineStr"/>
    </row>
    <row r="2098" ht="15" customHeight="1">
      <c r="A2098" t="inlineStr">
        <is>
          <t>A 31022-2025</t>
        </is>
      </c>
      <c r="B2098" s="1" t="n">
        <v>45832</v>
      </c>
      <c r="C2098" s="1" t="n">
        <v>45849</v>
      </c>
      <c r="D2098" t="inlineStr">
        <is>
          <t>VÄSTERBOTTENS LÄN</t>
        </is>
      </c>
      <c r="E2098" t="inlineStr">
        <is>
          <t>LYCKSELE</t>
        </is>
      </c>
      <c r="F2098" t="inlineStr">
        <is>
          <t>Sveaskog</t>
        </is>
      </c>
      <c r="G2098" t="n">
        <v>1.5</v>
      </c>
      <c r="H2098" t="n">
        <v>0</v>
      </c>
      <c r="I2098" t="n">
        <v>0</v>
      </c>
      <c r="J2098" t="n">
        <v>0</v>
      </c>
      <c r="K2098" t="n">
        <v>0</v>
      </c>
      <c r="L2098" t="n">
        <v>0</v>
      </c>
      <c r="M2098" t="n">
        <v>0</v>
      </c>
      <c r="N2098" t="n">
        <v>0</v>
      </c>
      <c r="O2098" t="n">
        <v>0</v>
      </c>
      <c r="P2098" t="n">
        <v>0</v>
      </c>
      <c r="Q2098" t="n">
        <v>0</v>
      </c>
      <c r="R2098" s="2" t="inlineStr"/>
    </row>
    <row r="2099" ht="15" customHeight="1">
      <c r="A2099" t="inlineStr">
        <is>
          <t>A 31800-2025</t>
        </is>
      </c>
      <c r="B2099" s="1" t="n">
        <v>45834</v>
      </c>
      <c r="C2099" s="1" t="n">
        <v>45849</v>
      </c>
      <c r="D2099" t="inlineStr">
        <is>
          <t>VÄSTERBOTTENS LÄN</t>
        </is>
      </c>
      <c r="E2099" t="inlineStr">
        <is>
          <t>LYCKSELE</t>
        </is>
      </c>
      <c r="F2099" t="inlineStr">
        <is>
          <t>SCA</t>
        </is>
      </c>
      <c r="G2099" t="n">
        <v>13.6</v>
      </c>
      <c r="H2099" t="n">
        <v>0</v>
      </c>
      <c r="I2099" t="n">
        <v>0</v>
      </c>
      <c r="J2099" t="n">
        <v>0</v>
      </c>
      <c r="K2099" t="n">
        <v>0</v>
      </c>
      <c r="L2099" t="n">
        <v>0</v>
      </c>
      <c r="M2099" t="n">
        <v>0</v>
      </c>
      <c r="N2099" t="n">
        <v>0</v>
      </c>
      <c r="O2099" t="n">
        <v>0</v>
      </c>
      <c r="P2099" t="n">
        <v>0</v>
      </c>
      <c r="Q2099" t="n">
        <v>0</v>
      </c>
      <c r="R2099" s="2" t="inlineStr"/>
    </row>
    <row r="2100" ht="15" customHeight="1">
      <c r="A2100" t="inlineStr">
        <is>
          <t>A 31897-2025</t>
        </is>
      </c>
      <c r="B2100" s="1" t="n">
        <v>45834</v>
      </c>
      <c r="C2100" s="1" t="n">
        <v>45849</v>
      </c>
      <c r="D2100" t="inlineStr">
        <is>
          <t>VÄSTERBOTTENS LÄN</t>
        </is>
      </c>
      <c r="E2100" t="inlineStr">
        <is>
          <t>LYCKSELE</t>
        </is>
      </c>
      <c r="F2100" t="inlineStr">
        <is>
          <t>Holmen skog AB</t>
        </is>
      </c>
      <c r="G2100" t="n">
        <v>1.7</v>
      </c>
      <c r="H2100" t="n">
        <v>0</v>
      </c>
      <c r="I2100" t="n">
        <v>0</v>
      </c>
      <c r="J2100" t="n">
        <v>0</v>
      </c>
      <c r="K2100" t="n">
        <v>0</v>
      </c>
      <c r="L2100" t="n">
        <v>0</v>
      </c>
      <c r="M2100" t="n">
        <v>0</v>
      </c>
      <c r="N2100" t="n">
        <v>0</v>
      </c>
      <c r="O2100" t="n">
        <v>0</v>
      </c>
      <c r="P2100" t="n">
        <v>0</v>
      </c>
      <c r="Q2100" t="n">
        <v>0</v>
      </c>
      <c r="R2100" s="2" t="inlineStr"/>
    </row>
    <row r="2101" ht="15" customHeight="1">
      <c r="A2101" t="inlineStr">
        <is>
          <t>A 31693-2025</t>
        </is>
      </c>
      <c r="B2101" s="1" t="n">
        <v>45834</v>
      </c>
      <c r="C2101" s="1" t="n">
        <v>45849</v>
      </c>
      <c r="D2101" t="inlineStr">
        <is>
          <t>VÄSTERBOTTENS LÄN</t>
        </is>
      </c>
      <c r="E2101" t="inlineStr">
        <is>
          <t>LYCKSELE</t>
        </is>
      </c>
      <c r="F2101" t="inlineStr">
        <is>
          <t>SCA</t>
        </is>
      </c>
      <c r="G2101" t="n">
        <v>18.9</v>
      </c>
      <c r="H2101" t="n">
        <v>0</v>
      </c>
      <c r="I2101" t="n">
        <v>0</v>
      </c>
      <c r="J2101" t="n">
        <v>0</v>
      </c>
      <c r="K2101" t="n">
        <v>0</v>
      </c>
      <c r="L2101" t="n">
        <v>0</v>
      </c>
      <c r="M2101" t="n">
        <v>0</v>
      </c>
      <c r="N2101" t="n">
        <v>0</v>
      </c>
      <c r="O2101" t="n">
        <v>0</v>
      </c>
      <c r="P2101" t="n">
        <v>0</v>
      </c>
      <c r="Q2101" t="n">
        <v>0</v>
      </c>
      <c r="R2101" s="2" t="inlineStr"/>
    </row>
    <row r="2102" ht="15" customHeight="1">
      <c r="A2102" t="inlineStr">
        <is>
          <t>A 31662-2025</t>
        </is>
      </c>
      <c r="B2102" s="1" t="n">
        <v>45834</v>
      </c>
      <c r="C2102" s="1" t="n">
        <v>45849</v>
      </c>
      <c r="D2102" t="inlineStr">
        <is>
          <t>VÄSTERBOTTENS LÄN</t>
        </is>
      </c>
      <c r="E2102" t="inlineStr">
        <is>
          <t>LYCKSELE</t>
        </is>
      </c>
      <c r="G2102" t="n">
        <v>7.1</v>
      </c>
      <c r="H2102" t="n">
        <v>0</v>
      </c>
      <c r="I2102" t="n">
        <v>0</v>
      </c>
      <c r="J2102" t="n">
        <v>0</v>
      </c>
      <c r="K2102" t="n">
        <v>0</v>
      </c>
      <c r="L2102" t="n">
        <v>0</v>
      </c>
      <c r="M2102" t="n">
        <v>0</v>
      </c>
      <c r="N2102" t="n">
        <v>0</v>
      </c>
      <c r="O2102" t="n">
        <v>0</v>
      </c>
      <c r="P2102" t="n">
        <v>0</v>
      </c>
      <c r="Q2102" t="n">
        <v>0</v>
      </c>
      <c r="R2102" s="2" t="inlineStr"/>
    </row>
    <row r="2103" ht="15" customHeight="1">
      <c r="A2103" t="inlineStr">
        <is>
          <t>A 31656-2025</t>
        </is>
      </c>
      <c r="B2103" s="1" t="n">
        <v>45834</v>
      </c>
      <c r="C2103" s="1" t="n">
        <v>45849</v>
      </c>
      <c r="D2103" t="inlineStr">
        <is>
          <t>VÄSTERBOTTENS LÄN</t>
        </is>
      </c>
      <c r="E2103" t="inlineStr">
        <is>
          <t>LYCKSELE</t>
        </is>
      </c>
      <c r="F2103" t="inlineStr">
        <is>
          <t>SCA</t>
        </is>
      </c>
      <c r="G2103" t="n">
        <v>1.2</v>
      </c>
      <c r="H2103" t="n">
        <v>0</v>
      </c>
      <c r="I2103" t="n">
        <v>0</v>
      </c>
      <c r="J2103" t="n">
        <v>0</v>
      </c>
      <c r="K2103" t="n">
        <v>0</v>
      </c>
      <c r="L2103" t="n">
        <v>0</v>
      </c>
      <c r="M2103" t="n">
        <v>0</v>
      </c>
      <c r="N2103" t="n">
        <v>0</v>
      </c>
      <c r="O2103" t="n">
        <v>0</v>
      </c>
      <c r="P2103" t="n">
        <v>0</v>
      </c>
      <c r="Q2103" t="n">
        <v>0</v>
      </c>
      <c r="R2103" s="2" t="inlineStr"/>
    </row>
    <row r="2104" ht="15" customHeight="1">
      <c r="A2104" t="inlineStr">
        <is>
          <t>A 32239-2025</t>
        </is>
      </c>
      <c r="B2104" s="1" t="n">
        <v>45835</v>
      </c>
      <c r="C2104" s="1" t="n">
        <v>45849</v>
      </c>
      <c r="D2104" t="inlineStr">
        <is>
          <t>VÄSTERBOTTENS LÄN</t>
        </is>
      </c>
      <c r="E2104" t="inlineStr">
        <is>
          <t>LYCKSELE</t>
        </is>
      </c>
      <c r="F2104" t="inlineStr">
        <is>
          <t>SCA</t>
        </is>
      </c>
      <c r="G2104" t="n">
        <v>3.2</v>
      </c>
      <c r="H2104" t="n">
        <v>0</v>
      </c>
      <c r="I2104" t="n">
        <v>0</v>
      </c>
      <c r="J2104" t="n">
        <v>0</v>
      </c>
      <c r="K2104" t="n">
        <v>0</v>
      </c>
      <c r="L2104" t="n">
        <v>0</v>
      </c>
      <c r="M2104" t="n">
        <v>0</v>
      </c>
      <c r="N2104" t="n">
        <v>0</v>
      </c>
      <c r="O2104" t="n">
        <v>0</v>
      </c>
      <c r="P2104" t="n">
        <v>0</v>
      </c>
      <c r="Q2104" t="n">
        <v>0</v>
      </c>
      <c r="R2104" s="2" t="inlineStr"/>
    </row>
    <row r="2105" ht="15" customHeight="1">
      <c r="A2105" t="inlineStr">
        <is>
          <t>A 31965-2025</t>
        </is>
      </c>
      <c r="B2105" s="1" t="n">
        <v>45835</v>
      </c>
      <c r="C2105" s="1" t="n">
        <v>45849</v>
      </c>
      <c r="D2105" t="inlineStr">
        <is>
          <t>VÄSTERBOTTENS LÄN</t>
        </is>
      </c>
      <c r="E2105" t="inlineStr">
        <is>
          <t>LYCKSELE</t>
        </is>
      </c>
      <c r="G2105" t="n">
        <v>4.3</v>
      </c>
      <c r="H2105" t="n">
        <v>0</v>
      </c>
      <c r="I2105" t="n">
        <v>0</v>
      </c>
      <c r="J2105" t="n">
        <v>0</v>
      </c>
      <c r="K2105" t="n">
        <v>0</v>
      </c>
      <c r="L2105" t="n">
        <v>0</v>
      </c>
      <c r="M2105" t="n">
        <v>0</v>
      </c>
      <c r="N2105" t="n">
        <v>0</v>
      </c>
      <c r="O2105" t="n">
        <v>0</v>
      </c>
      <c r="P2105" t="n">
        <v>0</v>
      </c>
      <c r="Q2105" t="n">
        <v>0</v>
      </c>
      <c r="R2105" s="2" t="inlineStr"/>
    </row>
    <row r="2106" ht="15" customHeight="1">
      <c r="A2106" t="inlineStr">
        <is>
          <t>A 31970-2025</t>
        </is>
      </c>
      <c r="B2106" s="1" t="n">
        <v>45835</v>
      </c>
      <c r="C2106" s="1" t="n">
        <v>45849</v>
      </c>
      <c r="D2106" t="inlineStr">
        <is>
          <t>VÄSTERBOTTENS LÄN</t>
        </is>
      </c>
      <c r="E2106" t="inlineStr">
        <is>
          <t>LYCKSELE</t>
        </is>
      </c>
      <c r="G2106" t="n">
        <v>2.3</v>
      </c>
      <c r="H2106" t="n">
        <v>0</v>
      </c>
      <c r="I2106" t="n">
        <v>0</v>
      </c>
      <c r="J2106" t="n">
        <v>0</v>
      </c>
      <c r="K2106" t="n">
        <v>0</v>
      </c>
      <c r="L2106" t="n">
        <v>0</v>
      </c>
      <c r="M2106" t="n">
        <v>0</v>
      </c>
      <c r="N2106" t="n">
        <v>0</v>
      </c>
      <c r="O2106" t="n">
        <v>0</v>
      </c>
      <c r="P2106" t="n">
        <v>0</v>
      </c>
      <c r="Q2106" t="n">
        <v>0</v>
      </c>
      <c r="R2106" s="2" t="inlineStr"/>
    </row>
    <row r="2107" ht="15" customHeight="1">
      <c r="A2107" t="inlineStr">
        <is>
          <t>A 32229-2025</t>
        </is>
      </c>
      <c r="B2107" s="1" t="n">
        <v>45835</v>
      </c>
      <c r="C2107" s="1" t="n">
        <v>45849</v>
      </c>
      <c r="D2107" t="inlineStr">
        <is>
          <t>VÄSTERBOTTENS LÄN</t>
        </is>
      </c>
      <c r="E2107" t="inlineStr">
        <is>
          <t>LYCKSELE</t>
        </is>
      </c>
      <c r="F2107" t="inlineStr">
        <is>
          <t>Sveaskog</t>
        </is>
      </c>
      <c r="G2107" t="n">
        <v>4.6</v>
      </c>
      <c r="H2107" t="n">
        <v>0</v>
      </c>
      <c r="I2107" t="n">
        <v>0</v>
      </c>
      <c r="J2107" t="n">
        <v>0</v>
      </c>
      <c r="K2107" t="n">
        <v>0</v>
      </c>
      <c r="L2107" t="n">
        <v>0</v>
      </c>
      <c r="M2107" t="n">
        <v>0</v>
      </c>
      <c r="N2107" t="n">
        <v>0</v>
      </c>
      <c r="O2107" t="n">
        <v>0</v>
      </c>
      <c r="P2107" t="n">
        <v>0</v>
      </c>
      <c r="Q2107" t="n">
        <v>0</v>
      </c>
      <c r="R2107" s="2" t="inlineStr"/>
    </row>
    <row r="2108" ht="15" customHeight="1">
      <c r="A2108" t="inlineStr">
        <is>
          <t>A 32108-2025</t>
        </is>
      </c>
      <c r="B2108" s="1" t="n">
        <v>45835</v>
      </c>
      <c r="C2108" s="1" t="n">
        <v>45849</v>
      </c>
      <c r="D2108" t="inlineStr">
        <is>
          <t>VÄSTERBOTTENS LÄN</t>
        </is>
      </c>
      <c r="E2108" t="inlineStr">
        <is>
          <t>LYCKSELE</t>
        </is>
      </c>
      <c r="F2108" t="inlineStr">
        <is>
          <t>Holmen skog AB</t>
        </is>
      </c>
      <c r="G2108" t="n">
        <v>24.3</v>
      </c>
      <c r="H2108" t="n">
        <v>0</v>
      </c>
      <c r="I2108" t="n">
        <v>0</v>
      </c>
      <c r="J2108" t="n">
        <v>0</v>
      </c>
      <c r="K2108" t="n">
        <v>0</v>
      </c>
      <c r="L2108" t="n">
        <v>0</v>
      </c>
      <c r="M2108" t="n">
        <v>0</v>
      </c>
      <c r="N2108" t="n">
        <v>0</v>
      </c>
      <c r="O2108" t="n">
        <v>0</v>
      </c>
      <c r="P2108" t="n">
        <v>0</v>
      </c>
      <c r="Q2108" t="n">
        <v>0</v>
      </c>
      <c r="R2108" s="2" t="inlineStr"/>
    </row>
    <row r="2109" ht="15" customHeight="1">
      <c r="A2109" t="inlineStr">
        <is>
          <t>A 31964-2025</t>
        </is>
      </c>
      <c r="B2109" s="1" t="n">
        <v>45835</v>
      </c>
      <c r="C2109" s="1" t="n">
        <v>45849</v>
      </c>
      <c r="D2109" t="inlineStr">
        <is>
          <t>VÄSTERBOTTENS LÄN</t>
        </is>
      </c>
      <c r="E2109" t="inlineStr">
        <is>
          <t>LYCKSELE</t>
        </is>
      </c>
      <c r="G2109" t="n">
        <v>4.3</v>
      </c>
      <c r="H2109" t="n">
        <v>0</v>
      </c>
      <c r="I2109" t="n">
        <v>0</v>
      </c>
      <c r="J2109" t="n">
        <v>0</v>
      </c>
      <c r="K2109" t="n">
        <v>0</v>
      </c>
      <c r="L2109" t="n">
        <v>0</v>
      </c>
      <c r="M2109" t="n">
        <v>0</v>
      </c>
      <c r="N2109" t="n">
        <v>0</v>
      </c>
      <c r="O2109" t="n">
        <v>0</v>
      </c>
      <c r="P2109" t="n">
        <v>0</v>
      </c>
      <c r="Q2109" t="n">
        <v>0</v>
      </c>
      <c r="R2109" s="2" t="inlineStr"/>
    </row>
    <row r="2110" ht="15" customHeight="1">
      <c r="A2110" t="inlineStr">
        <is>
          <t>A 32431-2025</t>
        </is>
      </c>
      <c r="B2110" s="1" t="n">
        <v>45838</v>
      </c>
      <c r="C2110" s="1" t="n">
        <v>45849</v>
      </c>
      <c r="D2110" t="inlineStr">
        <is>
          <t>VÄSTERBOTTENS LÄN</t>
        </is>
      </c>
      <c r="E2110" t="inlineStr">
        <is>
          <t>LYCKSELE</t>
        </is>
      </c>
      <c r="F2110" t="inlineStr">
        <is>
          <t>Holmen skog AB</t>
        </is>
      </c>
      <c r="G2110" t="n">
        <v>6.6</v>
      </c>
      <c r="H2110" t="n">
        <v>0</v>
      </c>
      <c r="I2110" t="n">
        <v>0</v>
      </c>
      <c r="J2110" t="n">
        <v>0</v>
      </c>
      <c r="K2110" t="n">
        <v>0</v>
      </c>
      <c r="L2110" t="n">
        <v>0</v>
      </c>
      <c r="M2110" t="n">
        <v>0</v>
      </c>
      <c r="N2110" t="n">
        <v>0</v>
      </c>
      <c r="O2110" t="n">
        <v>0</v>
      </c>
      <c r="P2110" t="n">
        <v>0</v>
      </c>
      <c r="Q2110" t="n">
        <v>0</v>
      </c>
      <c r="R2110" s="2" t="inlineStr"/>
    </row>
    <row r="2111" ht="15" customHeight="1">
      <c r="A2111" t="inlineStr">
        <is>
          <t>A 32614-2025</t>
        </is>
      </c>
      <c r="B2111" s="1" t="n">
        <v>45838</v>
      </c>
      <c r="C2111" s="1" t="n">
        <v>45849</v>
      </c>
      <c r="D2111" t="inlineStr">
        <is>
          <t>VÄSTERBOTTENS LÄN</t>
        </is>
      </c>
      <c r="E2111" t="inlineStr">
        <is>
          <t>LYCKSELE</t>
        </is>
      </c>
      <c r="G2111" t="n">
        <v>10</v>
      </c>
      <c r="H2111" t="n">
        <v>0</v>
      </c>
      <c r="I2111" t="n">
        <v>0</v>
      </c>
      <c r="J2111" t="n">
        <v>0</v>
      </c>
      <c r="K2111" t="n">
        <v>0</v>
      </c>
      <c r="L2111" t="n">
        <v>0</v>
      </c>
      <c r="M2111" t="n">
        <v>0</v>
      </c>
      <c r="N2111" t="n">
        <v>0</v>
      </c>
      <c r="O2111" t="n">
        <v>0</v>
      </c>
      <c r="P2111" t="n">
        <v>0</v>
      </c>
      <c r="Q2111" t="n">
        <v>0</v>
      </c>
      <c r="R2111" s="2" t="inlineStr"/>
    </row>
    <row r="2112" ht="15" customHeight="1">
      <c r="A2112" t="inlineStr">
        <is>
          <t>A 32487-2025</t>
        </is>
      </c>
      <c r="B2112" s="1" t="n">
        <v>45838</v>
      </c>
      <c r="C2112" s="1" t="n">
        <v>45849</v>
      </c>
      <c r="D2112" t="inlineStr">
        <is>
          <t>VÄSTERBOTTENS LÄN</t>
        </is>
      </c>
      <c r="E2112" t="inlineStr">
        <is>
          <t>LYCKSELE</t>
        </is>
      </c>
      <c r="F2112" t="inlineStr">
        <is>
          <t>Holmen skog AB</t>
        </is>
      </c>
      <c r="G2112" t="n">
        <v>3.3</v>
      </c>
      <c r="H2112" t="n">
        <v>0</v>
      </c>
      <c r="I2112" t="n">
        <v>0</v>
      </c>
      <c r="J2112" t="n">
        <v>0</v>
      </c>
      <c r="K2112" t="n">
        <v>0</v>
      </c>
      <c r="L2112" t="n">
        <v>0</v>
      </c>
      <c r="M2112" t="n">
        <v>0</v>
      </c>
      <c r="N2112" t="n">
        <v>0</v>
      </c>
      <c r="O2112" t="n">
        <v>0</v>
      </c>
      <c r="P2112" t="n">
        <v>0</v>
      </c>
      <c r="Q2112" t="n">
        <v>0</v>
      </c>
      <c r="R2112" s="2" t="inlineStr"/>
    </row>
    <row r="2113" ht="15" customHeight="1">
      <c r="A2113" t="inlineStr">
        <is>
          <t>A 32409-2025</t>
        </is>
      </c>
      <c r="B2113" s="1" t="n">
        <v>45838</v>
      </c>
      <c r="C2113" s="1" t="n">
        <v>45849</v>
      </c>
      <c r="D2113" t="inlineStr">
        <is>
          <t>VÄSTERBOTTENS LÄN</t>
        </is>
      </c>
      <c r="E2113" t="inlineStr">
        <is>
          <t>LYCKSELE</t>
        </is>
      </c>
      <c r="F2113" t="inlineStr">
        <is>
          <t>Holmen skog AB</t>
        </is>
      </c>
      <c r="G2113" t="n">
        <v>3.2</v>
      </c>
      <c r="H2113" t="n">
        <v>0</v>
      </c>
      <c r="I2113" t="n">
        <v>0</v>
      </c>
      <c r="J2113" t="n">
        <v>0</v>
      </c>
      <c r="K2113" t="n">
        <v>0</v>
      </c>
      <c r="L2113" t="n">
        <v>0</v>
      </c>
      <c r="M2113" t="n">
        <v>0</v>
      </c>
      <c r="N2113" t="n">
        <v>0</v>
      </c>
      <c r="O2113" t="n">
        <v>0</v>
      </c>
      <c r="P2113" t="n">
        <v>0</v>
      </c>
      <c r="Q2113" t="n">
        <v>0</v>
      </c>
      <c r="R2113" s="2" t="inlineStr"/>
    </row>
    <row r="2114" ht="15" customHeight="1">
      <c r="A2114" t="inlineStr">
        <is>
          <t>A 32454-2025</t>
        </is>
      </c>
      <c r="B2114" s="1" t="n">
        <v>45838</v>
      </c>
      <c r="C2114" s="1" t="n">
        <v>45849</v>
      </c>
      <c r="D2114" t="inlineStr">
        <is>
          <t>VÄSTERBOTTENS LÄN</t>
        </is>
      </c>
      <c r="E2114" t="inlineStr">
        <is>
          <t>LYCKSELE</t>
        </is>
      </c>
      <c r="F2114" t="inlineStr">
        <is>
          <t>Holmen skog AB</t>
        </is>
      </c>
      <c r="G2114" t="n">
        <v>3.4</v>
      </c>
      <c r="H2114" t="n">
        <v>0</v>
      </c>
      <c r="I2114" t="n">
        <v>0</v>
      </c>
      <c r="J2114" t="n">
        <v>0</v>
      </c>
      <c r="K2114" t="n">
        <v>0</v>
      </c>
      <c r="L2114" t="n">
        <v>0</v>
      </c>
      <c r="M2114" t="n">
        <v>0</v>
      </c>
      <c r="N2114" t="n">
        <v>0</v>
      </c>
      <c r="O2114" t="n">
        <v>0</v>
      </c>
      <c r="P2114" t="n">
        <v>0</v>
      </c>
      <c r="Q2114" t="n">
        <v>0</v>
      </c>
      <c r="R2114" s="2" t="inlineStr"/>
    </row>
    <row r="2115" ht="15" customHeight="1">
      <c r="A2115" t="inlineStr">
        <is>
          <t>A 32619-2025</t>
        </is>
      </c>
      <c r="B2115" s="1" t="n">
        <v>45838</v>
      </c>
      <c r="C2115" s="1" t="n">
        <v>45849</v>
      </c>
      <c r="D2115" t="inlineStr">
        <is>
          <t>VÄSTERBOTTENS LÄN</t>
        </is>
      </c>
      <c r="E2115" t="inlineStr">
        <is>
          <t>LYCKSELE</t>
        </is>
      </c>
      <c r="G2115" t="n">
        <v>4.3</v>
      </c>
      <c r="H2115" t="n">
        <v>0</v>
      </c>
      <c r="I2115" t="n">
        <v>0</v>
      </c>
      <c r="J2115" t="n">
        <v>0</v>
      </c>
      <c r="K2115" t="n">
        <v>0</v>
      </c>
      <c r="L2115" t="n">
        <v>0</v>
      </c>
      <c r="M2115" t="n">
        <v>0</v>
      </c>
      <c r="N2115" t="n">
        <v>0</v>
      </c>
      <c r="O2115" t="n">
        <v>0</v>
      </c>
      <c r="P2115" t="n">
        <v>0</v>
      </c>
      <c r="Q2115" t="n">
        <v>0</v>
      </c>
      <c r="R2115" s="2" t="inlineStr"/>
    </row>
    <row r="2116" ht="15" customHeight="1">
      <c r="A2116" t="inlineStr">
        <is>
          <t>A 32783-2025</t>
        </is>
      </c>
      <c r="B2116" s="1" t="n">
        <v>45839</v>
      </c>
      <c r="C2116" s="1" t="n">
        <v>45849</v>
      </c>
      <c r="D2116" t="inlineStr">
        <is>
          <t>VÄSTERBOTTENS LÄN</t>
        </is>
      </c>
      <c r="E2116" t="inlineStr">
        <is>
          <t>LYCKSELE</t>
        </is>
      </c>
      <c r="G2116" t="n">
        <v>4.5</v>
      </c>
      <c r="H2116" t="n">
        <v>0</v>
      </c>
      <c r="I2116" t="n">
        <v>0</v>
      </c>
      <c r="J2116" t="n">
        <v>0</v>
      </c>
      <c r="K2116" t="n">
        <v>0</v>
      </c>
      <c r="L2116" t="n">
        <v>0</v>
      </c>
      <c r="M2116" t="n">
        <v>0</v>
      </c>
      <c r="N2116" t="n">
        <v>0</v>
      </c>
      <c r="O2116" t="n">
        <v>0</v>
      </c>
      <c r="P2116" t="n">
        <v>0</v>
      </c>
      <c r="Q2116" t="n">
        <v>0</v>
      </c>
      <c r="R2116" s="2" t="inlineStr"/>
    </row>
    <row r="2117" ht="15" customHeight="1">
      <c r="A2117" t="inlineStr">
        <is>
          <t>A 32752-2025</t>
        </is>
      </c>
      <c r="B2117" s="1" t="n">
        <v>45839</v>
      </c>
      <c r="C2117" s="1" t="n">
        <v>45849</v>
      </c>
      <c r="D2117" t="inlineStr">
        <is>
          <t>VÄSTERBOTTENS LÄN</t>
        </is>
      </c>
      <c r="E2117" t="inlineStr">
        <is>
          <t>LYCKSELE</t>
        </is>
      </c>
      <c r="G2117" t="n">
        <v>5.7</v>
      </c>
      <c r="H2117" t="n">
        <v>0</v>
      </c>
      <c r="I2117" t="n">
        <v>0</v>
      </c>
      <c r="J2117" t="n">
        <v>0</v>
      </c>
      <c r="K2117" t="n">
        <v>0</v>
      </c>
      <c r="L2117" t="n">
        <v>0</v>
      </c>
      <c r="M2117" t="n">
        <v>0</v>
      </c>
      <c r="N2117" t="n">
        <v>0</v>
      </c>
      <c r="O2117" t="n">
        <v>0</v>
      </c>
      <c r="P2117" t="n">
        <v>0</v>
      </c>
      <c r="Q2117" t="n">
        <v>0</v>
      </c>
      <c r="R2117" s="2" t="inlineStr"/>
    </row>
    <row r="2118" ht="15" customHeight="1">
      <c r="A2118" t="inlineStr">
        <is>
          <t>A 32722-2025</t>
        </is>
      </c>
      <c r="B2118" s="1" t="n">
        <v>45839</v>
      </c>
      <c r="C2118" s="1" t="n">
        <v>45849</v>
      </c>
      <c r="D2118" t="inlineStr">
        <is>
          <t>VÄSTERBOTTENS LÄN</t>
        </is>
      </c>
      <c r="E2118" t="inlineStr">
        <is>
          <t>LYCKSELE</t>
        </is>
      </c>
      <c r="G2118" t="n">
        <v>2.1</v>
      </c>
      <c r="H2118" t="n">
        <v>0</v>
      </c>
      <c r="I2118" t="n">
        <v>0</v>
      </c>
      <c r="J2118" t="n">
        <v>0</v>
      </c>
      <c r="K2118" t="n">
        <v>0</v>
      </c>
      <c r="L2118" t="n">
        <v>0</v>
      </c>
      <c r="M2118" t="n">
        <v>0</v>
      </c>
      <c r="N2118" t="n">
        <v>0</v>
      </c>
      <c r="O2118" t="n">
        <v>0</v>
      </c>
      <c r="P2118" t="n">
        <v>0</v>
      </c>
      <c r="Q2118" t="n">
        <v>0</v>
      </c>
      <c r="R2118" s="2" t="inlineStr"/>
    </row>
    <row r="2119" ht="15" customHeight="1">
      <c r="A2119" t="inlineStr">
        <is>
          <t>A 32941-2025</t>
        </is>
      </c>
      <c r="B2119" s="1" t="n">
        <v>45839</v>
      </c>
      <c r="C2119" s="1" t="n">
        <v>45849</v>
      </c>
      <c r="D2119" t="inlineStr">
        <is>
          <t>VÄSTERBOTTENS LÄN</t>
        </is>
      </c>
      <c r="E2119" t="inlineStr">
        <is>
          <t>LYCKSELE</t>
        </is>
      </c>
      <c r="G2119" t="n">
        <v>2.1</v>
      </c>
      <c r="H2119" t="n">
        <v>0</v>
      </c>
      <c r="I2119" t="n">
        <v>0</v>
      </c>
      <c r="J2119" t="n">
        <v>0</v>
      </c>
      <c r="K2119" t="n">
        <v>0</v>
      </c>
      <c r="L2119" t="n">
        <v>0</v>
      </c>
      <c r="M2119" t="n">
        <v>0</v>
      </c>
      <c r="N2119" t="n">
        <v>0</v>
      </c>
      <c r="O2119" t="n">
        <v>0</v>
      </c>
      <c r="P2119" t="n">
        <v>0</v>
      </c>
      <c r="Q2119" t="n">
        <v>0</v>
      </c>
      <c r="R2119" s="2" t="inlineStr"/>
    </row>
    <row r="2120" ht="15" customHeight="1">
      <c r="A2120" t="inlineStr">
        <is>
          <t>A 33052-2025</t>
        </is>
      </c>
      <c r="B2120" s="1" t="n">
        <v>45840</v>
      </c>
      <c r="C2120" s="1" t="n">
        <v>45849</v>
      </c>
      <c r="D2120" t="inlineStr">
        <is>
          <t>VÄSTERBOTTENS LÄN</t>
        </is>
      </c>
      <c r="E2120" t="inlineStr">
        <is>
          <t>LYCKSELE</t>
        </is>
      </c>
      <c r="F2120" t="inlineStr">
        <is>
          <t>Sveaskog</t>
        </is>
      </c>
      <c r="G2120" t="n">
        <v>13</v>
      </c>
      <c r="H2120" t="n">
        <v>0</v>
      </c>
      <c r="I2120" t="n">
        <v>0</v>
      </c>
      <c r="J2120" t="n">
        <v>0</v>
      </c>
      <c r="K2120" t="n">
        <v>0</v>
      </c>
      <c r="L2120" t="n">
        <v>0</v>
      </c>
      <c r="M2120" t="n">
        <v>0</v>
      </c>
      <c r="N2120" t="n">
        <v>0</v>
      </c>
      <c r="O2120" t="n">
        <v>0</v>
      </c>
      <c r="P2120" t="n">
        <v>0</v>
      </c>
      <c r="Q2120" t="n">
        <v>0</v>
      </c>
      <c r="R2120" s="2" t="inlineStr"/>
    </row>
    <row r="2121" ht="15" customHeight="1">
      <c r="A2121" t="inlineStr">
        <is>
          <t>A 33067-2025</t>
        </is>
      </c>
      <c r="B2121" s="1" t="n">
        <v>45840</v>
      </c>
      <c r="C2121" s="1" t="n">
        <v>45849</v>
      </c>
      <c r="D2121" t="inlineStr">
        <is>
          <t>VÄSTERBOTTENS LÄN</t>
        </is>
      </c>
      <c r="E2121" t="inlineStr">
        <is>
          <t>LYCKSELE</t>
        </is>
      </c>
      <c r="G2121" t="n">
        <v>4.6</v>
      </c>
      <c r="H2121" t="n">
        <v>0</v>
      </c>
      <c r="I2121" t="n">
        <v>0</v>
      </c>
      <c r="J2121" t="n">
        <v>0</v>
      </c>
      <c r="K2121" t="n">
        <v>0</v>
      </c>
      <c r="L2121" t="n">
        <v>0</v>
      </c>
      <c r="M2121" t="n">
        <v>0</v>
      </c>
      <c r="N2121" t="n">
        <v>0</v>
      </c>
      <c r="O2121" t="n">
        <v>0</v>
      </c>
      <c r="P2121" t="n">
        <v>0</v>
      </c>
      <c r="Q2121" t="n">
        <v>0</v>
      </c>
      <c r="R2121" s="2" t="inlineStr"/>
    </row>
    <row r="2122" ht="15" customHeight="1">
      <c r="A2122" t="inlineStr">
        <is>
          <t>A 33415-2025</t>
        </is>
      </c>
      <c r="B2122" s="1" t="n">
        <v>45841</v>
      </c>
      <c r="C2122" s="1" t="n">
        <v>45849</v>
      </c>
      <c r="D2122" t="inlineStr">
        <is>
          <t>VÄSTERBOTTENS LÄN</t>
        </is>
      </c>
      <c r="E2122" t="inlineStr">
        <is>
          <t>LYCKSELE</t>
        </is>
      </c>
      <c r="G2122" t="n">
        <v>1.5</v>
      </c>
      <c r="H2122" t="n">
        <v>0</v>
      </c>
      <c r="I2122" t="n">
        <v>0</v>
      </c>
      <c r="J2122" t="n">
        <v>0</v>
      </c>
      <c r="K2122" t="n">
        <v>0</v>
      </c>
      <c r="L2122" t="n">
        <v>0</v>
      </c>
      <c r="M2122" t="n">
        <v>0</v>
      </c>
      <c r="N2122" t="n">
        <v>0</v>
      </c>
      <c r="O2122" t="n">
        <v>0</v>
      </c>
      <c r="P2122" t="n">
        <v>0</v>
      </c>
      <c r="Q2122" t="n">
        <v>0</v>
      </c>
      <c r="R2122" s="2" t="inlineStr"/>
    </row>
    <row r="2123" ht="15" customHeight="1">
      <c r="A2123" t="inlineStr">
        <is>
          <t>A 33423-2025</t>
        </is>
      </c>
      <c r="B2123" s="1" t="n">
        <v>45841</v>
      </c>
      <c r="C2123" s="1" t="n">
        <v>45849</v>
      </c>
      <c r="D2123" t="inlineStr">
        <is>
          <t>VÄSTERBOTTENS LÄN</t>
        </is>
      </c>
      <c r="E2123" t="inlineStr">
        <is>
          <t>LYCKSELE</t>
        </is>
      </c>
      <c r="G2123" t="n">
        <v>0.6</v>
      </c>
      <c r="H2123" t="n">
        <v>0</v>
      </c>
      <c r="I2123" t="n">
        <v>0</v>
      </c>
      <c r="J2123" t="n">
        <v>0</v>
      </c>
      <c r="K2123" t="n">
        <v>0</v>
      </c>
      <c r="L2123" t="n">
        <v>0</v>
      </c>
      <c r="M2123" t="n">
        <v>0</v>
      </c>
      <c r="N2123" t="n">
        <v>0</v>
      </c>
      <c r="O2123" t="n">
        <v>0</v>
      </c>
      <c r="P2123" t="n">
        <v>0</v>
      </c>
      <c r="Q2123" t="n">
        <v>0</v>
      </c>
      <c r="R2123" s="2" t="inlineStr"/>
    </row>
    <row r="2124" ht="15" customHeight="1">
      <c r="A2124" t="inlineStr">
        <is>
          <t>A 33453-2025</t>
        </is>
      </c>
      <c r="B2124" s="1" t="n">
        <v>45841</v>
      </c>
      <c r="C2124" s="1" t="n">
        <v>45849</v>
      </c>
      <c r="D2124" t="inlineStr">
        <is>
          <t>VÄSTERBOTTENS LÄN</t>
        </is>
      </c>
      <c r="E2124" t="inlineStr">
        <is>
          <t>LYCKSELE</t>
        </is>
      </c>
      <c r="F2124" t="inlineStr">
        <is>
          <t>SCA</t>
        </is>
      </c>
      <c r="G2124" t="n">
        <v>4</v>
      </c>
      <c r="H2124" t="n">
        <v>0</v>
      </c>
      <c r="I2124" t="n">
        <v>0</v>
      </c>
      <c r="J2124" t="n">
        <v>0</v>
      </c>
      <c r="K2124" t="n">
        <v>0</v>
      </c>
      <c r="L2124" t="n">
        <v>0</v>
      </c>
      <c r="M2124" t="n">
        <v>0</v>
      </c>
      <c r="N2124" t="n">
        <v>0</v>
      </c>
      <c r="O2124" t="n">
        <v>0</v>
      </c>
      <c r="P2124" t="n">
        <v>0</v>
      </c>
      <c r="Q2124" t="n">
        <v>0</v>
      </c>
      <c r="R2124" s="2" t="inlineStr"/>
    </row>
    <row r="2125" ht="15" customHeight="1">
      <c r="A2125" t="inlineStr">
        <is>
          <t>A 33467-2025</t>
        </is>
      </c>
      <c r="B2125" s="1" t="n">
        <v>45841</v>
      </c>
      <c r="C2125" s="1" t="n">
        <v>45849</v>
      </c>
      <c r="D2125" t="inlineStr">
        <is>
          <t>VÄSTERBOTTENS LÄN</t>
        </is>
      </c>
      <c r="E2125" t="inlineStr">
        <is>
          <t>LYCKSELE</t>
        </is>
      </c>
      <c r="F2125" t="inlineStr">
        <is>
          <t>Holmen skog AB</t>
        </is>
      </c>
      <c r="G2125" t="n">
        <v>4.3</v>
      </c>
      <c r="H2125" t="n">
        <v>0</v>
      </c>
      <c r="I2125" t="n">
        <v>0</v>
      </c>
      <c r="J2125" t="n">
        <v>0</v>
      </c>
      <c r="K2125" t="n">
        <v>0</v>
      </c>
      <c r="L2125" t="n">
        <v>0</v>
      </c>
      <c r="M2125" t="n">
        <v>0</v>
      </c>
      <c r="N2125" t="n">
        <v>0</v>
      </c>
      <c r="O2125" t="n">
        <v>0</v>
      </c>
      <c r="P2125" t="n">
        <v>0</v>
      </c>
      <c r="Q2125" t="n">
        <v>0</v>
      </c>
      <c r="R2125" s="2" t="inlineStr"/>
    </row>
    <row r="2126" ht="15" customHeight="1">
      <c r="A2126" t="inlineStr">
        <is>
          <t>A 33346-2025</t>
        </is>
      </c>
      <c r="B2126" s="1" t="n">
        <v>45841</v>
      </c>
      <c r="C2126" s="1" t="n">
        <v>45849</v>
      </c>
      <c r="D2126" t="inlineStr">
        <is>
          <t>VÄSTERBOTTENS LÄN</t>
        </is>
      </c>
      <c r="E2126" t="inlineStr">
        <is>
          <t>LYCKSELE</t>
        </is>
      </c>
      <c r="F2126" t="inlineStr">
        <is>
          <t>Sveaskog</t>
        </is>
      </c>
      <c r="G2126" t="n">
        <v>7.8</v>
      </c>
      <c r="H2126" t="n">
        <v>0</v>
      </c>
      <c r="I2126" t="n">
        <v>0</v>
      </c>
      <c r="J2126" t="n">
        <v>0</v>
      </c>
      <c r="K2126" t="n">
        <v>0</v>
      </c>
      <c r="L2126" t="n">
        <v>0</v>
      </c>
      <c r="M2126" t="n">
        <v>0</v>
      </c>
      <c r="N2126" t="n">
        <v>0</v>
      </c>
      <c r="O2126" t="n">
        <v>0</v>
      </c>
      <c r="P2126" t="n">
        <v>0</v>
      </c>
      <c r="Q2126" t="n">
        <v>0</v>
      </c>
      <c r="R2126" s="2" t="inlineStr"/>
    </row>
    <row r="2127" ht="15" customHeight="1">
      <c r="A2127" t="inlineStr">
        <is>
          <t>A 33527-2025</t>
        </is>
      </c>
      <c r="B2127" s="1" t="n">
        <v>45841</v>
      </c>
      <c r="C2127" s="1" t="n">
        <v>45849</v>
      </c>
      <c r="D2127" t="inlineStr">
        <is>
          <t>VÄSTERBOTTENS LÄN</t>
        </is>
      </c>
      <c r="E2127" t="inlineStr">
        <is>
          <t>LYCKSELE</t>
        </is>
      </c>
      <c r="G2127" t="n">
        <v>0.7</v>
      </c>
      <c r="H2127" t="n">
        <v>0</v>
      </c>
      <c r="I2127" t="n">
        <v>0</v>
      </c>
      <c r="J2127" t="n">
        <v>0</v>
      </c>
      <c r="K2127" t="n">
        <v>0</v>
      </c>
      <c r="L2127" t="n">
        <v>0</v>
      </c>
      <c r="M2127" t="n">
        <v>0</v>
      </c>
      <c r="N2127" t="n">
        <v>0</v>
      </c>
      <c r="O2127" t="n">
        <v>0</v>
      </c>
      <c r="P2127" t="n">
        <v>0</v>
      </c>
      <c r="Q2127" t="n">
        <v>0</v>
      </c>
      <c r="R2127" s="2" t="inlineStr"/>
    </row>
    <row r="2128" ht="15" customHeight="1">
      <c r="A2128" t="inlineStr">
        <is>
          <t>A 33431-2025</t>
        </is>
      </c>
      <c r="B2128" s="1" t="n">
        <v>45841</v>
      </c>
      <c r="C2128" s="1" t="n">
        <v>45849</v>
      </c>
      <c r="D2128" t="inlineStr">
        <is>
          <t>VÄSTERBOTTENS LÄN</t>
        </is>
      </c>
      <c r="E2128" t="inlineStr">
        <is>
          <t>LYCKSELE</t>
        </is>
      </c>
      <c r="G2128" t="n">
        <v>0.1</v>
      </c>
      <c r="H2128" t="n">
        <v>0</v>
      </c>
      <c r="I2128" t="n">
        <v>0</v>
      </c>
      <c r="J2128" t="n">
        <v>0</v>
      </c>
      <c r="K2128" t="n">
        <v>0</v>
      </c>
      <c r="L2128" t="n">
        <v>0</v>
      </c>
      <c r="M2128" t="n">
        <v>0</v>
      </c>
      <c r="N2128" t="n">
        <v>0</v>
      </c>
      <c r="O2128" t="n">
        <v>0</v>
      </c>
      <c r="P2128" t="n">
        <v>0</v>
      </c>
      <c r="Q2128" t="n">
        <v>0</v>
      </c>
      <c r="R2128" s="2" t="inlineStr"/>
    </row>
    <row r="2129" ht="15" customHeight="1">
      <c r="A2129" t="inlineStr">
        <is>
          <t>A 33381-2025</t>
        </is>
      </c>
      <c r="B2129" s="1" t="n">
        <v>45841</v>
      </c>
      <c r="C2129" s="1" t="n">
        <v>45849</v>
      </c>
      <c r="D2129" t="inlineStr">
        <is>
          <t>VÄSTERBOTTENS LÄN</t>
        </is>
      </c>
      <c r="E2129" t="inlineStr">
        <is>
          <t>LYCKSELE</t>
        </is>
      </c>
      <c r="F2129" t="inlineStr">
        <is>
          <t>Holmen skog AB</t>
        </is>
      </c>
      <c r="G2129" t="n">
        <v>11.6</v>
      </c>
      <c r="H2129" t="n">
        <v>0</v>
      </c>
      <c r="I2129" t="n">
        <v>0</v>
      </c>
      <c r="J2129" t="n">
        <v>0</v>
      </c>
      <c r="K2129" t="n">
        <v>0</v>
      </c>
      <c r="L2129" t="n">
        <v>0</v>
      </c>
      <c r="M2129" t="n">
        <v>0</v>
      </c>
      <c r="N2129" t="n">
        <v>0</v>
      </c>
      <c r="O2129" t="n">
        <v>0</v>
      </c>
      <c r="P2129" t="n">
        <v>0</v>
      </c>
      <c r="Q2129" t="n">
        <v>0</v>
      </c>
      <c r="R2129" s="2" t="inlineStr"/>
    </row>
    <row r="2130" ht="15" customHeight="1">
      <c r="A2130" t="inlineStr">
        <is>
          <t>A 33966-2025</t>
        </is>
      </c>
      <c r="B2130" s="1" t="n">
        <v>45842</v>
      </c>
      <c r="C2130" s="1" t="n">
        <v>45849</v>
      </c>
      <c r="D2130" t="inlineStr">
        <is>
          <t>VÄSTERBOTTENS LÄN</t>
        </is>
      </c>
      <c r="E2130" t="inlineStr">
        <is>
          <t>LYCKSELE</t>
        </is>
      </c>
      <c r="G2130" t="n">
        <v>12.5</v>
      </c>
      <c r="H2130" t="n">
        <v>0</v>
      </c>
      <c r="I2130" t="n">
        <v>0</v>
      </c>
      <c r="J2130" t="n">
        <v>0</v>
      </c>
      <c r="K2130" t="n">
        <v>0</v>
      </c>
      <c r="L2130" t="n">
        <v>0</v>
      </c>
      <c r="M2130" t="n">
        <v>0</v>
      </c>
      <c r="N2130" t="n">
        <v>0</v>
      </c>
      <c r="O2130" t="n">
        <v>0</v>
      </c>
      <c r="P2130" t="n">
        <v>0</v>
      </c>
      <c r="Q2130" t="n">
        <v>0</v>
      </c>
      <c r="R2130" s="2" t="inlineStr"/>
    </row>
    <row r="2131" ht="15" customHeight="1">
      <c r="A2131" t="inlineStr">
        <is>
          <t>A 33991-2025</t>
        </is>
      </c>
      <c r="B2131" s="1" t="n">
        <v>45843</v>
      </c>
      <c r="C2131" s="1" t="n">
        <v>45849</v>
      </c>
      <c r="D2131" t="inlineStr">
        <is>
          <t>VÄSTERBOTTENS LÄN</t>
        </is>
      </c>
      <c r="E2131" t="inlineStr">
        <is>
          <t>LYCKSELE</t>
        </is>
      </c>
      <c r="F2131" t="inlineStr">
        <is>
          <t>Sveaskog</t>
        </is>
      </c>
      <c r="G2131" t="n">
        <v>1.7</v>
      </c>
      <c r="H2131" t="n">
        <v>0</v>
      </c>
      <c r="I2131" t="n">
        <v>0</v>
      </c>
      <c r="J2131" t="n">
        <v>0</v>
      </c>
      <c r="K2131" t="n">
        <v>0</v>
      </c>
      <c r="L2131" t="n">
        <v>0</v>
      </c>
      <c r="M2131" t="n">
        <v>0</v>
      </c>
      <c r="N2131" t="n">
        <v>0</v>
      </c>
      <c r="O2131" t="n">
        <v>0</v>
      </c>
      <c r="P2131" t="n">
        <v>0</v>
      </c>
      <c r="Q2131" t="n">
        <v>0</v>
      </c>
      <c r="R2131" s="2" t="inlineStr"/>
    </row>
    <row r="2132" ht="15" customHeight="1">
      <c r="A2132" t="inlineStr">
        <is>
          <t>A 33992-2025</t>
        </is>
      </c>
      <c r="B2132" s="1" t="n">
        <v>45843</v>
      </c>
      <c r="C2132" s="1" t="n">
        <v>45849</v>
      </c>
      <c r="D2132" t="inlineStr">
        <is>
          <t>VÄSTERBOTTENS LÄN</t>
        </is>
      </c>
      <c r="E2132" t="inlineStr">
        <is>
          <t>LYCKSELE</t>
        </is>
      </c>
      <c r="F2132" t="inlineStr">
        <is>
          <t>Sveaskog</t>
        </is>
      </c>
      <c r="G2132" t="n">
        <v>1.2</v>
      </c>
      <c r="H2132" t="n">
        <v>0</v>
      </c>
      <c r="I2132" t="n">
        <v>0</v>
      </c>
      <c r="J2132" t="n">
        <v>0</v>
      </c>
      <c r="K2132" t="n">
        <v>0</v>
      </c>
      <c r="L2132" t="n">
        <v>0</v>
      </c>
      <c r="M2132" t="n">
        <v>0</v>
      </c>
      <c r="N2132" t="n">
        <v>0</v>
      </c>
      <c r="O2132" t="n">
        <v>0</v>
      </c>
      <c r="P2132" t="n">
        <v>0</v>
      </c>
      <c r="Q2132" t="n">
        <v>0</v>
      </c>
      <c r="R2132" s="2" t="inlineStr"/>
    </row>
    <row r="2133" ht="15" customHeight="1">
      <c r="A2133" t="inlineStr">
        <is>
          <t>A 34017-2025</t>
        </is>
      </c>
      <c r="B2133" s="1" t="n">
        <v>45845</v>
      </c>
      <c r="C2133" s="1" t="n">
        <v>45849</v>
      </c>
      <c r="D2133" t="inlineStr">
        <is>
          <t>VÄSTERBOTTENS LÄN</t>
        </is>
      </c>
      <c r="E2133" t="inlineStr">
        <is>
          <t>LYCKSELE</t>
        </is>
      </c>
      <c r="F2133" t="inlineStr">
        <is>
          <t>Sveaskog</t>
        </is>
      </c>
      <c r="G2133" t="n">
        <v>2.1</v>
      </c>
      <c r="H2133" t="n">
        <v>0</v>
      </c>
      <c r="I2133" t="n">
        <v>0</v>
      </c>
      <c r="J2133" t="n">
        <v>0</v>
      </c>
      <c r="K2133" t="n">
        <v>0</v>
      </c>
      <c r="L2133" t="n">
        <v>0</v>
      </c>
      <c r="M2133" t="n">
        <v>0</v>
      </c>
      <c r="N2133" t="n">
        <v>0</v>
      </c>
      <c r="O2133" t="n">
        <v>0</v>
      </c>
      <c r="P2133" t="n">
        <v>0</v>
      </c>
      <c r="Q2133" t="n">
        <v>0</v>
      </c>
      <c r="R2133" s="2" t="inlineStr"/>
    </row>
    <row r="2134" ht="15" customHeight="1">
      <c r="A2134" t="inlineStr">
        <is>
          <t>A 34111-2025</t>
        </is>
      </c>
      <c r="B2134" s="1" t="n">
        <v>45845</v>
      </c>
      <c r="C2134" s="1" t="n">
        <v>45849</v>
      </c>
      <c r="D2134" t="inlineStr">
        <is>
          <t>VÄSTERBOTTENS LÄN</t>
        </is>
      </c>
      <c r="E2134" t="inlineStr">
        <is>
          <t>LYCKSELE</t>
        </is>
      </c>
      <c r="F2134" t="inlineStr">
        <is>
          <t>Holmen skog AB</t>
        </is>
      </c>
      <c r="G2134" t="n">
        <v>8.4</v>
      </c>
      <c r="H2134" t="n">
        <v>0</v>
      </c>
      <c r="I2134" t="n">
        <v>0</v>
      </c>
      <c r="J2134" t="n">
        <v>0</v>
      </c>
      <c r="K2134" t="n">
        <v>0</v>
      </c>
      <c r="L2134" t="n">
        <v>0</v>
      </c>
      <c r="M2134" t="n">
        <v>0</v>
      </c>
      <c r="N2134" t="n">
        <v>0</v>
      </c>
      <c r="O2134" t="n">
        <v>0</v>
      </c>
      <c r="P2134" t="n">
        <v>0</v>
      </c>
      <c r="Q2134" t="n">
        <v>0</v>
      </c>
      <c r="R2134" s="2" t="inlineStr"/>
    </row>
    <row r="2135" ht="15" customHeight="1">
      <c r="A2135" t="inlineStr">
        <is>
          <t>A 34110-2025</t>
        </is>
      </c>
      <c r="B2135" s="1" t="n">
        <v>45845</v>
      </c>
      <c r="C2135" s="1" t="n">
        <v>45849</v>
      </c>
      <c r="D2135" t="inlineStr">
        <is>
          <t>VÄSTERBOTTENS LÄN</t>
        </is>
      </c>
      <c r="E2135" t="inlineStr">
        <is>
          <t>LYCKSELE</t>
        </is>
      </c>
      <c r="F2135" t="inlineStr">
        <is>
          <t>Holmen skog AB</t>
        </is>
      </c>
      <c r="G2135" t="n">
        <v>2.7</v>
      </c>
      <c r="H2135" t="n">
        <v>0</v>
      </c>
      <c r="I2135" t="n">
        <v>0</v>
      </c>
      <c r="J2135" t="n">
        <v>0</v>
      </c>
      <c r="K2135" t="n">
        <v>0</v>
      </c>
      <c r="L2135" t="n">
        <v>0</v>
      </c>
      <c r="M2135" t="n">
        <v>0</v>
      </c>
      <c r="N2135" t="n">
        <v>0</v>
      </c>
      <c r="O2135" t="n">
        <v>0</v>
      </c>
      <c r="P2135" t="n">
        <v>0</v>
      </c>
      <c r="Q2135" t="n">
        <v>0</v>
      </c>
      <c r="R2135" s="2" t="inlineStr"/>
    </row>
    <row r="2136" ht="15" customHeight="1">
      <c r="A2136" t="inlineStr">
        <is>
          <t>A 34504-2025</t>
        </is>
      </c>
      <c r="B2136" s="1" t="n">
        <v>45847</v>
      </c>
      <c r="C2136" s="1" t="n">
        <v>45849</v>
      </c>
      <c r="D2136" t="inlineStr">
        <is>
          <t>VÄSTERBOTTENS LÄN</t>
        </is>
      </c>
      <c r="E2136" t="inlineStr">
        <is>
          <t>LYCKSELE</t>
        </is>
      </c>
      <c r="F2136" t="inlineStr">
        <is>
          <t>Holmen skog AB</t>
        </is>
      </c>
      <c r="G2136" t="n">
        <v>2.4</v>
      </c>
      <c r="H2136" t="n">
        <v>0</v>
      </c>
      <c r="I2136" t="n">
        <v>0</v>
      </c>
      <c r="J2136" t="n">
        <v>0</v>
      </c>
      <c r="K2136" t="n">
        <v>0</v>
      </c>
      <c r="L2136" t="n">
        <v>0</v>
      </c>
      <c r="M2136" t="n">
        <v>0</v>
      </c>
      <c r="N2136" t="n">
        <v>0</v>
      </c>
      <c r="O2136" t="n">
        <v>0</v>
      </c>
      <c r="P2136" t="n">
        <v>0</v>
      </c>
      <c r="Q2136" t="n">
        <v>0</v>
      </c>
      <c r="R2136" s="2" t="inlineStr"/>
    </row>
    <row r="2137">
      <c r="A2137" t="inlineStr">
        <is>
          <t>A 34465-2025</t>
        </is>
      </c>
      <c r="B2137" s="1" t="n">
        <v>45847</v>
      </c>
      <c r="C2137" s="1" t="n">
        <v>45849</v>
      </c>
      <c r="D2137" t="inlineStr">
        <is>
          <t>VÄSTERBOTTENS LÄN</t>
        </is>
      </c>
      <c r="E2137" t="inlineStr">
        <is>
          <t>LYCKSELE</t>
        </is>
      </c>
      <c r="F2137" t="inlineStr">
        <is>
          <t>SCA</t>
        </is>
      </c>
      <c r="G2137" t="n">
        <v>26</v>
      </c>
      <c r="H2137" t="n">
        <v>0</v>
      </c>
      <c r="I2137" t="n">
        <v>0</v>
      </c>
      <c r="J2137" t="n">
        <v>0</v>
      </c>
      <c r="K2137" t="n">
        <v>0</v>
      </c>
      <c r="L2137" t="n">
        <v>0</v>
      </c>
      <c r="M2137" t="n">
        <v>0</v>
      </c>
      <c r="N2137" t="n">
        <v>0</v>
      </c>
      <c r="O2137" t="n">
        <v>0</v>
      </c>
      <c r="P2137" t="n">
        <v>0</v>
      </c>
      <c r="Q2137" t="n">
        <v>0</v>
      </c>
      <c r="R213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2025-07-11T19:43:22Z</dcterms:created>
  <dcterms:modified xmlns:dcterms="http://purl.org/dc/terms/" xmlns:xsi="http://www.w3.org/2001/XMLSchema-instance" xsi:type="dcterms:W3CDTF">2025-07-11T19:43:23Z</dcterms:modified>
</cp:coreProperties>
</file>