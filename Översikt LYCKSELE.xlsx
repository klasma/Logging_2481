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46257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46257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46257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46257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46257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46257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46257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46257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46257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46257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46257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46257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46257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46257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46257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46257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46257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31698-2023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46257</v>
      </c>
      <c r="F31" t="inlineStr">
        <is>
          <t>VÄSTERBOTTENS LÄN</t>
        </is>
      </c>
      <c r="G31" t="inlineStr">
        <is>
          <t>LYCKSELE</t>
        </is>
      </c>
      <c r="H31" t="inlineStr">
        <is>
          <t>Holmen skog AB</t>
        </is>
      </c>
      <c r="I31" t="n">
        <v>6.1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Lavskrika
Rödvingetrast
Talltita
Bergfink
Orre</t>
        </is>
      </c>
      <c r="W31">
        <f>HYPERLINK("https://klasma.github.io/Logging_2481/artfynd/A 31698-2023 artfynd.xlsx", "A 31698-2023")</f>
        <v/>
      </c>
      <c r="X31">
        <f>HYPERLINK("https://klasma.github.io/Logging_2481/kartor/A 31698-2023 karta.png", "A 31698-2023")</f>
        <v/>
      </c>
      <c r="Y31">
        <f>HYPERLINK("https://klasma.github.io/Logging_2481/kartor_geotiff/A 31698-2023 georefererad karta.tif", "A 31698-2023")</f>
        <v/>
      </c>
      <c r="AA31">
        <f>HYPERLINK("https://klasma.github.io/Logging_2481/klagomål/A 31698-2023 FSC-klagomål.docx", "A 31698-2023")</f>
        <v/>
      </c>
      <c r="AB31">
        <f>HYPERLINK("https://klasma.github.io/Logging_2481/klagomålsmail/A 31698-2023 FSC-klagomål mail.docx", "A 31698-2023")</f>
        <v/>
      </c>
      <c r="AC31">
        <f>HYPERLINK("https://klasma.github.io/Logging_2481/tillsyn/A 31698-2023 tillsynsbegäran.docx", "A 31698-2023")</f>
        <v/>
      </c>
      <c r="AD31">
        <f>HYPERLINK("https://klasma.github.io/Logging_2481/tillsynsmail/A 31698-2023 tillsynsbegäran mail.docx", "A 31698-2023")</f>
        <v/>
      </c>
      <c r="AE31">
        <f>HYPERLINK("https://klasma.github.io/Logging_2481/fåglar/A 31698-2023 prioriterade fågelarter.docx", "A 31698-2023")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46257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46257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46257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46257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46257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46257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46257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46257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46257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46257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46257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46257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46257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46257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46257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46257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46257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46257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46257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46257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Kolflarnlav
Orange taggsvamp</t>
        </is>
      </c>
      <c r="W54">
        <f>HYPERLINK("https://klasma.github.io/Logging_2481/artfynd/A 53115-2024 artfynd.xlsx", "A 53115-2024")</f>
        <v/>
      </c>
      <c r="X54">
        <f>HYPERLINK("https://klasma.github.io/Logging_2481/kartor/A 53115-2024 karta.png", "A 53115-2024")</f>
        <v/>
      </c>
      <c r="Y54">
        <f>HYPERLINK("https://klasma.github.io/Logging_2481/kartor_geotiff/A 53115-2024 georefererad karta.tif", "A 53115-2024")</f>
        <v/>
      </c>
      <c r="AA54">
        <f>HYPERLINK("https://klasma.github.io/Logging_2481/klagomål/A 53115-2024 FSC-klagomål.docx", "A 53115-2024")</f>
        <v/>
      </c>
      <c r="AB54">
        <f>HYPERLINK("https://klasma.github.io/Logging_2481/klagomålsmail/A 53115-2024 FSC-klagomål mail.docx", "A 53115-2024")</f>
        <v/>
      </c>
      <c r="AC54">
        <f>HYPERLINK("https://klasma.github.io/Logging_2481/tillsyn/A 53115-2024 tillsynsbegäran.docx", "A 53115-2024")</f>
        <v/>
      </c>
      <c r="AD54">
        <f>HYPERLINK("https://klasma.github.io/Logging_2481/tillsynsmail/A 53115-2024 tillsynsbegäran mail.docx", "A 53115-2024")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46257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43726-2025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46257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Kolflarnlav
Lunglav</t>
        </is>
      </c>
      <c r="W56">
        <f>HYPERLINK("https://klasma.github.io/Logging_2481/artfynd/A 43726-2025 artfynd.xlsx", "A 43726-2025")</f>
        <v/>
      </c>
      <c r="X56">
        <f>HYPERLINK("https://klasma.github.io/Logging_2481/kartor/A 43726-2025 karta.png", "A 43726-2025")</f>
        <v/>
      </c>
      <c r="Y56">
        <f>HYPERLINK("https://klasma.github.io/Logging_2481/kartor_geotiff/A 43726-2025 georefererad karta.tif", "A 43726-2025")</f>
        <v/>
      </c>
      <c r="AA56">
        <f>HYPERLINK("https://klasma.github.io/Logging_2481/klagomål/A 43726-2025 FSC-klagomål.docx", "A 43726-2025")</f>
        <v/>
      </c>
      <c r="AB56">
        <f>HYPERLINK("https://klasma.github.io/Logging_2481/klagomålsmail/A 43726-2025 FSC-klagomål mail.docx", "A 43726-2025")</f>
        <v/>
      </c>
      <c r="AC56">
        <f>HYPERLINK("https://klasma.github.io/Logging_2481/tillsyn/A 43726-2025 tillsynsbegäran.docx", "A 43726-2025")</f>
        <v/>
      </c>
      <c r="AD56">
        <f>HYPERLINK("https://klasma.github.io/Logging_2481/tillsynsmail/A 43726-2025 tillsynsbegäran mail.docx", "A 43726-2025")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46257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46257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46257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6684-2023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46257</v>
      </c>
      <c r="F60" t="inlineStr">
        <is>
          <t>VÄSTERBOTTENS LÄN</t>
        </is>
      </c>
      <c r="G60" t="inlineStr">
        <is>
          <t>LYCKSELE</t>
        </is>
      </c>
      <c r="I60" t="n">
        <v>2.7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4</v>
      </c>
      <c r="V60" s="2" t="inlineStr">
        <is>
          <t>Garnlav
Lunglav
Stuplav</t>
        </is>
      </c>
      <c r="W60">
        <f>HYPERLINK("https://klasma.github.io/Logging_2481/artfynd/A 6684-2023 artfynd.xlsx", "A 6684-2023")</f>
        <v/>
      </c>
      <c r="X60">
        <f>HYPERLINK("https://klasma.github.io/Logging_2481/kartor/A 6684-2023 karta.png", "A 6684-2023")</f>
        <v/>
      </c>
      <c r="Y60">
        <f>HYPERLINK("https://klasma.github.io/Logging_2481/kartor_geotiff/A 6684-2023 georefererad karta.tif", "A 6684-2023")</f>
        <v/>
      </c>
      <c r="AA60">
        <f>HYPERLINK("https://klasma.github.io/Logging_2481/klagomål/A 6684-2023 FSC-klagomål.docx", "A 6684-2023")</f>
        <v/>
      </c>
      <c r="AB60">
        <f>HYPERLINK("https://klasma.github.io/Logging_2481/klagomålsmail/A 6684-2023 FSC-klagomål mail.docx", "A 6684-2023")</f>
        <v/>
      </c>
      <c r="AC60">
        <f>HYPERLINK("https://klasma.github.io/Logging_2481/tillsyn/A 6684-2023 tillsynsbegäran.docx", "A 6684-2023")</f>
        <v/>
      </c>
      <c r="AD60">
        <f>HYPERLINK("https://klasma.github.io/Logging_2481/tillsynsmail/A 6684-2023 tillsynsbegäran mail.docx", "A 6684-2023")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46257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53808-2023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46257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1.8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Vedflamlav
Brandticka
Gullgröppa</t>
        </is>
      </c>
      <c r="W62">
        <f>HYPERLINK("https://klasma.github.io/Logging_2481/artfynd/A 53808-2023 artfynd.xlsx", "A 53808-2023")</f>
        <v/>
      </c>
      <c r="X62">
        <f>HYPERLINK("https://klasma.github.io/Logging_2481/kartor/A 53808-2023 karta.png", "A 53808-2023")</f>
        <v/>
      </c>
      <c r="Y62">
        <f>HYPERLINK("https://klasma.github.io/Logging_2481/kartor_geotiff/A 53808-2023 georefererad karta.tif", "A 53808-2023")</f>
        <v/>
      </c>
      <c r="AA62">
        <f>HYPERLINK("https://klasma.github.io/Logging_2481/klagomål/A 53808-2023 FSC-klagomål.docx", "A 53808-2023")</f>
        <v/>
      </c>
      <c r="AB62">
        <f>HYPERLINK("https://klasma.github.io/Logging_2481/klagomålsmail/A 53808-2023 FSC-klagomål mail.docx", "A 53808-2023")</f>
        <v/>
      </c>
      <c r="AC62">
        <f>HYPERLINK("https://klasma.github.io/Logging_2481/tillsyn/A 53808-2023 tillsynsbegäran.docx", "A 53808-2023")</f>
        <v/>
      </c>
      <c r="AD62">
        <f>HYPERLINK("https://klasma.github.io/Logging_2481/tillsynsmail/A 53808-2023 tillsynsbegäran mail.docx", "A 53808-2023")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46257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46257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46257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60422-2024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46257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60422-2024 artfynd.xlsx", "A 60422-2024")</f>
        <v/>
      </c>
      <c r="X66">
        <f>HYPERLINK("https://klasma.github.io/Logging_2481/kartor/A 60422-2024 karta.png", "A 60422-2024")</f>
        <v/>
      </c>
      <c r="Y66">
        <f>HYPERLINK("https://klasma.github.io/Logging_2481/kartor_geotiff/A 60422-2024 georefererad karta.tif", "A 60422-2024")</f>
        <v/>
      </c>
      <c r="AA66">
        <f>HYPERLINK("https://klasma.github.io/Logging_2481/klagomål/A 60422-2024 FSC-klagomål.docx", "A 60422-2024")</f>
        <v/>
      </c>
      <c r="AB66">
        <f>HYPERLINK("https://klasma.github.io/Logging_2481/klagomålsmail/A 60422-2024 FSC-klagomål mail.docx", "A 60422-2024")</f>
        <v/>
      </c>
      <c r="AC66">
        <f>HYPERLINK("https://klasma.github.io/Logging_2481/tillsyn/A 60422-2024 tillsynsbegäran.docx", "A 60422-2024")</f>
        <v/>
      </c>
      <c r="AD66">
        <f>HYPERLINK("https://klasma.github.io/Logging_2481/tillsynsmail/A 60422-2024 tillsynsbegäran mail.docx", "A 60422-2024")</f>
        <v/>
      </c>
    </row>
    <row r="67" ht="15" customHeight="1">
      <c r="A67" t="inlineStr">
        <is>
          <t>A 38916-2025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46257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Lunglav
Stuplav</t>
        </is>
      </c>
      <c r="W67">
        <f>HYPERLINK("https://klasma.github.io/Logging_2481/artfynd/A 38916-2025 artfynd.xlsx", "A 38916-2025")</f>
        <v/>
      </c>
      <c r="X67">
        <f>HYPERLINK("https://klasma.github.io/Logging_2481/kartor/A 38916-2025 karta.png", "A 38916-2025")</f>
        <v/>
      </c>
      <c r="Y67">
        <f>HYPERLINK("https://klasma.github.io/Logging_2481/kartor_geotiff/A 38916-2025 georefererad karta.tif", "A 38916-2025")</f>
        <v/>
      </c>
      <c r="AA67">
        <f>HYPERLINK("https://klasma.github.io/Logging_2481/klagomål/A 38916-2025 FSC-klagomål.docx", "A 38916-2025")</f>
        <v/>
      </c>
      <c r="AB67">
        <f>HYPERLINK("https://klasma.github.io/Logging_2481/klagomålsmail/A 38916-2025 FSC-klagomål mail.docx", "A 38916-2025")</f>
        <v/>
      </c>
      <c r="AC67">
        <f>HYPERLINK("https://klasma.github.io/Logging_2481/tillsyn/A 38916-2025 tillsynsbegäran.docx", "A 38916-2025")</f>
        <v/>
      </c>
      <c r="AD67">
        <f>HYPERLINK("https://klasma.github.io/Logging_2481/tillsynsmail/A 38916-2025 tillsynsbegäran mail.docx", "A 38916-2025")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46257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46257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46257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21905-2026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46257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Kolflarnlav
Lunglav</t>
        </is>
      </c>
      <c r="W71">
        <f>HYPERLINK("https://klasma.github.io/Logging_2481/artfynd/A 21905-2026 artfynd.xlsx", "A 21905-2026")</f>
        <v/>
      </c>
      <c r="X71">
        <f>HYPERLINK("https://klasma.github.io/Logging_2481/kartor/A 21905-2026 karta.png", "A 21905-2026")</f>
        <v/>
      </c>
      <c r="Y71">
        <f>HYPERLINK("https://klasma.github.io/Logging_2481/kartor_geotiff/A 21905-2026 georefererad karta.tif", "A 21905-2026")</f>
        <v/>
      </c>
      <c r="AA71">
        <f>HYPERLINK("https://klasma.github.io/Logging_2481/klagomål/A 21905-2026 FSC-klagomål.docx", "A 21905-2026")</f>
        <v/>
      </c>
      <c r="AB71">
        <f>HYPERLINK("https://klasma.github.io/Logging_2481/klagomålsmail/A 21905-2026 FSC-klagomål mail.docx", "A 21905-2026")</f>
        <v/>
      </c>
      <c r="AC71">
        <f>HYPERLINK("https://klasma.github.io/Logging_2481/tillsyn/A 21905-2026 tillsynsbegäran.docx", "A 21905-2026")</f>
        <v/>
      </c>
      <c r="AD71">
        <f>HYPERLINK("https://klasma.github.io/Logging_2481/tillsynsmail/A 21905-2026 tillsynsbegäran mail.docx", "A 21905-2026")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46257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26271-2025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46257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Lunglav</t>
        </is>
      </c>
      <c r="W74">
        <f>HYPERLINK("https://klasma.github.io/Logging_2481/artfynd/A 26271-2025 artfynd.xlsx", "A 26271-2025")</f>
        <v/>
      </c>
      <c r="X74">
        <f>HYPERLINK("https://klasma.github.io/Logging_2481/kartor/A 26271-2025 karta.png", "A 26271-2025")</f>
        <v/>
      </c>
      <c r="Y74">
        <f>HYPERLINK("https://klasma.github.io/Logging_2481/kartor_geotiff/A 26271-2025 georefererad karta.tif", "A 26271-2025")</f>
        <v/>
      </c>
      <c r="AA74">
        <f>HYPERLINK("https://klasma.github.io/Logging_2481/klagomål/A 26271-2025 FSC-klagomål.docx", "A 26271-2025")</f>
        <v/>
      </c>
      <c r="AB74">
        <f>HYPERLINK("https://klasma.github.io/Logging_2481/klagomålsmail/A 26271-2025 FSC-klagomål mail.docx", "A 26271-2025")</f>
        <v/>
      </c>
      <c r="AC74">
        <f>HYPERLINK("https://klasma.github.io/Logging_2481/tillsyn/A 26271-2025 tillsynsbegäran.docx", "A 26271-2025")</f>
        <v/>
      </c>
      <c r="AD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46257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46257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42159-2025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46257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42159-2025 artfynd.xlsx", "A 42159-2025")</f>
        <v/>
      </c>
      <c r="X77">
        <f>HYPERLINK("https://klasma.github.io/Logging_2481/kartor/A 42159-2025 karta.png", "A 42159-2025")</f>
        <v/>
      </c>
      <c r="Y77">
        <f>HYPERLINK("https://klasma.github.io/Logging_2481/kartor_geotiff/A 42159-2025 georefererad karta.tif", "A 42159-2025")</f>
        <v/>
      </c>
      <c r="AA77">
        <f>HYPERLINK("https://klasma.github.io/Logging_2481/klagomål/A 42159-2025 FSC-klagomål.docx", "A 42159-2025")</f>
        <v/>
      </c>
      <c r="AB77">
        <f>HYPERLINK("https://klasma.github.io/Logging_2481/klagomålsmail/A 42159-2025 FSC-klagomål mail.docx", "A 42159-2025")</f>
        <v/>
      </c>
      <c r="AC77">
        <f>HYPERLINK("https://klasma.github.io/Logging_2481/tillsyn/A 42159-2025 tillsynsbegäran.docx", "A 42159-2025")</f>
        <v/>
      </c>
      <c r="AD77">
        <f>HYPERLINK("https://klasma.github.io/Logging_2481/tillsynsmail/A 42159-2025 tillsynsbegäran mail.docx", "A 42159-2025")</f>
        <v/>
      </c>
    </row>
    <row r="78" ht="15" customHeight="1">
      <c r="A78" t="inlineStr">
        <is>
          <t>A 38475-2023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46257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Mörk kolflarnlav</t>
        </is>
      </c>
      <c r="W78">
        <f>HYPERLINK("https://klasma.github.io/Logging_2481/artfynd/A 38475-2023 artfynd.xlsx", "A 38475-2023")</f>
        <v/>
      </c>
      <c r="X78">
        <f>HYPERLINK("https://klasma.github.io/Logging_2481/kartor/A 38475-2023 karta.png", "A 38475-2023")</f>
        <v/>
      </c>
      <c r="Y78">
        <f>HYPERLINK("https://klasma.github.io/Logging_2481/kartor_geotiff/A 38475-2023 georefererad karta.tif", "A 38475-2023")</f>
        <v/>
      </c>
      <c r="AA78">
        <f>HYPERLINK("https://klasma.github.io/Logging_2481/klagomål/A 38475-2023 FSC-klagomål.docx", "A 38475-2023")</f>
        <v/>
      </c>
      <c r="AB78">
        <f>HYPERLINK("https://klasma.github.io/Logging_2481/klagomålsmail/A 38475-2023 FSC-klagomål mail.docx", "A 38475-2023")</f>
        <v/>
      </c>
      <c r="AC78">
        <f>HYPERLINK("https://klasma.github.io/Logging_2481/tillsyn/A 38475-2023 tillsynsbegäran.docx", "A 38475-2023")</f>
        <v/>
      </c>
      <c r="AD78">
        <f>HYPERLINK("https://klasma.github.io/Logging_2481/tillsynsmail/A 38475-2023 tillsynsbegäran mail.docx", "A 38475-2023")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46257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Mörk kolflarnlav
Tretåig hackspett</t>
        </is>
      </c>
      <c r="W79">
        <f>HYPERLINK("https://klasma.github.io/Logging_2481/artfynd/A 30691-2025 artfynd.xlsx", "A 30691-2025")</f>
        <v/>
      </c>
      <c r="X79">
        <f>HYPERLINK("https://klasma.github.io/Logging_2481/kartor/A 30691-2025 karta.png", "A 30691-2025")</f>
        <v/>
      </c>
      <c r="Y79">
        <f>HYPERLINK("https://klasma.github.io/Logging_2481/kartor_geotiff/A 30691-2025 georefererad karta.tif", "A 30691-2025")</f>
        <v/>
      </c>
      <c r="AA79">
        <f>HYPERLINK("https://klasma.github.io/Logging_2481/klagomål/A 30691-2025 FSC-klagomål.docx", "A 30691-2025")</f>
        <v/>
      </c>
      <c r="AB79">
        <f>HYPERLINK("https://klasma.github.io/Logging_2481/klagomålsmail/A 30691-2025 FSC-klagomål mail.docx", "A 30691-2025")</f>
        <v/>
      </c>
      <c r="AC79">
        <f>HYPERLINK("https://klasma.github.io/Logging_2481/tillsyn/A 30691-2025 tillsynsbegäran.docx", "A 30691-2025")</f>
        <v/>
      </c>
      <c r="AD79">
        <f>HYPERLINK("https://klasma.github.io/Logging_2481/tillsynsmail/A 30691-2025 tillsynsbegäran mail.docx", "A 30691-2025")</f>
        <v/>
      </c>
      <c r="AE79">
        <f>HYPERLINK("https://klasma.github.io/Logging_2481/fåglar/A 30691-2025 prioriterade fågelarter.docx", "A 30691-2025")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742-2025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46257</v>
      </c>
      <c r="F82" t="inlineStr">
        <is>
          <t>VÄSTERBOTTENS LÄN</t>
        </is>
      </c>
      <c r="G82" t="inlineStr">
        <is>
          <t>LYCKSELE</t>
        </is>
      </c>
      <c r="H82" t="inlineStr">
        <is>
          <t>Holmen skog AB</t>
        </is>
      </c>
      <c r="I82" t="n">
        <v>5.6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Fläcknycklar</t>
        </is>
      </c>
      <c r="W82">
        <f>HYPERLINK("https://klasma.github.io/Logging_2481/artfynd/A 742-2025 artfynd.xlsx", "A 742-2025")</f>
        <v/>
      </c>
      <c r="X82">
        <f>HYPERLINK("https://klasma.github.io/Logging_2481/kartor/A 742-2025 karta.png", "A 742-2025")</f>
        <v/>
      </c>
      <c r="Y82">
        <f>HYPERLINK("https://klasma.github.io/Logging_2481/kartor_geotiff/A 742-2025 georefererad karta.tif", "A 742-2025")</f>
        <v/>
      </c>
      <c r="AA82">
        <f>HYPERLINK("https://klasma.github.io/Logging_2481/klagomål/A 742-2025 FSC-klagomål.docx", "A 742-2025")</f>
        <v/>
      </c>
      <c r="AB82">
        <f>HYPERLINK("https://klasma.github.io/Logging_2481/klagomålsmail/A 742-2025 FSC-klagomål mail.docx", "A 742-2025")</f>
        <v/>
      </c>
      <c r="AC82">
        <f>HYPERLINK("https://klasma.github.io/Logging_2481/tillsyn/A 742-2025 tillsynsbegäran.docx", "A 742-2025")</f>
        <v/>
      </c>
      <c r="AD82">
        <f>HYPERLINK("https://klasma.github.io/Logging_2481/tillsynsmail/A 742-2025 tillsynsbegäran mail.docx", "A 742-2025")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46257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46257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45935-2024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46257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Orange taggsvamp</t>
        </is>
      </c>
      <c r="W86">
        <f>HYPERLINK("https://klasma.github.io/Logging_2481/artfynd/A 45935-2024 artfynd.xlsx", "A 45935-2024")</f>
        <v/>
      </c>
      <c r="X86">
        <f>HYPERLINK("https://klasma.github.io/Logging_2481/kartor/A 45935-2024 karta.png", "A 45935-2024")</f>
        <v/>
      </c>
      <c r="Y86">
        <f>HYPERLINK("https://klasma.github.io/Logging_2481/kartor_geotiff/A 45935-2024 georefererad karta.tif", "A 45935-2024")</f>
        <v/>
      </c>
      <c r="AA86">
        <f>HYPERLINK("https://klasma.github.io/Logging_2481/klagomål/A 45935-2024 FSC-klagomål.docx", "A 45935-2024")</f>
        <v/>
      </c>
      <c r="AB86">
        <f>HYPERLINK("https://klasma.github.io/Logging_2481/klagomålsmail/A 45935-2024 FSC-klagomål mail.docx", "A 45935-2024")</f>
        <v/>
      </c>
      <c r="AC86">
        <f>HYPERLINK("https://klasma.github.io/Logging_2481/tillsyn/A 45935-2024 tillsynsbegäran.docx", "A 45935-2024")</f>
        <v/>
      </c>
      <c r="AD86">
        <f>HYPERLINK("https://klasma.github.io/Logging_2481/tillsynsmail/A 45935-2024 tillsynsbegäran mail.docx", "A 45935-2024")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46257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46257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28515-2023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46257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4</v>
      </c>
      <c r="V89" s="2" t="inlineStr">
        <is>
          <t>Lunglav
Tallticka</t>
        </is>
      </c>
      <c r="W89">
        <f>HYPERLINK("https://klasma.github.io/Logging_2481/artfynd/A 28515-2023 artfynd.xlsx", "A 28515-2023")</f>
        <v/>
      </c>
      <c r="X89">
        <f>HYPERLINK("https://klasma.github.io/Logging_2481/kartor/A 28515-2023 karta.png", "A 28515-2023")</f>
        <v/>
      </c>
      <c r="Y89">
        <f>HYPERLINK("https://klasma.github.io/Logging_2481/kartor_geotiff/A 28515-2023 georefererad karta.tif", "A 28515-2023")</f>
        <v/>
      </c>
      <c r="AA89">
        <f>HYPERLINK("https://klasma.github.io/Logging_2481/klagomål/A 28515-2023 FSC-klagomål.docx", "A 28515-2023")</f>
        <v/>
      </c>
      <c r="AB89">
        <f>HYPERLINK("https://klasma.github.io/Logging_2481/klagomålsmail/A 28515-2023 FSC-klagomål mail.docx", "A 28515-2023")</f>
        <v/>
      </c>
      <c r="AC89">
        <f>HYPERLINK("https://klasma.github.io/Logging_2481/tillsyn/A 28515-2023 tillsynsbegäran.docx", "A 28515-2023")</f>
        <v/>
      </c>
      <c r="AD89">
        <f>HYPERLINK("https://klasma.github.io/Logging_2481/tillsynsmail/A 28515-2023 tillsynsbegäran mail.docx", "A 28515-2023")</f>
        <v/>
      </c>
    </row>
    <row r="90" ht="15" customHeight="1">
      <c r="A90" t="inlineStr">
        <is>
          <t>A 41776-2024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Kolflarnlav
Koralltaggsvamp</t>
        </is>
      </c>
      <c r="W90">
        <f>HYPERLINK("https://klasma.github.io/Logging_2481/artfynd/A 41776-2024 artfynd.xlsx", "A 41776-2024")</f>
        <v/>
      </c>
      <c r="X90">
        <f>HYPERLINK("https://klasma.github.io/Logging_2481/kartor/A 41776-2024 karta.png", "A 41776-2024")</f>
        <v/>
      </c>
      <c r="Y90">
        <f>HYPERLINK("https://klasma.github.io/Logging_2481/kartor_geotiff/A 41776-2024 georefererad karta.tif", "A 41776-2024")</f>
        <v/>
      </c>
      <c r="AA90">
        <f>HYPERLINK("https://klasma.github.io/Logging_2481/klagomål/A 41776-2024 FSC-klagomål.docx", "A 41776-2024")</f>
        <v/>
      </c>
      <c r="AB90">
        <f>HYPERLINK("https://klasma.github.io/Logging_2481/klagomålsmail/A 41776-2024 FSC-klagomål mail.docx", "A 41776-2024")</f>
        <v/>
      </c>
      <c r="AC90">
        <f>HYPERLINK("https://klasma.github.io/Logging_2481/tillsyn/A 41776-2024 tillsynsbegäran.docx", "A 41776-2024")</f>
        <v/>
      </c>
      <c r="AD90">
        <f>HYPERLINK("https://klasma.github.io/Logging_2481/tillsynsmail/A 41776-2024 tillsynsbegäran mail.docx", "A 41776-2024")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46257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46257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46257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46257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58657-2023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46257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14.4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Bollvitmossa</t>
        </is>
      </c>
      <c r="W95">
        <f>HYPERLINK("https://klasma.github.io/Logging_2481/artfynd/A 58657-2023 artfynd.xlsx", "A 58657-2023")</f>
        <v/>
      </c>
      <c r="X95">
        <f>HYPERLINK("https://klasma.github.io/Logging_2481/kartor/A 58657-2023 karta.png", "A 58657-2023")</f>
        <v/>
      </c>
      <c r="Y95">
        <f>HYPERLINK("https://klasma.github.io/Logging_2481/kartor_geotiff/A 58657-2023 georefererad karta.tif", "A 58657-2023")</f>
        <v/>
      </c>
      <c r="AA95">
        <f>HYPERLINK("https://klasma.github.io/Logging_2481/klagomål/A 58657-2023 FSC-klagomål.docx", "A 58657-2023")</f>
        <v/>
      </c>
      <c r="AB95">
        <f>HYPERLINK("https://klasma.github.io/Logging_2481/klagomålsmail/A 58657-2023 FSC-klagomål mail.docx", "A 58657-2023")</f>
        <v/>
      </c>
      <c r="AC95">
        <f>HYPERLINK("https://klasma.github.io/Logging_2481/tillsyn/A 58657-2023 tillsynsbegäran.docx", "A 58657-2023")</f>
        <v/>
      </c>
      <c r="AD95">
        <f>HYPERLINK("https://klasma.github.io/Logging_2481/tillsynsmail/A 58657-2023 tillsynsbegäran mail.docx", "A 58657-2023")</f>
        <v/>
      </c>
      <c r="AE95">
        <f>HYPERLINK("https://klasma.github.io/Logging_2481/fåglar/A 58657-2023 prioriterade fågelarter.docx", "A 58657-2023")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46257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46257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20111-2025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46257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Orange taggsvamp</t>
        </is>
      </c>
      <c r="W98">
        <f>HYPERLINK("https://klasma.github.io/Logging_2481/artfynd/A 20111-2025 artfynd.xlsx", "A 20111-2025")</f>
        <v/>
      </c>
      <c r="X98">
        <f>HYPERLINK("https://klasma.github.io/Logging_2481/kartor/A 20111-2025 karta.png", "A 20111-2025")</f>
        <v/>
      </c>
      <c r="Y98">
        <f>HYPERLINK("https://klasma.github.io/Logging_2481/kartor_geotiff/A 20111-2025 georefererad karta.tif", "A 20111-2025")</f>
        <v/>
      </c>
      <c r="AA98">
        <f>HYPERLINK("https://klasma.github.io/Logging_2481/klagomål/A 20111-2025 FSC-klagomål.docx", "A 20111-2025")</f>
        <v/>
      </c>
      <c r="AB98">
        <f>HYPERLINK("https://klasma.github.io/Logging_2481/klagomålsmail/A 20111-2025 FSC-klagomål mail.docx", "A 20111-2025")</f>
        <v/>
      </c>
      <c r="AC98">
        <f>HYPERLINK("https://klasma.github.io/Logging_2481/tillsyn/A 20111-2025 tillsynsbegäran.docx", "A 20111-2025")</f>
        <v/>
      </c>
      <c r="AD98">
        <f>HYPERLINK("https://klasma.github.io/Logging_2481/tillsynsmail/A 20111-2025 tillsynsbegäran mail.docx", "A 20111-2025")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46257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46257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26116-2026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46257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Vedticka</t>
        </is>
      </c>
      <c r="W101">
        <f>HYPERLINK("https://klasma.github.io/Logging_2481/artfynd/A 26116-2026 artfynd.xlsx", "A 26116-2026")</f>
        <v/>
      </c>
      <c r="X101">
        <f>HYPERLINK("https://klasma.github.io/Logging_2481/kartor/A 26116-2026 karta.png", "A 26116-2026")</f>
        <v/>
      </c>
      <c r="Y101">
        <f>HYPERLINK("https://klasma.github.io/Logging_2481/kartor_geotiff/A 26116-2026 georefererad karta.tif", "A 26116-2026")</f>
        <v/>
      </c>
      <c r="AA101">
        <f>HYPERLINK("https://klasma.github.io/Logging_2481/klagomål/A 26116-2026 FSC-klagomål.docx", "A 26116-2026")</f>
        <v/>
      </c>
      <c r="AB101">
        <f>HYPERLINK("https://klasma.github.io/Logging_2481/klagomålsmail/A 26116-2026 FSC-klagomål mail.docx", "A 26116-2026")</f>
        <v/>
      </c>
      <c r="AC101">
        <f>HYPERLINK("https://klasma.github.io/Logging_2481/tillsyn/A 26116-2026 tillsynsbegäran.docx", "A 26116-2026")</f>
        <v/>
      </c>
      <c r="AD101">
        <f>HYPERLINK("https://klasma.github.io/Logging_2481/tillsynsmail/A 26116-2026 tillsynsbegäran mail.docx", "A 26116-2026")</f>
        <v/>
      </c>
    </row>
    <row r="102" ht="15" customHeight="1">
      <c r="A102" t="inlineStr">
        <is>
          <t>A 12619-2026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46257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Kungsörn
Orre</t>
        </is>
      </c>
      <c r="W102">
        <f>HYPERLINK("https://klasma.github.io/Logging_2481/artfynd/A 12619-2026 artfynd.xlsx", "A 12619-2026")</f>
        <v/>
      </c>
      <c r="X102">
        <f>HYPERLINK("https://klasma.github.io/Logging_2481/kartor/A 12619-2026 karta.png", "A 12619-2026")</f>
        <v/>
      </c>
      <c r="Y102">
        <f>HYPERLINK("https://klasma.github.io/Logging_2481/kartor_geotiff/A 12619-2026 georefererad karta.tif", "A 12619-2026")</f>
        <v/>
      </c>
      <c r="AA102">
        <f>HYPERLINK("https://klasma.github.io/Logging_2481/klagomål/A 12619-2026 FSC-klagomål.docx", "A 12619-2026")</f>
        <v/>
      </c>
      <c r="AB102">
        <f>HYPERLINK("https://klasma.github.io/Logging_2481/klagomålsmail/A 12619-2026 FSC-klagomål mail.docx", "A 12619-2026")</f>
        <v/>
      </c>
      <c r="AC102">
        <f>HYPERLINK("https://klasma.github.io/Logging_2481/tillsyn/A 12619-2026 tillsynsbegäran.docx", "A 12619-2026")</f>
        <v/>
      </c>
      <c r="AD102">
        <f>HYPERLINK("https://klasma.github.io/Logging_2481/tillsynsmail/A 12619-2026 tillsynsbegäran mail.docx", "A 12619-2026")</f>
        <v/>
      </c>
      <c r="AE102">
        <f>HYPERLINK("https://klasma.github.io/Logging_2481/fåglar/A 12619-2026 prioriterade fågelarter.docx", "A 12619-2026")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46257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46257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46257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33817-2026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46257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19.3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Kolflarnlav
Orange taggsvamp</t>
        </is>
      </c>
      <c r="W106">
        <f>HYPERLINK("https://klasma.github.io/Logging_2481/artfynd/A 33817-2026 artfynd.xlsx", "A 33817-2026")</f>
        <v/>
      </c>
      <c r="X106">
        <f>HYPERLINK("https://klasma.github.io/Logging_2481/kartor/A 33817-2026 karta.png", "A 33817-2026")</f>
        <v/>
      </c>
      <c r="Y106">
        <f>HYPERLINK("https://klasma.github.io/Logging_2481/kartor_geotiff/A 33817-2026 georefererad karta.tif", "A 33817-2026")</f>
        <v/>
      </c>
      <c r="AA106">
        <f>HYPERLINK("https://klasma.github.io/Logging_2481/klagomål/A 33817-2026 FSC-klagomål.docx", "A 33817-2026")</f>
        <v/>
      </c>
      <c r="AB106">
        <f>HYPERLINK("https://klasma.github.io/Logging_2481/klagomålsmail/A 33817-2026 FSC-klagomål mail.docx", "A 33817-2026")</f>
        <v/>
      </c>
      <c r="AC106">
        <f>HYPERLINK("https://klasma.github.io/Logging_2481/tillsyn/A 33817-2026 tillsynsbegäran.docx", "A 33817-2026")</f>
        <v/>
      </c>
      <c r="AD106">
        <f>HYPERLINK("https://klasma.github.io/Logging_2481/tillsynsmail/A 33817-2026 tillsynsbegäran mail.docx", "A 33817-2026")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46257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46257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22688-2026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46156</v>
      </c>
      <c r="E109" s="1" t="n">
        <v>46257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18.3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Kolflarnlav</t>
        </is>
      </c>
      <c r="W109">
        <f>HYPERLINK("https://klasma.github.io/Logging_2481/artfynd/A 22688-2026 artfynd.xlsx", "A 22688-2026")</f>
        <v/>
      </c>
      <c r="X109">
        <f>HYPERLINK("https://klasma.github.io/Logging_2481/kartor/A 22688-2026 karta.png", "A 22688-2026")</f>
        <v/>
      </c>
      <c r="Y109">
        <f>HYPERLINK("https://klasma.github.io/Logging_2481/kartor_geotiff/A 22688-2026 georefererad karta.tif", "A 22688-2026")</f>
        <v/>
      </c>
      <c r="AA109">
        <f>HYPERLINK("https://klasma.github.io/Logging_2481/klagomål/A 22688-2026 FSC-klagomål.docx", "A 22688-2026")</f>
        <v/>
      </c>
      <c r="AB109">
        <f>HYPERLINK("https://klasma.github.io/Logging_2481/klagomålsmail/A 22688-2026 FSC-klagomål mail.docx", "A 22688-2026")</f>
        <v/>
      </c>
      <c r="AC109">
        <f>HYPERLINK("https://klasma.github.io/Logging_2481/tillsyn/A 22688-2026 tillsynsbegäran.docx", "A 22688-2026")</f>
        <v/>
      </c>
      <c r="AD109">
        <f>HYPERLINK("https://klasma.github.io/Logging_2481/tillsynsmail/A 22688-2026 tillsynsbegäran mail.docx", "A 22688-2026")</f>
        <v/>
      </c>
    </row>
    <row r="110" ht="15" customHeight="1">
      <c r="A110" t="inlineStr">
        <is>
          <t>A 23096-2026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46257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12.7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23096-2026 artfynd.xlsx", "A 23096-2026")</f>
        <v/>
      </c>
      <c r="X110">
        <f>HYPERLINK("https://klasma.github.io/Logging_2481/kartor/A 23096-2026 karta.png", "A 23096-2026")</f>
        <v/>
      </c>
      <c r="Y110">
        <f>HYPERLINK("https://klasma.github.io/Logging_2481/kartor_geotiff/A 23096-2026 georefererad karta.tif", "A 23096-2026")</f>
        <v/>
      </c>
      <c r="AA110">
        <f>HYPERLINK("https://klasma.github.io/Logging_2481/klagomål/A 23096-2026 FSC-klagomål.docx", "A 23096-2026")</f>
        <v/>
      </c>
      <c r="AB110">
        <f>HYPERLINK("https://klasma.github.io/Logging_2481/klagomålsmail/A 23096-2026 FSC-klagomål mail.docx", "A 23096-2026")</f>
        <v/>
      </c>
      <c r="AC110">
        <f>HYPERLINK("https://klasma.github.io/Logging_2481/tillsyn/A 23096-2026 tillsynsbegäran.docx", "A 23096-2026")</f>
        <v/>
      </c>
      <c r="AD110">
        <f>HYPERLINK("https://klasma.github.io/Logging_2481/tillsynsmail/A 23096-2026 tillsynsbegäran mail.docx", "A 23096-2026")</f>
        <v/>
      </c>
    </row>
    <row r="111" ht="15" customHeight="1">
      <c r="A111" t="inlineStr">
        <is>
          <t>A 23098-2026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46257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23098-2026 artfynd.xlsx", "A 23098-2026")</f>
        <v/>
      </c>
      <c r="X111">
        <f>HYPERLINK("https://klasma.github.io/Logging_2481/kartor/A 23098-2026 karta.png", "A 23098-2026")</f>
        <v/>
      </c>
      <c r="Y111">
        <f>HYPERLINK("https://klasma.github.io/Logging_2481/kartor_geotiff/A 23098-2026 georefererad karta.tif", "A 23098-2026")</f>
        <v/>
      </c>
      <c r="AA111">
        <f>HYPERLINK("https://klasma.github.io/Logging_2481/klagomål/A 23098-2026 FSC-klagomål.docx", "A 23098-2026")</f>
        <v/>
      </c>
      <c r="AB111">
        <f>HYPERLINK("https://klasma.github.io/Logging_2481/klagomålsmail/A 23098-2026 FSC-klagomål mail.docx", "A 23098-2026")</f>
        <v/>
      </c>
      <c r="AC111">
        <f>HYPERLINK("https://klasma.github.io/Logging_2481/tillsyn/A 23098-2026 tillsynsbegäran.docx", "A 23098-2026")</f>
        <v/>
      </c>
      <c r="AD111">
        <f>HYPERLINK("https://klasma.github.io/Logging_2481/tillsynsmail/A 23098-2026 tillsynsbegäran mail.docx", "A 23098-2026")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46257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46257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37669-2024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46257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Dropptaggsvamp</t>
        </is>
      </c>
      <c r="W118">
        <f>HYPERLINK("https://klasma.github.io/Logging_2481/artfynd/A 37669-2024 artfynd.xlsx", "A 37669-2024")</f>
        <v/>
      </c>
      <c r="X118">
        <f>HYPERLINK("https://klasma.github.io/Logging_2481/kartor/A 37669-2024 karta.png", "A 37669-2024")</f>
        <v/>
      </c>
      <c r="Y118">
        <f>HYPERLINK("https://klasma.github.io/Logging_2481/kartor_geotiff/A 37669-2024 georefererad karta.tif", "A 37669-2024")</f>
        <v/>
      </c>
      <c r="AA118">
        <f>HYPERLINK("https://klasma.github.io/Logging_2481/klagomål/A 37669-2024 FSC-klagomål.docx", "A 37669-2024")</f>
        <v/>
      </c>
      <c r="AB118">
        <f>HYPERLINK("https://klasma.github.io/Logging_2481/klagomålsmail/A 37669-2024 FSC-klagomål mail.docx", "A 37669-2024")</f>
        <v/>
      </c>
      <c r="AC118">
        <f>HYPERLINK("https://klasma.github.io/Logging_2481/tillsyn/A 37669-2024 tillsynsbegäran.docx", "A 37669-2024")</f>
        <v/>
      </c>
      <c r="AD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72131-2021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46257</v>
      </c>
      <c r="F119" t="inlineStr">
        <is>
          <t>VÄSTERBOTTENS LÄN</t>
        </is>
      </c>
      <c r="G119" t="inlineStr">
        <is>
          <t>LYCKSELE</t>
        </is>
      </c>
      <c r="I119" t="n">
        <v>19.1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HYPERLINK("https://klasma.github.io/Logging_2481/artfynd/A 72131-2021 artfynd.xlsx", "A 72131-2021")</f>
        <v/>
      </c>
      <c r="X119">
        <f>HYPERLINK("https://klasma.github.io/Logging_2481/kartor/A 72131-2021 karta.png", "A 72131-2021")</f>
        <v/>
      </c>
      <c r="Y119">
        <f>HYPERLINK("https://klasma.github.io/Logging_2481/kartor_geotiff/A 72131-2021 georefererad karta.tif", "A 72131-2021")</f>
        <v/>
      </c>
      <c r="AA119">
        <f>HYPERLINK("https://klasma.github.io/Logging_2481/klagomål/A 72131-2021 FSC-klagomål.docx", "A 72131-2021")</f>
        <v/>
      </c>
      <c r="AB119">
        <f>HYPERLINK("https://klasma.github.io/Logging_2481/klagomålsmail/A 72131-2021 FSC-klagomål mail.docx", "A 72131-2021")</f>
        <v/>
      </c>
      <c r="AC119">
        <f>HYPERLINK("https://klasma.github.io/Logging_2481/tillsyn/A 72131-2021 tillsynsbegäran.docx", "A 72131-2021")</f>
        <v/>
      </c>
      <c r="AD119">
        <f>HYPERLINK("https://klasma.github.io/Logging_2481/tillsynsmail/A 72131-2021 tillsynsbegäran mail.docx", "A 72131-2021")</f>
        <v/>
      </c>
      <c r="AE119">
        <f>HYPERLINK("https://klasma.github.io/Logging_2481/fåglar/A 72131-2021 prioriterade fågelarter.docx", "A 72131-2021")</f>
        <v/>
      </c>
    </row>
    <row r="120" ht="15" customHeight="1">
      <c r="A120" t="inlineStr">
        <is>
          <t>A 7768-2023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46257</v>
      </c>
      <c r="F120" t="inlineStr">
        <is>
          <t>VÄSTERBOTTENS LÄN</t>
        </is>
      </c>
      <c r="G120" t="inlineStr">
        <is>
          <t>LYCKSELE</t>
        </is>
      </c>
      <c r="I120" t="n">
        <v>2.3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HYPERLINK("https://klasma.github.io/Logging_2481/artfynd/A 7768-2023 artfynd.xlsx", "A 7768-2023")</f>
        <v/>
      </c>
      <c r="X120">
        <f>HYPERLINK("https://klasma.github.io/Logging_2481/kartor/A 7768-2023 karta.png", "A 7768-2023")</f>
        <v/>
      </c>
      <c r="Y120">
        <f>HYPERLINK("https://klasma.github.io/Logging_2481/kartor_geotiff/A 7768-2023 georefererad karta.tif", "A 7768-2023")</f>
        <v/>
      </c>
      <c r="Z120">
        <f>HYPERLINK("https://klasma.github.io/Logging_2481/knärot/A 7768-2023 karta knärot.png", "A 7768-2023")</f>
        <v/>
      </c>
      <c r="AA120">
        <f>HYPERLINK("https://klasma.github.io/Logging_2481/klagomål/A 7768-2023 FSC-klagomål.docx", "A 7768-2023")</f>
        <v/>
      </c>
      <c r="AB120">
        <f>HYPERLINK("https://klasma.github.io/Logging_2481/klagomålsmail/A 7768-2023 FSC-klagomål mail.docx", "A 7768-2023")</f>
        <v/>
      </c>
      <c r="AC120">
        <f>HYPERLINK("https://klasma.github.io/Logging_2481/tillsyn/A 7768-2023 tillsynsbegäran.docx", "A 7768-2023")</f>
        <v/>
      </c>
      <c r="AD120">
        <f>HYPERLINK("https://klasma.github.io/Logging_2481/tillsynsmail/A 7768-2023 tillsynsbegäran mail.docx", "A 7768-2023")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46257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46257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Gammelgransskål</t>
        </is>
      </c>
      <c r="W122">
        <f>HYPERLINK("https://klasma.github.io/Logging_2481/artfynd/A 34809-2022 artfynd.xlsx", "A 34809-2022")</f>
        <v/>
      </c>
      <c r="X122">
        <f>HYPERLINK("https://klasma.github.io/Logging_2481/kartor/A 34809-2022 karta.png", "A 34809-2022")</f>
        <v/>
      </c>
      <c r="Y122">
        <f>HYPERLINK("https://klasma.github.io/Logging_2481/kartor_geotiff/A 34809-2022 georefererad karta.tif", "A 34809-2022")</f>
        <v/>
      </c>
      <c r="AA122">
        <f>HYPERLINK("https://klasma.github.io/Logging_2481/klagomål/A 34809-2022 FSC-klagomål.docx", "A 34809-2022")</f>
        <v/>
      </c>
      <c r="AB122">
        <f>HYPERLINK("https://klasma.github.io/Logging_2481/klagomålsmail/A 34809-2022 FSC-klagomål mail.docx", "A 34809-2022")</f>
        <v/>
      </c>
      <c r="AC122">
        <f>HYPERLINK("https://klasma.github.io/Logging_2481/tillsyn/A 34809-2022 tillsynsbegäran.docx", "A 34809-2022")</f>
        <v/>
      </c>
      <c r="AD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39231-2025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kolflarnlav</t>
        </is>
      </c>
      <c r="W123">
        <f>HYPERLINK("https://klasma.github.io/Logging_2481/artfynd/A 39231-2025 artfynd.xlsx", "A 39231-2025")</f>
        <v/>
      </c>
      <c r="X123">
        <f>HYPERLINK("https://klasma.github.io/Logging_2481/kartor/A 39231-2025 karta.png", "A 39231-2025")</f>
        <v/>
      </c>
      <c r="Y123">
        <f>HYPERLINK("https://klasma.github.io/Logging_2481/kartor_geotiff/A 39231-2025 georefererad karta.tif", "A 39231-2025")</f>
        <v/>
      </c>
      <c r="AA123">
        <f>HYPERLINK("https://klasma.github.io/Logging_2481/klagomål/A 39231-2025 FSC-klagomål.docx", "A 39231-2025")</f>
        <v/>
      </c>
      <c r="AB123">
        <f>HYPERLINK("https://klasma.github.io/Logging_2481/klagomålsmail/A 39231-2025 FSC-klagomål mail.docx", "A 39231-2025")</f>
        <v/>
      </c>
      <c r="AC123">
        <f>HYPERLINK("https://klasma.github.io/Logging_2481/tillsyn/A 39231-2025 tillsynsbegäran.docx", "A 39231-2025")</f>
        <v/>
      </c>
      <c r="AD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46257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9.199999999999999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39280-2025 artfynd.xlsx", "A 39280-2025")</f>
        <v/>
      </c>
      <c r="X124">
        <f>HYPERLINK("https://klasma.github.io/Logging_2481/kartor/A 39280-2025 karta.png", "A 39280-2025")</f>
        <v/>
      </c>
      <c r="Y124">
        <f>HYPERLINK("https://klasma.github.io/Logging_2481/kartor_geotiff/A 39280-2025 georefererad karta.tif", "A 39280-2025")</f>
        <v/>
      </c>
      <c r="AA124">
        <f>HYPERLINK("https://klasma.github.io/Logging_2481/klagomål/A 39280-2025 FSC-klagomål.docx", "A 39280-2025")</f>
        <v/>
      </c>
      <c r="AB124">
        <f>HYPERLINK("https://klasma.github.io/Logging_2481/klagomålsmail/A 39280-2025 FSC-klagomål mail.docx", "A 39280-2025")</f>
        <v/>
      </c>
      <c r="AC124">
        <f>HYPERLINK("https://klasma.github.io/Logging_2481/tillsyn/A 39280-2025 tillsynsbegäran.docx", "A 39280-2025")</f>
        <v/>
      </c>
      <c r="AD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30515-2025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46257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HYPERLINK("https://klasma.github.io/Logging_2481/artfynd/A 30515-2025 artfynd.xlsx", "A 30515-2025")</f>
        <v/>
      </c>
      <c r="X125">
        <f>HYPERLINK("https://klasma.github.io/Logging_2481/kartor/A 30515-2025 karta.png", "A 30515-2025")</f>
        <v/>
      </c>
      <c r="Y125">
        <f>HYPERLINK("https://klasma.github.io/Logging_2481/kartor_geotiff/A 30515-2025 georefererad karta.tif", "A 30515-2025")</f>
        <v/>
      </c>
      <c r="AA125">
        <f>HYPERLINK("https://klasma.github.io/Logging_2481/klagomål/A 30515-2025 FSC-klagomål.docx", "A 30515-2025")</f>
        <v/>
      </c>
      <c r="AB125">
        <f>HYPERLINK("https://klasma.github.io/Logging_2481/klagomålsmail/A 30515-2025 FSC-klagomål mail.docx", "A 30515-2025")</f>
        <v/>
      </c>
      <c r="AC125">
        <f>HYPERLINK("https://klasma.github.io/Logging_2481/tillsyn/A 30515-2025 tillsynsbegäran.docx", "A 30515-2025")</f>
        <v/>
      </c>
      <c r="AD125">
        <f>HYPERLINK("https://klasma.github.io/Logging_2481/tillsynsmail/A 30515-2025 tillsynsbegäran mail.docx", "A 30515-2025")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44331-2025 artfynd.xlsx", "A 44331-2025")</f>
        <v/>
      </c>
      <c r="X127">
        <f>HYPERLINK("https://klasma.github.io/Logging_2481/kartor/A 44331-2025 karta.png", "A 44331-2025")</f>
        <v/>
      </c>
      <c r="Y127">
        <f>HYPERLINK("https://klasma.github.io/Logging_2481/kartor_geotiff/A 44331-2025 georefererad karta.tif", "A 44331-2025")</f>
        <v/>
      </c>
      <c r="AA127">
        <f>HYPERLINK("https://klasma.github.io/Logging_2481/klagomål/A 44331-2025 FSC-klagomål.docx", "A 44331-2025")</f>
        <v/>
      </c>
      <c r="AB127">
        <f>HYPERLINK("https://klasma.github.io/Logging_2481/klagomålsmail/A 44331-2025 FSC-klagomål mail.docx", "A 44331-2025")</f>
        <v/>
      </c>
      <c r="AC127">
        <f>HYPERLINK("https://klasma.github.io/Logging_2481/tillsyn/A 44331-2025 tillsynsbegäran.docx", "A 44331-2025")</f>
        <v/>
      </c>
      <c r="AD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46257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46257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46257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45774-2024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45579</v>
      </c>
      <c r="E131" s="1" t="n">
        <v>46257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Barkticka</t>
        </is>
      </c>
      <c r="W131">
        <f>HYPERLINK("https://klasma.github.io/Logging_2481/artfynd/A 45774-2024 artfynd.xlsx", "A 45774-2024")</f>
        <v/>
      </c>
      <c r="X131">
        <f>HYPERLINK("https://klasma.github.io/Logging_2481/kartor/A 45774-2024 karta.png", "A 45774-2024")</f>
        <v/>
      </c>
      <c r="Y131">
        <f>HYPERLINK("https://klasma.github.io/Logging_2481/kartor_geotiff/A 45774-2024 georefererad karta.tif", "A 45774-2024")</f>
        <v/>
      </c>
      <c r="AA131">
        <f>HYPERLINK("https://klasma.github.io/Logging_2481/klagomål/A 45774-2024 FSC-klagomål.docx", "A 45774-2024")</f>
        <v/>
      </c>
      <c r="AB131">
        <f>HYPERLINK("https://klasma.github.io/Logging_2481/klagomålsmail/A 45774-2024 FSC-klagomål mail.docx", "A 45774-2024")</f>
        <v/>
      </c>
      <c r="AC131">
        <f>HYPERLINK("https://klasma.github.io/Logging_2481/tillsyn/A 45774-2024 tillsynsbegäran.docx", "A 45774-2024")</f>
        <v/>
      </c>
      <c r="AD131">
        <f>HYPERLINK("https://klasma.github.io/Logging_2481/tillsynsmail/A 45774-2024 tillsynsbegäran mail.docx", "A 45774-2024")</f>
        <v/>
      </c>
    </row>
    <row r="132" ht="15" customHeight="1">
      <c r="A132" t="inlineStr">
        <is>
          <t>A 9924-2024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9924-2024 artfynd.xlsx", "A 9924-2024")</f>
        <v/>
      </c>
      <c r="X132">
        <f>HYPERLINK("https://klasma.github.io/Logging_2481/kartor/A 9924-2024 karta.png", "A 9924-2024")</f>
        <v/>
      </c>
      <c r="Y132">
        <f>HYPERLINK("https://klasma.github.io/Logging_2481/kartor_geotiff/A 9924-2024 georefererad karta.tif", "A 9924-2024")</f>
        <v/>
      </c>
      <c r="AA132">
        <f>HYPERLINK("https://klasma.github.io/Logging_2481/klagomål/A 9924-2024 FSC-klagomål.docx", "A 9924-2024")</f>
        <v/>
      </c>
      <c r="AB132">
        <f>HYPERLINK("https://klasma.github.io/Logging_2481/klagomålsmail/A 9924-2024 FSC-klagomål mail.docx", "A 9924-2024")</f>
        <v/>
      </c>
      <c r="AC132">
        <f>HYPERLINK("https://klasma.github.io/Logging_2481/tillsyn/A 9924-2024 tillsynsbegäran.docx", "A 9924-2024")</f>
        <v/>
      </c>
      <c r="AD132">
        <f>HYPERLINK("https://klasma.github.io/Logging_2481/tillsynsmail/A 9924-2024 tillsynsbegäran mail.docx", "A 9924-2024")</f>
        <v/>
      </c>
    </row>
    <row r="133" ht="15" customHeight="1">
      <c r="A133" t="inlineStr">
        <is>
          <t>A 38507-2023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46257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 taggsvamp</t>
        </is>
      </c>
      <c r="W133">
        <f>HYPERLINK("https://klasma.github.io/Logging_2481/artfynd/A 38507-2023 artfynd.xlsx", "A 38507-2023")</f>
        <v/>
      </c>
      <c r="X133">
        <f>HYPERLINK("https://klasma.github.io/Logging_2481/kartor/A 38507-2023 karta.png", "A 38507-2023")</f>
        <v/>
      </c>
      <c r="Y133">
        <f>HYPERLINK("https://klasma.github.io/Logging_2481/kartor_geotiff/A 38507-2023 georefererad karta.tif", "A 38507-2023")</f>
        <v/>
      </c>
      <c r="AA133">
        <f>HYPERLINK("https://klasma.github.io/Logging_2481/klagomål/A 38507-2023 FSC-klagomål.docx", "A 38507-2023")</f>
        <v/>
      </c>
      <c r="AB133">
        <f>HYPERLINK("https://klasma.github.io/Logging_2481/klagomålsmail/A 38507-2023 FSC-klagomål mail.docx", "A 38507-2023")</f>
        <v/>
      </c>
      <c r="AC133">
        <f>HYPERLINK("https://klasma.github.io/Logging_2481/tillsyn/A 38507-2023 tillsynsbegäran.docx", "A 38507-2023")</f>
        <v/>
      </c>
      <c r="AD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50463-2025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46257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50463-2025 artfynd.xlsx", "A 50463-2025")</f>
        <v/>
      </c>
      <c r="X134">
        <f>HYPERLINK("https://klasma.github.io/Logging_2481/kartor/A 50463-2025 karta.png", "A 50463-2025")</f>
        <v/>
      </c>
      <c r="Y134">
        <f>HYPERLINK("https://klasma.github.io/Logging_2481/kartor_geotiff/A 50463-2025 georefererad karta.tif", "A 50463-2025")</f>
        <v/>
      </c>
      <c r="AA134">
        <f>HYPERLINK("https://klasma.github.io/Logging_2481/klagomål/A 50463-2025 FSC-klagomål.docx", "A 50463-2025")</f>
        <v/>
      </c>
      <c r="AB134">
        <f>HYPERLINK("https://klasma.github.io/Logging_2481/klagomålsmail/A 50463-2025 FSC-klagomål mail.docx", "A 50463-2025")</f>
        <v/>
      </c>
      <c r="AC134">
        <f>HYPERLINK("https://klasma.github.io/Logging_2481/tillsyn/A 50463-2025 tillsynsbegäran.docx", "A 50463-2025")</f>
        <v/>
      </c>
      <c r="AD134">
        <f>HYPERLINK("https://klasma.github.io/Logging_2481/tillsynsmail/A 50463-2025 tillsynsbegäran mail.docx", "A 50463-2025")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46257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53110-2025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53110-2025 artfynd.xlsx", "A 53110-2025")</f>
        <v/>
      </c>
      <c r="X136">
        <f>HYPERLINK("https://klasma.github.io/Logging_2481/kartor/A 53110-2025 karta.png", "A 53110-2025")</f>
        <v/>
      </c>
      <c r="Y136">
        <f>HYPERLINK("https://klasma.github.io/Logging_2481/kartor_geotiff/A 53110-2025 georefererad karta.tif", "A 53110-2025")</f>
        <v/>
      </c>
      <c r="AA136">
        <f>HYPERLINK("https://klasma.github.io/Logging_2481/klagomål/A 53110-2025 FSC-klagomål.docx", "A 53110-2025")</f>
        <v/>
      </c>
      <c r="AB136">
        <f>HYPERLINK("https://klasma.github.io/Logging_2481/klagomålsmail/A 53110-2025 FSC-klagomål mail.docx", "A 53110-2025")</f>
        <v/>
      </c>
      <c r="AC136">
        <f>HYPERLINK("https://klasma.github.io/Logging_2481/tillsyn/A 53110-2025 tillsynsbegäran.docx", "A 53110-2025")</f>
        <v/>
      </c>
      <c r="AD136">
        <f>HYPERLINK("https://klasma.github.io/Logging_2481/tillsynsmail/A 53110-2025 tillsynsbegäran mail.docx", "A 53110-2025")</f>
        <v/>
      </c>
    </row>
    <row r="137" ht="15" customHeight="1">
      <c r="A137" t="inlineStr">
        <is>
          <t>A 34032-2025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46257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34032-2025 artfynd.xlsx", "A 34032-2025")</f>
        <v/>
      </c>
      <c r="X137">
        <f>HYPERLINK("https://klasma.github.io/Logging_2481/kartor/A 34032-2025 karta.png", "A 34032-2025")</f>
        <v/>
      </c>
      <c r="Y137">
        <f>HYPERLINK("https://klasma.github.io/Logging_2481/kartor_geotiff/A 34032-2025 georefererad karta.tif", "A 34032-2025")</f>
        <v/>
      </c>
      <c r="AA137">
        <f>HYPERLINK("https://klasma.github.io/Logging_2481/klagomål/A 34032-2025 FSC-klagomål.docx", "A 34032-2025")</f>
        <v/>
      </c>
      <c r="AB137">
        <f>HYPERLINK("https://klasma.github.io/Logging_2481/klagomålsmail/A 34032-2025 FSC-klagomål mail.docx", "A 34032-2025")</f>
        <v/>
      </c>
      <c r="AC137">
        <f>HYPERLINK("https://klasma.github.io/Logging_2481/tillsyn/A 34032-2025 tillsynsbegäran.docx", "A 34032-2025")</f>
        <v/>
      </c>
      <c r="AD137">
        <f>HYPERLINK("https://klasma.github.io/Logging_2481/tillsynsmail/A 34032-2025 tillsynsbegäran mail.docx", "A 34032-2025")</f>
        <v/>
      </c>
    </row>
    <row r="138" ht="15" customHeight="1">
      <c r="A138" t="inlineStr">
        <is>
          <t>A 53108-2025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46257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Bårdlav</t>
        </is>
      </c>
      <c r="W138">
        <f>HYPERLINK("https://klasma.github.io/Logging_2481/artfynd/A 53108-2025 artfynd.xlsx", "A 53108-2025")</f>
        <v/>
      </c>
      <c r="X138">
        <f>HYPERLINK("https://klasma.github.io/Logging_2481/kartor/A 53108-2025 karta.png", "A 53108-2025")</f>
        <v/>
      </c>
      <c r="Y138">
        <f>HYPERLINK("https://klasma.github.io/Logging_2481/kartor_geotiff/A 53108-2025 georefererad karta.tif", "A 53108-2025")</f>
        <v/>
      </c>
      <c r="AA138">
        <f>HYPERLINK("https://klasma.github.io/Logging_2481/klagomål/A 53108-2025 FSC-klagomål.docx", "A 53108-2025")</f>
        <v/>
      </c>
      <c r="AB138">
        <f>HYPERLINK("https://klasma.github.io/Logging_2481/klagomålsmail/A 53108-2025 FSC-klagomål mail.docx", "A 53108-2025")</f>
        <v/>
      </c>
      <c r="AC138">
        <f>HYPERLINK("https://klasma.github.io/Logging_2481/tillsyn/A 53108-2025 tillsynsbegäran.docx", "A 53108-2025")</f>
        <v/>
      </c>
      <c r="AD138">
        <f>HYPERLINK("https://klasma.github.io/Logging_2481/tillsynsmail/A 53108-2025 tillsynsbegäran mail.docx", "A 53108-2025")</f>
        <v/>
      </c>
    </row>
    <row r="139" ht="15" customHeight="1">
      <c r="A139" t="inlineStr">
        <is>
          <t>A 54277-2025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46257</v>
      </c>
      <c r="F139" t="inlineStr">
        <is>
          <t>VÄSTERBOTTENS LÄN</t>
        </is>
      </c>
      <c r="G139" t="inlineStr">
        <is>
          <t>LYCKSELE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Garnlav</t>
        </is>
      </c>
      <c r="W139">
        <f>HYPERLINK("https://klasma.github.io/Logging_2481/artfynd/A 54277-2025 artfynd.xlsx", "A 54277-2025")</f>
        <v/>
      </c>
      <c r="X139">
        <f>HYPERLINK("https://klasma.github.io/Logging_2481/kartor/A 54277-2025 karta.png", "A 54277-2025")</f>
        <v/>
      </c>
      <c r="Y139">
        <f>HYPERLINK("https://klasma.github.io/Logging_2481/kartor_geotiff/A 54277-2025 georefererad karta.tif", "A 54277-2025")</f>
        <v/>
      </c>
      <c r="AA139">
        <f>HYPERLINK("https://klasma.github.io/Logging_2481/klagomål/A 54277-2025 FSC-klagomål.docx", "A 54277-2025")</f>
        <v/>
      </c>
      <c r="AB139">
        <f>HYPERLINK("https://klasma.github.io/Logging_2481/klagomålsmail/A 54277-2025 FSC-klagomål mail.docx", "A 54277-2025")</f>
        <v/>
      </c>
      <c r="AC139">
        <f>HYPERLINK("https://klasma.github.io/Logging_2481/tillsyn/A 54277-2025 tillsynsbegäran.docx", "A 54277-2025")</f>
        <v/>
      </c>
      <c r="AD139">
        <f>HYPERLINK("https://klasma.github.io/Logging_2481/tillsynsmail/A 54277-2025 tillsynsbegäran mail.docx", "A 54277-2025")</f>
        <v/>
      </c>
    </row>
    <row r="140" ht="15" customHeight="1">
      <c r="A140" t="inlineStr">
        <is>
          <t>A 24824-2024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46257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6.1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Kungsörn</t>
        </is>
      </c>
      <c r="W140">
        <f>HYPERLINK("https://klasma.github.io/Logging_2481/artfynd/A 24824-2024 artfynd.xlsx", "A 24824-2024")</f>
        <v/>
      </c>
      <c r="X140">
        <f>HYPERLINK("https://klasma.github.io/Logging_2481/kartor/A 24824-2024 karta.png", "A 24824-2024")</f>
        <v/>
      </c>
      <c r="Y140">
        <f>HYPERLINK("https://klasma.github.io/Logging_2481/kartor_geotiff/A 24824-2024 georefererad karta.tif", "A 24824-2024")</f>
        <v/>
      </c>
      <c r="AA140">
        <f>HYPERLINK("https://klasma.github.io/Logging_2481/klagomål/A 24824-2024 FSC-klagomål.docx", "A 24824-2024")</f>
        <v/>
      </c>
      <c r="AB140">
        <f>HYPERLINK("https://klasma.github.io/Logging_2481/klagomålsmail/A 24824-2024 FSC-klagomål mail.docx", "A 24824-2024")</f>
        <v/>
      </c>
      <c r="AC140">
        <f>HYPERLINK("https://klasma.github.io/Logging_2481/tillsyn/A 24824-2024 tillsynsbegäran.docx", "A 24824-2024")</f>
        <v/>
      </c>
      <c r="AD140">
        <f>HYPERLINK("https://klasma.github.io/Logging_2481/tillsynsmail/A 24824-2024 tillsynsbegäran mail.docx", "A 24824-2024")</f>
        <v/>
      </c>
      <c r="AE140">
        <f>HYPERLINK("https://klasma.github.io/Logging_2481/fåglar/A 24824-2024 prioriterade fågelarter.docx", "A 24824-2024")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46257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46257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34958-2025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46257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HYPERLINK("https://klasma.github.io/Logging_2481/artfynd/A 34958-2025 artfynd.xlsx", "A 34958-2025")</f>
        <v/>
      </c>
      <c r="X143">
        <f>HYPERLINK("https://klasma.github.io/Logging_2481/kartor/A 34958-2025 karta.png", "A 34958-2025")</f>
        <v/>
      </c>
      <c r="Y143">
        <f>HYPERLINK("https://klasma.github.io/Logging_2481/kartor_geotiff/A 34958-2025 georefererad karta.tif", "A 34958-2025")</f>
        <v/>
      </c>
      <c r="AA143">
        <f>HYPERLINK("https://klasma.github.io/Logging_2481/klagomål/A 34958-2025 FSC-klagomål.docx", "A 34958-2025")</f>
        <v/>
      </c>
      <c r="AB143">
        <f>HYPERLINK("https://klasma.github.io/Logging_2481/klagomålsmail/A 34958-2025 FSC-klagomål mail.docx", "A 34958-2025")</f>
        <v/>
      </c>
      <c r="AC143">
        <f>HYPERLINK("https://klasma.github.io/Logging_2481/tillsyn/A 34958-2025 tillsynsbegäran.docx", "A 34958-2025")</f>
        <v/>
      </c>
      <c r="AD143">
        <f>HYPERLINK("https://klasma.github.io/Logging_2481/tillsynsmail/A 34958-2025 tillsynsbegäran mail.docx", "A 34958-2025")</f>
        <v/>
      </c>
      <c r="AE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46257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8.699999999999999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Gammelgransskål</t>
        </is>
      </c>
      <c r="W144">
        <f>HYPERLINK("https://klasma.github.io/Logging_2481/artfynd/A 35239-2025 artfynd.xlsx", "A 35239-2025")</f>
        <v/>
      </c>
      <c r="X144">
        <f>HYPERLINK("https://klasma.github.io/Logging_2481/kartor/A 35239-2025 karta.png", "A 35239-2025")</f>
        <v/>
      </c>
      <c r="Y144">
        <f>HYPERLINK("https://klasma.github.io/Logging_2481/kartor_geotiff/A 35239-2025 georefererad karta.tif", "A 35239-2025")</f>
        <v/>
      </c>
      <c r="AA144">
        <f>HYPERLINK("https://klasma.github.io/Logging_2481/klagomål/A 35239-2025 FSC-klagomål.docx", "A 35239-2025")</f>
        <v/>
      </c>
      <c r="AB144">
        <f>HYPERLINK("https://klasma.github.io/Logging_2481/klagomålsmail/A 35239-2025 FSC-klagomål mail.docx", "A 35239-2025")</f>
        <v/>
      </c>
      <c r="AC144">
        <f>HYPERLINK("https://klasma.github.io/Logging_2481/tillsyn/A 35239-2025 tillsynsbegäran.docx", "A 35239-2025")</f>
        <v/>
      </c>
      <c r="AD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46257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46257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59283-2024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46257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59283-2024 artfynd.xlsx", "A 59283-2024")</f>
        <v/>
      </c>
      <c r="X147">
        <f>HYPERLINK("https://klasma.github.io/Logging_2481/kartor/A 59283-2024 karta.png", "A 59283-2024")</f>
        <v/>
      </c>
      <c r="Y147">
        <f>HYPERLINK("https://klasma.github.io/Logging_2481/kartor_geotiff/A 59283-2024 georefererad karta.tif", "A 59283-2024")</f>
        <v/>
      </c>
      <c r="AA147">
        <f>HYPERLINK("https://klasma.github.io/Logging_2481/klagomål/A 59283-2024 FSC-klagomål.docx", "A 59283-2024")</f>
        <v/>
      </c>
      <c r="AB147">
        <f>HYPERLINK("https://klasma.github.io/Logging_2481/klagomålsmail/A 59283-2024 FSC-klagomål mail.docx", "A 59283-2024")</f>
        <v/>
      </c>
      <c r="AC147">
        <f>HYPERLINK("https://klasma.github.io/Logging_2481/tillsyn/A 59283-2024 tillsynsbegäran.docx", "A 59283-2024")</f>
        <v/>
      </c>
      <c r="AD147">
        <f>HYPERLINK("https://klasma.github.io/Logging_2481/tillsynsmail/A 59283-2024 tillsynsbegäran mail.docx", "A 59283-2024")</f>
        <v/>
      </c>
    </row>
    <row r="148" ht="15" customHeight="1">
      <c r="A148" t="inlineStr">
        <is>
          <t>A 35226-2025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46257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HYPERLINK("https://klasma.github.io/Logging_2481/artfynd/A 35226-2025 artfynd.xlsx", "A 35226-2025")</f>
        <v/>
      </c>
      <c r="X148">
        <f>HYPERLINK("https://klasma.github.io/Logging_2481/kartor/A 35226-2025 karta.png", "A 35226-2025")</f>
        <v/>
      </c>
      <c r="Y148">
        <f>HYPERLINK("https://klasma.github.io/Logging_2481/kartor_geotiff/A 35226-2025 georefererad karta.tif", "A 35226-2025")</f>
        <v/>
      </c>
      <c r="AA148">
        <f>HYPERLINK("https://klasma.github.io/Logging_2481/klagomål/A 35226-2025 FSC-klagomål.docx", "A 35226-2025")</f>
        <v/>
      </c>
      <c r="AB148">
        <f>HYPERLINK("https://klasma.github.io/Logging_2481/klagomålsmail/A 35226-2025 FSC-klagomål mail.docx", "A 35226-2025")</f>
        <v/>
      </c>
      <c r="AC148">
        <f>HYPERLINK("https://klasma.github.io/Logging_2481/tillsyn/A 35226-2025 tillsynsbegäran.docx", "A 35226-2025")</f>
        <v/>
      </c>
      <c r="AD148">
        <f>HYPERLINK("https://klasma.github.io/Logging_2481/tillsynsmail/A 35226-2025 tillsynsbegäran mail.docx", "A 35226-2025")</f>
        <v/>
      </c>
      <c r="AE148">
        <f>HYPERLINK("https://klasma.github.io/Logging_2481/fåglar/A 35226-2025 prioriterade fågelarter.docx", "A 35226-2025")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46257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59883-2025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46257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59883-2025 artfynd.xlsx", "A 59883-2025")</f>
        <v/>
      </c>
      <c r="X150">
        <f>HYPERLINK("https://klasma.github.io/Logging_2481/kartor/A 59883-2025 karta.png", "A 59883-2025")</f>
        <v/>
      </c>
      <c r="Y150">
        <f>HYPERLINK("https://klasma.github.io/Logging_2481/kartor_geotiff/A 59883-2025 georefererad karta.tif", "A 59883-2025")</f>
        <v/>
      </c>
      <c r="AA150">
        <f>HYPERLINK("https://klasma.github.io/Logging_2481/klagomål/A 59883-2025 FSC-klagomål.docx", "A 59883-2025")</f>
        <v/>
      </c>
      <c r="AB150">
        <f>HYPERLINK("https://klasma.github.io/Logging_2481/klagomålsmail/A 59883-2025 FSC-klagomål mail.docx", "A 59883-2025")</f>
        <v/>
      </c>
      <c r="AC150">
        <f>HYPERLINK("https://klasma.github.io/Logging_2481/tillsyn/A 59883-2025 tillsynsbegäran.docx", "A 59883-2025")</f>
        <v/>
      </c>
      <c r="AD150">
        <f>HYPERLINK("https://klasma.github.io/Logging_2481/tillsynsmail/A 59883-2025 tillsynsbegäran mail.docx", "A 59883-2025")</f>
        <v/>
      </c>
    </row>
    <row r="151" ht="15" customHeight="1">
      <c r="A151" t="inlineStr">
        <is>
          <t>A 41793-2024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46257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HYPERLINK("https://klasma.github.io/Logging_2481/artfynd/A 41793-2024 artfynd.xlsx", "A 41793-2024")</f>
        <v/>
      </c>
      <c r="X151">
        <f>HYPERLINK("https://klasma.github.io/Logging_2481/kartor/A 41793-2024 karta.png", "A 41793-2024")</f>
        <v/>
      </c>
      <c r="Y151">
        <f>HYPERLINK("https://klasma.github.io/Logging_2481/kartor_geotiff/A 41793-2024 georefererad karta.tif", "A 41793-2024")</f>
        <v/>
      </c>
      <c r="AA151">
        <f>HYPERLINK("https://klasma.github.io/Logging_2481/klagomål/A 41793-2024 FSC-klagomål.docx", "A 41793-2024")</f>
        <v/>
      </c>
      <c r="AB151">
        <f>HYPERLINK("https://klasma.github.io/Logging_2481/klagomålsmail/A 41793-2024 FSC-klagomål mail.docx", "A 41793-2024")</f>
        <v/>
      </c>
      <c r="AC151">
        <f>HYPERLINK("https://klasma.github.io/Logging_2481/tillsyn/A 41793-2024 tillsynsbegäran.docx", "A 41793-2024")</f>
        <v/>
      </c>
      <c r="AD151">
        <f>HYPERLINK("https://klasma.github.io/Logging_2481/tillsynsmail/A 41793-2024 tillsynsbegäran mail.docx", "A 41793-2024")</f>
        <v/>
      </c>
    </row>
    <row r="152" ht="15" customHeight="1">
      <c r="A152" t="inlineStr">
        <is>
          <t>A 35559-2023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46257</v>
      </c>
      <c r="F152" t="inlineStr">
        <is>
          <t>VÄSTERBOTTENS LÄN</t>
        </is>
      </c>
      <c r="G152" t="inlineStr">
        <is>
          <t>LYCKSELE</t>
        </is>
      </c>
      <c r="I152" t="n">
        <v>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Stjärntagging</t>
        </is>
      </c>
      <c r="W152">
        <f>HYPERLINK("https://klasma.github.io/Logging_2481/artfynd/A 35559-2023 artfynd.xlsx", "A 35559-2023")</f>
        <v/>
      </c>
      <c r="X152">
        <f>HYPERLINK("https://klasma.github.io/Logging_2481/kartor/A 35559-2023 karta.png", "A 35559-2023")</f>
        <v/>
      </c>
      <c r="Y152">
        <f>HYPERLINK("https://klasma.github.io/Logging_2481/kartor_geotiff/A 35559-2023 georefererad karta.tif", "A 35559-2023")</f>
        <v/>
      </c>
      <c r="AA152">
        <f>HYPERLINK("https://klasma.github.io/Logging_2481/klagomål/A 35559-2023 FSC-klagomål.docx", "A 35559-2023")</f>
        <v/>
      </c>
      <c r="AB152">
        <f>HYPERLINK("https://klasma.github.io/Logging_2481/klagomålsmail/A 35559-2023 FSC-klagomål mail.docx", "A 35559-2023")</f>
        <v/>
      </c>
      <c r="AC152">
        <f>HYPERLINK("https://klasma.github.io/Logging_2481/tillsyn/A 35559-2023 tillsynsbegäran.docx", "A 35559-2023")</f>
        <v/>
      </c>
      <c r="AD152">
        <f>HYPERLINK("https://klasma.github.io/Logging_2481/tillsynsmail/A 35559-2023 tillsynsbegäran mail.docx", "A 35559-2023")</f>
        <v/>
      </c>
    </row>
    <row r="153" ht="15" customHeight="1">
      <c r="A153" t="inlineStr">
        <is>
          <t>A 62317-2025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46257</v>
      </c>
      <c r="F153" t="inlineStr">
        <is>
          <t>VÄSTERBOTTENS LÄN</t>
        </is>
      </c>
      <c r="G153" t="inlineStr">
        <is>
          <t>LYCKSELE</t>
        </is>
      </c>
      <c r="I153" t="n">
        <v>0.9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Plattlummer</t>
        </is>
      </c>
      <c r="W153">
        <f>HYPERLINK("https://klasma.github.io/Logging_2481/artfynd/A 62317-2025 artfynd.xlsx", "A 62317-2025")</f>
        <v/>
      </c>
      <c r="X153">
        <f>HYPERLINK("https://klasma.github.io/Logging_2481/kartor/A 62317-2025 karta.png", "A 62317-2025")</f>
        <v/>
      </c>
      <c r="Y153">
        <f>HYPERLINK("https://klasma.github.io/Logging_2481/kartor_geotiff/A 62317-2025 georefererad karta.tif", "A 62317-2025")</f>
        <v/>
      </c>
      <c r="AA153">
        <f>HYPERLINK("https://klasma.github.io/Logging_2481/klagomål/A 62317-2025 FSC-klagomål.docx", "A 62317-2025")</f>
        <v/>
      </c>
      <c r="AB153">
        <f>HYPERLINK("https://klasma.github.io/Logging_2481/klagomålsmail/A 62317-2025 FSC-klagomål mail.docx", "A 62317-2025")</f>
        <v/>
      </c>
      <c r="AC153">
        <f>HYPERLINK("https://klasma.github.io/Logging_2481/tillsyn/A 62317-2025 tillsynsbegäran.docx", "A 62317-2025")</f>
        <v/>
      </c>
      <c r="AD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35981-2025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45863</v>
      </c>
      <c r="E154" s="1" t="n">
        <v>46257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6.1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35981-2025 artfynd.xlsx", "A 35981-2025")</f>
        <v/>
      </c>
      <c r="X154">
        <f>HYPERLINK("https://klasma.github.io/Logging_2481/kartor/A 35981-2025 karta.png", "A 35981-2025")</f>
        <v/>
      </c>
      <c r="Y154">
        <f>HYPERLINK("https://klasma.github.io/Logging_2481/kartor_geotiff/A 35981-2025 georefererad karta.tif", "A 35981-2025")</f>
        <v/>
      </c>
      <c r="AA154">
        <f>HYPERLINK("https://klasma.github.io/Logging_2481/klagomål/A 35981-2025 FSC-klagomål.docx", "A 35981-2025")</f>
        <v/>
      </c>
      <c r="AB154">
        <f>HYPERLINK("https://klasma.github.io/Logging_2481/klagomålsmail/A 35981-2025 FSC-klagomål mail.docx", "A 35981-2025")</f>
        <v/>
      </c>
      <c r="AC154">
        <f>HYPERLINK("https://klasma.github.io/Logging_2481/tillsyn/A 35981-2025 tillsynsbegäran.docx", "A 35981-2025")</f>
        <v/>
      </c>
      <c r="AD154">
        <f>HYPERLINK("https://klasma.github.io/Logging_2481/tillsynsmail/A 35981-2025 tillsynsbegäran mail.docx", "A 35981-2025")</f>
        <v/>
      </c>
    </row>
    <row r="155" ht="15" customHeight="1">
      <c r="A155" t="inlineStr">
        <is>
          <t>A 36687-2025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46257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36687-2025 artfynd.xlsx", "A 36687-2025")</f>
        <v/>
      </c>
      <c r="X155">
        <f>HYPERLINK("https://klasma.github.io/Logging_2481/kartor/A 36687-2025 karta.png", "A 36687-2025")</f>
        <v/>
      </c>
      <c r="Y155">
        <f>HYPERLINK("https://klasma.github.io/Logging_2481/kartor_geotiff/A 36687-2025 georefererad karta.tif", "A 36687-2025")</f>
        <v/>
      </c>
      <c r="AA155">
        <f>HYPERLINK("https://klasma.github.io/Logging_2481/klagomål/A 36687-2025 FSC-klagomål.docx", "A 36687-2025")</f>
        <v/>
      </c>
      <c r="AB155">
        <f>HYPERLINK("https://klasma.github.io/Logging_2481/klagomålsmail/A 36687-2025 FSC-klagomål mail.docx", "A 36687-2025")</f>
        <v/>
      </c>
      <c r="AC155">
        <f>HYPERLINK("https://klasma.github.io/Logging_2481/tillsyn/A 36687-2025 tillsynsbegäran.docx", "A 36687-2025")</f>
        <v/>
      </c>
      <c r="AD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46257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37823-2025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46257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Plattlummer</t>
        </is>
      </c>
      <c r="W157">
        <f>HYPERLINK("https://klasma.github.io/Logging_2481/artfynd/A 37823-2025 artfynd.xlsx", "A 37823-2025")</f>
        <v/>
      </c>
      <c r="X157">
        <f>HYPERLINK("https://klasma.github.io/Logging_2481/kartor/A 37823-2025 karta.png", "A 37823-2025")</f>
        <v/>
      </c>
      <c r="Y157">
        <f>HYPERLINK("https://klasma.github.io/Logging_2481/kartor_geotiff/A 37823-2025 georefererad karta.tif", "A 37823-2025")</f>
        <v/>
      </c>
      <c r="AA157">
        <f>HYPERLINK("https://klasma.github.io/Logging_2481/klagomål/A 37823-2025 FSC-klagomål.docx", "A 37823-2025")</f>
        <v/>
      </c>
      <c r="AB157">
        <f>HYPERLINK("https://klasma.github.io/Logging_2481/klagomålsmail/A 37823-2025 FSC-klagomål mail.docx", "A 37823-2025")</f>
        <v/>
      </c>
      <c r="AC157">
        <f>HYPERLINK("https://klasma.github.io/Logging_2481/tillsyn/A 37823-2025 tillsynsbegäran.docx", "A 37823-2025")</f>
        <v/>
      </c>
      <c r="AD157">
        <f>HYPERLINK("https://klasma.github.io/Logging_2481/tillsynsmail/A 37823-2025 tillsynsbegäran mail.docx", "A 37823-2025")</f>
        <v/>
      </c>
    </row>
    <row r="158" ht="15" customHeight="1">
      <c r="A158" t="inlineStr">
        <is>
          <t>A 8491-2026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46257</v>
      </c>
      <c r="F158" t="inlineStr">
        <is>
          <t>VÄSTERBOTTENS LÄN</t>
        </is>
      </c>
      <c r="G158" t="inlineStr">
        <is>
          <t>LYCKSELE</t>
        </is>
      </c>
      <c r="I158" t="n">
        <v>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8491-2026 artfynd.xlsx", "A 8491-2026")</f>
        <v/>
      </c>
      <c r="X158">
        <f>HYPERLINK("https://klasma.github.io/Logging_2481/kartor/A 8491-2026 karta.png", "A 8491-2026")</f>
        <v/>
      </c>
      <c r="Y158">
        <f>HYPERLINK("https://klasma.github.io/Logging_2481/kartor_geotiff/A 8491-2026 georefererad karta.tif", "A 8491-2026")</f>
        <v/>
      </c>
      <c r="AA158">
        <f>HYPERLINK("https://klasma.github.io/Logging_2481/klagomål/A 8491-2026 FSC-klagomål.docx", "A 8491-2026")</f>
        <v/>
      </c>
      <c r="AB158">
        <f>HYPERLINK("https://klasma.github.io/Logging_2481/klagomålsmail/A 8491-2026 FSC-klagomål mail.docx", "A 8491-2026")</f>
        <v/>
      </c>
      <c r="AC158">
        <f>HYPERLINK("https://klasma.github.io/Logging_2481/tillsyn/A 8491-2026 tillsynsbegäran.docx", "A 8491-2026")</f>
        <v/>
      </c>
      <c r="AD158">
        <f>HYPERLINK("https://klasma.github.io/Logging_2481/tillsynsmail/A 8491-2026 tillsynsbegäran mail.docx", "A 8491-2026")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46257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25701-2026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46257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Skrovellav</t>
        </is>
      </c>
      <c r="W160">
        <f>HYPERLINK("https://klasma.github.io/Logging_2481/artfynd/A 25701-2026 artfynd.xlsx", "A 25701-2026")</f>
        <v/>
      </c>
      <c r="X160">
        <f>HYPERLINK("https://klasma.github.io/Logging_2481/kartor/A 25701-2026 karta.png", "A 25701-2026")</f>
        <v/>
      </c>
      <c r="Y160">
        <f>HYPERLINK("https://klasma.github.io/Logging_2481/kartor_geotiff/A 25701-2026 georefererad karta.tif", "A 25701-2026")</f>
        <v/>
      </c>
      <c r="AA160">
        <f>HYPERLINK("https://klasma.github.io/Logging_2481/klagomål/A 25701-2026 FSC-klagomål.docx", "A 25701-2026")</f>
        <v/>
      </c>
      <c r="AB160">
        <f>HYPERLINK("https://klasma.github.io/Logging_2481/klagomålsmail/A 25701-2026 FSC-klagomål mail.docx", "A 25701-2026")</f>
        <v/>
      </c>
      <c r="AC160">
        <f>HYPERLINK("https://klasma.github.io/Logging_2481/tillsyn/A 25701-2026 tillsynsbegäran.docx", "A 25701-2026")</f>
        <v/>
      </c>
      <c r="AD160">
        <f>HYPERLINK("https://klasma.github.io/Logging_2481/tillsynsmail/A 25701-2026 tillsynsbegäran mail.docx", "A 25701-2026")</f>
        <v/>
      </c>
    </row>
    <row r="161" ht="15" customHeight="1">
      <c r="A161" t="inlineStr">
        <is>
          <t>A 25591-2026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46257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15.9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Gränsticka</t>
        </is>
      </c>
      <c r="W161">
        <f>HYPERLINK("https://klasma.github.io/Logging_2481/artfynd/A 25591-2026 artfynd.xlsx", "A 25591-2026")</f>
        <v/>
      </c>
      <c r="X161">
        <f>HYPERLINK("https://klasma.github.io/Logging_2481/kartor/A 25591-2026 karta.png", "A 25591-2026")</f>
        <v/>
      </c>
      <c r="Y161">
        <f>HYPERLINK("https://klasma.github.io/Logging_2481/kartor_geotiff/A 25591-2026 georefererad karta.tif", "A 25591-2026")</f>
        <v/>
      </c>
      <c r="AA161">
        <f>HYPERLINK("https://klasma.github.io/Logging_2481/klagomål/A 25591-2026 FSC-klagomål.docx", "A 25591-2026")</f>
        <v/>
      </c>
      <c r="AB161">
        <f>HYPERLINK("https://klasma.github.io/Logging_2481/klagomålsmail/A 25591-2026 FSC-klagomål mail.docx", "A 25591-2026")</f>
        <v/>
      </c>
      <c r="AC161">
        <f>HYPERLINK("https://klasma.github.io/Logging_2481/tillsyn/A 25591-2026 tillsynsbegäran.docx", "A 25591-2026")</f>
        <v/>
      </c>
      <c r="AD161">
        <f>HYPERLINK("https://klasma.github.io/Logging_2481/tillsynsmail/A 25591-2026 tillsynsbegäran mail.docx", "A 25591-2026")</f>
        <v/>
      </c>
    </row>
    <row r="162" ht="15" customHeight="1">
      <c r="A162" t="inlineStr">
        <is>
          <t>A 25720-2026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46257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Orange taggsvamp</t>
        </is>
      </c>
      <c r="W162">
        <f>HYPERLINK("https://klasma.github.io/Logging_2481/artfynd/A 25720-2026 artfynd.xlsx", "A 25720-2026")</f>
        <v/>
      </c>
      <c r="X162">
        <f>HYPERLINK("https://klasma.github.io/Logging_2481/kartor/A 25720-2026 karta.png", "A 25720-2026")</f>
        <v/>
      </c>
      <c r="Y162">
        <f>HYPERLINK("https://klasma.github.io/Logging_2481/kartor_geotiff/A 25720-2026 georefererad karta.tif", "A 25720-2026")</f>
        <v/>
      </c>
      <c r="AA162">
        <f>HYPERLINK("https://klasma.github.io/Logging_2481/klagomål/A 25720-2026 FSC-klagomål.docx", "A 25720-2026")</f>
        <v/>
      </c>
      <c r="AB162">
        <f>HYPERLINK("https://klasma.github.io/Logging_2481/klagomålsmail/A 25720-2026 FSC-klagomål mail.docx", "A 25720-2026")</f>
        <v/>
      </c>
      <c r="AC162">
        <f>HYPERLINK("https://klasma.github.io/Logging_2481/tillsyn/A 25720-2026 tillsynsbegäran.docx", "A 25720-2026")</f>
        <v/>
      </c>
      <c r="AD162">
        <f>HYPERLINK("https://klasma.github.io/Logging_2481/tillsynsmail/A 25720-2026 tillsynsbegäran mail.docx", "A 25720-2026")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46257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25706-2026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46257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7.9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25706-2026 artfynd.xlsx", "A 25706-2026")</f>
        <v/>
      </c>
      <c r="X164">
        <f>HYPERLINK("https://klasma.github.io/Logging_2481/kartor/A 25706-2026 karta.png", "A 25706-2026")</f>
        <v/>
      </c>
      <c r="Y164">
        <f>HYPERLINK("https://klasma.github.io/Logging_2481/kartor_geotiff/A 25706-2026 georefererad karta.tif", "A 25706-2026")</f>
        <v/>
      </c>
      <c r="AA164">
        <f>HYPERLINK("https://klasma.github.io/Logging_2481/klagomål/A 25706-2026 FSC-klagomål.docx", "A 25706-2026")</f>
        <v/>
      </c>
      <c r="AB164">
        <f>HYPERLINK("https://klasma.github.io/Logging_2481/klagomålsmail/A 25706-2026 FSC-klagomål mail.docx", "A 25706-2026")</f>
        <v/>
      </c>
      <c r="AC164">
        <f>HYPERLINK("https://klasma.github.io/Logging_2481/tillsyn/A 25706-2026 tillsynsbegäran.docx", "A 25706-2026")</f>
        <v/>
      </c>
      <c r="AD164">
        <f>HYPERLINK("https://klasma.github.io/Logging_2481/tillsynsmail/A 25706-2026 tillsynsbegäran mail.docx", "A 25706-2026")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46257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27161-2026 artfynd.xlsx", "A 27161-2026")</f>
        <v/>
      </c>
      <c r="X165">
        <f>HYPERLINK("https://klasma.github.io/Logging_2481/kartor/A 27161-2026 karta.png", "A 27161-2026")</f>
        <v/>
      </c>
      <c r="Y165">
        <f>HYPERLINK("https://klasma.github.io/Logging_2481/kartor_geotiff/A 27161-2026 georefererad karta.tif", "A 27161-2026")</f>
        <v/>
      </c>
      <c r="AA165">
        <f>HYPERLINK("https://klasma.github.io/Logging_2481/klagomål/A 27161-2026 FSC-klagomål.docx", "A 27161-2026")</f>
        <v/>
      </c>
      <c r="AB165">
        <f>HYPERLINK("https://klasma.github.io/Logging_2481/klagomålsmail/A 27161-2026 FSC-klagomål mail.docx", "A 27161-2026")</f>
        <v/>
      </c>
      <c r="AC165">
        <f>HYPERLINK("https://klasma.github.io/Logging_2481/tillsyn/A 27161-2026 tillsynsbegäran.docx", "A 27161-2026")</f>
        <v/>
      </c>
      <c r="AD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28408-2023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45101</v>
      </c>
      <c r="E166" s="1" t="n">
        <v>46257</v>
      </c>
      <c r="F166" t="inlineStr">
        <is>
          <t>VÄSTERBOTTENS LÄN</t>
        </is>
      </c>
      <c r="G166" t="inlineStr">
        <is>
          <t>LYCKSELE</t>
        </is>
      </c>
      <c r="I166" t="n">
        <v>5.7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28408-2023 artfynd.xlsx", "A 28408-2023")</f>
        <v/>
      </c>
      <c r="X166">
        <f>HYPERLINK("https://klasma.github.io/Logging_2481/kartor/A 28408-2023 karta.png", "A 28408-2023")</f>
        <v/>
      </c>
      <c r="Y166">
        <f>HYPERLINK("https://klasma.github.io/Logging_2481/kartor_geotiff/A 28408-2023 georefererad karta.tif", "A 28408-2023")</f>
        <v/>
      </c>
      <c r="AA166">
        <f>HYPERLINK("https://klasma.github.io/Logging_2481/klagomål/A 28408-2023 FSC-klagomål.docx", "A 28408-2023")</f>
        <v/>
      </c>
      <c r="AB166">
        <f>HYPERLINK("https://klasma.github.io/Logging_2481/klagomålsmail/A 28408-2023 FSC-klagomål mail.docx", "A 28408-2023")</f>
        <v/>
      </c>
      <c r="AC166">
        <f>HYPERLINK("https://klasma.github.io/Logging_2481/tillsyn/A 28408-2023 tillsynsbegäran.docx", "A 28408-2023")</f>
        <v/>
      </c>
      <c r="AD166">
        <f>HYPERLINK("https://klasma.github.io/Logging_2481/tillsynsmail/A 28408-2023 tillsynsbegäran mail.docx", "A 28408-2023")</f>
        <v/>
      </c>
    </row>
    <row r="167" ht="15" customHeight="1">
      <c r="A167" t="inlineStr">
        <is>
          <t>A 27830-2026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46257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1.6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HYPERLINK("https://klasma.github.io/Logging_2481/artfynd/A 27830-2026 artfynd.xlsx", "A 27830-2026")</f>
        <v/>
      </c>
      <c r="X167">
        <f>HYPERLINK("https://klasma.github.io/Logging_2481/kartor/A 27830-2026 karta.png", "A 27830-2026")</f>
        <v/>
      </c>
      <c r="Y167">
        <f>HYPERLINK("https://klasma.github.io/Logging_2481/kartor_geotiff/A 27830-2026 georefererad karta.tif", "A 27830-2026")</f>
        <v/>
      </c>
      <c r="AA167">
        <f>HYPERLINK("https://klasma.github.io/Logging_2481/klagomål/A 27830-2026 FSC-klagomål.docx", "A 27830-2026")</f>
        <v/>
      </c>
      <c r="AB167">
        <f>HYPERLINK("https://klasma.github.io/Logging_2481/klagomålsmail/A 27830-2026 FSC-klagomål mail.docx", "A 27830-2026")</f>
        <v/>
      </c>
      <c r="AC167">
        <f>HYPERLINK("https://klasma.github.io/Logging_2481/tillsyn/A 27830-2026 tillsynsbegäran.docx", "A 27830-2026")</f>
        <v/>
      </c>
      <c r="AD167">
        <f>HYPERLINK("https://klasma.github.io/Logging_2481/tillsynsmail/A 27830-2026 tillsynsbegäran mail.docx", "A 27830-2026")</f>
        <v/>
      </c>
    </row>
    <row r="168" ht="15" customHeight="1">
      <c r="A168" t="inlineStr">
        <is>
          <t>A 50018-2024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45599</v>
      </c>
      <c r="E168" s="1" t="n">
        <v>46257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50018-2024 artfynd.xlsx", "A 50018-2024")</f>
        <v/>
      </c>
      <c r="X168">
        <f>HYPERLINK("https://klasma.github.io/Logging_2481/kartor/A 50018-2024 karta.png", "A 50018-2024")</f>
        <v/>
      </c>
      <c r="Y168">
        <f>HYPERLINK("https://klasma.github.io/Logging_2481/kartor_geotiff/A 50018-2024 georefererad karta.tif", "A 50018-2024")</f>
        <v/>
      </c>
      <c r="AA168">
        <f>HYPERLINK("https://klasma.github.io/Logging_2481/klagomål/A 50018-2024 FSC-klagomål.docx", "A 50018-2024")</f>
        <v/>
      </c>
      <c r="AB168">
        <f>HYPERLINK("https://klasma.github.io/Logging_2481/klagomålsmail/A 50018-2024 FSC-klagomål mail.docx", "A 50018-2024")</f>
        <v/>
      </c>
      <c r="AC168">
        <f>HYPERLINK("https://klasma.github.io/Logging_2481/tillsyn/A 50018-2024 tillsynsbegäran.docx", "A 50018-2024")</f>
        <v/>
      </c>
      <c r="AD168">
        <f>HYPERLINK("https://klasma.github.io/Logging_2481/tillsynsmail/A 50018-2024 tillsynsbegäran mail.docx", "A 50018-2024")</f>
        <v/>
      </c>
    </row>
    <row r="169" ht="15" customHeight="1">
      <c r="A169" t="inlineStr">
        <is>
          <t>A 32246-2026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46257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32246-2026 artfynd.xlsx", "A 32246-2026")</f>
        <v/>
      </c>
      <c r="X169">
        <f>HYPERLINK("https://klasma.github.io/Logging_2481/kartor/A 32246-2026 karta.png", "A 32246-2026")</f>
        <v/>
      </c>
      <c r="Y169">
        <f>HYPERLINK("https://klasma.github.io/Logging_2481/kartor_geotiff/A 32246-2026 georefererad karta.tif", "A 32246-2026")</f>
        <v/>
      </c>
      <c r="AA169">
        <f>HYPERLINK("https://klasma.github.io/Logging_2481/klagomål/A 32246-2026 FSC-klagomål.docx", "A 32246-2026")</f>
        <v/>
      </c>
      <c r="AB169">
        <f>HYPERLINK("https://klasma.github.io/Logging_2481/klagomålsmail/A 32246-2026 FSC-klagomål mail.docx", "A 32246-2026")</f>
        <v/>
      </c>
      <c r="AC169">
        <f>HYPERLINK("https://klasma.github.io/Logging_2481/tillsyn/A 32246-2026 tillsynsbegäran.docx", "A 32246-2026")</f>
        <v/>
      </c>
      <c r="AD169">
        <f>HYPERLINK("https://klasma.github.io/Logging_2481/tillsynsmail/A 32246-2026 tillsynsbegäran mail.docx", "A 32246-2026")</f>
        <v/>
      </c>
    </row>
    <row r="170" ht="15" customHeight="1">
      <c r="A170" t="inlineStr">
        <is>
          <t>A 49394-2024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46257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49394-2024 artfynd.xlsx", "A 49394-2024")</f>
        <v/>
      </c>
      <c r="X170">
        <f>HYPERLINK("https://klasma.github.io/Logging_2481/kartor/A 49394-2024 karta.png", "A 49394-2024")</f>
        <v/>
      </c>
      <c r="Y170">
        <f>HYPERLINK("https://klasma.github.io/Logging_2481/kartor_geotiff/A 49394-2024 georefererad karta.tif", "A 49394-2024")</f>
        <v/>
      </c>
      <c r="AA170">
        <f>HYPERLINK("https://klasma.github.io/Logging_2481/klagomål/A 49394-2024 FSC-klagomål.docx", "A 49394-2024")</f>
        <v/>
      </c>
      <c r="AB170">
        <f>HYPERLINK("https://klasma.github.io/Logging_2481/klagomålsmail/A 49394-2024 FSC-klagomål mail.docx", "A 49394-2024")</f>
        <v/>
      </c>
      <c r="AC170">
        <f>HYPERLINK("https://klasma.github.io/Logging_2481/tillsyn/A 49394-2024 tillsynsbegäran.docx", "A 49394-2024")</f>
        <v/>
      </c>
      <c r="AD170">
        <f>HYPERLINK("https://klasma.github.io/Logging_2481/tillsynsmail/A 49394-2024 tillsynsbegäran mail.docx", "A 49394-2024")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46257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28459-2026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46257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HYPERLINK("https://klasma.github.io/Logging_2481/artfynd/A 28459-2026 artfynd.xlsx", "A 28459-2026")</f>
        <v/>
      </c>
      <c r="X172">
        <f>HYPERLINK("https://klasma.github.io/Logging_2481/kartor/A 28459-2026 karta.png", "A 28459-2026")</f>
        <v/>
      </c>
      <c r="Y172">
        <f>HYPERLINK("https://klasma.github.io/Logging_2481/kartor_geotiff/A 28459-2026 georefererad karta.tif", "A 28459-2026")</f>
        <v/>
      </c>
      <c r="AA172">
        <f>HYPERLINK("https://klasma.github.io/Logging_2481/klagomål/A 28459-2026 FSC-klagomål.docx", "A 28459-2026")</f>
        <v/>
      </c>
      <c r="AB172">
        <f>HYPERLINK("https://klasma.github.io/Logging_2481/klagomålsmail/A 28459-2026 FSC-klagomål mail.docx", "A 28459-2026")</f>
        <v/>
      </c>
      <c r="AC172">
        <f>HYPERLINK("https://klasma.github.io/Logging_2481/tillsyn/A 28459-2026 tillsynsbegäran.docx", "A 28459-2026")</f>
        <v/>
      </c>
      <c r="AD172">
        <f>HYPERLINK("https://klasma.github.io/Logging_2481/tillsynsmail/A 28459-2026 tillsynsbegäran mail.docx", "A 28459-2026")</f>
        <v/>
      </c>
    </row>
    <row r="173" ht="15" customHeight="1">
      <c r="A173" t="inlineStr">
        <is>
          <t>A 32686-2026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46240</v>
      </c>
      <c r="E173" s="1" t="n">
        <v>46257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17.4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Doftticka</t>
        </is>
      </c>
      <c r="W173">
        <f>HYPERLINK("https://klasma.github.io/Logging_2481/artfynd/A 32686-2026 artfynd.xlsx", "A 32686-2026")</f>
        <v/>
      </c>
      <c r="X173">
        <f>HYPERLINK("https://klasma.github.io/Logging_2481/kartor/A 32686-2026 karta.png", "A 32686-2026")</f>
        <v/>
      </c>
      <c r="Y173">
        <f>HYPERLINK("https://klasma.github.io/Logging_2481/kartor_geotiff/A 32686-2026 georefererad karta.tif", "A 32686-2026")</f>
        <v/>
      </c>
      <c r="AA173">
        <f>HYPERLINK("https://klasma.github.io/Logging_2481/klagomål/A 32686-2026 FSC-klagomål.docx", "A 32686-2026")</f>
        <v/>
      </c>
      <c r="AB173">
        <f>HYPERLINK("https://klasma.github.io/Logging_2481/klagomålsmail/A 32686-2026 FSC-klagomål mail.docx", "A 32686-2026")</f>
        <v/>
      </c>
      <c r="AC173">
        <f>HYPERLINK("https://klasma.github.io/Logging_2481/tillsyn/A 32686-2026 tillsynsbegäran.docx", "A 32686-2026")</f>
        <v/>
      </c>
      <c r="AD173">
        <f>HYPERLINK("https://klasma.github.io/Logging_2481/tillsynsmail/A 32686-2026 tillsynsbegäran mail.docx", "A 32686-2026")</f>
        <v/>
      </c>
    </row>
    <row r="174" ht="15" customHeight="1">
      <c r="A174" t="inlineStr">
        <is>
          <t>A 32612-2026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46257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32612-2026 artfynd.xlsx", "A 32612-2026")</f>
        <v/>
      </c>
      <c r="X174">
        <f>HYPERLINK("https://klasma.github.io/Logging_2481/kartor/A 32612-2026 karta.png", "A 32612-2026")</f>
        <v/>
      </c>
      <c r="Y174">
        <f>HYPERLINK("https://klasma.github.io/Logging_2481/kartor_geotiff/A 32612-2026 georefererad karta.tif", "A 32612-2026")</f>
        <v/>
      </c>
      <c r="AA174">
        <f>HYPERLINK("https://klasma.github.io/Logging_2481/klagomål/A 32612-2026 FSC-klagomål.docx", "A 32612-2026")</f>
        <v/>
      </c>
      <c r="AB174">
        <f>HYPERLINK("https://klasma.github.io/Logging_2481/klagomålsmail/A 32612-2026 FSC-klagomål mail.docx", "A 32612-2026")</f>
        <v/>
      </c>
      <c r="AC174">
        <f>HYPERLINK("https://klasma.github.io/Logging_2481/tillsyn/A 32612-2026 tillsynsbegäran.docx", "A 32612-2026")</f>
        <v/>
      </c>
      <c r="AD174">
        <f>HYPERLINK("https://klasma.github.io/Logging_2481/tillsynsmail/A 32612-2026 tillsynsbegäran mail.docx", "A 32612-2026")</f>
        <v/>
      </c>
    </row>
    <row r="175" ht="15" customHeight="1">
      <c r="A175" t="inlineStr">
        <is>
          <t>A 28806-2026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46257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HYPERLINK("https://klasma.github.io/Logging_2481/artfynd/A 28806-2026 artfynd.xlsx", "A 28806-2026")</f>
        <v/>
      </c>
      <c r="X175">
        <f>HYPERLINK("https://klasma.github.io/Logging_2481/kartor/A 28806-2026 karta.png", "A 28806-2026")</f>
        <v/>
      </c>
      <c r="Y175">
        <f>HYPERLINK("https://klasma.github.io/Logging_2481/kartor_geotiff/A 28806-2026 georefererad karta.tif", "A 28806-2026")</f>
        <v/>
      </c>
      <c r="AA175">
        <f>HYPERLINK("https://klasma.github.io/Logging_2481/klagomål/A 28806-2026 FSC-klagomål.docx", "A 28806-2026")</f>
        <v/>
      </c>
      <c r="AB175">
        <f>HYPERLINK("https://klasma.github.io/Logging_2481/klagomålsmail/A 28806-2026 FSC-klagomål mail.docx", "A 28806-2026")</f>
        <v/>
      </c>
      <c r="AC175">
        <f>HYPERLINK("https://klasma.github.io/Logging_2481/tillsyn/A 28806-2026 tillsynsbegäran.docx", "A 28806-2026")</f>
        <v/>
      </c>
      <c r="AD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46257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Pärluggla</t>
        </is>
      </c>
      <c r="W176">
        <f>HYPERLINK("https://klasma.github.io/Logging_2481/artfynd/A 33726-2022 artfynd.xlsx", "A 33726-2022")</f>
        <v/>
      </c>
      <c r="X176">
        <f>HYPERLINK("https://klasma.github.io/Logging_2481/kartor/A 33726-2022 karta.png", "A 33726-2022")</f>
        <v/>
      </c>
      <c r="Y176">
        <f>HYPERLINK("https://klasma.github.io/Logging_2481/kartor_geotiff/A 33726-2022 georefererad karta.tif", "A 33726-2022")</f>
        <v/>
      </c>
      <c r="AA176">
        <f>HYPERLINK("https://klasma.github.io/Logging_2481/klagomål/A 33726-2022 FSC-klagomål.docx", "A 33726-2022")</f>
        <v/>
      </c>
      <c r="AB176">
        <f>HYPERLINK("https://klasma.github.io/Logging_2481/klagomålsmail/A 33726-2022 FSC-klagomål mail.docx", "A 33726-2022")</f>
        <v/>
      </c>
      <c r="AC176">
        <f>HYPERLINK("https://klasma.github.io/Logging_2481/tillsyn/A 33726-2022 tillsynsbegäran.docx", "A 33726-2022")</f>
        <v/>
      </c>
      <c r="AD176">
        <f>HYPERLINK("https://klasma.github.io/Logging_2481/tillsynsmail/A 33726-2022 tillsynsbegäran mail.docx", "A 33726-2022")</f>
        <v/>
      </c>
      <c r="AE176">
        <f>HYPERLINK("https://klasma.github.io/Logging_2481/fåglar/A 33726-2022 prioriterade fågelarter.docx", "A 33726-2022")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29828-2026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46257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HYPERLINK("https://klasma.github.io/Logging_2481/artfynd/A 29828-2026 artfynd.xlsx", "A 29828-2026")</f>
        <v/>
      </c>
      <c r="X178">
        <f>HYPERLINK("https://klasma.github.io/Logging_2481/kartor/A 29828-2026 karta.png", "A 29828-2026")</f>
        <v/>
      </c>
      <c r="Y178">
        <f>HYPERLINK("https://klasma.github.io/Logging_2481/kartor_geotiff/A 29828-2026 georefererad karta.tif", "A 29828-2026")</f>
        <v/>
      </c>
      <c r="AA178">
        <f>HYPERLINK("https://klasma.github.io/Logging_2481/klagomål/A 29828-2026 FSC-klagomål.docx", "A 29828-2026")</f>
        <v/>
      </c>
      <c r="AB178">
        <f>HYPERLINK("https://klasma.github.io/Logging_2481/klagomålsmail/A 29828-2026 FSC-klagomål mail.docx", "A 29828-2026")</f>
        <v/>
      </c>
      <c r="AC178">
        <f>HYPERLINK("https://klasma.github.io/Logging_2481/tillsyn/A 29828-2026 tillsynsbegäran.docx", "A 29828-2026")</f>
        <v/>
      </c>
      <c r="AD178">
        <f>HYPERLINK("https://klasma.github.io/Logging_2481/tillsynsmail/A 29828-2026 tillsynsbegäran mail.docx", "A 29828-2026")</f>
        <v/>
      </c>
    </row>
    <row r="179" ht="15" customHeight="1">
      <c r="A179" t="inlineStr">
        <is>
          <t>A 28838-2024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46257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28838-2024 artfynd.xlsx", "A 28838-2024")</f>
        <v/>
      </c>
      <c r="X179">
        <f>HYPERLINK("https://klasma.github.io/Logging_2481/kartor/A 28838-2024 karta.png", "A 28838-2024")</f>
        <v/>
      </c>
      <c r="Y179">
        <f>HYPERLINK("https://klasma.github.io/Logging_2481/kartor_geotiff/A 28838-2024 georefererad karta.tif", "A 28838-2024")</f>
        <v/>
      </c>
      <c r="AA179">
        <f>HYPERLINK("https://klasma.github.io/Logging_2481/klagomål/A 28838-2024 FSC-klagomål.docx", "A 28838-2024")</f>
        <v/>
      </c>
      <c r="AB179">
        <f>HYPERLINK("https://klasma.github.io/Logging_2481/klagomålsmail/A 28838-2024 FSC-klagomål mail.docx", "A 28838-2024")</f>
        <v/>
      </c>
      <c r="AC179">
        <f>HYPERLINK("https://klasma.github.io/Logging_2481/tillsyn/A 28838-2024 tillsynsbegäran.docx", "A 28838-2024")</f>
        <v/>
      </c>
      <c r="AD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30994-2026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46257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Violettgrå tagellav</t>
        </is>
      </c>
      <c r="W180">
        <f>HYPERLINK("https://klasma.github.io/Logging_2481/artfynd/A 30994-2026 artfynd.xlsx", "A 30994-2026")</f>
        <v/>
      </c>
      <c r="X180">
        <f>HYPERLINK("https://klasma.github.io/Logging_2481/kartor/A 30994-2026 karta.png", "A 30994-2026")</f>
        <v/>
      </c>
      <c r="Y180">
        <f>HYPERLINK("https://klasma.github.io/Logging_2481/kartor_geotiff/A 30994-2026 georefererad karta.tif", "A 30994-2026")</f>
        <v/>
      </c>
      <c r="AA180">
        <f>HYPERLINK("https://klasma.github.io/Logging_2481/klagomål/A 30994-2026 FSC-klagomål.docx", "A 30994-2026")</f>
        <v/>
      </c>
      <c r="AB180">
        <f>HYPERLINK("https://klasma.github.io/Logging_2481/klagomålsmail/A 30994-2026 FSC-klagomål mail.docx", "A 30994-2026")</f>
        <v/>
      </c>
      <c r="AC180">
        <f>HYPERLINK("https://klasma.github.io/Logging_2481/tillsyn/A 30994-2026 tillsynsbegäran.docx", "A 30994-2026")</f>
        <v/>
      </c>
      <c r="AD180">
        <f>HYPERLINK("https://klasma.github.io/Logging_2481/tillsynsmail/A 30994-2026 tillsynsbegäran mail.docx", "A 30994-2026")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46257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55938-2023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46257</v>
      </c>
      <c r="F182" t="inlineStr">
        <is>
          <t>VÄSTERBOTTENS LÄN</t>
        </is>
      </c>
      <c r="G182" t="inlineStr">
        <is>
          <t>LYCKSELE</t>
        </is>
      </c>
      <c r="I182" t="n">
        <v>1.9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Järpe</t>
        </is>
      </c>
      <c r="W182">
        <f>HYPERLINK("https://klasma.github.io/Logging_2481/artfynd/A 55938-2023 artfynd.xlsx", "A 55938-2023")</f>
        <v/>
      </c>
      <c r="X182">
        <f>HYPERLINK("https://klasma.github.io/Logging_2481/kartor/A 55938-2023 karta.png", "A 55938-2023")</f>
        <v/>
      </c>
      <c r="Y182">
        <f>HYPERLINK("https://klasma.github.io/Logging_2481/kartor_geotiff/A 55938-2023 georefererad karta.tif", "A 55938-2023")</f>
        <v/>
      </c>
      <c r="AA182">
        <f>HYPERLINK("https://klasma.github.io/Logging_2481/klagomål/A 55938-2023 FSC-klagomål.docx", "A 55938-2023")</f>
        <v/>
      </c>
      <c r="AB182">
        <f>HYPERLINK("https://klasma.github.io/Logging_2481/klagomålsmail/A 55938-2023 FSC-klagomål mail.docx", "A 55938-2023")</f>
        <v/>
      </c>
      <c r="AC182">
        <f>HYPERLINK("https://klasma.github.io/Logging_2481/tillsyn/A 55938-2023 tillsynsbegäran.docx", "A 55938-2023")</f>
        <v/>
      </c>
      <c r="AD182">
        <f>HYPERLINK("https://klasma.github.io/Logging_2481/tillsynsmail/A 55938-2023 tillsynsbegäran mail.docx", "A 55938-2023")</f>
        <v/>
      </c>
      <c r="AE182">
        <f>HYPERLINK("https://klasma.github.io/Logging_2481/fåglar/A 55938-2023 prioriterade fågelarter.docx", "A 55938-2023")</f>
        <v/>
      </c>
    </row>
    <row r="183" ht="15" customHeight="1">
      <c r="A183" t="inlineStr">
        <is>
          <t>A 20404-2026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46257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Utter</t>
        </is>
      </c>
      <c r="W183">
        <f>HYPERLINK("https://klasma.github.io/Logging_2481/artfynd/A 20404-2026 artfynd.xlsx", "A 20404-2026")</f>
        <v/>
      </c>
      <c r="X183">
        <f>HYPERLINK("https://klasma.github.io/Logging_2481/kartor/A 20404-2026 karta.png", "A 20404-2026")</f>
        <v/>
      </c>
      <c r="Y183">
        <f>HYPERLINK("https://klasma.github.io/Logging_2481/kartor_geotiff/A 20404-2026 georefererad karta.tif", "A 20404-2026")</f>
        <v/>
      </c>
      <c r="AA183">
        <f>HYPERLINK("https://klasma.github.io/Logging_2481/klagomål/A 20404-2026 FSC-klagomål.docx", "A 20404-2026")</f>
        <v/>
      </c>
      <c r="AB183">
        <f>HYPERLINK("https://klasma.github.io/Logging_2481/klagomålsmail/A 20404-2026 FSC-klagomål mail.docx", "A 20404-2026")</f>
        <v/>
      </c>
      <c r="AC183">
        <f>HYPERLINK("https://klasma.github.io/Logging_2481/tillsyn/A 20404-2026 tillsynsbegäran.docx", "A 20404-2026")</f>
        <v/>
      </c>
      <c r="AD183">
        <f>HYPERLINK("https://klasma.github.io/Logging_2481/tillsynsmail/A 20404-2026 tillsynsbegäran mail.docx", "A 20404-2026")</f>
        <v/>
      </c>
    </row>
    <row r="184" ht="15" customHeight="1">
      <c r="A184" t="inlineStr">
        <is>
          <t>A 20929-2025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45777</v>
      </c>
      <c r="E184" s="1" t="n">
        <v>46257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HYPERLINK("https://klasma.github.io/Logging_2481/artfynd/A 20929-2025 artfynd.xlsx", "A 20929-2025")</f>
        <v/>
      </c>
      <c r="X184">
        <f>HYPERLINK("https://klasma.github.io/Logging_2481/kartor/A 20929-2025 karta.png", "A 20929-2025")</f>
        <v/>
      </c>
      <c r="Y184">
        <f>HYPERLINK("https://klasma.github.io/Logging_2481/kartor_geotiff/A 20929-2025 georefererad karta.tif", "A 20929-2025")</f>
        <v/>
      </c>
      <c r="AA184">
        <f>HYPERLINK("https://klasma.github.io/Logging_2481/klagomål/A 20929-2025 FSC-klagomål.docx", "A 20929-2025")</f>
        <v/>
      </c>
      <c r="AB184">
        <f>HYPERLINK("https://klasma.github.io/Logging_2481/klagomålsmail/A 20929-2025 FSC-klagomål mail.docx", "A 20929-2025")</f>
        <v/>
      </c>
      <c r="AC184">
        <f>HYPERLINK("https://klasma.github.io/Logging_2481/tillsyn/A 20929-2025 tillsynsbegäran.docx", "A 20929-2025")</f>
        <v/>
      </c>
      <c r="AD184">
        <f>HYPERLINK("https://klasma.github.io/Logging_2481/tillsynsmail/A 20929-2025 tillsynsbegäran mail.docx", "A 20929-2025")</f>
        <v/>
      </c>
    </row>
    <row r="185" ht="15" customHeight="1">
      <c r="A185" t="inlineStr">
        <is>
          <t>A 22120-2026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22120-2026 artfynd.xlsx", "A 22120-2026")</f>
        <v/>
      </c>
      <c r="X185">
        <f>HYPERLINK("https://klasma.github.io/Logging_2481/kartor/A 22120-2026 karta.png", "A 22120-2026")</f>
        <v/>
      </c>
      <c r="Y185">
        <f>HYPERLINK("https://klasma.github.io/Logging_2481/kartor_geotiff/A 22120-2026 georefererad karta.tif", "A 22120-2026")</f>
        <v/>
      </c>
      <c r="AA185">
        <f>HYPERLINK("https://klasma.github.io/Logging_2481/klagomål/A 22120-2026 FSC-klagomål.docx", "A 22120-2026")</f>
        <v/>
      </c>
      <c r="AB185">
        <f>HYPERLINK("https://klasma.github.io/Logging_2481/klagomålsmail/A 22120-2026 FSC-klagomål mail.docx", "A 22120-2026")</f>
        <v/>
      </c>
      <c r="AC185">
        <f>HYPERLINK("https://klasma.github.io/Logging_2481/tillsyn/A 22120-2026 tillsynsbegäran.docx", "A 22120-2026")</f>
        <v/>
      </c>
      <c r="AD185">
        <f>HYPERLINK("https://klasma.github.io/Logging_2481/tillsynsmail/A 22120-2026 tillsynsbegäran mail.docx", "A 22120-2026")</f>
        <v/>
      </c>
    </row>
    <row r="186" ht="15" customHeight="1">
      <c r="A186" t="inlineStr">
        <is>
          <t>A 57243-2025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46257</v>
      </c>
      <c r="F186" t="inlineStr">
        <is>
          <t>VÄSTERBOTTENS LÄN</t>
        </is>
      </c>
      <c r="G186" t="inlineStr">
        <is>
          <t>LYCKSELE</t>
        </is>
      </c>
      <c r="I186" t="n">
        <v>2.1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57243-2025 artfynd.xlsx", "A 57243-2025")</f>
        <v/>
      </c>
      <c r="X186">
        <f>HYPERLINK("https://klasma.github.io/Logging_2481/kartor/A 57243-2025 karta.png", "A 57243-2025")</f>
        <v/>
      </c>
      <c r="Y186">
        <f>HYPERLINK("https://klasma.github.io/Logging_2481/kartor_geotiff/A 57243-2025 georefererad karta.tif", "A 57243-2025")</f>
        <v/>
      </c>
      <c r="AA186">
        <f>HYPERLINK("https://klasma.github.io/Logging_2481/klagomål/A 57243-2025 FSC-klagomål.docx", "A 57243-2025")</f>
        <v/>
      </c>
      <c r="AB186">
        <f>HYPERLINK("https://klasma.github.io/Logging_2481/klagomålsmail/A 57243-2025 FSC-klagomål mail.docx", "A 57243-2025")</f>
        <v/>
      </c>
      <c r="AC186">
        <f>HYPERLINK("https://klasma.github.io/Logging_2481/tillsyn/A 57243-2025 tillsynsbegäran.docx", "A 57243-2025")</f>
        <v/>
      </c>
      <c r="AD186">
        <f>HYPERLINK("https://klasma.github.io/Logging_2481/tillsynsmail/A 57243-2025 tillsynsbegäran mail.docx", "A 57243-2025")</f>
        <v/>
      </c>
    </row>
    <row r="187" ht="15" customHeight="1">
      <c r="A187" t="inlineStr">
        <is>
          <t>A 22680-2026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46156</v>
      </c>
      <c r="E187" s="1" t="n">
        <v>46257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22.2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22680-2026 artfynd.xlsx", "A 22680-2026")</f>
        <v/>
      </c>
      <c r="X187">
        <f>HYPERLINK("https://klasma.github.io/Logging_2481/kartor/A 22680-2026 karta.png", "A 22680-2026")</f>
        <v/>
      </c>
      <c r="Y187">
        <f>HYPERLINK("https://klasma.github.io/Logging_2481/kartor_geotiff/A 22680-2026 georefererad karta.tif", "A 22680-2026")</f>
        <v/>
      </c>
      <c r="AA187">
        <f>HYPERLINK("https://klasma.github.io/Logging_2481/klagomål/A 22680-2026 FSC-klagomål.docx", "A 22680-2026")</f>
        <v/>
      </c>
      <c r="AB187">
        <f>HYPERLINK("https://klasma.github.io/Logging_2481/klagomålsmail/A 22680-2026 FSC-klagomål mail.docx", "A 22680-2026")</f>
        <v/>
      </c>
      <c r="AC187">
        <f>HYPERLINK("https://klasma.github.io/Logging_2481/tillsyn/A 22680-2026 tillsynsbegäran.docx", "A 22680-2026")</f>
        <v/>
      </c>
      <c r="AD187">
        <f>HYPERLINK("https://klasma.github.io/Logging_2481/tillsynsmail/A 22680-2026 tillsynsbegäran mail.docx", "A 22680-2026")</f>
        <v/>
      </c>
    </row>
    <row r="188" ht="15" customHeight="1">
      <c r="A188" t="inlineStr">
        <is>
          <t>A 496-2024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46257</v>
      </c>
      <c r="F188" t="inlineStr">
        <is>
          <t>VÄSTERBOTTENS LÄN</t>
        </is>
      </c>
      <c r="G188" t="inlineStr">
        <is>
          <t>LYCKSELE</t>
        </is>
      </c>
      <c r="I188" t="n">
        <v>5.2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7</v>
      </c>
      <c r="U188" t="n">
        <v>7</v>
      </c>
      <c r="V188" s="2" t="inlineStr">
        <is>
          <t>Tretåig hackspett</t>
        </is>
      </c>
      <c r="W188">
        <f>HYPERLINK("https://klasma.github.io/Logging_2481/artfynd/A 496-2024 artfynd.xlsx", "A 496-2024")</f>
        <v/>
      </c>
      <c r="X188">
        <f>HYPERLINK("https://klasma.github.io/Logging_2481/kartor/A 496-2024 karta.png", "A 496-2024")</f>
        <v/>
      </c>
      <c r="Y188">
        <f>HYPERLINK("https://klasma.github.io/Logging_2481/kartor_geotiff/A 496-2024 georefererad karta.tif", "A 496-2024")</f>
        <v/>
      </c>
      <c r="AA188">
        <f>HYPERLINK("https://klasma.github.io/Logging_2481/klagomål/A 496-2024 FSC-klagomål.docx", "A 496-2024")</f>
        <v/>
      </c>
      <c r="AB188">
        <f>HYPERLINK("https://klasma.github.io/Logging_2481/klagomålsmail/A 496-2024 FSC-klagomål mail.docx", "A 496-2024")</f>
        <v/>
      </c>
      <c r="AC188">
        <f>HYPERLINK("https://klasma.github.io/Logging_2481/tillsyn/A 496-2024 tillsynsbegäran.docx", "A 496-2024")</f>
        <v/>
      </c>
      <c r="AD188">
        <f>HYPERLINK("https://klasma.github.io/Logging_2481/tillsynsmail/A 496-2024 tillsynsbegäran mail.docx", "A 496-2024")</f>
        <v/>
      </c>
      <c r="AE188">
        <f>HYPERLINK("https://klasma.github.io/Logging_2481/fåglar/A 496-2024 prioriterade fågelarter.docx", "A 496-2024")</f>
        <v/>
      </c>
    </row>
    <row r="189" ht="15" customHeight="1">
      <c r="A189" t="inlineStr">
        <is>
          <t>A 22373-2025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45786</v>
      </c>
      <c r="E189" s="1" t="n">
        <v>46257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22373-2025 artfynd.xlsx", "A 22373-2025")</f>
        <v/>
      </c>
      <c r="X189">
        <f>HYPERLINK("https://klasma.github.io/Logging_2481/kartor/A 22373-2025 karta.png", "A 22373-2025")</f>
        <v/>
      </c>
      <c r="Y189">
        <f>HYPERLINK("https://klasma.github.io/Logging_2481/kartor_geotiff/A 22373-2025 georefererad karta.tif", "A 22373-2025")</f>
        <v/>
      </c>
      <c r="AA189">
        <f>HYPERLINK("https://klasma.github.io/Logging_2481/klagomål/A 22373-2025 FSC-klagomål.docx", "A 22373-2025")</f>
        <v/>
      </c>
      <c r="AB189">
        <f>HYPERLINK("https://klasma.github.io/Logging_2481/klagomålsmail/A 22373-2025 FSC-klagomål mail.docx", "A 22373-2025")</f>
        <v/>
      </c>
      <c r="AC189">
        <f>HYPERLINK("https://klasma.github.io/Logging_2481/tillsyn/A 22373-2025 tillsynsbegäran.docx", "A 22373-2025")</f>
        <v/>
      </c>
      <c r="AD189">
        <f>HYPERLINK("https://klasma.github.io/Logging_2481/tillsynsmail/A 22373-2025 tillsynsbegäran mail.docx", "A 22373-2025")</f>
        <v/>
      </c>
    </row>
    <row r="190" ht="15" customHeight="1">
      <c r="A190" t="inlineStr">
        <is>
          <t>A 23396-2026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46257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SCA</t>
        </is>
      </c>
      <c r="I190" t="n">
        <v>6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Källpraktmossa</t>
        </is>
      </c>
      <c r="W190">
        <f>HYPERLINK("https://klasma.github.io/Logging_2481/artfynd/A 23396-2026 artfynd.xlsx", "A 23396-2026")</f>
        <v/>
      </c>
      <c r="X190">
        <f>HYPERLINK("https://klasma.github.io/Logging_2481/kartor/A 23396-2026 karta.png", "A 23396-2026")</f>
        <v/>
      </c>
      <c r="Y190">
        <f>HYPERLINK("https://klasma.github.io/Logging_2481/kartor_geotiff/A 23396-2026 georefererad karta.tif", "A 23396-2026")</f>
        <v/>
      </c>
      <c r="AA190">
        <f>HYPERLINK("https://klasma.github.io/Logging_2481/klagomål/A 23396-2026 FSC-klagomål.docx", "A 23396-2026")</f>
        <v/>
      </c>
      <c r="AB190">
        <f>HYPERLINK("https://klasma.github.io/Logging_2481/klagomålsmail/A 23396-2026 FSC-klagomål mail.docx", "A 23396-2026")</f>
        <v/>
      </c>
      <c r="AC190">
        <f>HYPERLINK("https://klasma.github.io/Logging_2481/tillsyn/A 23396-2026 tillsynsbegäran.docx", "A 23396-2026")</f>
        <v/>
      </c>
      <c r="AD190">
        <f>HYPERLINK("https://klasma.github.io/Logging_2481/tillsynsmail/A 23396-2026 tillsynsbegäran mail.docx", "A 23396-2026")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46257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46257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46257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46257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46257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46257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46257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46257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46257</v>
      </c>
      <c r="F199" t="inlineStr">
        <is>
          <t>VÄSTERBOTTENS LÄN</t>
        </is>
      </c>
      <c r="G199" t="inlineStr">
        <is>
          <t>LYCKSELE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46257</v>
      </c>
      <c r="F200" t="inlineStr">
        <is>
          <t>VÄSTERBOTTENS LÄN</t>
        </is>
      </c>
      <c r="G200" t="inlineStr">
        <is>
          <t>LYCKSELE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46257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46257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46257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46257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46257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46257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46257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46257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46257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46257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46257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46257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46257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46257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46257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46257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46257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46257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46257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46257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46257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46257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46257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46257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46257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46257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46257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46257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44509</v>
      </c>
      <c r="E232" s="1" t="n">
        <v>46257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46257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46257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46257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46257</v>
      </c>
      <c r="F236" t="inlineStr">
        <is>
          <t>VÄSTERBOTTENS LÄN</t>
        </is>
      </c>
      <c r="G236" t="inlineStr">
        <is>
          <t>LYCKSELE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46257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46257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46257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46257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46257</v>
      </c>
      <c r="F241" t="inlineStr">
        <is>
          <t>VÄSTERBOTTENS LÄN</t>
        </is>
      </c>
      <c r="G241" t="inlineStr">
        <is>
          <t>LYCKSELE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46257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46257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46257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65231-2021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44513</v>
      </c>
      <c r="E245" s="1" t="n">
        <v>46257</v>
      </c>
      <c r="F245" t="inlineStr">
        <is>
          <t>VÄSTERBOTTENS LÄN</t>
        </is>
      </c>
      <c r="G245" t="inlineStr">
        <is>
          <t>LYCKSELE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46257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46257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46257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46257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46257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SCA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45236</v>
      </c>
      <c r="E251" s="1" t="n">
        <v>46257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46257</v>
      </c>
      <c r="F252" t="inlineStr">
        <is>
          <t>VÄSTERBOTTENS LÄN</t>
        </is>
      </c>
      <c r="G252" t="inlineStr">
        <is>
          <t>LYCKSELE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46257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12.7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46257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46257</v>
      </c>
      <c r="F255" t="inlineStr">
        <is>
          <t>VÄSTERBOTTENS LÄN</t>
        </is>
      </c>
      <c r="G255" t="inlineStr">
        <is>
          <t>LYCKSELE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44726</v>
      </c>
      <c r="E256" s="1" t="n">
        <v>46257</v>
      </c>
      <c r="F256" t="inlineStr">
        <is>
          <t>VÄSTERBOTTENS LÄN</t>
        </is>
      </c>
      <c r="G256" t="inlineStr">
        <is>
          <t>LYCKSELE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46257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46257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46257</v>
      </c>
      <c r="F259" t="inlineStr">
        <is>
          <t>VÄSTERBOTTENS LÄN</t>
        </is>
      </c>
      <c r="G259" t="inlineStr">
        <is>
          <t>LYCKSELE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49816-2021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44454</v>
      </c>
      <c r="E260" s="1" t="n">
        <v>46257</v>
      </c>
      <c r="F260" t="inlineStr">
        <is>
          <t>VÄSTERBOTTENS LÄN</t>
        </is>
      </c>
      <c r="G260" t="inlineStr">
        <is>
          <t>LYCKSELE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46257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46257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60714-2022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44912</v>
      </c>
      <c r="E263" s="1" t="n">
        <v>46257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46257</v>
      </c>
      <c r="F264" t="inlineStr">
        <is>
          <t>VÄSTERBOTTENS LÄN</t>
        </is>
      </c>
      <c r="G264" t="inlineStr">
        <is>
          <t>LYCKSELE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45468</v>
      </c>
      <c r="E265" s="1" t="n">
        <v>46257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46257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46257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46257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26999-2023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45093</v>
      </c>
      <c r="E269" s="1" t="n">
        <v>46257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71412-2021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44540</v>
      </c>
      <c r="E270" s="1" t="n">
        <v>46257</v>
      </c>
      <c r="F270" t="inlineStr">
        <is>
          <t>VÄSTERBOTTENS LÄN</t>
        </is>
      </c>
      <c r="G270" t="inlineStr">
        <is>
          <t>LYCKSELE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46257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45807</v>
      </c>
      <c r="E272" s="1" t="n">
        <v>46257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46257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45621</v>
      </c>
      <c r="E274" s="1" t="n">
        <v>46257</v>
      </c>
      <c r="F274" t="inlineStr">
        <is>
          <t>VÄSTERBOTTENS LÄN</t>
        </is>
      </c>
      <c r="G274" t="inlineStr">
        <is>
          <t>LYCKSELE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46257</v>
      </c>
      <c r="F275" t="inlineStr">
        <is>
          <t>VÄSTERBOTTENS LÄN</t>
        </is>
      </c>
      <c r="G275" t="inlineStr">
        <is>
          <t>LYCKSELE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46257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46257</v>
      </c>
      <c r="F277" t="inlineStr">
        <is>
          <t>VÄSTERBOTTENS LÄN</t>
        </is>
      </c>
      <c r="G277" t="inlineStr">
        <is>
          <t>LYCKSELE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46257</v>
      </c>
      <c r="F278" t="inlineStr">
        <is>
          <t>VÄSTERBOTTENS LÄN</t>
        </is>
      </c>
      <c r="G278" t="inlineStr">
        <is>
          <t>LYCKSELE</t>
        </is>
      </c>
      <c r="I278" t="n">
        <v>30.8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46257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44446</v>
      </c>
      <c r="E280" s="1" t="n">
        <v>46257</v>
      </c>
      <c r="F280" t="inlineStr">
        <is>
          <t>VÄSTERBOTTENS LÄN</t>
        </is>
      </c>
      <c r="G280" t="inlineStr">
        <is>
          <t>LYCKSELE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46257</v>
      </c>
      <c r="F281" t="inlineStr">
        <is>
          <t>VÄSTERBOTTENS LÄN</t>
        </is>
      </c>
      <c r="G281" t="inlineStr">
        <is>
          <t>LYCKSELE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46257</v>
      </c>
      <c r="F282" t="inlineStr">
        <is>
          <t>VÄSTERBOTTENS LÄN</t>
        </is>
      </c>
      <c r="G282" t="inlineStr">
        <is>
          <t>LYCKSELE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46257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35485-2022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44798</v>
      </c>
      <c r="E284" s="1" t="n">
        <v>46257</v>
      </c>
      <c r="F284" t="inlineStr">
        <is>
          <t>VÄSTERBOTTENS LÄN</t>
        </is>
      </c>
      <c r="G284" t="inlineStr">
        <is>
          <t>LYCKSELE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46257</v>
      </c>
      <c r="F285" t="inlineStr">
        <is>
          <t>VÄSTERBOTTENS LÄN</t>
        </is>
      </c>
      <c r="G285" t="inlineStr">
        <is>
          <t>LYCKSELE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46257</v>
      </c>
      <c r="F286" t="inlineStr">
        <is>
          <t>VÄSTERBOTTENS LÄN</t>
        </is>
      </c>
      <c r="G286" t="inlineStr">
        <is>
          <t>LYCKSELE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46257</v>
      </c>
      <c r="F287" t="inlineStr">
        <is>
          <t>VÄSTERBOTTENS LÄN</t>
        </is>
      </c>
      <c r="G287" t="inlineStr">
        <is>
          <t>LYCKSELE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45813</v>
      </c>
      <c r="E288" s="1" t="n">
        <v>46257</v>
      </c>
      <c r="F288" t="inlineStr">
        <is>
          <t>VÄSTERBOTTENS LÄN</t>
        </is>
      </c>
      <c r="G288" t="inlineStr">
        <is>
          <t>LYCKSELE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45813</v>
      </c>
      <c r="E289" s="1" t="n">
        <v>46257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45813</v>
      </c>
      <c r="E290" s="1" t="n">
        <v>46257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15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46257</v>
      </c>
      <c r="F291" t="inlineStr">
        <is>
          <t>VÄSTERBOTTENS LÄN</t>
        </is>
      </c>
      <c r="G291" t="inlineStr">
        <is>
          <t>LYCKSELE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46257</v>
      </c>
      <c r="F292" t="inlineStr">
        <is>
          <t>VÄSTERBOTTENS LÄN</t>
        </is>
      </c>
      <c r="G292" t="inlineStr">
        <is>
          <t>LYCKSELE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44486</v>
      </c>
      <c r="E293" s="1" t="n">
        <v>46257</v>
      </c>
      <c r="F293" t="inlineStr">
        <is>
          <t>VÄSTERBOTTENS LÄN</t>
        </is>
      </c>
      <c r="G293" t="inlineStr">
        <is>
          <t>LYCKSELE</t>
        </is>
      </c>
      <c r="I293" t="n">
        <v>14.7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44933</v>
      </c>
      <c r="E294" s="1" t="n">
        <v>46257</v>
      </c>
      <c r="F294" t="inlineStr">
        <is>
          <t>VÄSTERBOTTENS LÄN</t>
        </is>
      </c>
      <c r="G294" t="inlineStr">
        <is>
          <t>LYCKSELE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46257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45708</v>
      </c>
      <c r="E296" s="1" t="n">
        <v>46257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46257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13.5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46257</v>
      </c>
      <c r="F298" t="inlineStr">
        <is>
          <t>VÄSTERBOTTENS LÄN</t>
        </is>
      </c>
      <c r="G298" t="inlineStr">
        <is>
          <t>LYCKSELE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46257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46257</v>
      </c>
      <c r="F300" t="inlineStr">
        <is>
          <t>VÄSTERBOTTENS LÄN</t>
        </is>
      </c>
      <c r="G300" t="inlineStr">
        <is>
          <t>LYCKSELE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45455</v>
      </c>
      <c r="E301" s="1" t="n">
        <v>46257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46257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46257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46257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46257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44880</v>
      </c>
      <c r="E306" s="1" t="n">
        <v>46257</v>
      </c>
      <c r="F306" t="inlineStr">
        <is>
          <t>VÄSTERBOTTENS LÄN</t>
        </is>
      </c>
      <c r="G306" t="inlineStr">
        <is>
          <t>LYCKSELE</t>
        </is>
      </c>
      <c r="I306" t="n">
        <v>10.5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46257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39562-2025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45890</v>
      </c>
      <c r="E308" s="1" t="n">
        <v>46257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46257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46257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46257</v>
      </c>
      <c r="F311" t="inlineStr">
        <is>
          <t>VÄSTERBOTTENS LÄN</t>
        </is>
      </c>
      <c r="G311" t="inlineStr">
        <is>
          <t>LYCKSELE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60425-2021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46257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46257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46257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46257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45105</v>
      </c>
      <c r="E316" s="1" t="n">
        <v>46257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Naturvårdsverket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45559-2022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44845</v>
      </c>
      <c r="E317" s="1" t="n">
        <v>46257</v>
      </c>
      <c r="F317" t="inlineStr">
        <is>
          <t>VÄSTERBOTTENS LÄN</t>
        </is>
      </c>
      <c r="G317" t="inlineStr">
        <is>
          <t>LYCKSELE</t>
        </is>
      </c>
      <c r="I317" t="n">
        <v>17.8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46257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46257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45457</v>
      </c>
      <c r="E320" s="1" t="n">
        <v>46257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28486-2025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45819</v>
      </c>
      <c r="E321" s="1" t="n">
        <v>46257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46257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46257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46257</v>
      </c>
      <c r="F324" t="inlineStr">
        <is>
          <t>VÄSTERBOTTENS LÄN</t>
        </is>
      </c>
      <c r="G324" t="inlineStr">
        <is>
          <t>LYCKSELE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45490</v>
      </c>
      <c r="E325" s="1" t="n">
        <v>46257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45488</v>
      </c>
      <c r="E326" s="1" t="n">
        <v>46257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46257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44620</v>
      </c>
      <c r="E328" s="1" t="n">
        <v>46257</v>
      </c>
      <c r="F328" t="inlineStr">
        <is>
          <t>VÄSTERBOTTENS LÄN</t>
        </is>
      </c>
      <c r="G328" t="inlineStr">
        <is>
          <t>LYCKSELE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46257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46257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46257</v>
      </c>
      <c r="F331" t="inlineStr">
        <is>
          <t>VÄSTERBOTTENS LÄN</t>
        </is>
      </c>
      <c r="G331" t="inlineStr">
        <is>
          <t>LYCKSELE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46257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64346-2023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46257</v>
      </c>
      <c r="F333" t="inlineStr">
        <is>
          <t>VÄSTERBOTTENS LÄN</t>
        </is>
      </c>
      <c r="G333" t="inlineStr">
        <is>
          <t>LYCKSELE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46257</v>
      </c>
      <c r="F334" t="inlineStr">
        <is>
          <t>VÄSTERBOTTENS LÄN</t>
        </is>
      </c>
      <c r="G334" t="inlineStr">
        <is>
          <t>LYCKSELE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46257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46257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46257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46257</v>
      </c>
      <c r="F338" t="inlineStr">
        <is>
          <t>VÄSTERBOTTENS LÄN</t>
        </is>
      </c>
      <c r="G338" t="inlineStr">
        <is>
          <t>LYCKSELE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46257</v>
      </c>
      <c r="F339" t="inlineStr">
        <is>
          <t>VÄSTERBOTTENS LÄN</t>
        </is>
      </c>
      <c r="G339" t="inlineStr">
        <is>
          <t>LYCKSELE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46257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45821</v>
      </c>
      <c r="E341" s="1" t="n">
        <v>46257</v>
      </c>
      <c r="F341" t="inlineStr">
        <is>
          <t>VÄSTERBOTTENS LÄN</t>
        </is>
      </c>
      <c r="G341" t="inlineStr">
        <is>
          <t>LYCKSELE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45820</v>
      </c>
      <c r="E342" s="1" t="n">
        <v>46257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46257</v>
      </c>
      <c r="F343" t="inlineStr">
        <is>
          <t>VÄSTERBOTTENS LÄN</t>
        </is>
      </c>
      <c r="G343" t="inlineStr">
        <is>
          <t>LYCKSELE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46257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46257</v>
      </c>
      <c r="F345" t="inlineStr">
        <is>
          <t>VÄSTERBOTTENS LÄN</t>
        </is>
      </c>
      <c r="G345" t="inlineStr">
        <is>
          <t>LYCKSELE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46257</v>
      </c>
      <c r="F347" t="inlineStr">
        <is>
          <t>VÄSTERBOTTENS LÄN</t>
        </is>
      </c>
      <c r="G347" t="inlineStr">
        <is>
          <t>LYCKSELE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45608</v>
      </c>
      <c r="E348" s="1" t="n">
        <v>46257</v>
      </c>
      <c r="F348" t="inlineStr">
        <is>
          <t>VÄSTERBOTTENS LÄN</t>
        </is>
      </c>
      <c r="G348" t="inlineStr">
        <is>
          <t>LYCKSELE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46257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32.1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50044-2021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44456</v>
      </c>
      <c r="E350" s="1" t="n">
        <v>46257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46257</v>
      </c>
      <c r="F351" t="inlineStr">
        <is>
          <t>VÄSTERBOTTENS LÄN</t>
        </is>
      </c>
      <c r="G351" t="inlineStr">
        <is>
          <t>LYCKSELE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46257</v>
      </c>
      <c r="F352" t="inlineStr">
        <is>
          <t>VÄSTERBOTTENS LÄN</t>
        </is>
      </c>
      <c r="G352" t="inlineStr">
        <is>
          <t>LYCKSELE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50468-2024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45601</v>
      </c>
      <c r="E353" s="1" t="n">
        <v>46257</v>
      </c>
      <c r="F353" t="inlineStr">
        <is>
          <t>VÄSTERBOTTENS LÄN</t>
        </is>
      </c>
      <c r="G353" t="inlineStr">
        <is>
          <t>LYCKSELE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46257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46257</v>
      </c>
      <c r="F355" t="inlineStr">
        <is>
          <t>VÄSTERBOTTENS LÄN</t>
        </is>
      </c>
      <c r="G355" t="inlineStr">
        <is>
          <t>LYCKSELE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46257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46257</v>
      </c>
      <c r="F357" t="inlineStr">
        <is>
          <t>VÄSTERBOTTENS LÄN</t>
        </is>
      </c>
      <c r="G357" t="inlineStr">
        <is>
          <t>LYCKSELE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46257</v>
      </c>
      <c r="F358" t="inlineStr">
        <is>
          <t>VÄSTERBOTTENS LÄN</t>
        </is>
      </c>
      <c r="G358" t="inlineStr">
        <is>
          <t>LYCKSELE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46257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46257</v>
      </c>
      <c r="F360" t="inlineStr">
        <is>
          <t>VÄSTERBOTTENS LÄN</t>
        </is>
      </c>
      <c r="G360" t="inlineStr">
        <is>
          <t>LYCKSELE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46257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46257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46257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46257</v>
      </c>
      <c r="F364" t="inlineStr">
        <is>
          <t>VÄSTERBOTTENS LÄN</t>
        </is>
      </c>
      <c r="G364" t="inlineStr">
        <is>
          <t>LYCKSELE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46257</v>
      </c>
      <c r="F365" t="inlineStr">
        <is>
          <t>VÄSTERBOTTENS LÄN</t>
        </is>
      </c>
      <c r="G365" t="inlineStr">
        <is>
          <t>LYCKSELE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45635</v>
      </c>
      <c r="E366" s="1" t="n">
        <v>46257</v>
      </c>
      <c r="F366" t="inlineStr">
        <is>
          <t>VÄSTERBOTTENS LÄN</t>
        </is>
      </c>
      <c r="G366" t="inlineStr">
        <is>
          <t>LYCKSELE</t>
        </is>
      </c>
      <c r="I366" t="n">
        <v>25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60117-2022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46257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46257</v>
      </c>
      <c r="F368" t="inlineStr">
        <is>
          <t>VÄSTERBOTTENS LÄN</t>
        </is>
      </c>
      <c r="G368" t="inlineStr">
        <is>
          <t>LYCKSELE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46257</v>
      </c>
      <c r="F369" t="inlineStr">
        <is>
          <t>VÄSTERBOTTENS LÄN</t>
        </is>
      </c>
      <c r="G369" t="inlineStr">
        <is>
          <t>LYCKSELE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46257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46257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46257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46257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46257</v>
      </c>
      <c r="F374" t="inlineStr">
        <is>
          <t>VÄSTERBOTTENS LÄN</t>
        </is>
      </c>
      <c r="G374" t="inlineStr">
        <is>
          <t>LYCKSELE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46257</v>
      </c>
      <c r="F375" t="inlineStr">
        <is>
          <t>VÄSTERBOTTENS LÄN</t>
        </is>
      </c>
      <c r="G375" t="inlineStr">
        <is>
          <t>LYCKSELE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46257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46257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46257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46257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44572</v>
      </c>
      <c r="E380" s="1" t="n">
        <v>46257</v>
      </c>
      <c r="F380" t="inlineStr">
        <is>
          <t>VÄSTERBOTTENS LÄN</t>
        </is>
      </c>
      <c r="G380" t="inlineStr">
        <is>
          <t>LYCKSELE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46257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46257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46257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45135</v>
      </c>
      <c r="E385" s="1" t="n">
        <v>46257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46257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46257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Naturvårdsverket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44547-2025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45917</v>
      </c>
      <c r="E389" s="1" t="n">
        <v>46257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46257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46257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46257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46257</v>
      </c>
      <c r="F393" t="inlineStr">
        <is>
          <t>VÄSTERBOTTENS LÄN</t>
        </is>
      </c>
      <c r="G393" t="inlineStr">
        <is>
          <t>LYCKSELE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46257</v>
      </c>
      <c r="F394" t="inlineStr">
        <is>
          <t>VÄSTERBOTTENS LÄN</t>
        </is>
      </c>
      <c r="G394" t="inlineStr">
        <is>
          <t>LYCKSELE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45919</v>
      </c>
      <c r="E395" s="1" t="n">
        <v>46257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46257</v>
      </c>
      <c r="F396" t="inlineStr">
        <is>
          <t>VÄSTERBOTTENS LÄN</t>
        </is>
      </c>
      <c r="G396" t="inlineStr">
        <is>
          <t>LYCKSELE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46257</v>
      </c>
      <c r="F397" t="inlineStr">
        <is>
          <t>VÄSTERBOTTENS LÄN</t>
        </is>
      </c>
      <c r="G397" t="inlineStr">
        <is>
          <t>LYCKSELE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46257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44924</v>
      </c>
      <c r="E399" s="1" t="n">
        <v>46257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46257</v>
      </c>
      <c r="F400" t="inlineStr">
        <is>
          <t>VÄSTERBOTTENS LÄN</t>
        </is>
      </c>
      <c r="G400" t="inlineStr">
        <is>
          <t>LYCKSELE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46257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46257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45488</v>
      </c>
      <c r="E403" s="1" t="n">
        <v>46257</v>
      </c>
      <c r="F403" t="inlineStr">
        <is>
          <t>VÄSTERBOTTENS LÄN</t>
        </is>
      </c>
      <c r="G403" t="inlineStr">
        <is>
          <t>LYCKSELE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70197-2021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44534</v>
      </c>
      <c r="E404" s="1" t="n">
        <v>46257</v>
      </c>
      <c r="F404" t="inlineStr">
        <is>
          <t>VÄSTERBOTTENS LÄN</t>
        </is>
      </c>
      <c r="G404" t="inlineStr">
        <is>
          <t>LYCKSELE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45393</v>
      </c>
      <c r="E405" s="1" t="n">
        <v>46257</v>
      </c>
      <c r="F405" t="inlineStr">
        <is>
          <t>VÄSTERBOTTENS LÄN</t>
        </is>
      </c>
      <c r="G405" t="inlineStr">
        <is>
          <t>LYCKSELE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46257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46257</v>
      </c>
      <c r="F407" t="inlineStr">
        <is>
          <t>VÄSTERBOTTENS LÄN</t>
        </is>
      </c>
      <c r="G407" t="inlineStr">
        <is>
          <t>LYCKSELE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44761</v>
      </c>
      <c r="E408" s="1" t="n">
        <v>46257</v>
      </c>
      <c r="F408" t="inlineStr">
        <is>
          <t>VÄSTERBOTTENS LÄN</t>
        </is>
      </c>
      <c r="G408" t="inlineStr">
        <is>
          <t>LYCKSELE</t>
        </is>
      </c>
      <c r="I408" t="n">
        <v>11.9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58439-2022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44901</v>
      </c>
      <c r="E409" s="1" t="n">
        <v>46257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46257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46257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46257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50652-2021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44459</v>
      </c>
      <c r="E413" s="1" t="n">
        <v>46257</v>
      </c>
      <c r="F413" t="inlineStr">
        <is>
          <t>VÄSTERBOTTENS LÄN</t>
        </is>
      </c>
      <c r="G413" t="inlineStr">
        <is>
          <t>LYCKSELE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45576</v>
      </c>
      <c r="E414" s="1" t="n">
        <v>46257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45586</v>
      </c>
      <c r="E415" s="1" t="n">
        <v>46257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46257</v>
      </c>
      <c r="F416" t="inlineStr">
        <is>
          <t>VÄSTERBOTTENS LÄN</t>
        </is>
      </c>
      <c r="G416" t="inlineStr">
        <is>
          <t>LYCKSELE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46257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53369-2022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44874</v>
      </c>
      <c r="E418" s="1" t="n">
        <v>46257</v>
      </c>
      <c r="F418" t="inlineStr">
        <is>
          <t>VÄSTERBOTTENS LÄN</t>
        </is>
      </c>
      <c r="G418" t="inlineStr">
        <is>
          <t>LYCKSELE</t>
        </is>
      </c>
      <c r="I418" t="n">
        <v>9.1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46257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46257</v>
      </c>
      <c r="F420" t="inlineStr">
        <is>
          <t>VÄSTERBOTTENS LÄN</t>
        </is>
      </c>
      <c r="G420" t="inlineStr">
        <is>
          <t>LYCKSELE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46257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46257</v>
      </c>
      <c r="F422" t="inlineStr">
        <is>
          <t>VÄSTERBOTTENS LÄN</t>
        </is>
      </c>
      <c r="G422" t="inlineStr">
        <is>
          <t>LYCKSELE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56401-2021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44477</v>
      </c>
      <c r="E423" s="1" t="n">
        <v>46257</v>
      </c>
      <c r="F423" t="inlineStr">
        <is>
          <t>VÄSTERBOTTENS LÄN</t>
        </is>
      </c>
      <c r="G423" t="inlineStr">
        <is>
          <t>LYCKSELE</t>
        </is>
      </c>
      <c r="I423" t="n">
        <v>11.5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46257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46257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46257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46257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46257</v>
      </c>
      <c r="F428" t="inlineStr">
        <is>
          <t>VÄSTERBOTTENS LÄN</t>
        </is>
      </c>
      <c r="G428" t="inlineStr">
        <is>
          <t>LYCKSELE</t>
        </is>
      </c>
      <c r="I428" t="n">
        <v>17.8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47016-2022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44851</v>
      </c>
      <c r="E429" s="1" t="n">
        <v>46257</v>
      </c>
      <c r="F429" t="inlineStr">
        <is>
          <t>VÄSTERBOTTENS LÄN</t>
        </is>
      </c>
      <c r="G429" t="inlineStr">
        <is>
          <t>LYCKSELE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45238</v>
      </c>
      <c r="E430" s="1" t="n">
        <v>46257</v>
      </c>
      <c r="F430" t="inlineStr">
        <is>
          <t>VÄSTERBOTTENS LÄN</t>
        </is>
      </c>
      <c r="G430" t="inlineStr">
        <is>
          <t>LYCKSELE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46257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46257</v>
      </c>
      <c r="F432" t="inlineStr">
        <is>
          <t>VÄSTERBOTTENS LÄN</t>
        </is>
      </c>
      <c r="G432" t="inlineStr">
        <is>
          <t>LYCKSELE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38114-2024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45545</v>
      </c>
      <c r="E433" s="1" t="n">
        <v>46257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45320</v>
      </c>
      <c r="E434" s="1" t="n">
        <v>46257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46257</v>
      </c>
      <c r="F435" t="inlineStr">
        <is>
          <t>VÄSTERBOTTENS LÄN</t>
        </is>
      </c>
      <c r="G435" t="inlineStr">
        <is>
          <t>LYCKSELE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45378</v>
      </c>
      <c r="E436" s="1" t="n">
        <v>46257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45936</v>
      </c>
      <c r="E437" s="1" t="n">
        <v>46257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44571</v>
      </c>
      <c r="E439" s="1" t="n">
        <v>46257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45098</v>
      </c>
      <c r="E440" s="1" t="n">
        <v>46257</v>
      </c>
      <c r="F440" t="inlineStr">
        <is>
          <t>VÄSTERBOTTENS LÄN</t>
        </is>
      </c>
      <c r="G440" t="inlineStr">
        <is>
          <t>LYCKSELE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46257</v>
      </c>
      <c r="F441" t="inlineStr">
        <is>
          <t>VÄSTERBOTTENS LÄN</t>
        </is>
      </c>
      <c r="G441" t="inlineStr">
        <is>
          <t>LYCKSELE</t>
        </is>
      </c>
      <c r="I441" t="n">
        <v>20.5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48832-2024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46257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45503</v>
      </c>
      <c r="E443" s="1" t="n">
        <v>46257</v>
      </c>
      <c r="F443" t="inlineStr">
        <is>
          <t>VÄSTERBOTTENS LÄN</t>
        </is>
      </c>
      <c r="G443" t="inlineStr">
        <is>
          <t>LYCKSELE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49366-2025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45938</v>
      </c>
      <c r="E444" s="1" t="n">
        <v>46257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46257</v>
      </c>
      <c r="F445" t="inlineStr">
        <is>
          <t>VÄSTERBOTTENS LÄN</t>
        </is>
      </c>
      <c r="G445" t="inlineStr">
        <is>
          <t>LYCKSELE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44735</v>
      </c>
      <c r="E446" s="1" t="n">
        <v>46257</v>
      </c>
      <c r="F446" t="inlineStr">
        <is>
          <t>VÄSTERBOTTENS LÄN</t>
        </is>
      </c>
      <c r="G446" t="inlineStr">
        <is>
          <t>LYCKSELE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46257</v>
      </c>
      <c r="F447" t="inlineStr">
        <is>
          <t>VÄSTERBOTTENS LÄN</t>
        </is>
      </c>
      <c r="G447" t="inlineStr">
        <is>
          <t>LYCKSELE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46257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41950-2024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46257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45942</v>
      </c>
      <c r="E450" s="1" t="n">
        <v>46257</v>
      </c>
      <c r="F450" t="inlineStr">
        <is>
          <t>VÄSTERBOTTENS LÄN</t>
        </is>
      </c>
      <c r="G450" t="inlineStr">
        <is>
          <t>LYCKSELE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50021-2025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45943</v>
      </c>
      <c r="E451" s="1" t="n">
        <v>46257</v>
      </c>
      <c r="F451" t="inlineStr">
        <is>
          <t>VÄSTERBOTTENS LÄN</t>
        </is>
      </c>
      <c r="G451" t="inlineStr">
        <is>
          <t>LYCKSELE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45839</v>
      </c>
      <c r="E452" s="1" t="n">
        <v>46257</v>
      </c>
      <c r="F452" t="inlineStr">
        <is>
          <t>VÄSTERBOTTENS LÄN</t>
        </is>
      </c>
      <c r="G452" t="inlineStr">
        <is>
          <t>LYCKSELE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45941</v>
      </c>
      <c r="E453" s="1" t="n">
        <v>46257</v>
      </c>
      <c r="F453" t="inlineStr">
        <is>
          <t>VÄSTERBOTTENS LÄN</t>
        </is>
      </c>
      <c r="G453" t="inlineStr">
        <is>
          <t>LYCKSELE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46257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48379-2024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45590</v>
      </c>
      <c r="E455" s="1" t="n">
        <v>46257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45154</v>
      </c>
      <c r="E456" s="1" t="n">
        <v>46257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45455</v>
      </c>
      <c r="E457" s="1" t="n">
        <v>46257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46257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46257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Naturvårdsverket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46257</v>
      </c>
      <c r="F460" t="inlineStr">
        <is>
          <t>VÄSTERBOTTENS LÄN</t>
        </is>
      </c>
      <c r="G460" t="inlineStr">
        <is>
          <t>LYCKSELE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62874-2023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46257</v>
      </c>
      <c r="F461" t="inlineStr">
        <is>
          <t>VÄSTERBOTTENS LÄN</t>
        </is>
      </c>
      <c r="G461" t="inlineStr">
        <is>
          <t>LYCKSELE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45513</v>
      </c>
      <c r="E462" s="1" t="n">
        <v>46257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24340-2024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45457</v>
      </c>
      <c r="E463" s="1" t="n">
        <v>46257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46257</v>
      </c>
      <c r="F464" t="inlineStr">
        <is>
          <t>VÄSTERBOTTENS LÄN</t>
        </is>
      </c>
      <c r="G464" t="inlineStr">
        <is>
          <t>LYCKSELE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44952</v>
      </c>
      <c r="E465" s="1" t="n">
        <v>46257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46257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46257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44820</v>
      </c>
      <c r="E468" s="1" t="n">
        <v>46257</v>
      </c>
      <c r="F468" t="inlineStr">
        <is>
          <t>VÄSTERBOTTENS LÄN</t>
        </is>
      </c>
      <c r="G468" t="inlineStr">
        <is>
          <t>LYCKSELE</t>
        </is>
      </c>
      <c r="I468" t="n">
        <v>13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45951</v>
      </c>
      <c r="E469" s="1" t="n">
        <v>46257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19.8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45576</v>
      </c>
      <c r="E470" s="1" t="n">
        <v>46257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46257</v>
      </c>
      <c r="F471" t="inlineStr">
        <is>
          <t>VÄSTERBOTTENS LÄN</t>
        </is>
      </c>
      <c r="G471" t="inlineStr">
        <is>
          <t>LYCKSELE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46257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46257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45643</v>
      </c>
      <c r="E474" s="1" t="n">
        <v>46257</v>
      </c>
      <c r="F474" t="inlineStr">
        <is>
          <t>VÄSTERBOTTENS LÄN</t>
        </is>
      </c>
      <c r="G474" t="inlineStr">
        <is>
          <t>LYCKSELE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46257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46257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46257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46257</v>
      </c>
      <c r="F478" t="inlineStr">
        <is>
          <t>VÄSTERBOTTENS LÄN</t>
        </is>
      </c>
      <c r="G478" t="inlineStr">
        <is>
          <t>LYCKSELE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33415-2025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46257</v>
      </c>
      <c r="F479" t="inlineStr">
        <is>
          <t>VÄSTERBOTTENS LÄN</t>
        </is>
      </c>
      <c r="G479" t="inlineStr">
        <is>
          <t>LYCKSELE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15564-2023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46257</v>
      </c>
      <c r="F480" t="inlineStr">
        <is>
          <t>VÄSTERBOTTENS LÄN</t>
        </is>
      </c>
      <c r="G480" t="inlineStr">
        <is>
          <t>LYCKSELE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46257</v>
      </c>
      <c r="F481" t="inlineStr">
        <is>
          <t>VÄSTERBOTTENS LÄN</t>
        </is>
      </c>
      <c r="G481" t="inlineStr">
        <is>
          <t>LYCKSELE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45694</v>
      </c>
      <c r="E482" s="1" t="n">
        <v>46257</v>
      </c>
      <c r="F482" t="inlineStr">
        <is>
          <t>VÄSTERBOTTENS LÄN</t>
        </is>
      </c>
      <c r="G482" t="inlineStr">
        <is>
          <t>LYCKSELE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45583</v>
      </c>
      <c r="E483" s="1" t="n">
        <v>46257</v>
      </c>
      <c r="F483" t="inlineStr">
        <is>
          <t>VÄSTERBOTTENS LÄN</t>
        </is>
      </c>
      <c r="G483" t="inlineStr">
        <is>
          <t>LYCKSELE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46257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46257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45187</v>
      </c>
      <c r="E486" s="1" t="n">
        <v>46257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45015</v>
      </c>
      <c r="E487" s="1" t="n">
        <v>46257</v>
      </c>
      <c r="F487" t="inlineStr">
        <is>
          <t>VÄSTERBOTTENS LÄN</t>
        </is>
      </c>
      <c r="G487" t="inlineStr">
        <is>
          <t>LYCKSELE</t>
        </is>
      </c>
      <c r="I487" t="n">
        <v>13.4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51859-2025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45952</v>
      </c>
      <c r="E488" s="1" t="n">
        <v>46257</v>
      </c>
      <c r="F488" t="inlineStr">
        <is>
          <t>VÄSTERBOTTENS LÄN</t>
        </is>
      </c>
      <c r="G488" t="inlineStr">
        <is>
          <t>LYCKSELE</t>
        </is>
      </c>
      <c r="I488" t="n">
        <v>13.5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46257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46257</v>
      </c>
      <c r="F491" t="inlineStr">
        <is>
          <t>VÄSTERBOTTENS LÄN</t>
        </is>
      </c>
      <c r="G491" t="inlineStr">
        <is>
          <t>LYCKSELE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46257</v>
      </c>
      <c r="F492" t="inlineStr">
        <is>
          <t>VÄSTERBOTTENS LÄN</t>
        </is>
      </c>
      <c r="G492" t="inlineStr">
        <is>
          <t>LYCKSELE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9090-2025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45713</v>
      </c>
      <c r="E493" s="1" t="n">
        <v>46257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46257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46257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33431-2025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45841</v>
      </c>
      <c r="E496" s="1" t="n">
        <v>46257</v>
      </c>
      <c r="F496" t="inlineStr">
        <is>
          <t>VÄSTERBOTTENS LÄN</t>
        </is>
      </c>
      <c r="G496" t="inlineStr">
        <is>
          <t>LYCKSELE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46257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50.1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33423-2025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45841</v>
      </c>
      <c r="E498" s="1" t="n">
        <v>46257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46257</v>
      </c>
      <c r="F499" t="inlineStr">
        <is>
          <t>VÄSTERBOTTENS LÄN</t>
        </is>
      </c>
      <c r="G499" t="inlineStr">
        <is>
          <t>LYCKSELE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46257</v>
      </c>
      <c r="F500" t="inlineStr">
        <is>
          <t>VÄSTERBOTTENS LÄN</t>
        </is>
      </c>
      <c r="G500" t="inlineStr">
        <is>
          <t>LYCKSELE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68665-2021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44529</v>
      </c>
      <c r="E501" s="1" t="n">
        <v>46257</v>
      </c>
      <c r="F501" t="inlineStr">
        <is>
          <t>VÄSTERBOTTENS LÄN</t>
        </is>
      </c>
      <c r="G501" t="inlineStr">
        <is>
          <t>LYCKSELE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46257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46257</v>
      </c>
      <c r="F503" t="inlineStr">
        <is>
          <t>VÄSTERBOTTENS LÄN</t>
        </is>
      </c>
      <c r="G503" t="inlineStr">
        <is>
          <t>LYCKSELE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33991-2025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45843</v>
      </c>
      <c r="E504" s="1" t="n">
        <v>46257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45959</v>
      </c>
      <c r="E505" s="1" t="n">
        <v>46257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12.1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46257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46257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45677</v>
      </c>
      <c r="E508" s="1" t="n">
        <v>46257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45730</v>
      </c>
      <c r="E509" s="1" t="n">
        <v>46257</v>
      </c>
      <c r="F509" t="inlineStr">
        <is>
          <t>VÄSTERBOTTENS LÄN</t>
        </is>
      </c>
      <c r="G509" t="inlineStr">
        <is>
          <t>LYCKSELE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44571</v>
      </c>
      <c r="E510" s="1" t="n">
        <v>46257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73113-2021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44550</v>
      </c>
      <c r="E511" s="1" t="n">
        <v>46257</v>
      </c>
      <c r="F511" t="inlineStr">
        <is>
          <t>VÄSTERBOTTENS LÄN</t>
        </is>
      </c>
      <c r="G511" t="inlineStr">
        <is>
          <t>LYCKSELE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44973</v>
      </c>
      <c r="E512" s="1" t="n">
        <v>46257</v>
      </c>
      <c r="F512" t="inlineStr">
        <is>
          <t>VÄSTERBOTTENS LÄN</t>
        </is>
      </c>
      <c r="G512" t="inlineStr">
        <is>
          <t>LYCKSELE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12333-2024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45378</v>
      </c>
      <c r="E513" s="1" t="n">
        <v>46257</v>
      </c>
      <c r="F513" t="inlineStr">
        <is>
          <t>VÄSTERBOTTENS LÄN</t>
        </is>
      </c>
      <c r="G513" t="inlineStr">
        <is>
          <t>LYCKSELE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53323-2021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44468</v>
      </c>
      <c r="E514" s="1" t="n">
        <v>46257</v>
      </c>
      <c r="F514" t="inlineStr">
        <is>
          <t>VÄSTERBOTTENS LÄN</t>
        </is>
      </c>
      <c r="G514" t="inlineStr">
        <is>
          <t>LYCKSELE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46257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46257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45744</v>
      </c>
      <c r="E517" s="1" t="n">
        <v>46257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45457</v>
      </c>
      <c r="E518" s="1" t="n">
        <v>46257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21660-2023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45063</v>
      </c>
      <c r="E519" s="1" t="n">
        <v>46257</v>
      </c>
      <c r="F519" t="inlineStr">
        <is>
          <t>VÄSTERBOTTENS LÄN</t>
        </is>
      </c>
      <c r="G519" t="inlineStr">
        <is>
          <t>LYCKSELE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46257</v>
      </c>
      <c r="F520" t="inlineStr">
        <is>
          <t>VÄSTERBOTTENS LÄN</t>
        </is>
      </c>
      <c r="G520" t="inlineStr">
        <is>
          <t>LYCKSELE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33992-2025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45843</v>
      </c>
      <c r="E521" s="1" t="n">
        <v>46257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45845</v>
      </c>
      <c r="E522" s="1" t="n">
        <v>46257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45847</v>
      </c>
      <c r="E523" s="1" t="n">
        <v>46257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26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46257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45498</v>
      </c>
      <c r="E525" s="1" t="n">
        <v>46257</v>
      </c>
      <c r="F525" t="inlineStr">
        <is>
          <t>VÄSTERBOTTENS LÄN</t>
        </is>
      </c>
      <c r="G525" t="inlineStr">
        <is>
          <t>LYCKSELE</t>
        </is>
      </c>
      <c r="I525" t="n">
        <v>14.4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46257</v>
      </c>
      <c r="F526" t="inlineStr">
        <is>
          <t>VÄSTERBOTTENS LÄN</t>
        </is>
      </c>
      <c r="G526" t="inlineStr">
        <is>
          <t>LYCKSELE</t>
        </is>
      </c>
      <c r="I526" t="n">
        <v>24.9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21109-2023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45061</v>
      </c>
      <c r="E527" s="1" t="n">
        <v>46257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46257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46257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46257</v>
      </c>
      <c r="F530" t="inlineStr">
        <is>
          <t>VÄSTERBOTTENS LÄN</t>
        </is>
      </c>
      <c r="G530" t="inlineStr">
        <is>
          <t>LYCKSELE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45968</v>
      </c>
      <c r="E531" s="1" t="n">
        <v>46257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Naturvårdsverket</t>
        </is>
      </c>
      <c r="I531" t="n">
        <v>8.699999999999999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25902-2022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46257</v>
      </c>
      <c r="F532" t="inlineStr">
        <is>
          <t>VÄSTERBOTTENS LÄN</t>
        </is>
      </c>
      <c r="G532" t="inlineStr">
        <is>
          <t>LYCKSELE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46257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45491</v>
      </c>
      <c r="E534" s="1" t="n">
        <v>46257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46257</v>
      </c>
      <c r="F535" t="inlineStr">
        <is>
          <t>VÄSTERBOTTENS LÄN</t>
        </is>
      </c>
      <c r="G535" t="inlineStr">
        <is>
          <t>LYCKSELE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45972</v>
      </c>
      <c r="E536" s="1" t="n">
        <v>46257</v>
      </c>
      <c r="F536" t="inlineStr">
        <is>
          <t>VÄSTERBOTTENS LÄN</t>
        </is>
      </c>
      <c r="G536" t="inlineStr">
        <is>
          <t>LYCKSELE</t>
        </is>
      </c>
      <c r="I536" t="n">
        <v>14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49631-2023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45211</v>
      </c>
      <c r="E537" s="1" t="n">
        <v>46257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Kommuner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45546</v>
      </c>
      <c r="E538" s="1" t="n">
        <v>46257</v>
      </c>
      <c r="F538" t="inlineStr">
        <is>
          <t>VÄSTERBOTTENS LÄN</t>
        </is>
      </c>
      <c r="G538" t="inlineStr">
        <is>
          <t>LYCKSELE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46257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46257</v>
      </c>
      <c r="F540" t="inlineStr">
        <is>
          <t>VÄSTERBOTTENS LÄN</t>
        </is>
      </c>
      <c r="G540" t="inlineStr">
        <is>
          <t>LYCKSELE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45972</v>
      </c>
      <c r="E541" s="1" t="n">
        <v>46257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46257</v>
      </c>
      <c r="F542" t="inlineStr">
        <is>
          <t>VÄSTERBOTTENS LÄN</t>
        </is>
      </c>
      <c r="G542" t="inlineStr">
        <is>
          <t>LYCKSELE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46257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46257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45618</v>
      </c>
      <c r="E545" s="1" t="n">
        <v>46257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45652</v>
      </c>
      <c r="E546" s="1" t="n">
        <v>46257</v>
      </c>
      <c r="F546" t="inlineStr">
        <is>
          <t>VÄSTERBOTTENS LÄN</t>
        </is>
      </c>
      <c r="G546" t="inlineStr">
        <is>
          <t>LYCKSELE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64668-2023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46257</v>
      </c>
      <c r="F547" t="inlineStr">
        <is>
          <t>VÄSTERBOTTENS LÄN</t>
        </is>
      </c>
      <c r="G547" t="inlineStr">
        <is>
          <t>LYCKSELE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45505</v>
      </c>
      <c r="E548" s="1" t="n">
        <v>46257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8035-2024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46257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45974</v>
      </c>
      <c r="E550" s="1" t="n">
        <v>46257</v>
      </c>
      <c r="F550" t="inlineStr">
        <is>
          <t>VÄSTERBOTTENS LÄN</t>
        </is>
      </c>
      <c r="G550" t="inlineStr">
        <is>
          <t>LYCKSELE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40912-2024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45558</v>
      </c>
      <c r="E551" s="1" t="n">
        <v>46257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53241-2022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44876</v>
      </c>
      <c r="E552" s="1" t="n">
        <v>46257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45849</v>
      </c>
      <c r="E553" s="1" t="n">
        <v>46257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46257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45849</v>
      </c>
      <c r="E555" s="1" t="n">
        <v>46257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45849</v>
      </c>
      <c r="E556" s="1" t="n">
        <v>46257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46257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46257</v>
      </c>
      <c r="F558" t="inlineStr">
        <is>
          <t>VÄSTERBOTTENS LÄN</t>
        </is>
      </c>
      <c r="G558" t="inlineStr">
        <is>
          <t>LYCKSELE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9517-2025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45715</v>
      </c>
      <c r="E559" s="1" t="n">
        <v>46257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45135</v>
      </c>
      <c r="E560" s="1" t="n">
        <v>46257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45979</v>
      </c>
      <c r="E561" s="1" t="n">
        <v>46257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61281-2022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44909</v>
      </c>
      <c r="E562" s="1" t="n">
        <v>46257</v>
      </c>
      <c r="F562" t="inlineStr">
        <is>
          <t>VÄSTERBOTTENS LÄN</t>
        </is>
      </c>
      <c r="G562" t="inlineStr">
        <is>
          <t>LYCKSELE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46257</v>
      </c>
      <c r="F563" t="inlineStr">
        <is>
          <t>VÄSTERBOTTENS LÄN</t>
        </is>
      </c>
      <c r="G563" t="inlineStr">
        <is>
          <t>LYCKSELE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57330-2025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46257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34955-2025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45849</v>
      </c>
      <c r="E565" s="1" t="n">
        <v>46257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49514-2022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44861</v>
      </c>
      <c r="E566" s="1" t="n">
        <v>46257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46257</v>
      </c>
      <c r="F567" t="inlineStr">
        <is>
          <t>VÄSTERBOTTENS LÄN</t>
        </is>
      </c>
      <c r="G567" t="inlineStr">
        <is>
          <t>LYCKSELE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44566</v>
      </c>
      <c r="E568" s="1" t="n">
        <v>46257</v>
      </c>
      <c r="F568" t="inlineStr">
        <is>
          <t>VÄSTERBOTTENS LÄN</t>
        </is>
      </c>
      <c r="G568" t="inlineStr">
        <is>
          <t>LYCKSELE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46257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46257</v>
      </c>
      <c r="F570" t="inlineStr">
        <is>
          <t>VÄSTERBOTTENS LÄN</t>
        </is>
      </c>
      <c r="G570" t="inlineStr">
        <is>
          <t>LYCKSELE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45853</v>
      </c>
      <c r="E571" s="1" t="n">
        <v>46257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45040</v>
      </c>
      <c r="E572" s="1" t="n">
        <v>46257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22.9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45853</v>
      </c>
      <c r="E573" s="1" t="n">
        <v>46257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45474</v>
      </c>
      <c r="E574" s="1" t="n">
        <v>46257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Naturvårdsverket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37817-2024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45544</v>
      </c>
      <c r="E575" s="1" t="n">
        <v>46257</v>
      </c>
      <c r="F575" t="inlineStr">
        <is>
          <t>VÄSTERBOTTENS LÄN</t>
        </is>
      </c>
      <c r="G575" t="inlineStr">
        <is>
          <t>LYCKSELE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45982</v>
      </c>
      <c r="E576" s="1" t="n">
        <v>46257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46257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45852</v>
      </c>
      <c r="E578" s="1" t="n">
        <v>46257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46257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45469</v>
      </c>
      <c r="E580" s="1" t="n">
        <v>46257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46257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46257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46257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46257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45586</v>
      </c>
      <c r="E585" s="1" t="n">
        <v>46257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45479</v>
      </c>
      <c r="E586" s="1" t="n">
        <v>46257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45479</v>
      </c>
      <c r="E587" s="1" t="n">
        <v>46257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46257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54287-2024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46257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45853</v>
      </c>
      <c r="E590" s="1" t="n">
        <v>46257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35234-2025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45853</v>
      </c>
      <c r="E591" s="1" t="n">
        <v>46257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45429</v>
      </c>
      <c r="E592" s="1" t="n">
        <v>46257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46257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46257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45853</v>
      </c>
      <c r="E595" s="1" t="n">
        <v>46257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53011-2024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45611</v>
      </c>
      <c r="E596" s="1" t="n">
        <v>46257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43134-2023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45182</v>
      </c>
      <c r="E597" s="1" t="n">
        <v>46257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46257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46257</v>
      </c>
      <c r="F599" t="inlineStr">
        <is>
          <t>VÄSTERBOTTENS LÄN</t>
        </is>
      </c>
      <c r="G599" t="inlineStr">
        <is>
          <t>LYCKSELE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46257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45854</v>
      </c>
      <c r="E601" s="1" t="n">
        <v>46257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46257</v>
      </c>
      <c r="F602" t="inlineStr">
        <is>
          <t>VÄSTERBOTTENS LÄN</t>
        </is>
      </c>
      <c r="G602" t="inlineStr">
        <is>
          <t>LYCKSELE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45854</v>
      </c>
      <c r="E603" s="1" t="n">
        <v>46257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35303-2025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45854</v>
      </c>
      <c r="E604" s="1" t="n">
        <v>46257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45475</v>
      </c>
      <c r="E605" s="1" t="n">
        <v>46257</v>
      </c>
      <c r="F605" t="inlineStr">
        <is>
          <t>VÄSTERBOTTENS LÄN</t>
        </is>
      </c>
      <c r="G605" t="inlineStr">
        <is>
          <t>LYCKSELE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46257</v>
      </c>
      <c r="F606" t="inlineStr">
        <is>
          <t>VÄSTERBOTTENS LÄN</t>
        </is>
      </c>
      <c r="G606" t="inlineStr">
        <is>
          <t>LYCKSELE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57571-2025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45980</v>
      </c>
      <c r="E607" s="1" t="n">
        <v>46257</v>
      </c>
      <c r="F607" t="inlineStr">
        <is>
          <t>VÄSTERBOTTENS LÄN</t>
        </is>
      </c>
      <c r="G607" t="inlineStr">
        <is>
          <t>LYCKSELE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46257</v>
      </c>
      <c r="F608" t="inlineStr">
        <is>
          <t>VÄSTERBOTTENS LÄN</t>
        </is>
      </c>
      <c r="G608" t="inlineStr">
        <is>
          <t>LYCKSELE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45859</v>
      </c>
      <c r="E609" s="1" t="n">
        <v>46257</v>
      </c>
      <c r="F609" t="inlineStr">
        <is>
          <t>VÄSTERBOTTENS LÄN</t>
        </is>
      </c>
      <c r="G609" t="inlineStr">
        <is>
          <t>LYCKSELE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42216-2022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44830</v>
      </c>
      <c r="E610" s="1" t="n">
        <v>46257</v>
      </c>
      <c r="F610" t="inlineStr">
        <is>
          <t>VÄSTERBOTTENS LÄN</t>
        </is>
      </c>
      <c r="G610" t="inlineStr">
        <is>
          <t>LYCKSELE</t>
        </is>
      </c>
      <c r="I610" t="n">
        <v>15.9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46257</v>
      </c>
      <c r="F611" t="inlineStr">
        <is>
          <t>VÄSTERBOTTENS LÄN</t>
        </is>
      </c>
      <c r="G611" t="inlineStr">
        <is>
          <t>LYCKSELE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46257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46257</v>
      </c>
      <c r="F613" t="inlineStr">
        <is>
          <t>VÄSTERBOTTENS LÄN</t>
        </is>
      </c>
      <c r="G613" t="inlineStr">
        <is>
          <t>LYCKSELE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12839-2022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44642</v>
      </c>
      <c r="E614" s="1" t="n">
        <v>46257</v>
      </c>
      <c r="F614" t="inlineStr">
        <is>
          <t>VÄSTERBOTTENS LÄN</t>
        </is>
      </c>
      <c r="G614" t="inlineStr">
        <is>
          <t>LYCKSELE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46257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46257</v>
      </c>
      <c r="F616" t="inlineStr">
        <is>
          <t>VÄSTERBOTTENS LÄN</t>
        </is>
      </c>
      <c r="G616" t="inlineStr">
        <is>
          <t>LYCKSELE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45637</v>
      </c>
      <c r="E617" s="1" t="n">
        <v>46257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54697-2024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46257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46257</v>
      </c>
      <c r="F619" t="inlineStr">
        <is>
          <t>VÄSTERBOTTENS LÄN</t>
        </is>
      </c>
      <c r="G619" t="inlineStr">
        <is>
          <t>LYCKSELE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46257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61115-2025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46257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46001</v>
      </c>
      <c r="E622" s="1" t="n">
        <v>46257</v>
      </c>
      <c r="F622" t="inlineStr">
        <is>
          <t>VÄSTERBOTTENS LÄN</t>
        </is>
      </c>
      <c r="G622" t="inlineStr">
        <is>
          <t>LYCKSELE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46257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46257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14276-2025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46257</v>
      </c>
      <c r="F625" t="inlineStr">
        <is>
          <t>VÄSTERBOTTENS LÄN</t>
        </is>
      </c>
      <c r="G625" t="inlineStr">
        <is>
          <t>LYCKSELE</t>
        </is>
      </c>
      <c r="I625" t="n">
        <v>34.9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46257</v>
      </c>
      <c r="F626" t="inlineStr">
        <is>
          <t>VÄSTERBOTTENS LÄN</t>
        </is>
      </c>
      <c r="G626" t="inlineStr">
        <is>
          <t>LYCKSELE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61128-2025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46257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35662-2025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45859</v>
      </c>
      <c r="E628" s="1" t="n">
        <v>46257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20.8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46257</v>
      </c>
      <c r="F629" t="inlineStr">
        <is>
          <t>VÄSTERBOTTENS LÄN</t>
        </is>
      </c>
      <c r="G629" t="inlineStr">
        <is>
          <t>LYCKSELE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46257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46257</v>
      </c>
      <c r="F631" t="inlineStr">
        <is>
          <t>VÄSTERBOTTENS LÄN</t>
        </is>
      </c>
      <c r="G631" t="inlineStr">
        <is>
          <t>LYCKSELE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46257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46257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45861</v>
      </c>
      <c r="E634" s="1" t="n">
        <v>46257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62877-2023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46257</v>
      </c>
      <c r="F635" t="inlineStr">
        <is>
          <t>VÄSTERBOTTENS LÄN</t>
        </is>
      </c>
      <c r="G635" t="inlineStr">
        <is>
          <t>LYCKSELE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61590-2025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46002</v>
      </c>
      <c r="E636" s="1" t="n">
        <v>46257</v>
      </c>
      <c r="F636" t="inlineStr">
        <is>
          <t>VÄSTERBOTTENS LÄN</t>
        </is>
      </c>
      <c r="G636" t="inlineStr">
        <is>
          <t>LYCKSELE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61854-2025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46003</v>
      </c>
      <c r="E637" s="1" t="n">
        <v>46257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45140</v>
      </c>
      <c r="E638" s="1" t="n">
        <v>46257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21289-2025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45779</v>
      </c>
      <c r="E639" s="1" t="n">
        <v>46257</v>
      </c>
      <c r="F639" t="inlineStr">
        <is>
          <t>VÄSTERBOTTENS LÄN</t>
        </is>
      </c>
      <c r="G639" t="inlineStr">
        <is>
          <t>LYCKSELE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46257</v>
      </c>
      <c r="F640" t="inlineStr">
        <is>
          <t>VÄSTERBOTTENS LÄN</t>
        </is>
      </c>
      <c r="G640" t="inlineStr">
        <is>
          <t>LYCKSELE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45520</v>
      </c>
      <c r="E641" s="1" t="n">
        <v>46257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46257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25.2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66460-2021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44518</v>
      </c>
      <c r="E643" s="1" t="n">
        <v>46257</v>
      </c>
      <c r="F643" t="inlineStr">
        <is>
          <t>VÄSTERBOTTENS LÄN</t>
        </is>
      </c>
      <c r="G643" t="inlineStr">
        <is>
          <t>LYCKSELE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17192-2025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45756</v>
      </c>
      <c r="E644" s="1" t="n">
        <v>46257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46257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11626-2024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45373</v>
      </c>
      <c r="E646" s="1" t="n">
        <v>46257</v>
      </c>
      <c r="F646" t="inlineStr">
        <is>
          <t>VÄSTERBOTTENS LÄN</t>
        </is>
      </c>
      <c r="G646" t="inlineStr">
        <is>
          <t>LYCKSELE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46257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20.6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45014</v>
      </c>
      <c r="E648" s="1" t="n">
        <v>46257</v>
      </c>
      <c r="F648" t="inlineStr">
        <is>
          <t>VÄSTERBOTTENS LÄN</t>
        </is>
      </c>
      <c r="G648" t="inlineStr">
        <is>
          <t>LYCKSELE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62476-2025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46257</v>
      </c>
      <c r="F649" t="inlineStr">
        <is>
          <t>VÄSTERBOTTENS LÄN</t>
        </is>
      </c>
      <c r="G649" t="inlineStr">
        <is>
          <t>LYCKSELE</t>
        </is>
      </c>
      <c r="I649" t="n">
        <v>36.8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18365-2023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45041</v>
      </c>
      <c r="E650" s="1" t="n">
        <v>46257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44672</v>
      </c>
      <c r="E651" s="1" t="n">
        <v>46257</v>
      </c>
      <c r="F651" t="inlineStr">
        <is>
          <t>VÄSTERBOTTENS LÄN</t>
        </is>
      </c>
      <c r="G651" t="inlineStr">
        <is>
          <t>LYCKSELE</t>
        </is>
      </c>
      <c r="I651" t="n">
        <v>12.8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45859</v>
      </c>
      <c r="E652" s="1" t="n">
        <v>46257</v>
      </c>
      <c r="F652" t="inlineStr">
        <is>
          <t>VÄSTERBOTTENS LÄN</t>
        </is>
      </c>
      <c r="G652" t="inlineStr">
        <is>
          <t>LYCKSELE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44465-2022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44840</v>
      </c>
      <c r="E653" s="1" t="n">
        <v>46257</v>
      </c>
      <c r="F653" t="inlineStr">
        <is>
          <t>VÄSTERBOTTENS LÄN</t>
        </is>
      </c>
      <c r="G653" t="inlineStr">
        <is>
          <t>LYCKSELE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35920-2025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45862</v>
      </c>
      <c r="E654" s="1" t="n">
        <v>46257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46257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26357-2023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45091</v>
      </c>
      <c r="E656" s="1" t="n">
        <v>46257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44581</v>
      </c>
      <c r="E657" s="1" t="n">
        <v>46257</v>
      </c>
      <c r="F657" t="inlineStr">
        <is>
          <t>VÄSTERBOTTENS LÄN</t>
        </is>
      </c>
      <c r="G657" t="inlineStr">
        <is>
          <t>LYCKSELE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46257</v>
      </c>
      <c r="F658" t="inlineStr">
        <is>
          <t>VÄSTERBOTTENS LÄN</t>
        </is>
      </c>
      <c r="G658" t="inlineStr">
        <is>
          <t>LYCKSELE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62906-2025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46009</v>
      </c>
      <c r="E659" s="1" t="n">
        <v>46257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63096-2025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46257</v>
      </c>
      <c r="F660" t="inlineStr">
        <is>
          <t>VÄSTERBOTTENS LÄN</t>
        </is>
      </c>
      <c r="G660" t="inlineStr">
        <is>
          <t>LYCKSELE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45205</v>
      </c>
      <c r="E661" s="1" t="n">
        <v>46257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62715-2022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46257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57298-2025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45979</v>
      </c>
      <c r="E663" s="1" t="n">
        <v>46257</v>
      </c>
      <c r="F663" t="inlineStr">
        <is>
          <t>VÄSTERBOTTENS LÄN</t>
        </is>
      </c>
      <c r="G663" t="inlineStr">
        <is>
          <t>LYCKSELE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41256-2022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44826</v>
      </c>
      <c r="E664" s="1" t="n">
        <v>46257</v>
      </c>
      <c r="F664" t="inlineStr">
        <is>
          <t>VÄSTERBOTTENS LÄN</t>
        </is>
      </c>
      <c r="G664" t="inlineStr">
        <is>
          <t>LYCKSELE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29524-2023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46257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44924</v>
      </c>
      <c r="E666" s="1" t="n">
        <v>46257</v>
      </c>
      <c r="F666" t="inlineStr">
        <is>
          <t>VÄSTERBOTTENS LÄN</t>
        </is>
      </c>
      <c r="G666" t="inlineStr">
        <is>
          <t>LYCKSELE</t>
        </is>
      </c>
      <c r="I666" t="n">
        <v>11.9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46257</v>
      </c>
      <c r="F667" t="inlineStr">
        <is>
          <t>VÄSTERBOTTENS LÄN</t>
        </is>
      </c>
      <c r="G667" t="inlineStr">
        <is>
          <t>LYCKSELE</t>
        </is>
      </c>
      <c r="I667" t="n">
        <v>9.199999999999999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45737</v>
      </c>
      <c r="E668" s="1" t="n">
        <v>46257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45516</v>
      </c>
      <c r="E669" s="1" t="n">
        <v>46257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64893-2021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44512</v>
      </c>
      <c r="E670" s="1" t="n">
        <v>46257</v>
      </c>
      <c r="F670" t="inlineStr">
        <is>
          <t>VÄSTERBOTTENS LÄN</t>
        </is>
      </c>
      <c r="G670" t="inlineStr">
        <is>
          <t>LYCKSELE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63639-2025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46014</v>
      </c>
      <c r="E671" s="1" t="n">
        <v>46257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46826-2023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46257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38178-2022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44812</v>
      </c>
      <c r="E673" s="1" t="n">
        <v>46257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36542-2025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45869</v>
      </c>
      <c r="E674" s="1" t="n">
        <v>46257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26396-2022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44735</v>
      </c>
      <c r="E675" s="1" t="n">
        <v>46257</v>
      </c>
      <c r="F675" t="inlineStr">
        <is>
          <t>VÄSTERBOTTENS LÄN</t>
        </is>
      </c>
      <c r="G675" t="inlineStr">
        <is>
          <t>LYCKSELE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46257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45869</v>
      </c>
      <c r="E677" s="1" t="n">
        <v>46257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45861</v>
      </c>
      <c r="E678" s="1" t="n">
        <v>46257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46257</v>
      </c>
      <c r="F679" t="inlineStr">
        <is>
          <t>VÄSTERBOTTENS LÄN</t>
        </is>
      </c>
      <c r="G679" t="inlineStr">
        <is>
          <t>LYCKSELE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45576</v>
      </c>
      <c r="E680" s="1" t="n">
        <v>46257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45687</v>
      </c>
      <c r="E681" s="1" t="n">
        <v>46257</v>
      </c>
      <c r="F681" t="inlineStr">
        <is>
          <t>VÄSTERBOTTENS LÄN</t>
        </is>
      </c>
      <c r="G681" t="inlineStr">
        <is>
          <t>LYCKSELE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46257</v>
      </c>
      <c r="F682" t="inlineStr">
        <is>
          <t>VÄSTERBOTTENS LÄN</t>
        </is>
      </c>
      <c r="G682" t="inlineStr">
        <is>
          <t>LYCKSELE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46257</v>
      </c>
      <c r="F683" t="inlineStr">
        <is>
          <t>VÄSTERBOTTENS LÄN</t>
        </is>
      </c>
      <c r="G683" t="inlineStr">
        <is>
          <t>LYCKSELE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45443</v>
      </c>
      <c r="E684" s="1" t="n">
        <v>46257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45769</v>
      </c>
      <c r="E685" s="1" t="n">
        <v>46257</v>
      </c>
      <c r="F685" t="inlineStr">
        <is>
          <t>VÄSTERBOTTENS LÄN</t>
        </is>
      </c>
      <c r="G685" t="inlineStr">
        <is>
          <t>LYCKSELE</t>
        </is>
      </c>
      <c r="I685" t="n">
        <v>9.4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33704-2024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46257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46257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46257</v>
      </c>
      <c r="F688" t="inlineStr">
        <is>
          <t>VÄSTERBOTTENS LÄN</t>
        </is>
      </c>
      <c r="G688" t="inlineStr">
        <is>
          <t>LYCKSELE</t>
        </is>
      </c>
      <c r="I688" t="n">
        <v>10.7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46257</v>
      </c>
      <c r="F689" t="inlineStr">
        <is>
          <t>VÄSTERBOTTENS LÄN</t>
        </is>
      </c>
      <c r="G689" t="inlineStr">
        <is>
          <t>LYCKSELE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46257</v>
      </c>
      <c r="F690" t="inlineStr">
        <is>
          <t>VÄSTERBOTTENS LÄN</t>
        </is>
      </c>
      <c r="G690" t="inlineStr">
        <is>
          <t>LYCKSELE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46257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46257</v>
      </c>
      <c r="F692" t="inlineStr">
        <is>
          <t>VÄSTERBOTTENS LÄN</t>
        </is>
      </c>
      <c r="G692" t="inlineStr">
        <is>
          <t>LYCKSELE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9551-2025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45715</v>
      </c>
      <c r="E693" s="1" t="n">
        <v>46257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2758-2023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44943</v>
      </c>
      <c r="E694" s="1" t="n">
        <v>46257</v>
      </c>
      <c r="F694" t="inlineStr">
        <is>
          <t>VÄSTERBOTTENS LÄN</t>
        </is>
      </c>
      <c r="G694" t="inlineStr">
        <is>
          <t>LYCKSELE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42208-2022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44830</v>
      </c>
      <c r="E695" s="1" t="n">
        <v>46257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8727-2024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45356</v>
      </c>
      <c r="E696" s="1" t="n">
        <v>46257</v>
      </c>
      <c r="F696" t="inlineStr">
        <is>
          <t>VÄSTERBOTTENS LÄN</t>
        </is>
      </c>
      <c r="G696" t="inlineStr">
        <is>
          <t>LYCKSELE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40262-2022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46257</v>
      </c>
      <c r="F697" t="inlineStr">
        <is>
          <t>VÄSTERBOTTENS LÄN</t>
        </is>
      </c>
      <c r="G697" t="inlineStr">
        <is>
          <t>LYCKSELE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12430-2025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45730</v>
      </c>
      <c r="E698" s="1" t="n">
        <v>46257</v>
      </c>
      <c r="F698" t="inlineStr">
        <is>
          <t>VÄSTERBOTTENS LÄN</t>
        </is>
      </c>
      <c r="G698" t="inlineStr">
        <is>
          <t>LYCKSELE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51048-2023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45218</v>
      </c>
      <c r="E699" s="1" t="n">
        <v>46257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46257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45873</v>
      </c>
      <c r="E701" s="1" t="n">
        <v>46257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53320-2021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44468</v>
      </c>
      <c r="E702" s="1" t="n">
        <v>46257</v>
      </c>
      <c r="F702" t="inlineStr">
        <is>
          <t>VÄSTERBOTTENS LÄN</t>
        </is>
      </c>
      <c r="G702" t="inlineStr">
        <is>
          <t>LYCKSELE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46257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44994</v>
      </c>
      <c r="E704" s="1" t="n">
        <v>46257</v>
      </c>
      <c r="F704" t="inlineStr">
        <is>
          <t>VÄSTERBOTTENS LÄN</t>
        </is>
      </c>
      <c r="G704" t="inlineStr">
        <is>
          <t>LYCKSELE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45428</v>
      </c>
      <c r="E705" s="1" t="n">
        <v>46257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8360-2024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45352</v>
      </c>
      <c r="E706" s="1" t="n">
        <v>46257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45526</v>
      </c>
      <c r="E707" s="1" t="n">
        <v>46257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55170-2022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46257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45226</v>
      </c>
      <c r="E709" s="1" t="n">
        <v>46257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45873</v>
      </c>
      <c r="E710" s="1" t="n">
        <v>46257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45176</v>
      </c>
      <c r="E711" s="1" t="n">
        <v>46257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41992-2022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44830</v>
      </c>
      <c r="E712" s="1" t="n">
        <v>46257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45873</v>
      </c>
      <c r="E713" s="1" t="n">
        <v>46257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46257</v>
      </c>
      <c r="F714" t="inlineStr">
        <is>
          <t>VÄSTERBOTTENS LÄN</t>
        </is>
      </c>
      <c r="G714" t="inlineStr">
        <is>
          <t>LYCKSELE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59653-2022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44907</v>
      </c>
      <c r="E715" s="1" t="n">
        <v>46257</v>
      </c>
      <c r="F715" t="inlineStr">
        <is>
          <t>VÄSTERBOTTENS LÄN</t>
        </is>
      </c>
      <c r="G715" t="inlineStr">
        <is>
          <t>LYCKSELE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46257</v>
      </c>
      <c r="F716" t="inlineStr">
        <is>
          <t>VÄSTERBOTTENS LÄN</t>
        </is>
      </c>
      <c r="G716" t="inlineStr">
        <is>
          <t>LYCKSELE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46045</v>
      </c>
      <c r="E717" s="1" t="n">
        <v>46257</v>
      </c>
      <c r="F717" t="inlineStr">
        <is>
          <t>VÄSTERBOTTENS LÄN</t>
        </is>
      </c>
      <c r="G717" t="inlineStr">
        <is>
          <t>LYCKSELE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46257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71407-2021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44540</v>
      </c>
      <c r="E719" s="1" t="n">
        <v>46257</v>
      </c>
      <c r="F719" t="inlineStr">
        <is>
          <t>VÄSTERBOTTENS LÄN</t>
        </is>
      </c>
      <c r="G719" t="inlineStr">
        <is>
          <t>LYCKSELE</t>
        </is>
      </c>
      <c r="I719" t="n">
        <v>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46257</v>
      </c>
      <c r="F720" t="inlineStr">
        <is>
          <t>VÄSTERBOTTENS LÄN</t>
        </is>
      </c>
      <c r="G720" t="inlineStr">
        <is>
          <t>LYCKSELE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37078-2025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45875</v>
      </c>
      <c r="E721" s="1" t="n">
        <v>46257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23988-2026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46167</v>
      </c>
      <c r="E722" s="1" t="n">
        <v>46257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46257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46257</v>
      </c>
      <c r="F724" t="inlineStr">
        <is>
          <t>VÄSTERBOTTENS LÄN</t>
        </is>
      </c>
      <c r="G724" t="inlineStr">
        <is>
          <t>LYCKSELE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45308</v>
      </c>
      <c r="E725" s="1" t="n">
        <v>46257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9.300000000000001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37105-2025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45875</v>
      </c>
      <c r="E726" s="1" t="n">
        <v>46257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46257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33713-2024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45520</v>
      </c>
      <c r="E729" s="1" t="n">
        <v>46257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24204-2026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46257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46257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53614-2021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44469</v>
      </c>
      <c r="E732" s="1" t="n">
        <v>46257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22451-2026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46153</v>
      </c>
      <c r="E733" s="1" t="n">
        <v>46257</v>
      </c>
      <c r="F733" t="inlineStr">
        <is>
          <t>VÄSTERBOTTENS LÄN</t>
        </is>
      </c>
      <c r="G733" t="inlineStr">
        <is>
          <t>LYCKSELE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46257</v>
      </c>
      <c r="F734" t="inlineStr">
        <is>
          <t>VÄSTERBOTTENS LÄN</t>
        </is>
      </c>
      <c r="G734" t="inlineStr">
        <is>
          <t>LYCKSELE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60685-2022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44911</v>
      </c>
      <c r="E735" s="1" t="n">
        <v>46257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46257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45763</v>
      </c>
      <c r="E737" s="1" t="n">
        <v>46257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7.9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46257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46257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47807-2024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45588</v>
      </c>
      <c r="E740" s="1" t="n">
        <v>46257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46257</v>
      </c>
      <c r="F741" t="inlineStr">
        <is>
          <t>VÄSTERBOTTENS LÄN</t>
        </is>
      </c>
      <c r="G741" t="inlineStr">
        <is>
          <t>LYCKSELE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42887-2024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46257</v>
      </c>
      <c r="F742" t="inlineStr">
        <is>
          <t>VÄSTERBOTTENS LÄN</t>
        </is>
      </c>
      <c r="G742" t="inlineStr">
        <is>
          <t>LYCKSELE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45881</v>
      </c>
      <c r="E743" s="1" t="n">
        <v>46257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45364</v>
      </c>
      <c r="E744" s="1" t="n">
        <v>46257</v>
      </c>
      <c r="F744" t="inlineStr">
        <is>
          <t>VÄSTERBOTTENS LÄN</t>
        </is>
      </c>
      <c r="G744" t="inlineStr">
        <is>
          <t>LYCKSELE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45637</v>
      </c>
      <c r="E745" s="1" t="n">
        <v>46257</v>
      </c>
      <c r="F745" t="inlineStr">
        <is>
          <t>VÄSTERBOTTENS LÄN</t>
        </is>
      </c>
      <c r="G745" t="inlineStr">
        <is>
          <t>LYCKSELE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37271-2023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46257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46257</v>
      </c>
      <c r="F747" t="inlineStr">
        <is>
          <t>VÄSTERBOTTENS LÄN</t>
        </is>
      </c>
      <c r="G747" t="inlineStr">
        <is>
          <t>LYCKSELE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58775-2025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45986</v>
      </c>
      <c r="E748" s="1" t="n">
        <v>46257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46174</v>
      </c>
      <c r="E749" s="1" t="n">
        <v>46257</v>
      </c>
      <c r="F749" t="inlineStr">
        <is>
          <t>VÄSTERBOTTENS LÄN</t>
        </is>
      </c>
      <c r="G749" t="inlineStr">
        <is>
          <t>LYCKSELE</t>
        </is>
      </c>
      <c r="I749" t="n">
        <v>13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61506-2021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44501</v>
      </c>
      <c r="E750" s="1" t="n">
        <v>46257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60267-2022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44910</v>
      </c>
      <c r="E751" s="1" t="n">
        <v>46257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38960-2025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45887</v>
      </c>
      <c r="E752" s="1" t="n">
        <v>46257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40115-2024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45554</v>
      </c>
      <c r="E753" s="1" t="n">
        <v>46257</v>
      </c>
      <c r="F753" t="inlineStr">
        <is>
          <t>VÄSTERBOTTENS LÄN</t>
        </is>
      </c>
      <c r="G753" t="inlineStr">
        <is>
          <t>LYCKSELE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24763-2026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46171</v>
      </c>
      <c r="E754" s="1" t="n">
        <v>46257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27495-2024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45474</v>
      </c>
      <c r="E755" s="1" t="n">
        <v>46257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61367-2024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46257</v>
      </c>
      <c r="F756" t="inlineStr">
        <is>
          <t>VÄSTERBOTTENS LÄN</t>
        </is>
      </c>
      <c r="G756" t="inlineStr">
        <is>
          <t>LYCKSELE</t>
        </is>
      </c>
      <c r="I756" t="n">
        <v>10.4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46257</v>
      </c>
      <c r="F757" t="inlineStr">
        <is>
          <t>VÄSTERBOTTENS LÄN</t>
        </is>
      </c>
      <c r="G757" t="inlineStr">
        <is>
          <t>LYCKSELE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7954-2026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46063</v>
      </c>
      <c r="E758" s="1" t="n">
        <v>46257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Naturvårdsverket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45117</v>
      </c>
      <c r="E759" s="1" t="n">
        <v>46257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38922-2025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45887</v>
      </c>
      <c r="E760" s="1" t="n">
        <v>46257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51669-2024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45606</v>
      </c>
      <c r="E761" s="1" t="n">
        <v>46257</v>
      </c>
      <c r="F761" t="inlineStr">
        <is>
          <t>VÄSTERBOTTENS LÄN</t>
        </is>
      </c>
      <c r="G761" t="inlineStr">
        <is>
          <t>LYCKSELE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46257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Naturvårdsverket</t>
        </is>
      </c>
      <c r="I762" t="n">
        <v>11.4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25039-2026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46174</v>
      </c>
      <c r="E763" s="1" t="n">
        <v>46257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45515</v>
      </c>
      <c r="E764" s="1" t="n">
        <v>46257</v>
      </c>
      <c r="F764" t="inlineStr">
        <is>
          <t>VÄSTERBOTTENS LÄN</t>
        </is>
      </c>
      <c r="G764" t="inlineStr">
        <is>
          <t>LYCKSELE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24954-2026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46174</v>
      </c>
      <c r="E765" s="1" t="n">
        <v>46257</v>
      </c>
      <c r="F765" t="inlineStr">
        <is>
          <t>VÄSTERBOTTENS LÄN</t>
        </is>
      </c>
      <c r="G765" t="inlineStr">
        <is>
          <t>LYCKSELE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36875-2023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45154</v>
      </c>
      <c r="E766" s="1" t="n">
        <v>46257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46062</v>
      </c>
      <c r="E767" s="1" t="n">
        <v>46257</v>
      </c>
      <c r="F767" t="inlineStr">
        <is>
          <t>VÄSTERBOTTENS LÄN</t>
        </is>
      </c>
      <c r="G767" t="inlineStr">
        <is>
          <t>LYCKSELE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38777-2025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45887</v>
      </c>
      <c r="E768" s="1" t="n">
        <v>46257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8485-2026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46065</v>
      </c>
      <c r="E769" s="1" t="n">
        <v>46257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8273-2026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46257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Naturvårdsverket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46064</v>
      </c>
      <c r="E771" s="1" t="n">
        <v>46257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46219</v>
      </c>
      <c r="E772" s="1" t="n">
        <v>46257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46257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31289-2026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46257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46257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10331-2023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44980</v>
      </c>
      <c r="E776" s="1" t="n">
        <v>46257</v>
      </c>
      <c r="F776" t="inlineStr">
        <is>
          <t>VÄSTERBOTTENS LÄN</t>
        </is>
      </c>
      <c r="G776" t="inlineStr">
        <is>
          <t>LYCKSELE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51943-2023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45223</v>
      </c>
      <c r="E777" s="1" t="n">
        <v>46257</v>
      </c>
      <c r="F777" t="inlineStr">
        <is>
          <t>VÄSTERBOTTENS LÄN</t>
        </is>
      </c>
      <c r="G777" t="inlineStr">
        <is>
          <t>LYCKSELE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31371-2026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46219</v>
      </c>
      <c r="E778" s="1" t="n">
        <v>46257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46257</v>
      </c>
      <c r="F779" t="inlineStr">
        <is>
          <t>VÄSTERBOTTENS LÄN</t>
        </is>
      </c>
      <c r="G779" t="inlineStr">
        <is>
          <t>LYCKSELE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31288-2026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46218</v>
      </c>
      <c r="E780" s="1" t="n">
        <v>46257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46257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9310-2026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46070</v>
      </c>
      <c r="E782" s="1" t="n">
        <v>46257</v>
      </c>
      <c r="F782" t="inlineStr">
        <is>
          <t>VÄSTERBOTTENS LÄN</t>
        </is>
      </c>
      <c r="G782" t="inlineStr">
        <is>
          <t>LYCKSELE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46220</v>
      </c>
      <c r="E783" s="1" t="n">
        <v>46257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49130-2024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45594</v>
      </c>
      <c r="E784" s="1" t="n">
        <v>46257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61094-2023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45261</v>
      </c>
      <c r="E785" s="1" t="n">
        <v>46257</v>
      </c>
      <c r="F785" t="inlineStr">
        <is>
          <t>VÄSTERBOTTENS LÄN</t>
        </is>
      </c>
      <c r="G785" t="inlineStr">
        <is>
          <t>LYCKSELE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45307</v>
      </c>
      <c r="E786" s="1" t="n">
        <v>46257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21666-2024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45441</v>
      </c>
      <c r="E787" s="1" t="n">
        <v>46257</v>
      </c>
      <c r="F787" t="inlineStr">
        <is>
          <t>VÄSTERBOTTENS LÄN</t>
        </is>
      </c>
      <c r="G787" t="inlineStr">
        <is>
          <t>LYCKSELE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21668-2024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45441</v>
      </c>
      <c r="E788" s="1" t="n">
        <v>46257</v>
      </c>
      <c r="F788" t="inlineStr">
        <is>
          <t>VÄSTERBOTTENS LÄN</t>
        </is>
      </c>
      <c r="G788" t="inlineStr">
        <is>
          <t>LYCKSELE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45378</v>
      </c>
      <c r="E789" s="1" t="n">
        <v>46257</v>
      </c>
      <c r="F789" t="inlineStr">
        <is>
          <t>VÄSTERBOTTENS LÄN</t>
        </is>
      </c>
      <c r="G789" t="inlineStr">
        <is>
          <t>LYCKSELE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46257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26717-2024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45470</v>
      </c>
      <c r="E791" s="1" t="n">
        <v>46257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9716-2026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46257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45503</v>
      </c>
      <c r="E793" s="1" t="n">
        <v>46257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46257</v>
      </c>
      <c r="F794" t="inlineStr">
        <is>
          <t>VÄSTERBOTTENS LÄN</t>
        </is>
      </c>
      <c r="G794" t="inlineStr">
        <is>
          <t>LYCKSELE</t>
        </is>
      </c>
      <c r="I794" t="n">
        <v>22.3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46257</v>
      </c>
      <c r="F795" t="inlineStr">
        <is>
          <t>VÄSTERBOTTENS LÄN</t>
        </is>
      </c>
      <c r="G795" t="inlineStr">
        <is>
          <t>LYCKSELE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25492-2026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46177</v>
      </c>
      <c r="E796" s="1" t="n">
        <v>46257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5.3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10230-2026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46257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25718-2026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46257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33400-2023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45128</v>
      </c>
      <c r="E799" s="1" t="n">
        <v>46257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10478-2026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46257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38347-2025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45883</v>
      </c>
      <c r="E801" s="1" t="n">
        <v>46257</v>
      </c>
      <c r="F801" t="inlineStr">
        <is>
          <t>VÄSTERBOTTENS LÄN</t>
        </is>
      </c>
      <c r="G801" t="inlineStr">
        <is>
          <t>LYCKSELE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31384-2026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46220</v>
      </c>
      <c r="E802" s="1" t="n">
        <v>46257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46220</v>
      </c>
      <c r="E803" s="1" t="n">
        <v>46257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46257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46257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46220</v>
      </c>
      <c r="E806" s="1" t="n">
        <v>46257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25709-2026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46257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46257</v>
      </c>
      <c r="F808" t="inlineStr">
        <is>
          <t>VÄSTERBOTTENS LÄN</t>
        </is>
      </c>
      <c r="G808" t="inlineStr">
        <is>
          <t>LYCKSELE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55456-2022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44887</v>
      </c>
      <c r="E809" s="1" t="n">
        <v>46257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46257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46257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46257</v>
      </c>
      <c r="F812" t="inlineStr">
        <is>
          <t>VÄSTERBOTTENS LÄN</t>
        </is>
      </c>
      <c r="G812" t="inlineStr">
        <is>
          <t>LYCKSELE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10321-2026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46076</v>
      </c>
      <c r="E813" s="1" t="n">
        <v>46257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29675-2023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45107</v>
      </c>
      <c r="E814" s="1" t="n">
        <v>46257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25946-2026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46181</v>
      </c>
      <c r="E815" s="1" t="n">
        <v>46257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6.6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46257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46257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46257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41358-2022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44826</v>
      </c>
      <c r="E819" s="1" t="n">
        <v>46257</v>
      </c>
      <c r="F819" t="inlineStr">
        <is>
          <t>VÄSTERBOTTENS LÄN</t>
        </is>
      </c>
      <c r="G819" t="inlineStr">
        <is>
          <t>LYCKSELE</t>
        </is>
      </c>
      <c r="I819" t="n">
        <v>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58594-2022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44902</v>
      </c>
      <c r="E820" s="1" t="n">
        <v>46257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31653-2026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46225</v>
      </c>
      <c r="E821" s="1" t="n">
        <v>46257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12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45545</v>
      </c>
      <c r="E822" s="1" t="n">
        <v>46257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53839-2023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45231</v>
      </c>
      <c r="E823" s="1" t="n">
        <v>46257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6943-2025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46257</v>
      </c>
      <c r="F824" t="inlineStr">
        <is>
          <t>VÄSTERBOTTENS LÄN</t>
        </is>
      </c>
      <c r="G824" t="inlineStr">
        <is>
          <t>LYCKSELE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59559-2022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44900</v>
      </c>
      <c r="E825" s="1" t="n">
        <v>46257</v>
      </c>
      <c r="F825" t="inlineStr">
        <is>
          <t>VÄSTERBOTTENS LÄN</t>
        </is>
      </c>
      <c r="G825" t="inlineStr">
        <is>
          <t>LYCKSELE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27219-2026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46257</v>
      </c>
      <c r="F826" t="inlineStr">
        <is>
          <t>VÄSTERBOTTENS LÄN</t>
        </is>
      </c>
      <c r="G826" t="inlineStr">
        <is>
          <t>LYCKSELE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26435-2026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46257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12083-2026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46086</v>
      </c>
      <c r="E828" s="1" t="n">
        <v>46257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46085</v>
      </c>
      <c r="E829" s="1" t="n">
        <v>46257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26485-2026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46257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26387-2026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46183</v>
      </c>
      <c r="E831" s="1" t="n">
        <v>46257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9.9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46257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26511-2026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46183</v>
      </c>
      <c r="E833" s="1" t="n">
        <v>46257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12302-2026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46087</v>
      </c>
      <c r="E834" s="1" t="n">
        <v>46257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46257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58192-2023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45245</v>
      </c>
      <c r="E836" s="1" t="n">
        <v>46257</v>
      </c>
      <c r="F836" t="inlineStr">
        <is>
          <t>VÄSTERBOTTENS LÄN</t>
        </is>
      </c>
      <c r="G836" t="inlineStr">
        <is>
          <t>LYCKSELE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12327-2026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46087</v>
      </c>
      <c r="E837" s="1" t="n">
        <v>46257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26980-2026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46257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46257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53037-2023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45226</v>
      </c>
      <c r="E840" s="1" t="n">
        <v>46257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7.4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31819-2026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46230</v>
      </c>
      <c r="E841" s="1" t="n">
        <v>46257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53335-2024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45614</v>
      </c>
      <c r="E842" s="1" t="n">
        <v>46257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31788-2026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46230</v>
      </c>
      <c r="E843" s="1" t="n">
        <v>46257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12889-2026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46092</v>
      </c>
      <c r="E844" s="1" t="n">
        <v>46257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46257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12980-2026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46092</v>
      </c>
      <c r="E846" s="1" t="n">
        <v>46257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12662-2026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46091</v>
      </c>
      <c r="E847" s="1" t="n">
        <v>46257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24810-2024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46257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46257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46091</v>
      </c>
      <c r="E850" s="1" t="n">
        <v>46257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60859-2022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44908</v>
      </c>
      <c r="E851" s="1" t="n">
        <v>46257</v>
      </c>
      <c r="F851" t="inlineStr">
        <is>
          <t>VÄSTERBOTTENS LÄN</t>
        </is>
      </c>
      <c r="G851" t="inlineStr">
        <is>
          <t>LYCKSELE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13436-2026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46094</v>
      </c>
      <c r="E852" s="1" t="n">
        <v>46257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46094</v>
      </c>
      <c r="E853" s="1" t="n">
        <v>46257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10.9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26351-2022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44735</v>
      </c>
      <c r="E854" s="1" t="n">
        <v>46257</v>
      </c>
      <c r="F854" t="inlineStr">
        <is>
          <t>VÄSTERBOTTENS LÄN</t>
        </is>
      </c>
      <c r="G854" t="inlineStr">
        <is>
          <t>LYCKSELE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13477-2026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46094</v>
      </c>
      <c r="E855" s="1" t="n">
        <v>46257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54446-2023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45233</v>
      </c>
      <c r="E856" s="1" t="n">
        <v>46257</v>
      </c>
      <c r="F856" t="inlineStr">
        <is>
          <t>VÄSTERBOTTENS LÄN</t>
        </is>
      </c>
      <c r="G856" t="inlineStr">
        <is>
          <t>LYCKSELE</t>
        </is>
      </c>
      <c r="I856" t="n">
        <v>21.4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46094</v>
      </c>
      <c r="E857" s="1" t="n">
        <v>46257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52956-2022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44875</v>
      </c>
      <c r="E858" s="1" t="n">
        <v>46257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27430-2026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46257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13480-2026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46257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13517-2026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46094</v>
      </c>
      <c r="E861" s="1" t="n">
        <v>46257</v>
      </c>
      <c r="F861" t="inlineStr">
        <is>
          <t>VÄSTERBOTTENS LÄN</t>
        </is>
      </c>
      <c r="G861" t="inlineStr">
        <is>
          <t>LYCKSELE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13518-2026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46094</v>
      </c>
      <c r="E862" s="1" t="n">
        <v>46257</v>
      </c>
      <c r="F862" t="inlineStr">
        <is>
          <t>VÄSTERBOTTENS LÄN</t>
        </is>
      </c>
      <c r="G862" t="inlineStr">
        <is>
          <t>LYCKSELE</t>
        </is>
      </c>
      <c r="I862" t="n">
        <v>12.7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38112-2024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45545</v>
      </c>
      <c r="E863" s="1" t="n">
        <v>46257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59516-2021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44491</v>
      </c>
      <c r="E864" s="1" t="n">
        <v>46257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13954-2026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46257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27427-2026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46257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46257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56343-2022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44890</v>
      </c>
      <c r="E868" s="1" t="n">
        <v>46257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13921-2026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46098</v>
      </c>
      <c r="E869" s="1" t="n">
        <v>46257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13627-2026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46097</v>
      </c>
      <c r="E870" s="1" t="n">
        <v>46257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46099</v>
      </c>
      <c r="E871" s="1" t="n">
        <v>46257</v>
      </c>
      <c r="F871" t="inlineStr">
        <is>
          <t>VÄSTERBOTTENS LÄN</t>
        </is>
      </c>
      <c r="G871" t="inlineStr">
        <is>
          <t>LYCKSELE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14404-2026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46100</v>
      </c>
      <c r="E872" s="1" t="n">
        <v>46257</v>
      </c>
      <c r="F872" t="inlineStr">
        <is>
          <t>VÄSTERBOTTENS LÄN</t>
        </is>
      </c>
      <c r="G872" t="inlineStr">
        <is>
          <t>LYCKSELE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14243-2026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46099</v>
      </c>
      <c r="E873" s="1" t="n">
        <v>46257</v>
      </c>
      <c r="F873" t="inlineStr">
        <is>
          <t>VÄSTERBOTTENS LÄN</t>
        </is>
      </c>
      <c r="G873" t="inlineStr">
        <is>
          <t>LYCKSELE</t>
        </is>
      </c>
      <c r="I873" t="n">
        <v>11.8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14405-2026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46257</v>
      </c>
      <c r="F874" t="inlineStr">
        <is>
          <t>VÄSTERBOTTENS LÄN</t>
        </is>
      </c>
      <c r="G874" t="inlineStr">
        <is>
          <t>LYCKSELE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32229-2026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46237</v>
      </c>
      <c r="E875" s="1" t="n">
        <v>46257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14675-2026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46101</v>
      </c>
      <c r="E876" s="1" t="n">
        <v>46257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46257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46237</v>
      </c>
      <c r="E878" s="1" t="n">
        <v>46257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27854-2026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46191</v>
      </c>
      <c r="E879" s="1" t="n">
        <v>46257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46257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46257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27883-2026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46257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14845-2026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46257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32174-2026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46237</v>
      </c>
      <c r="E884" s="1" t="n">
        <v>46257</v>
      </c>
      <c r="F884" t="inlineStr">
        <is>
          <t>VÄSTERBOTTENS LÄN</t>
        </is>
      </c>
      <c r="G884" t="inlineStr">
        <is>
          <t>LYCKSELE</t>
        </is>
      </c>
      <c r="I884" t="n">
        <v>20.2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27842-2026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46257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5.5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27843-2026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46191</v>
      </c>
      <c r="E886" s="1" t="n">
        <v>46257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32112-2026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46234</v>
      </c>
      <c r="E887" s="1" t="n">
        <v>46257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49175-2023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45210</v>
      </c>
      <c r="E888" s="1" t="n">
        <v>46257</v>
      </c>
      <c r="F888" t="inlineStr">
        <is>
          <t>VÄSTERBOTTENS LÄN</t>
        </is>
      </c>
      <c r="G888" t="inlineStr">
        <is>
          <t>LYCKSELE</t>
        </is>
      </c>
      <c r="I888" t="n">
        <v>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46257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33701-2024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46257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46257</v>
      </c>
      <c r="F891" t="inlineStr">
        <is>
          <t>VÄSTERBOTTENS LÄN</t>
        </is>
      </c>
      <c r="G891" t="inlineStr">
        <is>
          <t>LYCKSELE</t>
        </is>
      </c>
      <c r="I891" t="n">
        <v>5.8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67092-2021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44522</v>
      </c>
      <c r="E892" s="1" t="n">
        <v>46257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32167-2026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46237</v>
      </c>
      <c r="E893" s="1" t="n">
        <v>46257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30425-2024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45491</v>
      </c>
      <c r="E894" s="1" t="n">
        <v>46257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32245-2026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46257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46257</v>
      </c>
      <c r="F896" t="inlineStr">
        <is>
          <t>VÄSTERBOTTENS LÄN</t>
        </is>
      </c>
      <c r="G896" t="inlineStr">
        <is>
          <t>LYCKSELE</t>
        </is>
      </c>
      <c r="I896" t="n">
        <v>7.4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32214-2026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46257</v>
      </c>
      <c r="F897" t="inlineStr">
        <is>
          <t>VÄSTERBOTTENS LÄN</t>
        </is>
      </c>
      <c r="G897" t="inlineStr">
        <is>
          <t>LYCKSELE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35284-2023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45145</v>
      </c>
      <c r="E898" s="1" t="n">
        <v>46257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15696-2026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46107</v>
      </c>
      <c r="E899" s="1" t="n">
        <v>46257</v>
      </c>
      <c r="F899" t="inlineStr">
        <is>
          <t>VÄSTERBOTTENS LÄN</t>
        </is>
      </c>
      <c r="G899" t="inlineStr">
        <is>
          <t>LYCKSELE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29314-2026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46197</v>
      </c>
      <c r="E900" s="1" t="n">
        <v>46257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Kommuner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16138-2026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46257</v>
      </c>
      <c r="F901" t="inlineStr">
        <is>
          <t>VÄSTERBOTTENS LÄN</t>
        </is>
      </c>
      <c r="G901" t="inlineStr">
        <is>
          <t>LYCKSELE</t>
        </is>
      </c>
      <c r="I901" t="n">
        <v>13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34929-2023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45142</v>
      </c>
      <c r="E902" s="1" t="n">
        <v>46257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16642-2026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46257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16540-2026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46257</v>
      </c>
      <c r="F904" t="inlineStr">
        <is>
          <t>VÄSTERBOTTENS LÄN</t>
        </is>
      </c>
      <c r="G904" t="inlineStr">
        <is>
          <t>LYCKSELE</t>
        </is>
      </c>
      <c r="I904" t="n">
        <v>17.1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16397-2026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46257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28217-2026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46196</v>
      </c>
      <c r="E906" s="1" t="n">
        <v>46257</v>
      </c>
      <c r="F906" t="inlineStr">
        <is>
          <t>VÄSTERBOTTENS LÄN</t>
        </is>
      </c>
      <c r="G906" t="inlineStr">
        <is>
          <t>LYCKSELE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16643-2026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46257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16.8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16646-2026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46257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16986-2026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46257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45531</v>
      </c>
      <c r="E910" s="1" t="n">
        <v>46257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32644-2026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46240</v>
      </c>
      <c r="E911" s="1" t="n">
        <v>46257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8.4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16733-2026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46257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16731-2026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46113</v>
      </c>
      <c r="E913" s="1" t="n">
        <v>46257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13.5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16729-2026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46257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19.5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60122-2022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44909</v>
      </c>
      <c r="E915" s="1" t="n">
        <v>46257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28650-2026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46257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32716-2026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46241</v>
      </c>
      <c r="E917" s="1" t="n">
        <v>46257</v>
      </c>
      <c r="F917" t="inlineStr">
        <is>
          <t>VÄSTERBOTTENS LÄN</t>
        </is>
      </c>
      <c r="G917" t="inlineStr">
        <is>
          <t>LYCKSELE</t>
        </is>
      </c>
      <c r="I917" t="n">
        <v>16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46257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17329-2026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46257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46240</v>
      </c>
      <c r="E920" s="1" t="n">
        <v>46257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46240</v>
      </c>
      <c r="E921" s="1" t="n">
        <v>46257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17650-2026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46121</v>
      </c>
      <c r="E922" s="1" t="n">
        <v>46257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28421-2026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46197</v>
      </c>
      <c r="E923" s="1" t="n">
        <v>46257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57818-2021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44484</v>
      </c>
      <c r="E924" s="1" t="n">
        <v>46257</v>
      </c>
      <c r="F924" t="inlineStr">
        <is>
          <t>VÄSTERBOTTENS LÄN</t>
        </is>
      </c>
      <c r="G924" t="inlineStr">
        <is>
          <t>LYCKSELE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34857-2024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45527</v>
      </c>
      <c r="E925" s="1" t="n">
        <v>46257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28829-2026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46257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28586-2026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46257</v>
      </c>
      <c r="F927" t="inlineStr">
        <is>
          <t>VÄSTERBOTTENS LÄN</t>
        </is>
      </c>
      <c r="G927" t="inlineStr">
        <is>
          <t>LYCKSELE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20344-2025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45775</v>
      </c>
      <c r="E928" s="1" t="n">
        <v>46257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15037-2025</t>
        </is>
      </c>
      <c r="B929" t="inlineStr">
        <is>
          <t>avverkningsanmälan</t>
        </is>
      </c>
      <c r="C929" t="inlineStr">
        <is>
          <t>Avverkning för att bevara och utveckla /försöksver</t>
        </is>
      </c>
      <c r="D929" s="1" t="n">
        <v>45743</v>
      </c>
      <c r="E929" s="1" t="n">
        <v>46257</v>
      </c>
      <c r="F929" t="inlineStr">
        <is>
          <t>VÄSTERBOTTENS LÄN</t>
        </is>
      </c>
      <c r="G929" t="inlineStr">
        <is>
          <t>LYCKSELE</t>
        </is>
      </c>
      <c r="I929" t="n">
        <v>12.1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46240</v>
      </c>
      <c r="E930" s="1" t="n">
        <v>46257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36150-2024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45534</v>
      </c>
      <c r="E931" s="1" t="n">
        <v>46257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64656-2023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46257</v>
      </c>
      <c r="F932" t="inlineStr">
        <is>
          <t>VÄSTERBOTTENS LÄN</t>
        </is>
      </c>
      <c r="G932" t="inlineStr">
        <is>
          <t>LYCKSELE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18737-2026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46128</v>
      </c>
      <c r="E933" s="1" t="n">
        <v>46257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70195-2021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44534</v>
      </c>
      <c r="E934" s="1" t="n">
        <v>46257</v>
      </c>
      <c r="F934" t="inlineStr">
        <is>
          <t>VÄSTERBOTTENS LÄN</t>
        </is>
      </c>
      <c r="G934" t="inlineStr">
        <is>
          <t>LYCKSELE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18789-2026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46128</v>
      </c>
      <c r="E935" s="1" t="n">
        <v>46257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28939-2026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46199</v>
      </c>
      <c r="E936" s="1" t="n">
        <v>46257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40527-2024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45555</v>
      </c>
      <c r="E937" s="1" t="n">
        <v>46257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46257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29301-2026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46257</v>
      </c>
      <c r="F939" t="inlineStr">
        <is>
          <t>VÄSTERBOTTENS LÄN</t>
        </is>
      </c>
      <c r="G939" t="inlineStr">
        <is>
          <t>LYCKSELE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46257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9.699999999999999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19058-2026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46257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24289-2023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45079</v>
      </c>
      <c r="E942" s="1" t="n">
        <v>46257</v>
      </c>
      <c r="F942" t="inlineStr">
        <is>
          <t>VÄSTERBOTTENS LÄN</t>
        </is>
      </c>
      <c r="G942" t="inlineStr">
        <is>
          <t>LYCKSELE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29151-2026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46257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19325-2026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46257</v>
      </c>
      <c r="F944" t="inlineStr">
        <is>
          <t>VÄSTERBOTTENS LÄN</t>
        </is>
      </c>
      <c r="G944" t="inlineStr">
        <is>
          <t>LYCKSELE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28893-2024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45479</v>
      </c>
      <c r="E945" s="1" t="n">
        <v>46257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29149-2026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46202</v>
      </c>
      <c r="E946" s="1" t="n">
        <v>46257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38.4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29279-2026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46202</v>
      </c>
      <c r="E947" s="1" t="n">
        <v>46257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19701-2026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46134</v>
      </c>
      <c r="E948" s="1" t="n">
        <v>46257</v>
      </c>
      <c r="F948" t="inlineStr">
        <is>
          <t>VÄSTERBOTTENS LÄN</t>
        </is>
      </c>
      <c r="G948" t="inlineStr">
        <is>
          <t>LYCKSELE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46257</v>
      </c>
      <c r="F949" t="inlineStr">
        <is>
          <t>VÄSTERBOTTENS LÄN</t>
        </is>
      </c>
      <c r="G949" t="inlineStr">
        <is>
          <t>LYCKSELE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60482-2024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45643</v>
      </c>
      <c r="E950" s="1" t="n">
        <v>46257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7.8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45611</v>
      </c>
      <c r="E951" s="1" t="n">
        <v>46257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28907-2026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46257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7.5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28910-2026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46199</v>
      </c>
      <c r="E953" s="1" t="n">
        <v>46257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3.6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55203-2024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45621</v>
      </c>
      <c r="E954" s="1" t="n">
        <v>46257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29425-2026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46203</v>
      </c>
      <c r="E955" s="1" t="n">
        <v>46257</v>
      </c>
      <c r="F955" t="inlineStr">
        <is>
          <t>VÄSTERBOTTENS LÄN</t>
        </is>
      </c>
      <c r="G955" t="inlineStr">
        <is>
          <t>LYCKSELE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29706-2026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46204</v>
      </c>
      <c r="E956" s="1" t="n">
        <v>46257</v>
      </c>
      <c r="F956" t="inlineStr">
        <is>
          <t>VÄSTERBOTTENS LÄN</t>
        </is>
      </c>
      <c r="G956" t="inlineStr">
        <is>
          <t>LYCKSELE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45139-2025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45919</v>
      </c>
      <c r="E957" s="1" t="n">
        <v>46257</v>
      </c>
      <c r="F957" t="inlineStr">
        <is>
          <t>VÄSTERBOTTENS LÄN</t>
        </is>
      </c>
      <c r="G957" t="inlineStr">
        <is>
          <t>LYCKSELE</t>
        </is>
      </c>
      <c r="I957" t="n">
        <v>5.7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37491-2023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45156</v>
      </c>
      <c r="E958" s="1" t="n">
        <v>46257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46204</v>
      </c>
      <c r="E959" s="1" t="n">
        <v>46257</v>
      </c>
      <c r="F959" t="inlineStr">
        <is>
          <t>VÄSTERBOTTENS LÄN</t>
        </is>
      </c>
      <c r="G959" t="inlineStr">
        <is>
          <t>LYCKSELE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29436-2026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46203</v>
      </c>
      <c r="E960" s="1" t="n">
        <v>46257</v>
      </c>
      <c r="F960" t="inlineStr">
        <is>
          <t>VÄSTERBOTTENS LÄN</t>
        </is>
      </c>
      <c r="G960" t="inlineStr">
        <is>
          <t>LYCKSELE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11640-2024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45373</v>
      </c>
      <c r="E961" s="1" t="n">
        <v>46257</v>
      </c>
      <c r="F961" t="inlineStr">
        <is>
          <t>VÄSTERBOTTENS LÄN</t>
        </is>
      </c>
      <c r="G961" t="inlineStr">
        <is>
          <t>LYCKSELE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33693-2024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45520</v>
      </c>
      <c r="E962" s="1" t="n">
        <v>46257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33467-2026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46247</v>
      </c>
      <c r="E963" s="1" t="n">
        <v>46257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5.6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29730-2026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46204</v>
      </c>
      <c r="E964" s="1" t="n">
        <v>46257</v>
      </c>
      <c r="F964" t="inlineStr">
        <is>
          <t>VÄSTERBOTTENS LÄN</t>
        </is>
      </c>
      <c r="G964" t="inlineStr">
        <is>
          <t>LYCKSELE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46203</v>
      </c>
      <c r="E965" s="1" t="n">
        <v>46257</v>
      </c>
      <c r="F965" t="inlineStr">
        <is>
          <t>VÄSTERBOTTENS LÄN</t>
        </is>
      </c>
      <c r="G965" t="inlineStr">
        <is>
          <t>LYCKSELE</t>
        </is>
      </c>
      <c r="I965" t="n">
        <v>4.3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44934</v>
      </c>
      <c r="E966" s="1" t="n">
        <v>46257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16289-2025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45751</v>
      </c>
      <c r="E967" s="1" t="n">
        <v>46257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45695</v>
      </c>
      <c r="E968" s="1" t="n">
        <v>46257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8915-2025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45713</v>
      </c>
      <c r="E969" s="1" t="n">
        <v>46257</v>
      </c>
      <c r="F969" t="inlineStr">
        <is>
          <t>VÄSTERBOTTENS LÄN</t>
        </is>
      </c>
      <c r="G969" t="inlineStr">
        <is>
          <t>LYCKSELE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45520</v>
      </c>
      <c r="E970" s="1" t="n">
        <v>46257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33714-2024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45520</v>
      </c>
      <c r="E971" s="1" t="n">
        <v>46257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34273-2024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45524</v>
      </c>
      <c r="E972" s="1" t="n">
        <v>46257</v>
      </c>
      <c r="F972" t="inlineStr">
        <is>
          <t>VÄSTERBOTTENS LÄN</t>
        </is>
      </c>
      <c r="G972" t="inlineStr">
        <is>
          <t>LYCKSELE</t>
        </is>
      </c>
      <c r="I972" t="n">
        <v>6.7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14249-2025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45740</v>
      </c>
      <c r="E973" s="1" t="n">
        <v>46257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45363</v>
      </c>
      <c r="E974" s="1" t="n">
        <v>46257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29424-2026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46203</v>
      </c>
      <c r="E975" s="1" t="n">
        <v>46257</v>
      </c>
      <c r="F975" t="inlineStr">
        <is>
          <t>VÄSTERBOTTENS LÄN</t>
        </is>
      </c>
      <c r="G975" t="inlineStr">
        <is>
          <t>LYCKSELE</t>
        </is>
      </c>
      <c r="I975" t="n">
        <v>7.1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11604-2023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44994</v>
      </c>
      <c r="E976" s="1" t="n">
        <v>46257</v>
      </c>
      <c r="F976" t="inlineStr">
        <is>
          <t>VÄSTERBOTTENS LÄN</t>
        </is>
      </c>
      <c r="G976" t="inlineStr">
        <is>
          <t>LYCKSELE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46251</v>
      </c>
      <c r="E977" s="1" t="n">
        <v>46257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46257</v>
      </c>
      <c r="F978" t="inlineStr">
        <is>
          <t>VÄSTERBOTTENS LÄN</t>
        </is>
      </c>
      <c r="G978" t="inlineStr">
        <is>
          <t>LYCKSELE</t>
        </is>
      </c>
      <c r="I978" t="n">
        <v>4.8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46257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12585-2025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45732</v>
      </c>
      <c r="E980" s="1" t="n">
        <v>46257</v>
      </c>
      <c r="F980" t="inlineStr">
        <is>
          <t>VÄSTERBOTTENS LÄN</t>
        </is>
      </c>
      <c r="G980" t="inlineStr">
        <is>
          <t>LYCKSELE</t>
        </is>
      </c>
      <c r="I980" t="n">
        <v>15.5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28409-2023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45101</v>
      </c>
      <c r="E981" s="1" t="n">
        <v>46257</v>
      </c>
      <c r="F981" t="inlineStr">
        <is>
          <t>VÄSTERBOTTENS LÄN</t>
        </is>
      </c>
      <c r="G981" t="inlineStr">
        <is>
          <t>LYCKSELE</t>
        </is>
      </c>
      <c r="I981" t="n">
        <v>12.9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61975-2025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46003</v>
      </c>
      <c r="E982" s="1" t="n">
        <v>46257</v>
      </c>
      <c r="F982" t="inlineStr">
        <is>
          <t>VÄSTERBOTTENS LÄN</t>
        </is>
      </c>
      <c r="G982" t="inlineStr">
        <is>
          <t>LYCKSELE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20034-2025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45772</v>
      </c>
      <c r="E983" s="1" t="n">
        <v>46257</v>
      </c>
      <c r="F983" t="inlineStr">
        <is>
          <t>VÄSTERBOTTENS LÄN</t>
        </is>
      </c>
      <c r="G983" t="inlineStr">
        <is>
          <t>LYCKSELE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33846-2026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46251</v>
      </c>
      <c r="E984" s="1" t="n">
        <v>46257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10.1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46257</v>
      </c>
      <c r="F985" t="inlineStr">
        <is>
          <t>VÄSTERBOTTENS LÄN</t>
        </is>
      </c>
      <c r="G985" t="inlineStr">
        <is>
          <t>LYCKSELE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4858-2025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46257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30288-2026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46206</v>
      </c>
      <c r="E987" s="1" t="n">
        <v>46257</v>
      </c>
      <c r="F987" t="inlineStr">
        <is>
          <t>VÄSTERBOTTENS LÄN</t>
        </is>
      </c>
      <c r="G987" t="inlineStr">
        <is>
          <t>LYCKSELE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29904-2026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46205</v>
      </c>
      <c r="E988" s="1" t="n">
        <v>46257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33881-2026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46251</v>
      </c>
      <c r="E989" s="1" t="n">
        <v>46257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20242-2026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46139</v>
      </c>
      <c r="E990" s="1" t="n">
        <v>46257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9892-2022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46257</v>
      </c>
      <c r="F991" t="inlineStr">
        <is>
          <t>VÄSTERBOTTENS LÄN</t>
        </is>
      </c>
      <c r="G991" t="inlineStr">
        <is>
          <t>LYCKSELE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2352-2025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45673</v>
      </c>
      <c r="E992" s="1" t="n">
        <v>46257</v>
      </c>
      <c r="F992" t="inlineStr">
        <is>
          <t>VÄSTERBOTTENS LÄN</t>
        </is>
      </c>
      <c r="G992" t="inlineStr">
        <is>
          <t>LYCKSELE</t>
        </is>
      </c>
      <c r="I992" t="n">
        <v>5.6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46248</v>
      </c>
      <c r="E993" s="1" t="n">
        <v>46257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29839-2026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46205</v>
      </c>
      <c r="E994" s="1" t="n">
        <v>46257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5.9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33879-2026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46257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29841-2026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46205</v>
      </c>
      <c r="E996" s="1" t="n">
        <v>46257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46205</v>
      </c>
      <c r="E997" s="1" t="n">
        <v>46257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29836-2026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46257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46257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24234-2023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45079</v>
      </c>
      <c r="E1000" s="1" t="n">
        <v>46257</v>
      </c>
      <c r="F1000" t="inlineStr">
        <is>
          <t>VÄSTERBOTTENS LÄN</t>
        </is>
      </c>
      <c r="G1000" t="inlineStr">
        <is>
          <t>LYCKSELE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33796-2026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46251</v>
      </c>
      <c r="E1001" s="1" t="n">
        <v>46257</v>
      </c>
      <c r="F1001" t="inlineStr">
        <is>
          <t>VÄSTERBOTTENS LÄN</t>
        </is>
      </c>
      <c r="G1001" t="inlineStr">
        <is>
          <t>LYCKSELE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29823-2026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46257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46257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46257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33670-2026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46248</v>
      </c>
      <c r="E1005" s="1" t="n">
        <v>46257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25.8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60081-2025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45993</v>
      </c>
      <c r="E1006" s="1" t="n">
        <v>46257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58975-2022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44903</v>
      </c>
      <c r="E1007" s="1" t="n">
        <v>46257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2576-2022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44580</v>
      </c>
      <c r="E1008" s="1" t="n">
        <v>46257</v>
      </c>
      <c r="F1008" t="inlineStr">
        <is>
          <t>VÄSTERBOTTENS LÄN</t>
        </is>
      </c>
      <c r="G1008" t="inlineStr">
        <is>
          <t>LYCKSELE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31354-2026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46219</v>
      </c>
      <c r="E1009" s="1" t="n">
        <v>46257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46257</v>
      </c>
      <c r="F1010" t="inlineStr">
        <is>
          <t>VÄSTERBOTTENS LÄN</t>
        </is>
      </c>
      <c r="G1010" t="inlineStr">
        <is>
          <t>LYCKSELE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46257</v>
      </c>
      <c r="F1011" t="inlineStr">
        <is>
          <t>VÄSTERBOTTENS LÄN</t>
        </is>
      </c>
      <c r="G1011" t="inlineStr">
        <is>
          <t>LYCKSELE</t>
        </is>
      </c>
      <c r="I1011" t="n">
        <v>17.7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46210</v>
      </c>
      <c r="E1012" s="1" t="n">
        <v>46257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6.9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44092-2025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45915</v>
      </c>
      <c r="E1013" s="1" t="n">
        <v>46257</v>
      </c>
      <c r="F1013" t="inlineStr">
        <is>
          <t>VÄSTERBOTTENS LÄN</t>
        </is>
      </c>
      <c r="G1013" t="inlineStr">
        <is>
          <t>LYCKSELE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34197-2026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46257</v>
      </c>
      <c r="F1014" t="inlineStr">
        <is>
          <t>VÄSTERBOTTENS LÄN</t>
        </is>
      </c>
      <c r="G1014" t="inlineStr">
        <is>
          <t>LYCKSELE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57984-2025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45982</v>
      </c>
      <c r="E1015" s="1" t="n">
        <v>46257</v>
      </c>
      <c r="F1015" t="inlineStr">
        <is>
          <t>VÄSTERBOTTENS LÄN</t>
        </is>
      </c>
      <c r="G1015" t="inlineStr">
        <is>
          <t>LYCKSELE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34016-2026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46252</v>
      </c>
      <c r="E1016" s="1" t="n">
        <v>46257</v>
      </c>
      <c r="F1016" t="inlineStr">
        <is>
          <t>VÄSTERBOTTENS LÄN</t>
        </is>
      </c>
      <c r="G1016" t="inlineStr">
        <is>
          <t>LYCKSELE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46257</v>
      </c>
      <c r="F1017" t="inlineStr">
        <is>
          <t>VÄSTERBOTTENS LÄN</t>
        </is>
      </c>
      <c r="G1017" t="inlineStr">
        <is>
          <t>LYCKSELE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60272-2022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44910</v>
      </c>
      <c r="E1018" s="1" t="n">
        <v>46257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7.4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30447-2026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46209</v>
      </c>
      <c r="E1019" s="1" t="n">
        <v>46257</v>
      </c>
      <c r="F1019" t="inlineStr">
        <is>
          <t>VÄSTERBOTTENS LÄN</t>
        </is>
      </c>
      <c r="G1019" t="inlineStr">
        <is>
          <t>LYCKSELE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46218</v>
      </c>
      <c r="E1020" s="1" t="n">
        <v>46257</v>
      </c>
      <c r="F1020" t="inlineStr">
        <is>
          <t>VÄSTERBOTTENS LÄN</t>
        </is>
      </c>
      <c r="G1020" t="inlineStr">
        <is>
          <t>LYCKSELE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45744</v>
      </c>
      <c r="E1021" s="1" t="n">
        <v>46257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30360-2026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46209</v>
      </c>
      <c r="E1022" s="1" t="n">
        <v>46257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46257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Naturvårdsverket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29709-2025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45825</v>
      </c>
      <c r="E1024" s="1" t="n">
        <v>46257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52.4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325-2022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44564</v>
      </c>
      <c r="E1025" s="1" t="n">
        <v>46257</v>
      </c>
      <c r="F1025" t="inlineStr">
        <is>
          <t>VÄSTERBOTTENS LÄN</t>
        </is>
      </c>
      <c r="G1025" t="inlineStr">
        <is>
          <t>LYCKSELE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34111-2025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45845</v>
      </c>
      <c r="E1026" s="1" t="n">
        <v>46257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8.4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47113-2025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45929</v>
      </c>
      <c r="E1027" s="1" t="n">
        <v>46257</v>
      </c>
      <c r="F1027" t="inlineStr">
        <is>
          <t>VÄSTERBOTTENS LÄN</t>
        </is>
      </c>
      <c r="G1027" t="inlineStr">
        <is>
          <t>LYCKSELE</t>
        </is>
      </c>
      <c r="I1027" t="n">
        <v>8.5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39321-2024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45551</v>
      </c>
      <c r="E1028" s="1" t="n">
        <v>46257</v>
      </c>
      <c r="F1028" t="inlineStr">
        <is>
          <t>VÄSTERBOTTENS LÄN</t>
        </is>
      </c>
      <c r="G1028" t="inlineStr">
        <is>
          <t>LYCKSELE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29034-2025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45821</v>
      </c>
      <c r="E1029" s="1" t="n">
        <v>46257</v>
      </c>
      <c r="F1029" t="inlineStr">
        <is>
          <t>VÄSTERBOTTENS LÄN</t>
        </is>
      </c>
      <c r="G1029" t="inlineStr">
        <is>
          <t>LYCKSELE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46562-2025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45926</v>
      </c>
      <c r="E1030" s="1" t="n">
        <v>46257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57666-2021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44484</v>
      </c>
      <c r="E1031" s="1" t="n">
        <v>46257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30945-2026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46213</v>
      </c>
      <c r="E1032" s="1" t="n">
        <v>46257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48585-2025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45936</v>
      </c>
      <c r="E1033" s="1" t="n">
        <v>46257</v>
      </c>
      <c r="F1033" t="inlineStr">
        <is>
          <t>VÄSTERBOTTENS LÄN</t>
        </is>
      </c>
      <c r="G1033" t="inlineStr">
        <is>
          <t>LYCKSELE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46254</v>
      </c>
      <c r="E1034" s="1" t="n">
        <v>46257</v>
      </c>
      <c r="F1034" t="inlineStr">
        <is>
          <t>VÄSTERBOTTENS LÄN</t>
        </is>
      </c>
      <c r="G1034" t="inlineStr">
        <is>
          <t>LYCKSELE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59569-2024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45638</v>
      </c>
      <c r="E1035" s="1" t="n">
        <v>46257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30962-2026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46213</v>
      </c>
      <c r="E1036" s="1" t="n">
        <v>46257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46257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34326-2026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46254</v>
      </c>
      <c r="E1038" s="1" t="n">
        <v>46257</v>
      </c>
      <c r="F1038" t="inlineStr">
        <is>
          <t>VÄSTERBOTTENS LÄN</t>
        </is>
      </c>
      <c r="G1038" t="inlineStr">
        <is>
          <t>LYCKSELE</t>
        </is>
      </c>
      <c r="I1038" t="n">
        <v>3.8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46692-2025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46257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43770-2025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45912</v>
      </c>
      <c r="E1040" s="1" t="n">
        <v>46257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34323-2026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46254</v>
      </c>
      <c r="E1041" s="1" t="n">
        <v>46257</v>
      </c>
      <c r="F1041" t="inlineStr">
        <is>
          <t>VÄSTERBOTTENS LÄN</t>
        </is>
      </c>
      <c r="G1041" t="inlineStr">
        <is>
          <t>LYCKSELE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46541-2022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44847</v>
      </c>
      <c r="E1042" s="1" t="n">
        <v>46257</v>
      </c>
      <c r="F1042" t="inlineStr">
        <is>
          <t>VÄSTERBOTTENS LÄN</t>
        </is>
      </c>
      <c r="G1042" t="inlineStr">
        <is>
          <t>LYCKSELE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52124-2024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46257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45895</v>
      </c>
      <c r="E1044" s="1" t="n">
        <v>46257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62547-2022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44924</v>
      </c>
      <c r="E1045" s="1" t="n">
        <v>46257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29835-2023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45107</v>
      </c>
      <c r="E1046" s="1" t="n">
        <v>46257</v>
      </c>
      <c r="F1046" t="inlineStr">
        <is>
          <t>VÄSTERBOTTENS LÄN</t>
        </is>
      </c>
      <c r="G1046" t="inlineStr">
        <is>
          <t>LYCKSELE</t>
        </is>
      </c>
      <c r="I1046" t="n">
        <v>17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46213</v>
      </c>
      <c r="E1047" s="1" t="n">
        <v>46257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36357-2024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45534</v>
      </c>
      <c r="E1048" s="1" t="n">
        <v>46257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6800-2025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45700</v>
      </c>
      <c r="E1049" s="1" t="n">
        <v>46257</v>
      </c>
      <c r="F1049" t="inlineStr">
        <is>
          <t>VÄSTERBOTTENS LÄN</t>
        </is>
      </c>
      <c r="G1049" t="inlineStr">
        <is>
          <t>LYCKSELE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30631-2026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46211</v>
      </c>
      <c r="E1050" s="1" t="n">
        <v>46257</v>
      </c>
      <c r="F1050" t="inlineStr">
        <is>
          <t>VÄSTERBOTTENS LÄN</t>
        </is>
      </c>
      <c r="G1050" t="inlineStr">
        <is>
          <t>LYCKSELE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60143-2022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44909</v>
      </c>
      <c r="E1051" s="1" t="n">
        <v>46257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7063-2022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44603</v>
      </c>
      <c r="E1052" s="1" t="n">
        <v>46257</v>
      </c>
      <c r="F1052" t="inlineStr">
        <is>
          <t>VÄSTERBOTTENS LÄN</t>
        </is>
      </c>
      <c r="G1052" t="inlineStr">
        <is>
          <t>LYCKSELE</t>
        </is>
      </c>
      <c r="I1052" t="n">
        <v>14.2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30890-2026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46213</v>
      </c>
      <c r="E1053" s="1" t="n">
        <v>46257</v>
      </c>
      <c r="F1053" t="inlineStr">
        <is>
          <t>VÄSTERBOTTENS LÄN</t>
        </is>
      </c>
      <c r="G1053" t="inlineStr">
        <is>
          <t>LYCKSELE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45176</v>
      </c>
      <c r="E1054" s="1" t="n">
        <v>46257</v>
      </c>
      <c r="F1054" t="inlineStr">
        <is>
          <t>VÄSTERBOTTENS LÄN</t>
        </is>
      </c>
      <c r="G1054" t="inlineStr">
        <is>
          <t>LYCKSELE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34508-2026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46255</v>
      </c>
      <c r="E1055" s="1" t="n">
        <v>46257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6.5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19059-2026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46257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46257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47697-2021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44448</v>
      </c>
      <c r="E1058" s="1" t="n">
        <v>46257</v>
      </c>
      <c r="F1058" t="inlineStr">
        <is>
          <t>VÄSTERBOTTENS LÄN</t>
        </is>
      </c>
      <c r="G1058" t="inlineStr">
        <is>
          <t>LYCKSELE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25573-2025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45803</v>
      </c>
      <c r="E1059" s="1" t="n">
        <v>46257</v>
      </c>
      <c r="F1059" t="inlineStr">
        <is>
          <t>VÄSTERBOTTENS LÄN</t>
        </is>
      </c>
      <c r="G1059" t="inlineStr">
        <is>
          <t>LYCKSELE</t>
        </is>
      </c>
      <c r="I1059" t="n">
        <v>6.3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34635-2024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45526</v>
      </c>
      <c r="E1060" s="1" t="n">
        <v>46257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58263-2025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45985</v>
      </c>
      <c r="E1061" s="1" t="n">
        <v>46257</v>
      </c>
      <c r="F1061" t="inlineStr">
        <is>
          <t>VÄSTERBOTTENS LÄN</t>
        </is>
      </c>
      <c r="G1061" t="inlineStr">
        <is>
          <t>LYCKSELE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54680-2024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45618</v>
      </c>
      <c r="E1062" s="1" t="n">
        <v>46257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50365-2024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45600</v>
      </c>
      <c r="E1063" s="1" t="n">
        <v>46257</v>
      </c>
      <c r="F1063" t="inlineStr">
        <is>
          <t>VÄSTERBOTTENS LÄN</t>
        </is>
      </c>
      <c r="G1063" t="inlineStr">
        <is>
          <t>LYCKSELE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8917-2023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44979</v>
      </c>
      <c r="E1064" s="1" t="n">
        <v>46257</v>
      </c>
      <c r="F1064" t="inlineStr">
        <is>
          <t>VÄSTERBOTTENS LÄN</t>
        </is>
      </c>
      <c r="G1064" t="inlineStr">
        <is>
          <t>LYCKSELE</t>
        </is>
      </c>
      <c r="I1064" t="n">
        <v>12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45447-2024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45576</v>
      </c>
      <c r="E1065" s="1" t="n">
        <v>46257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Naturvårdsverket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27595-2023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45097</v>
      </c>
      <c r="E1066" s="1" t="n">
        <v>46257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45406-2024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45576</v>
      </c>
      <c r="E1067" s="1" t="n">
        <v>46257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Naturvårdsverket</t>
        </is>
      </c>
      <c r="I1067" t="n">
        <v>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37658-2024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45541</v>
      </c>
      <c r="E1068" s="1" t="n">
        <v>46257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23295-2023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45075</v>
      </c>
      <c r="E1069" s="1" t="n">
        <v>46257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7.4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14343-2025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45741</v>
      </c>
      <c r="E1070" s="1" t="n">
        <v>46257</v>
      </c>
      <c r="F1070" t="inlineStr">
        <is>
          <t>VÄSTERBOTTENS LÄN</t>
        </is>
      </c>
      <c r="G1070" t="inlineStr">
        <is>
          <t>LYCKSELE</t>
        </is>
      </c>
      <c r="I1070" t="n">
        <v>6.4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52370-2022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44874</v>
      </c>
      <c r="E1071" s="1" t="n">
        <v>46257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53788-2024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45615</v>
      </c>
      <c r="E1072" s="1" t="n">
        <v>46257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24511-2025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46257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24518-2025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45798</v>
      </c>
      <c r="E1074" s="1" t="n">
        <v>46257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21080-2026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46257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46257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46257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46257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46257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48992-2023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45209</v>
      </c>
      <c r="E1081" s="1" t="n">
        <v>46257</v>
      </c>
      <c r="F1081" t="inlineStr">
        <is>
          <t>VÄSTERBOTTENS LÄN</t>
        </is>
      </c>
      <c r="G1081" t="inlineStr">
        <is>
          <t>LYCKSELE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21317-2026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46147</v>
      </c>
      <c r="E1082" s="1" t="n">
        <v>46257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24509-2025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45798</v>
      </c>
      <c r="E1083" s="1" t="n">
        <v>46257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21142-2026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46257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28528-2023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45103</v>
      </c>
      <c r="E1085" s="1" t="n">
        <v>46257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23679-2025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45793</v>
      </c>
      <c r="E1086" s="1" t="n">
        <v>46257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29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46257</v>
      </c>
      <c r="F1087" t="inlineStr">
        <is>
          <t>VÄSTERBOTTENS LÄN</t>
        </is>
      </c>
      <c r="G1087" t="inlineStr">
        <is>
          <t>LYCKSELE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23164-2022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44719</v>
      </c>
      <c r="E1088" s="1" t="n">
        <v>46257</v>
      </c>
      <c r="F1088" t="inlineStr">
        <is>
          <t>VÄSTERBOTTENS LÄN</t>
        </is>
      </c>
      <c r="G1088" t="inlineStr">
        <is>
          <t>LYCKSELE</t>
        </is>
      </c>
      <c r="I1088" t="n">
        <v>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21052-2026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46257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21079-2026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46257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21090-2026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46257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22720-2025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45789</v>
      </c>
      <c r="E1092" s="1" t="n">
        <v>46257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41728-2023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45176</v>
      </c>
      <c r="E1093" s="1" t="n">
        <v>46257</v>
      </c>
      <c r="F1093" t="inlineStr">
        <is>
          <t>VÄSTERBOTTENS LÄN</t>
        </is>
      </c>
      <c r="G1093" t="inlineStr">
        <is>
          <t>LYCKSELE</t>
        </is>
      </c>
      <c r="I1093" t="n">
        <v>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21642-2026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46149</v>
      </c>
      <c r="E1094" s="1" t="n">
        <v>46257</v>
      </c>
      <c r="F1094" t="inlineStr">
        <is>
          <t>VÄSTERBOTTENS LÄN</t>
        </is>
      </c>
      <c r="G1094" t="inlineStr">
        <is>
          <t>LYCKSELE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7001-2022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44603</v>
      </c>
      <c r="E1095" s="1" t="n">
        <v>46257</v>
      </c>
      <c r="F1095" t="inlineStr">
        <is>
          <t>VÄSTERBOTTENS LÄN</t>
        </is>
      </c>
      <c r="G1095" t="inlineStr">
        <is>
          <t>LYCKSELE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20287-2022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44698</v>
      </c>
      <c r="E1096" s="1" t="n">
        <v>46257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8577-2026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46065</v>
      </c>
      <c r="E1097" s="1" t="n">
        <v>46257</v>
      </c>
      <c r="F1097" t="inlineStr">
        <is>
          <t>VÄSTERBOTTENS LÄN</t>
        </is>
      </c>
      <c r="G1097" t="inlineStr">
        <is>
          <t>LYCKSELE</t>
        </is>
      </c>
      <c r="I1097" t="n">
        <v>9.9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43566-2024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45569</v>
      </c>
      <c r="E1098" s="1" t="n">
        <v>46257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21918-2026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46257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26358-2023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45091</v>
      </c>
      <c r="E1100" s="1" t="n">
        <v>46257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26071-2024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45468</v>
      </c>
      <c r="E1101" s="1" t="n">
        <v>46257</v>
      </c>
      <c r="F1101" t="inlineStr">
        <is>
          <t>VÄSTERBOTTENS LÄN</t>
        </is>
      </c>
      <c r="G1101" t="inlineStr">
        <is>
          <t>LYCKSELE</t>
        </is>
      </c>
      <c r="I1101" t="n">
        <v>8.1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61799-2023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45265</v>
      </c>
      <c r="E1102" s="1" t="n">
        <v>46257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46257</v>
      </c>
      <c r="F1103" t="inlineStr">
        <is>
          <t>VÄSTERBOTTENS LÄN</t>
        </is>
      </c>
      <c r="G1103" t="inlineStr">
        <is>
          <t>LYCKSELE</t>
        </is>
      </c>
      <c r="I1103" t="n">
        <v>18.8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45672</v>
      </c>
      <c r="E1104" s="1" t="n">
        <v>46257</v>
      </c>
      <c r="F1104" t="inlineStr">
        <is>
          <t>VÄSTERBOTTENS LÄN</t>
        </is>
      </c>
      <c r="G1104" t="inlineStr">
        <is>
          <t>LYCKSELE</t>
        </is>
      </c>
      <c r="I1104" t="n">
        <v>5.6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36274-2024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45534</v>
      </c>
      <c r="E1105" s="1" t="n">
        <v>46257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22654-2026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46257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57108-2024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45629</v>
      </c>
      <c r="E1107" s="1" t="n">
        <v>46257</v>
      </c>
      <c r="F1107" t="inlineStr">
        <is>
          <t>VÄSTERBOTTENS LÄN</t>
        </is>
      </c>
      <c r="G1107" t="inlineStr">
        <is>
          <t>LYCKSELE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57109-2024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45629</v>
      </c>
      <c r="E1108" s="1" t="n">
        <v>46257</v>
      </c>
      <c r="F1108" t="inlineStr">
        <is>
          <t>VÄSTERBOTTENS LÄN</t>
        </is>
      </c>
      <c r="G1108" t="inlineStr">
        <is>
          <t>LYCKSELE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17393-2023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46257</v>
      </c>
      <c r="F1109" t="inlineStr">
        <is>
          <t>VÄSTERBOTTENS LÄN</t>
        </is>
      </c>
      <c r="G1109" t="inlineStr">
        <is>
          <t>LYCKSELE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16563-2024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45408</v>
      </c>
      <c r="E1110" s="1" t="n">
        <v>46257</v>
      </c>
      <c r="F1110" t="inlineStr">
        <is>
          <t>VÄSTERBOTTENS LÄN</t>
        </is>
      </c>
      <c r="G1110" t="inlineStr">
        <is>
          <t>LYCKSELE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22285-2026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46257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26531-2024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45469</v>
      </c>
      <c r="E1112" s="1" t="n">
        <v>46257</v>
      </c>
      <c r="F1112" t="inlineStr">
        <is>
          <t>VÄSTERBOTTENS LÄN</t>
        </is>
      </c>
      <c r="G1112" t="inlineStr">
        <is>
          <t>LYCKSELE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20685-2025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45776</v>
      </c>
      <c r="E1113" s="1" t="n">
        <v>46257</v>
      </c>
      <c r="F1113" t="inlineStr">
        <is>
          <t>VÄSTERBOTTENS LÄN</t>
        </is>
      </c>
      <c r="G1113" t="inlineStr">
        <is>
          <t>LYCKSELE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21046-2025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45777</v>
      </c>
      <c r="E1114" s="1" t="n">
        <v>46257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20979-2025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45777</v>
      </c>
      <c r="E1115" s="1" t="n">
        <v>46257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22685-2026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46156</v>
      </c>
      <c r="E1116" s="1" t="n">
        <v>46257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21266-2025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45779</v>
      </c>
      <c r="E1117" s="1" t="n">
        <v>46257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21888-2025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45784</v>
      </c>
      <c r="E1118" s="1" t="n">
        <v>46257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22127-2025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45785</v>
      </c>
      <c r="E1119" s="1" t="n">
        <v>46257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21861-2025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45784</v>
      </c>
      <c r="E1120" s="1" t="n">
        <v>46257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23356-2026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46257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2.9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23391-2026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46257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10.2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22759-2025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45789</v>
      </c>
      <c r="E1123" s="1" t="n">
        <v>46257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45786</v>
      </c>
      <c r="E1124" s="1" t="n">
        <v>46257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32474-2024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45513</v>
      </c>
      <c r="E1125" s="1" t="n">
        <v>46257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22309-2025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46257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45786</v>
      </c>
      <c r="E1127" s="1" t="n">
        <v>46257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64391-2023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45280</v>
      </c>
      <c r="E1128" s="1" t="n">
        <v>46257</v>
      </c>
      <c r="F1128" t="inlineStr">
        <is>
          <t>VÄSTERBOTTENS LÄN</t>
        </is>
      </c>
      <c r="G1128" t="inlineStr">
        <is>
          <t>LYCKSELE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22343-2025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46257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51842-2025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45952</v>
      </c>
      <c r="E1130" s="1" t="n">
        <v>46257</v>
      </c>
      <c r="F1130" t="inlineStr">
        <is>
          <t>VÄSTERBOTTENS LÄN</t>
        </is>
      </c>
      <c r="G1130" t="inlineStr">
        <is>
          <t>LYCKSELE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22453-2025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45786</v>
      </c>
      <c r="E1131" s="1" t="n">
        <v>46257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22456-2025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45786</v>
      </c>
      <c r="E1132" s="1" t="n">
        <v>46257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4.2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45793</v>
      </c>
      <c r="E1133" s="1" t="n">
        <v>46257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24129-2025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45796</v>
      </c>
      <c r="E1134" s="1" t="n">
        <v>46257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48997-2021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44453</v>
      </c>
      <c r="E1135" s="1" t="n">
        <v>46257</v>
      </c>
      <c r="F1135" t="inlineStr">
        <is>
          <t>VÄSTERBOTTENS LÄN</t>
        </is>
      </c>
      <c r="G1135" t="inlineStr">
        <is>
          <t>LYCKSELE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45503-2021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44440</v>
      </c>
      <c r="E1136" s="1" t="n">
        <v>46257</v>
      </c>
      <c r="F1136" t="inlineStr">
        <is>
          <t>VÄSTERBOTTENS LÄN</t>
        </is>
      </c>
      <c r="G1136" t="inlineStr">
        <is>
          <t>LYCKSELE</t>
        </is>
      </c>
      <c r="I1136" t="n">
        <v>29.1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60226-2022</t>
        </is>
      </c>
      <c r="B1137" t="inlineStr">
        <is>
          <t>avverkningsanmälan</t>
        </is>
      </c>
      <c r="C1137" t="inlineStr">
        <is>
          <t>Avverkning för att bevara och utveckla /försöksver</t>
        </is>
      </c>
      <c r="D1137" s="1" t="n">
        <v>44910</v>
      </c>
      <c r="E1137" s="1" t="n">
        <v>46257</v>
      </c>
      <c r="F1137" t="inlineStr">
        <is>
          <t>VÄSTERBOTTENS LÄN</t>
        </is>
      </c>
      <c r="G1137" t="inlineStr">
        <is>
          <t>LYCKSELE</t>
        </is>
      </c>
      <c r="I1137" t="n">
        <v>5.4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23315-2024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45453</v>
      </c>
      <c r="E1138" s="1" t="n">
        <v>46257</v>
      </c>
      <c r="F1138" t="inlineStr">
        <is>
          <t>VÄSTERBOTTENS LÄN</t>
        </is>
      </c>
      <c r="G1138" t="inlineStr">
        <is>
          <t>LYCKSELE</t>
        </is>
      </c>
      <c r="I1138" t="n">
        <v>7.3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31848-2024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45509</v>
      </c>
      <c r="E1139" s="1" t="n">
        <v>46257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24514-2025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45798</v>
      </c>
      <c r="E1140" s="1" t="n">
        <v>46257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8.300000000000001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24770-2025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46257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8.5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25061-2025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45799</v>
      </c>
      <c r="E1142" s="1" t="n">
        <v>46257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24729-2025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46257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46257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1133-2024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45393</v>
      </c>
      <c r="E1145" s="1" t="n">
        <v>46257</v>
      </c>
      <c r="F1145" t="inlineStr">
        <is>
          <t>VÄSTERBOTTENS LÄN</t>
        </is>
      </c>
      <c r="G1145" t="inlineStr">
        <is>
          <t>LYCKSELE</t>
        </is>
      </c>
      <c r="I1145" t="n">
        <v>33.1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6646-2021</t>
        </is>
      </c>
      <c r="B1146" t="inlineStr">
        <is>
          <t>samrådsanmälan</t>
        </is>
      </c>
      <c r="C1146" t="inlineStr">
        <is>
          <t>Basväg</t>
        </is>
      </c>
      <c r="D1146" s="1" t="n">
        <v>44455</v>
      </c>
      <c r="E1146" s="1" t="n">
        <v>46257</v>
      </c>
      <c r="F1146" t="inlineStr">
        <is>
          <t>VÄSTERBOTTENS LÄN</t>
        </is>
      </c>
      <c r="G1146" t="inlineStr">
        <is>
          <t>LYCKSELE</t>
        </is>
      </c>
      <c r="I1146" t="n">
        <v>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4195-2023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45250</v>
      </c>
      <c r="E1147" s="1" t="n">
        <v>46257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63.8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1398-2023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46257</v>
      </c>
      <c r="F1148" t="inlineStr">
        <is>
          <t>VÄSTERBOTTENS LÄN</t>
        </is>
      </c>
      <c r="G1148" t="inlineStr">
        <is>
          <t>LYCKSELE</t>
        </is>
      </c>
      <c r="I1148" t="n">
        <v>21.5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827-2022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44603</v>
      </c>
      <c r="E1149" s="1" t="n">
        <v>46257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42.7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1378-2023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45040</v>
      </c>
      <c r="E1150" s="1" t="n">
        <v>46257</v>
      </c>
      <c r="F1150" t="inlineStr">
        <is>
          <t>VÄSTERBOTTENS LÄN</t>
        </is>
      </c>
      <c r="G1150" t="inlineStr">
        <is>
          <t>LYCKSELE</t>
        </is>
      </c>
      <c r="I1150" t="n">
        <v>33.1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1656-2024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45426</v>
      </c>
      <c r="E1151" s="1" t="n">
        <v>46257</v>
      </c>
      <c r="F1151" t="inlineStr">
        <is>
          <t>VÄSTERBOTTENS LÄN</t>
        </is>
      </c>
      <c r="G1151" t="inlineStr">
        <is>
          <t>LYCKSELE</t>
        </is>
      </c>
      <c r="I1151" t="n">
        <v>56.6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523-2024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45348</v>
      </c>
      <c r="E1152" s="1" t="n">
        <v>46257</v>
      </c>
      <c r="F1152" t="inlineStr">
        <is>
          <t>VÄSTERBOTTENS LÄN</t>
        </is>
      </c>
      <c r="G1152" t="inlineStr">
        <is>
          <t>LYCKSELE</t>
        </is>
      </c>
      <c r="I1152" t="n">
        <v>19.9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3789-2024</t>
        </is>
      </c>
      <c r="B1153" t="inlineStr">
        <is>
          <t>samrådsanmälan</t>
        </is>
      </c>
      <c r="C1153" t="inlineStr">
        <is>
          <t>Annan skogsbruksåtgärd</t>
        </is>
      </c>
      <c r="D1153" s="1" t="n">
        <v>45558</v>
      </c>
      <c r="E1153" s="1" t="n">
        <v>46257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9.800000000000001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271-2024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45323</v>
      </c>
      <c r="E1154" s="1" t="n">
        <v>46257</v>
      </c>
      <c r="F1154" t="inlineStr">
        <is>
          <t>VÄSTERBOTTENS LÄN</t>
        </is>
      </c>
      <c r="G1154" t="inlineStr">
        <is>
          <t>LYCKSELE</t>
        </is>
      </c>
      <c r="I1154" t="n">
        <v>48.7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165-2022</t>
        </is>
      </c>
      <c r="B1155" t="inlineStr">
        <is>
          <t>samrådsanmälan</t>
        </is>
      </c>
      <c r="C1155" t="inlineStr">
        <is>
          <t>Skogsbilväg</t>
        </is>
      </c>
      <c r="D1155" s="1" t="n">
        <v>44572</v>
      </c>
      <c r="E1155" s="1" t="n">
        <v>46257</v>
      </c>
      <c r="F1155" t="inlineStr">
        <is>
          <t>VÄSTERBOTTENS LÄN</t>
        </is>
      </c>
      <c r="G1155" t="inlineStr">
        <is>
          <t>LYCKSELE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1132-2024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45393</v>
      </c>
      <c r="E1156" s="1" t="n">
        <v>46257</v>
      </c>
      <c r="F1156" t="inlineStr">
        <is>
          <t>VÄSTERBOTTENS LÄN</t>
        </is>
      </c>
      <c r="G1156" t="inlineStr">
        <is>
          <t>LYCKSELE</t>
        </is>
      </c>
      <c r="I1156" t="n">
        <v>19.2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897-2022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44607</v>
      </c>
      <c r="E1157" s="1" t="n">
        <v>46257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264.9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46257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46257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46257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46257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46257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46257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46257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46257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46257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46257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2026-08-23T01:54:42Z</dcterms:created>
  <dcterms:modified xmlns:dcterms="http://purl.org/dc/terms/" xmlns:xsi="http://www.w3.org/2001/XMLSchema-instance" xsi:type="dcterms:W3CDTF">2026-08-23T01:54:43Z</dcterms:modified>
</cp:coreProperties>
</file>