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46241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46241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46241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46241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46241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46241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46241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46241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46241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46241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46241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46241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46241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46241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46241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46241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46241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46241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46241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46241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46241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46241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46241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46241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46241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46241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46241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46241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46241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46241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46241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46241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46241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46241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46241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46241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46241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46241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46241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46241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46241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46241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46241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46241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46241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46241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46241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46241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46241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46241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46241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Doftticka
Blå taggsvamp
Dropptaggsvamp</t>
        </is>
      </c>
      <c r="W53">
        <f>HYPERLINK("https://klasma.github.io/Logging_2481/artfynd/A 54802-2024 artfynd.xlsx", "A 54802-2024")</f>
        <v/>
      </c>
      <c r="X53">
        <f>HYPERLINK("https://klasma.github.io/Logging_2481/kartor/A 54802-2024 karta.png", "A 54802-2024")</f>
        <v/>
      </c>
      <c r="Y53">
        <f>HYPERLINK("https://klasma.github.io/Logging_2481/kartor_geotiff/A 54802-2024 georefererad karta.tif", "A 54802-2024")</f>
        <v/>
      </c>
      <c r="AA53">
        <f>HYPERLINK("https://klasma.github.io/Logging_2481/klagomål/A 54802-2024 FSC-klagomål.docx", "A 54802-2024")</f>
        <v/>
      </c>
      <c r="AB53">
        <f>HYPERLINK("https://klasma.github.io/Logging_2481/klagomålsmail/A 54802-2024 FSC-klagomål mail.docx", "A 54802-2024")</f>
        <v/>
      </c>
      <c r="AC53">
        <f>HYPERLINK("https://klasma.github.io/Logging_2481/tillsyn/A 54802-2024 tillsynsbegäran.docx", "A 54802-2024")</f>
        <v/>
      </c>
      <c r="AD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46241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46241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Kolflarnlav
Motaggsvamp</t>
        </is>
      </c>
      <c r="W55">
        <f>HYPERLINK("https://klasma.github.io/Logging_2481/artfynd/A 60422-2024 artfynd.xlsx", "A 60422-2024")</f>
        <v/>
      </c>
      <c r="X55">
        <f>HYPERLINK("https://klasma.github.io/Logging_2481/kartor/A 60422-2024 karta.png", "A 60422-2024")</f>
        <v/>
      </c>
      <c r="Y55">
        <f>HYPERLINK("https://klasma.github.io/Logging_2481/kartor_geotiff/A 60422-2024 georefererad karta.tif", "A 60422-2024")</f>
        <v/>
      </c>
      <c r="AA55">
        <f>HYPERLINK("https://klasma.github.io/Logging_2481/klagomål/A 60422-2024 FSC-klagomål.docx", "A 60422-2024")</f>
        <v/>
      </c>
      <c r="AB55">
        <f>HYPERLINK("https://klasma.github.io/Logging_2481/klagomålsmail/A 60422-2024 FSC-klagomål mail.docx", "A 60422-2024")</f>
        <v/>
      </c>
      <c r="AC55">
        <f>HYPERLINK("https://klasma.github.io/Logging_2481/tillsyn/A 60422-2024 tillsynsbegäran.docx", "A 60422-2024")</f>
        <v/>
      </c>
      <c r="AD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46241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53115-2024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45611</v>
      </c>
      <c r="E57" s="1" t="n">
        <v>46241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4.1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Blå taggsvamp
Kolflarnlav
Orange taggsvamp</t>
        </is>
      </c>
      <c r="W57">
        <f>HYPERLINK("https://klasma.github.io/Logging_2481/artfynd/A 53115-2024 artfynd.xlsx", "A 53115-2024")</f>
        <v/>
      </c>
      <c r="X57">
        <f>HYPERLINK("https://klasma.github.io/Logging_2481/kartor/A 53115-2024 karta.png", "A 53115-2024")</f>
        <v/>
      </c>
      <c r="Y57">
        <f>HYPERLINK("https://klasma.github.io/Logging_2481/kartor_geotiff/A 53115-2024 georefererad karta.tif", "A 53115-2024")</f>
        <v/>
      </c>
      <c r="AA57">
        <f>HYPERLINK("https://klasma.github.io/Logging_2481/klagomål/A 53115-2024 FSC-klagomål.docx", "A 53115-2024")</f>
        <v/>
      </c>
      <c r="AB57">
        <f>HYPERLINK("https://klasma.github.io/Logging_2481/klagomålsmail/A 53115-2024 FSC-klagomål mail.docx", "A 53115-2024")</f>
        <v/>
      </c>
      <c r="AC57">
        <f>HYPERLINK("https://klasma.github.io/Logging_2481/tillsyn/A 53115-2024 tillsynsbegäran.docx", "A 53115-2024")</f>
        <v/>
      </c>
      <c r="AD57">
        <f>HYPERLINK("https://klasma.github.io/Logging_2481/tillsynsmail/A 53115-2024 tillsynsbegäran mail.docx", "A 53115-2024")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46241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6684-2023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44963</v>
      </c>
      <c r="E59" s="1" t="n">
        <v>46241</v>
      </c>
      <c r="F59" t="inlineStr">
        <is>
          <t>VÄSTERBOTTENS LÄN</t>
        </is>
      </c>
      <c r="G59" t="inlineStr">
        <is>
          <t>LYCKSELE</t>
        </is>
      </c>
      <c r="I59" t="n">
        <v>2.7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4</v>
      </c>
      <c r="V59" s="2" t="inlineStr">
        <is>
          <t>Garnlav
Lunglav
Stuplav</t>
        </is>
      </c>
      <c r="W59">
        <f>HYPERLINK("https://klasma.github.io/Logging_2481/artfynd/A 6684-2023 artfynd.xlsx", "A 6684-2023")</f>
        <v/>
      </c>
      <c r="X59">
        <f>HYPERLINK("https://klasma.github.io/Logging_2481/kartor/A 6684-2023 karta.png", "A 6684-2023")</f>
        <v/>
      </c>
      <c r="Y59">
        <f>HYPERLINK("https://klasma.github.io/Logging_2481/kartor_geotiff/A 6684-2023 georefererad karta.tif", "A 6684-2023")</f>
        <v/>
      </c>
      <c r="AA59">
        <f>HYPERLINK("https://klasma.github.io/Logging_2481/klagomål/A 6684-2023 FSC-klagomål.docx", "A 6684-2023")</f>
        <v/>
      </c>
      <c r="AB59">
        <f>HYPERLINK("https://klasma.github.io/Logging_2481/klagomålsmail/A 6684-2023 FSC-klagomål mail.docx", "A 6684-2023")</f>
        <v/>
      </c>
      <c r="AC59">
        <f>HYPERLINK("https://klasma.github.io/Logging_2481/tillsyn/A 6684-2023 tillsynsbegäran.docx", "A 6684-2023")</f>
        <v/>
      </c>
      <c r="AD59">
        <f>HYPERLINK("https://klasma.github.io/Logging_2481/tillsynsmail/A 6684-2023 tillsynsbegäran mail.docx", "A 6684-2023")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46241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Strutbräken
Stuplav</t>
        </is>
      </c>
      <c r="W60">
        <f>HYPERLINK("https://klasma.github.io/Logging_2481/artfynd/A 57179-2025 artfynd.xlsx", "A 57179-2025")</f>
        <v/>
      </c>
      <c r="X60">
        <f>HYPERLINK("https://klasma.github.io/Logging_2481/kartor/A 57179-2025 karta.png", "A 57179-2025")</f>
        <v/>
      </c>
      <c r="Y60">
        <f>HYPERLINK("https://klasma.github.io/Logging_2481/kartor_geotiff/A 57179-2025 georefererad karta.tif", "A 57179-2025")</f>
        <v/>
      </c>
      <c r="AA60">
        <f>HYPERLINK("https://klasma.github.io/Logging_2481/klagomål/A 57179-2025 FSC-klagomål.docx", "A 57179-2025")</f>
        <v/>
      </c>
      <c r="AB60">
        <f>HYPERLINK("https://klasma.github.io/Logging_2481/klagomålsmail/A 57179-2025 FSC-klagomål mail.docx", "A 57179-2025")</f>
        <v/>
      </c>
      <c r="AC60">
        <f>HYPERLINK("https://klasma.github.io/Logging_2481/tillsyn/A 57179-2025 tillsynsbegäran.docx", "A 57179-2025")</f>
        <v/>
      </c>
      <c r="AD60">
        <f>HYPERLINK("https://klasma.github.io/Logging_2481/tillsynsmail/A 57179-2025 tillsynsbegäran mail.docx", "A 57179-2025")</f>
        <v/>
      </c>
    </row>
    <row r="61" ht="15" customHeight="1">
      <c r="A61" t="inlineStr">
        <is>
          <t>A 53808-2023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45231</v>
      </c>
      <c r="E61" s="1" t="n">
        <v>46241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1.8</v>
      </c>
      <c r="J61" t="n">
        <v>0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Vedflamlav
Brandticka
Gullgröppa</t>
        </is>
      </c>
      <c r="W61">
        <f>HYPERLINK("https://klasma.github.io/Logging_2481/artfynd/A 53808-2023 artfynd.xlsx", "A 53808-2023")</f>
        <v/>
      </c>
      <c r="X61">
        <f>HYPERLINK("https://klasma.github.io/Logging_2481/kartor/A 53808-2023 karta.png", "A 53808-2023")</f>
        <v/>
      </c>
      <c r="Y61">
        <f>HYPERLINK("https://klasma.github.io/Logging_2481/kartor_geotiff/A 53808-2023 georefererad karta.tif", "A 53808-2023")</f>
        <v/>
      </c>
      <c r="AA61">
        <f>HYPERLINK("https://klasma.github.io/Logging_2481/klagomål/A 53808-2023 FSC-klagomål.docx", "A 53808-2023")</f>
        <v/>
      </c>
      <c r="AB61">
        <f>HYPERLINK("https://klasma.github.io/Logging_2481/klagomålsmail/A 53808-2023 FSC-klagomål mail.docx", "A 53808-2023")</f>
        <v/>
      </c>
      <c r="AC61">
        <f>HYPERLINK("https://klasma.github.io/Logging_2481/tillsyn/A 53808-2023 tillsynsbegäran.docx", "A 53808-2023")</f>
        <v/>
      </c>
      <c r="AD61">
        <f>HYPERLINK("https://klasma.github.io/Logging_2481/tillsynsmail/A 53808-2023 tillsynsbegäran mail.docx", "A 53808-2023")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46241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52891-2024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46241</v>
      </c>
      <c r="F63" t="inlineStr">
        <is>
          <t>VÄSTERBOTTENS LÄN</t>
        </is>
      </c>
      <c r="G63" t="inlineStr">
        <is>
          <t>LYCKSELE</t>
        </is>
      </c>
      <c r="H63" t="inlineStr">
        <is>
          <t>Holmen skog AB</t>
        </is>
      </c>
      <c r="I63" t="n">
        <v>5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7</v>
      </c>
      <c r="U63" t="n">
        <v>7</v>
      </c>
      <c r="V63" s="2" t="inlineStr">
        <is>
          <t>Garnlav
Lunglav
Bårdlav</t>
        </is>
      </c>
      <c r="W63">
        <f>HYPERLINK("https://klasma.github.io/Logging_2481/artfynd/A 52891-2024 artfynd.xlsx", "A 52891-2024")</f>
        <v/>
      </c>
      <c r="X63">
        <f>HYPERLINK("https://klasma.github.io/Logging_2481/kartor/A 52891-2024 karta.png", "A 52891-2024")</f>
        <v/>
      </c>
      <c r="Y63">
        <f>HYPERLINK("https://klasma.github.io/Logging_2481/kartor_geotiff/A 52891-2024 georefererad karta.tif", "A 52891-2024")</f>
        <v/>
      </c>
      <c r="AA63">
        <f>HYPERLINK("https://klasma.github.io/Logging_2481/klagomål/A 52891-2024 FSC-klagomål.docx", "A 52891-2024")</f>
        <v/>
      </c>
      <c r="AB63">
        <f>HYPERLINK("https://klasma.github.io/Logging_2481/klagomålsmail/A 52891-2024 FSC-klagomål mail.docx", "A 52891-2024")</f>
        <v/>
      </c>
      <c r="AC63">
        <f>HYPERLINK("https://klasma.github.io/Logging_2481/tillsyn/A 52891-2024 tillsynsbegäran.docx", "A 52891-2024")</f>
        <v/>
      </c>
      <c r="AD63">
        <f>HYPERLINK("https://klasma.github.io/Logging_2481/tillsynsmail/A 52891-2024 tillsynsbegäran mail.docx", "A 52891-2024")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46241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46241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46241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59276-2024 artfynd.xlsx", "A 59276-2024")</f>
        <v/>
      </c>
      <c r="X66">
        <f>HYPERLINK("https://klasma.github.io/Logging_2481/kartor/A 59276-2024 karta.png", "A 59276-2024")</f>
        <v/>
      </c>
      <c r="Y66">
        <f>HYPERLINK("https://klasma.github.io/Logging_2481/kartor_geotiff/A 59276-2024 georefererad karta.tif", "A 59276-2024")</f>
        <v/>
      </c>
      <c r="AA66">
        <f>HYPERLINK("https://klasma.github.io/Logging_2481/klagomål/A 59276-2024 FSC-klagomål.docx", "A 59276-2024")</f>
        <v/>
      </c>
      <c r="AB66">
        <f>HYPERLINK("https://klasma.github.io/Logging_2481/klagomålsmail/A 59276-2024 FSC-klagomål mail.docx", "A 59276-2024")</f>
        <v/>
      </c>
      <c r="AC66">
        <f>HYPERLINK("https://klasma.github.io/Logging_2481/tillsyn/A 59276-2024 tillsynsbegäran.docx", "A 59276-2024")</f>
        <v/>
      </c>
      <c r="AD66">
        <f>HYPERLINK("https://klasma.github.io/Logging_2481/tillsynsmail/A 59276-2024 tillsynsbegäran mail.docx", "A 59276-2024")</f>
        <v/>
      </c>
    </row>
    <row r="67" ht="15" customHeight="1">
      <c r="A67" t="inlineStr">
        <is>
          <t>A 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46241</v>
      </c>
      <c r="F67" t="inlineStr">
        <is>
          <t>VÄSTERBOTTENS LÄN</t>
        </is>
      </c>
      <c r="G67" t="inlineStr">
        <is>
          <t>LYCKSELE</t>
        </is>
      </c>
      <c r="I67" t="n">
        <v>11.3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Skrovellav
Luddlav</t>
        </is>
      </c>
      <c r="W67">
        <f>HYPERLINK("https://klasma.github.io/Logging_2481/artfynd/A 679-2024 artfynd.xlsx", "A 679-2024")</f>
        <v/>
      </c>
      <c r="X67">
        <f>HYPERLINK("https://klasma.github.io/Logging_2481/kartor/A 679-2024 karta.png", "A 679-2024")</f>
        <v/>
      </c>
      <c r="Y67">
        <f>HYPERLINK("https://klasma.github.io/Logging_2481/kartor_geotiff/A 679-2024 georefererad karta.tif", "A 679-2024")</f>
        <v/>
      </c>
      <c r="AA67">
        <f>HYPERLINK("https://klasma.github.io/Logging_2481/klagomål/A 679-2024 FSC-klagomål.docx", "A 679-2024")</f>
        <v/>
      </c>
      <c r="AB67">
        <f>HYPERLINK("https://klasma.github.io/Logging_2481/klagomålsmail/A 679-2024 FSC-klagomål mail.docx", "A 679-2024")</f>
        <v/>
      </c>
      <c r="AC67">
        <f>HYPERLINK("https://klasma.github.io/Logging_2481/tillsyn/A 679-2024 tillsynsbegäran.docx", "A 679-2024")</f>
        <v/>
      </c>
      <c r="AD67">
        <f>HYPERLINK("https://klasma.github.io/Logging_2481/tillsynsmail/A 679-2024 tillsynsbegäran mail.docx", "A 679-2024")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46241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57357-2024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46241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9.699999999999999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Doftskinn
Gammelgransskål</t>
        </is>
      </c>
      <c r="W69">
        <f>HYPERLINK("https://klasma.github.io/Logging_2481/artfynd/A 57357-2024 artfynd.xlsx", "A 57357-2024")</f>
        <v/>
      </c>
      <c r="X69">
        <f>HYPERLINK("https://klasma.github.io/Logging_2481/kartor/A 57357-2024 karta.png", "A 57357-2024")</f>
        <v/>
      </c>
      <c r="Y69">
        <f>HYPERLINK("https://klasma.github.io/Logging_2481/kartor_geotiff/A 57357-2024 georefererad karta.tif", "A 57357-2024")</f>
        <v/>
      </c>
      <c r="AA69">
        <f>HYPERLINK("https://klasma.github.io/Logging_2481/klagomål/A 57357-2024 FSC-klagomål.docx", "A 57357-2024")</f>
        <v/>
      </c>
      <c r="AB69">
        <f>HYPERLINK("https://klasma.github.io/Logging_2481/klagomålsmail/A 57357-2024 FSC-klagomål mail.docx", "A 57357-2024")</f>
        <v/>
      </c>
      <c r="AC69">
        <f>HYPERLINK("https://klasma.github.io/Logging_2481/tillsyn/A 57357-2024 tillsynsbegäran.docx", "A 57357-2024")</f>
        <v/>
      </c>
      <c r="AD69">
        <f>HYPERLINK("https://klasma.github.io/Logging_2481/tillsynsmail/A 57357-2024 tillsynsbegäran mail.docx", "A 57357-2024")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46241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30608-2025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45831</v>
      </c>
      <c r="E71" s="1" t="n">
        <v>46241</v>
      </c>
      <c r="F71" t="inlineStr">
        <is>
          <t>VÄSTERBOTTENS LÄN</t>
        </is>
      </c>
      <c r="G71" t="inlineStr">
        <is>
          <t>LYCKSELE</t>
        </is>
      </c>
      <c r="H71" t="inlineStr">
        <is>
          <t>Holmen skog AB</t>
        </is>
      </c>
      <c r="I71" t="n">
        <v>3.2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4</v>
      </c>
      <c r="U71" t="n">
        <v>0</v>
      </c>
      <c r="V71" s="2" t="inlineStr">
        <is>
          <t>Myrstarr
Lunglav
Fläcknycklar</t>
        </is>
      </c>
      <c r="W71">
        <f>HYPERLINK("https://klasma.github.io/Logging_2481/artfynd/A 30608-2025 artfynd.xlsx", "A 30608-2025")</f>
        <v/>
      </c>
      <c r="X71">
        <f>HYPERLINK("https://klasma.github.io/Logging_2481/kartor/A 30608-2025 karta.png", "A 30608-2025")</f>
        <v/>
      </c>
      <c r="Y71">
        <f>HYPERLINK("https://klasma.github.io/Logging_2481/kartor_geotiff/A 30608-2025 georefererad karta.tif", "A 30608-2025")</f>
        <v/>
      </c>
      <c r="AA71">
        <f>HYPERLINK("https://klasma.github.io/Logging_2481/klagomål/A 30608-2025 FSC-klagomål.docx", "A 30608-2025")</f>
        <v/>
      </c>
      <c r="AB71">
        <f>HYPERLINK("https://klasma.github.io/Logging_2481/klagomålsmail/A 30608-2025 FSC-klagomål mail.docx", "A 30608-2025")</f>
        <v/>
      </c>
      <c r="AC71">
        <f>HYPERLINK("https://klasma.github.io/Logging_2481/tillsyn/A 30608-2025 tillsynsbegäran.docx", "A 30608-2025")</f>
        <v/>
      </c>
      <c r="AD71">
        <f>HYPERLINK("https://klasma.github.io/Logging_2481/tillsynsmail/A 30608-2025 tillsynsbegäran mail.docx", "A 30608-2025")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46241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46241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46241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 taggsvamp
Orange taggsvamp</t>
        </is>
      </c>
      <c r="W74">
        <f>HYPERLINK("https://klasma.github.io/Logging_2481/artfynd/A 20111-2025 artfynd.xlsx", "A 20111-2025")</f>
        <v/>
      </c>
      <c r="X74">
        <f>HYPERLINK("https://klasma.github.io/Logging_2481/kartor/A 20111-2025 karta.png", "A 20111-2025")</f>
        <v/>
      </c>
      <c r="Y74">
        <f>HYPERLINK("https://klasma.github.io/Logging_2481/kartor_geotiff/A 20111-2025 georefererad karta.tif", "A 20111-2025")</f>
        <v/>
      </c>
      <c r="AA74">
        <f>HYPERLINK("https://klasma.github.io/Logging_2481/klagomål/A 20111-2025 FSC-klagomål.docx", "A 20111-2025")</f>
        <v/>
      </c>
      <c r="AB74">
        <f>HYPERLINK("https://klasma.github.io/Logging_2481/klagomålsmail/A 20111-2025 FSC-klagomål mail.docx", "A 20111-2025")</f>
        <v/>
      </c>
      <c r="AC74">
        <f>HYPERLINK("https://klasma.github.io/Logging_2481/tillsyn/A 20111-2025 tillsynsbegäran.docx", "A 20111-2025")</f>
        <v/>
      </c>
      <c r="AD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46241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t="n">
        <v>4</v>
      </c>
      <c r="V75" s="2" t="inlineStr">
        <is>
          <t>Lunglav
Tallticka</t>
        </is>
      </c>
      <c r="W75">
        <f>HYPERLINK("https://klasma.github.io/Logging_2481/artfynd/A 28515-2023 artfynd.xlsx", "A 28515-2023")</f>
        <v/>
      </c>
      <c r="X75">
        <f>HYPERLINK("https://klasma.github.io/Logging_2481/kartor/A 28515-2023 karta.png", "A 28515-2023")</f>
        <v/>
      </c>
      <c r="Y75">
        <f>HYPERLINK("https://klasma.github.io/Logging_2481/kartor_geotiff/A 28515-2023 georefererad karta.tif", "A 28515-2023")</f>
        <v/>
      </c>
      <c r="AA75">
        <f>HYPERLINK("https://klasma.github.io/Logging_2481/klagomål/A 28515-2023 FSC-klagomål.docx", "A 28515-2023")</f>
        <v/>
      </c>
      <c r="AB75">
        <f>HYPERLINK("https://klasma.github.io/Logging_2481/klagomålsmail/A 28515-2023 FSC-klagomål mail.docx", "A 28515-2023")</f>
        <v/>
      </c>
      <c r="AC75">
        <f>HYPERLINK("https://klasma.github.io/Logging_2481/tillsyn/A 28515-2023 tillsynsbegäran.docx", "A 28515-2023")</f>
        <v/>
      </c>
      <c r="AD75">
        <f>HYPERLINK("https://klasma.github.io/Logging_2481/tillsynsmail/A 28515-2023 tillsynsbegäran mail.docx", "A 28515-2023")</f>
        <v/>
      </c>
    </row>
    <row r="76" ht="15" customHeight="1">
      <c r="A76" t="inlineStr">
        <is>
          <t>A 2893-2023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46241</v>
      </c>
      <c r="F76" t="inlineStr">
        <is>
          <t>VÄSTERBOTTENS LÄN</t>
        </is>
      </c>
      <c r="G76" t="inlineStr">
        <is>
          <t>LYCKSELE</t>
        </is>
      </c>
      <c r="H76" t="inlineStr">
        <is>
          <t>Kyrkan</t>
        </is>
      </c>
      <c r="I76" t="n">
        <v>3.5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7</v>
      </c>
      <c r="U76" t="n">
        <v>7</v>
      </c>
      <c r="V76" s="2" t="inlineStr">
        <is>
          <t>Garnlav
Dropptaggsvamp</t>
        </is>
      </c>
      <c r="W76">
        <f>HYPERLINK("https://klasma.github.io/Logging_2481/artfynd/A 2893-2023 artfynd.xlsx", "A 2893-2023")</f>
        <v/>
      </c>
      <c r="X76">
        <f>HYPERLINK("https://klasma.github.io/Logging_2481/kartor/A 2893-2023 karta.png", "A 2893-2023")</f>
        <v/>
      </c>
      <c r="Y76">
        <f>HYPERLINK("https://klasma.github.io/Logging_2481/kartor_geotiff/A 2893-2023 georefererad karta.tif", "A 2893-2023")</f>
        <v/>
      </c>
      <c r="AA76">
        <f>HYPERLINK("https://klasma.github.io/Logging_2481/klagomål/A 2893-2023 FSC-klagomål.docx", "A 2893-2023")</f>
        <v/>
      </c>
      <c r="AB76">
        <f>HYPERLINK("https://klasma.github.io/Logging_2481/klagomålsmail/A 2893-2023 FSC-klagomål mail.docx", "A 2893-2023")</f>
        <v/>
      </c>
      <c r="AC76">
        <f>HYPERLINK("https://klasma.github.io/Logging_2481/tillsyn/A 2893-2023 tillsynsbegäran.docx", "A 2893-2023")</f>
        <v/>
      </c>
      <c r="AD76">
        <f>HYPERLINK("https://klasma.github.io/Logging_2481/tillsynsmail/A 2893-2023 tillsynsbegäran mail.docx", "A 2893-2023")</f>
        <v/>
      </c>
    </row>
    <row r="77" ht="15" customHeight="1">
      <c r="A77" t="inlineStr">
        <is>
          <t>A 38475-2023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46241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 taggsvamp
Mörk kolflarnlav</t>
        </is>
      </c>
      <c r="W77">
        <f>HYPERLINK("https://klasma.github.io/Logging_2481/artfynd/A 38475-2023 artfynd.xlsx", "A 38475-2023")</f>
        <v/>
      </c>
      <c r="X77">
        <f>HYPERLINK("https://klasma.github.io/Logging_2481/kartor/A 38475-2023 karta.png", "A 38475-2023")</f>
        <v/>
      </c>
      <c r="Y77">
        <f>HYPERLINK("https://klasma.github.io/Logging_2481/kartor_geotiff/A 38475-2023 georefererad karta.tif", "A 38475-2023")</f>
        <v/>
      </c>
      <c r="AA77">
        <f>HYPERLINK("https://klasma.github.io/Logging_2481/klagomål/A 38475-2023 FSC-klagomål.docx", "A 38475-2023")</f>
        <v/>
      </c>
      <c r="AB77">
        <f>HYPERLINK("https://klasma.github.io/Logging_2481/klagomålsmail/A 38475-2023 FSC-klagomål mail.docx", "A 38475-2023")</f>
        <v/>
      </c>
      <c r="AC77">
        <f>HYPERLINK("https://klasma.github.io/Logging_2481/tillsyn/A 38475-2023 tillsynsbegäran.docx", "A 38475-2023")</f>
        <v/>
      </c>
      <c r="AD77">
        <f>HYPERLINK("https://klasma.github.io/Logging_2481/tillsynsmail/A 38475-2023 tillsynsbegäran mail.docx", "A 38475-2023")</f>
        <v/>
      </c>
    </row>
    <row r="78" ht="15" customHeight="1">
      <c r="A78" t="inlineStr">
        <is>
          <t>A 37458-2025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46241</v>
      </c>
      <c r="F78" t="inlineStr">
        <is>
          <t>VÄSTERBOTTENS LÄN</t>
        </is>
      </c>
      <c r="G78" t="inlineStr">
        <is>
          <t>LYCKSELE</t>
        </is>
      </c>
      <c r="H78" t="inlineStr">
        <is>
          <t>Holmen skog AB</t>
        </is>
      </c>
      <c r="I78" t="n">
        <v>5.1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Garnlav
Lavskrika</t>
        </is>
      </c>
      <c r="W78">
        <f>HYPERLINK("https://klasma.github.io/Logging_2481/artfynd/A 37458-2025 artfynd.xlsx", "A 37458-2025")</f>
        <v/>
      </c>
      <c r="X78">
        <f>HYPERLINK("https://klasma.github.io/Logging_2481/kartor/A 37458-2025 karta.png", "A 37458-2025")</f>
        <v/>
      </c>
      <c r="Y78">
        <f>HYPERLINK("https://klasma.github.io/Logging_2481/kartor_geotiff/A 37458-2025 georefererad karta.tif", "A 37458-2025")</f>
        <v/>
      </c>
      <c r="AA78">
        <f>HYPERLINK("https://klasma.github.io/Logging_2481/klagomål/A 37458-2025 FSC-klagomål.docx", "A 37458-2025")</f>
        <v/>
      </c>
      <c r="AB78">
        <f>HYPERLINK("https://klasma.github.io/Logging_2481/klagomålsmail/A 37458-2025 FSC-klagomål mail.docx", "A 37458-2025")</f>
        <v/>
      </c>
      <c r="AC78">
        <f>HYPERLINK("https://klasma.github.io/Logging_2481/tillsyn/A 37458-2025 tillsynsbegäran.docx", "A 37458-2025")</f>
        <v/>
      </c>
      <c r="AD78">
        <f>HYPERLINK("https://klasma.github.io/Logging_2481/tillsynsmail/A 37458-2025 tillsynsbegäran mail.docx", "A 37458-2025")</f>
        <v/>
      </c>
      <c r="AE78">
        <f>HYPERLINK("https://klasma.github.io/Logging_2481/fåglar/A 37458-2025 prioriterade fågelarter.docx", "A 37458-2025")</f>
        <v/>
      </c>
    </row>
    <row r="79" ht="15" customHeight="1">
      <c r="A79" t="inlineStr">
        <is>
          <t>A 38776-2025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46241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Dropptaggsvamp
Kolflarnlav</t>
        </is>
      </c>
      <c r="W79">
        <f>HYPERLINK("https://klasma.github.io/Logging_2481/artfynd/A 38776-2025 artfynd.xlsx", "A 38776-2025")</f>
        <v/>
      </c>
      <c r="X79">
        <f>HYPERLINK("https://klasma.github.io/Logging_2481/kartor/A 38776-2025 karta.png", "A 38776-2025")</f>
        <v/>
      </c>
      <c r="Y79">
        <f>HYPERLINK("https://klasma.github.io/Logging_2481/kartor_geotiff/A 38776-2025 georefererad karta.tif", "A 38776-2025")</f>
        <v/>
      </c>
      <c r="AA79">
        <f>HYPERLINK("https://klasma.github.io/Logging_2481/klagomål/A 38776-2025 FSC-klagomål.docx", "A 38776-2025")</f>
        <v/>
      </c>
      <c r="AB79">
        <f>HYPERLINK("https://klasma.github.io/Logging_2481/klagomålsmail/A 38776-2025 FSC-klagomål mail.docx", "A 38776-2025")</f>
        <v/>
      </c>
      <c r="AC79">
        <f>HYPERLINK("https://klasma.github.io/Logging_2481/tillsyn/A 38776-2025 tillsynsbegäran.docx", "A 38776-2025")</f>
        <v/>
      </c>
      <c r="AD79">
        <f>HYPERLINK("https://klasma.github.io/Logging_2481/tillsynsmail/A 38776-2025 tillsynsbegäran mail.docx", "A 38776-2025")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46241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Kolflarnlav
Mörk kolflarnlav</t>
        </is>
      </c>
      <c r="W80">
        <f>HYPERLINK("https://klasma.github.io/Logging_2481/artfynd/A 42159-2025 artfynd.xlsx", "A 42159-2025")</f>
        <v/>
      </c>
      <c r="X80">
        <f>HYPERLINK("https://klasma.github.io/Logging_2481/kartor/A 42159-2025 karta.png", "A 42159-2025")</f>
        <v/>
      </c>
      <c r="Y80">
        <f>HYPERLINK("https://klasma.github.io/Logging_2481/kartor_geotiff/A 42159-2025 georefererad karta.tif", "A 42159-2025")</f>
        <v/>
      </c>
      <c r="AA80">
        <f>HYPERLINK("https://klasma.github.io/Logging_2481/klagomål/A 42159-2025 FSC-klagomål.docx", "A 42159-2025")</f>
        <v/>
      </c>
      <c r="AB80">
        <f>HYPERLINK("https://klasma.github.io/Logging_2481/klagomålsmail/A 42159-2025 FSC-klagomål mail.docx", "A 42159-2025")</f>
        <v/>
      </c>
      <c r="AC80">
        <f>HYPERLINK("https://klasma.github.io/Logging_2481/tillsyn/A 42159-2025 tillsynsbegäran.docx", "A 42159-2025")</f>
        <v/>
      </c>
      <c r="AD80">
        <f>HYPERLINK("https://klasma.github.io/Logging_2481/tillsynsmail/A 42159-2025 tillsynsbegäran mail.docx", "A 42159-2025")</f>
        <v/>
      </c>
    </row>
    <row r="81" ht="15" customHeight="1">
      <c r="A81" t="inlineStr">
        <is>
          <t>A 52234-2024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46241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2.7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Lavskrika</t>
        </is>
      </c>
      <c r="W81">
        <f>HYPERLINK("https://klasma.github.io/Logging_2481/artfynd/A 52234-2024 artfynd.xlsx", "A 52234-2024")</f>
        <v/>
      </c>
      <c r="X81">
        <f>HYPERLINK("https://klasma.github.io/Logging_2481/kartor/A 52234-2024 karta.png", "A 52234-2024")</f>
        <v/>
      </c>
      <c r="Y81">
        <f>HYPERLINK("https://klasma.github.io/Logging_2481/kartor_geotiff/A 52234-2024 georefererad karta.tif", "A 52234-2024")</f>
        <v/>
      </c>
      <c r="AA81">
        <f>HYPERLINK("https://klasma.github.io/Logging_2481/klagomål/A 52234-2024 FSC-klagomål.docx", "A 52234-2024")</f>
        <v/>
      </c>
      <c r="AB81">
        <f>HYPERLINK("https://klasma.github.io/Logging_2481/klagomålsmail/A 52234-2024 FSC-klagomål mail.docx", "A 52234-2024")</f>
        <v/>
      </c>
      <c r="AC81">
        <f>HYPERLINK("https://klasma.github.io/Logging_2481/tillsyn/A 52234-2024 tillsynsbegäran.docx", "A 52234-2024")</f>
        <v/>
      </c>
      <c r="AD81">
        <f>HYPERLINK("https://klasma.github.io/Logging_2481/tillsynsmail/A 52234-2024 tillsynsbegäran mail.docx", "A 52234-2024")</f>
        <v/>
      </c>
      <c r="AE81">
        <f>HYPERLINK("https://klasma.github.io/Logging_2481/fåglar/A 52234-2024 prioriterade fågelarter.docx", "A 52234-2024")</f>
        <v/>
      </c>
    </row>
    <row r="82" ht="15" customHeight="1">
      <c r="A82" t="inlineStr">
        <is>
          <t>A 44351-2025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46241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Tretåig hackspett</t>
        </is>
      </c>
      <c r="W82">
        <f>HYPERLINK("https://klasma.github.io/Logging_2481/artfynd/A 44351-2025 artfynd.xlsx", "A 44351-2025")</f>
        <v/>
      </c>
      <c r="X82">
        <f>HYPERLINK("https://klasma.github.io/Logging_2481/kartor/A 44351-2025 karta.png", "A 44351-2025")</f>
        <v/>
      </c>
      <c r="Y82">
        <f>HYPERLINK("https://klasma.github.io/Logging_2481/kartor_geotiff/A 44351-2025 georefererad karta.tif", "A 44351-2025")</f>
        <v/>
      </c>
      <c r="AA82">
        <f>HYPERLINK("https://klasma.github.io/Logging_2481/klagomål/A 44351-2025 FSC-klagomål.docx", "A 44351-2025")</f>
        <v/>
      </c>
      <c r="AB82">
        <f>HYPERLINK("https://klasma.github.io/Logging_2481/klagomålsmail/A 44351-2025 FSC-klagomål mail.docx", "A 44351-2025")</f>
        <v/>
      </c>
      <c r="AC82">
        <f>HYPERLINK("https://klasma.github.io/Logging_2481/tillsyn/A 44351-2025 tillsynsbegäran.docx", "A 44351-2025")</f>
        <v/>
      </c>
      <c r="AD82">
        <f>HYPERLINK("https://klasma.github.io/Logging_2481/tillsynsmail/A 44351-2025 tillsynsbegäran mail.docx", "A 44351-2025")</f>
        <v/>
      </c>
      <c r="AE82">
        <f>HYPERLINK("https://klasma.github.io/Logging_2481/fåglar/A 44351-2025 prioriterade fågelarter.docx", "A 44351-2025")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46241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Stuplav</t>
        </is>
      </c>
      <c r="W83">
        <f>HYPERLINK("https://klasma.github.io/Logging_2481/artfynd/A 45359-2025 artfynd.xlsx", "A 45359-2025")</f>
        <v/>
      </c>
      <c r="X83">
        <f>HYPERLINK("https://klasma.github.io/Logging_2481/kartor/A 45359-2025 karta.png", "A 45359-2025")</f>
        <v/>
      </c>
      <c r="Y83">
        <f>HYPERLINK("https://klasma.github.io/Logging_2481/kartor_geotiff/A 45359-2025 georefererad karta.tif", "A 45359-2025")</f>
        <v/>
      </c>
      <c r="AA83">
        <f>HYPERLINK("https://klasma.github.io/Logging_2481/klagomål/A 45359-2025 FSC-klagomål.docx", "A 45359-2025")</f>
        <v/>
      </c>
      <c r="AB83">
        <f>HYPERLINK("https://klasma.github.io/Logging_2481/klagomålsmail/A 45359-2025 FSC-klagomål mail.docx", "A 45359-2025")</f>
        <v/>
      </c>
      <c r="AC83">
        <f>HYPERLINK("https://klasma.github.io/Logging_2481/tillsyn/A 45359-2025 tillsynsbegäran.docx", "A 45359-2025")</f>
        <v/>
      </c>
      <c r="AD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46241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46241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46241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49553-2025 artfynd.xlsx", "A 49553-2025")</f>
        <v/>
      </c>
      <c r="X86">
        <f>HYPERLINK("https://klasma.github.io/Logging_2481/kartor/A 49553-2025 karta.png", "A 49553-2025")</f>
        <v/>
      </c>
      <c r="Y86">
        <f>HYPERLINK("https://klasma.github.io/Logging_2481/kartor_geotiff/A 49553-2025 georefererad karta.tif", "A 49553-2025")</f>
        <v/>
      </c>
      <c r="AA86">
        <f>HYPERLINK("https://klasma.github.io/Logging_2481/klagomål/A 49553-2025 FSC-klagomål.docx", "A 49553-2025")</f>
        <v/>
      </c>
      <c r="AB86">
        <f>HYPERLINK("https://klasma.github.io/Logging_2481/klagomålsmail/A 49553-2025 FSC-klagomål mail.docx", "A 49553-2025")</f>
        <v/>
      </c>
      <c r="AC86">
        <f>HYPERLINK("https://klasma.github.io/Logging_2481/tillsyn/A 49553-2025 tillsynsbegäran.docx", "A 49553-2025")</f>
        <v/>
      </c>
      <c r="AD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46241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46241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53650-2025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45960</v>
      </c>
      <c r="E89" s="1" t="n">
        <v>46241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19.1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Luddlav</t>
        </is>
      </c>
      <c r="W89">
        <f>HYPERLINK("https://klasma.github.io/Logging_2481/artfynd/A 53650-2025 artfynd.xlsx", "A 53650-2025")</f>
        <v/>
      </c>
      <c r="X89">
        <f>HYPERLINK("https://klasma.github.io/Logging_2481/kartor/A 53650-2025 karta.png", "A 53650-2025")</f>
        <v/>
      </c>
      <c r="Y89">
        <f>HYPERLINK("https://klasma.github.io/Logging_2481/kartor_geotiff/A 53650-2025 georefererad karta.tif", "A 53650-2025")</f>
        <v/>
      </c>
      <c r="AA89">
        <f>HYPERLINK("https://klasma.github.io/Logging_2481/klagomål/A 53650-2025 FSC-klagomål.docx", "A 53650-2025")</f>
        <v/>
      </c>
      <c r="AB89">
        <f>HYPERLINK("https://klasma.github.io/Logging_2481/klagomålsmail/A 53650-2025 FSC-klagomål mail.docx", "A 53650-2025")</f>
        <v/>
      </c>
      <c r="AC89">
        <f>HYPERLINK("https://klasma.github.io/Logging_2481/tillsyn/A 53650-2025 tillsynsbegäran.docx", "A 53650-2025")</f>
        <v/>
      </c>
      <c r="AD89">
        <f>HYPERLINK("https://klasma.github.io/Logging_2481/tillsynsmail/A 53650-2025 tillsynsbegäran mail.docx", "A 53650-2025")</f>
        <v/>
      </c>
      <c r="AE89">
        <f>HYPERLINK("https://klasma.github.io/Logging_2481/fåglar/A 53650-2025 prioriterade fågelarter.docx", "A 53650-2025")</f>
        <v/>
      </c>
    </row>
    <row r="90" ht="15" customHeight="1">
      <c r="A90" t="inlineStr">
        <is>
          <t>A 55508-2025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45971</v>
      </c>
      <c r="E90" s="1" t="n">
        <v>46241</v>
      </c>
      <c r="F90" t="inlineStr">
        <is>
          <t>VÄSTERBOTTENS LÄN</t>
        </is>
      </c>
      <c r="G90" t="inlineStr">
        <is>
          <t>LYCKSELE</t>
        </is>
      </c>
      <c r="I90" t="n">
        <v>10.5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Stuplav</t>
        </is>
      </c>
      <c r="W90">
        <f>HYPERLINK("https://klasma.github.io/Logging_2481/artfynd/A 55508-2025 artfynd.xlsx", "A 55508-2025")</f>
        <v/>
      </c>
      <c r="X90">
        <f>HYPERLINK("https://klasma.github.io/Logging_2481/kartor/A 55508-2025 karta.png", "A 55508-2025")</f>
        <v/>
      </c>
      <c r="Y90">
        <f>HYPERLINK("https://klasma.github.io/Logging_2481/kartor_geotiff/A 55508-2025 georefererad karta.tif", "A 55508-2025")</f>
        <v/>
      </c>
      <c r="AA90">
        <f>HYPERLINK("https://klasma.github.io/Logging_2481/klagomål/A 55508-2025 FSC-klagomål.docx", "A 55508-2025")</f>
        <v/>
      </c>
      <c r="AB90">
        <f>HYPERLINK("https://klasma.github.io/Logging_2481/klagomålsmail/A 55508-2025 FSC-klagomål mail.docx", "A 55508-2025")</f>
        <v/>
      </c>
      <c r="AC90">
        <f>HYPERLINK("https://klasma.github.io/Logging_2481/tillsyn/A 55508-2025 tillsynsbegäran.docx", "A 55508-2025")</f>
        <v/>
      </c>
      <c r="AD90">
        <f>HYPERLINK("https://klasma.github.io/Logging_2481/tillsynsmail/A 55508-2025 tillsynsbegäran mail.docx", "A 55508-2025")</f>
        <v/>
      </c>
    </row>
    <row r="91" ht="15" customHeight="1">
      <c r="A91" t="inlineStr">
        <is>
          <t>A 22688-2026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46156</v>
      </c>
      <c r="E91" s="1" t="n">
        <v>46241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18.3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Kolflarnlav</t>
        </is>
      </c>
      <c r="W91">
        <f>HYPERLINK("https://klasma.github.io/Logging_2481/artfynd/A 22688-2026 artfynd.xlsx", "A 22688-2026")</f>
        <v/>
      </c>
      <c r="X91">
        <f>HYPERLINK("https://klasma.github.io/Logging_2481/kartor/A 22688-2026 karta.png", "A 22688-2026")</f>
        <v/>
      </c>
      <c r="Y91">
        <f>HYPERLINK("https://klasma.github.io/Logging_2481/kartor_geotiff/A 22688-2026 georefererad karta.tif", "A 22688-2026")</f>
        <v/>
      </c>
      <c r="AA91">
        <f>HYPERLINK("https://klasma.github.io/Logging_2481/klagomål/A 22688-2026 FSC-klagomål.docx", "A 22688-2026")</f>
        <v/>
      </c>
      <c r="AB91">
        <f>HYPERLINK("https://klasma.github.io/Logging_2481/klagomålsmail/A 22688-2026 FSC-klagomål mail.docx", "A 22688-2026")</f>
        <v/>
      </c>
      <c r="AC91">
        <f>HYPERLINK("https://klasma.github.io/Logging_2481/tillsyn/A 22688-2026 tillsynsbegäran.docx", "A 22688-2026")</f>
        <v/>
      </c>
      <c r="AD91">
        <f>HYPERLINK("https://klasma.github.io/Logging_2481/tillsynsmail/A 22688-2026 tillsynsbegäran mail.docx", "A 22688-2026")</f>
        <v/>
      </c>
    </row>
    <row r="92" ht="15" customHeight="1">
      <c r="A92" t="inlineStr">
        <is>
          <t>A 45935-2024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46241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Orange taggsvamp</t>
        </is>
      </c>
      <c r="W92">
        <f>HYPERLINK("https://klasma.github.io/Logging_2481/artfynd/A 45935-2024 artfynd.xlsx", "A 45935-2024")</f>
        <v/>
      </c>
      <c r="X92">
        <f>HYPERLINK("https://klasma.github.io/Logging_2481/kartor/A 45935-2024 karta.png", "A 45935-2024")</f>
        <v/>
      </c>
      <c r="Y92">
        <f>HYPERLINK("https://klasma.github.io/Logging_2481/kartor_geotiff/A 45935-2024 georefererad karta.tif", "A 45935-2024")</f>
        <v/>
      </c>
      <c r="AA92">
        <f>HYPERLINK("https://klasma.github.io/Logging_2481/klagomål/A 45935-2024 FSC-klagomål.docx", "A 45935-2024")</f>
        <v/>
      </c>
      <c r="AB92">
        <f>HYPERLINK("https://klasma.github.io/Logging_2481/klagomålsmail/A 45935-2024 FSC-klagomål mail.docx", "A 45935-2024")</f>
        <v/>
      </c>
      <c r="AC92">
        <f>HYPERLINK("https://klasma.github.io/Logging_2481/tillsyn/A 45935-2024 tillsynsbegäran.docx", "A 45935-2024")</f>
        <v/>
      </c>
      <c r="AD92">
        <f>HYPERLINK("https://klasma.github.io/Logging_2481/tillsynsmail/A 45935-2024 tillsynsbegäran mail.docx", "A 45935-2024")</f>
        <v/>
      </c>
    </row>
    <row r="93" ht="15" customHeight="1">
      <c r="A93" t="inlineStr">
        <is>
          <t>A 23096-2026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46241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12.7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23096-2026 artfynd.xlsx", "A 23096-2026")</f>
        <v/>
      </c>
      <c r="X93">
        <f>HYPERLINK("https://klasma.github.io/Logging_2481/kartor/A 23096-2026 karta.png", "A 23096-2026")</f>
        <v/>
      </c>
      <c r="Y93">
        <f>HYPERLINK("https://klasma.github.io/Logging_2481/kartor_geotiff/A 23096-2026 georefererad karta.tif", "A 23096-2026")</f>
        <v/>
      </c>
      <c r="AA93">
        <f>HYPERLINK("https://klasma.github.io/Logging_2481/klagomål/A 23096-2026 FSC-klagomål.docx", "A 23096-2026")</f>
        <v/>
      </c>
      <c r="AB93">
        <f>HYPERLINK("https://klasma.github.io/Logging_2481/klagomålsmail/A 23096-2026 FSC-klagomål mail.docx", "A 23096-2026")</f>
        <v/>
      </c>
      <c r="AC93">
        <f>HYPERLINK("https://klasma.github.io/Logging_2481/tillsyn/A 23096-2026 tillsynsbegäran.docx", "A 23096-2026")</f>
        <v/>
      </c>
      <c r="AD93">
        <f>HYPERLINK("https://klasma.github.io/Logging_2481/tillsynsmail/A 23096-2026 tillsynsbegäran mail.docx", "A 23096-2026")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46241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23098-2026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46241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23098-2026 artfynd.xlsx", "A 23098-2026")</f>
        <v/>
      </c>
      <c r="X95">
        <f>HYPERLINK("https://klasma.github.io/Logging_2481/kartor/A 23098-2026 karta.png", "A 23098-2026")</f>
        <v/>
      </c>
      <c r="Y95">
        <f>HYPERLINK("https://klasma.github.io/Logging_2481/kartor_geotiff/A 23098-2026 georefererad karta.tif", "A 23098-2026")</f>
        <v/>
      </c>
      <c r="AA95">
        <f>HYPERLINK("https://klasma.github.io/Logging_2481/klagomål/A 23098-2026 FSC-klagomål.docx", "A 23098-2026")</f>
        <v/>
      </c>
      <c r="AB95">
        <f>HYPERLINK("https://klasma.github.io/Logging_2481/klagomålsmail/A 23098-2026 FSC-klagomål mail.docx", "A 23098-2026")</f>
        <v/>
      </c>
      <c r="AC95">
        <f>HYPERLINK("https://klasma.github.io/Logging_2481/tillsyn/A 23098-2026 tillsynsbegäran.docx", "A 23098-2026")</f>
        <v/>
      </c>
      <c r="AD95">
        <f>HYPERLINK("https://klasma.github.io/Logging_2481/tillsynsmail/A 23098-2026 tillsynsbegäran mail.docx", "A 23098-2026")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46241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46241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46241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46241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46241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58657-2023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45251</v>
      </c>
      <c r="E101" s="1" t="n">
        <v>46241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14.4</v>
      </c>
      <c r="J101" t="n">
        <v>1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Talltita
Bollvitmossa</t>
        </is>
      </c>
      <c r="W101">
        <f>HYPERLINK("https://klasma.github.io/Logging_2481/artfynd/A 58657-2023 artfynd.xlsx", "A 58657-2023")</f>
        <v/>
      </c>
      <c r="X101">
        <f>HYPERLINK("https://klasma.github.io/Logging_2481/kartor/A 58657-2023 karta.png", "A 58657-2023")</f>
        <v/>
      </c>
      <c r="Y101">
        <f>HYPERLINK("https://klasma.github.io/Logging_2481/kartor_geotiff/A 58657-2023 georefererad karta.tif", "A 58657-2023")</f>
        <v/>
      </c>
      <c r="AA101">
        <f>HYPERLINK("https://klasma.github.io/Logging_2481/klagomål/A 58657-2023 FSC-klagomål.docx", "A 58657-2023")</f>
        <v/>
      </c>
      <c r="AB101">
        <f>HYPERLINK("https://klasma.github.io/Logging_2481/klagomålsmail/A 58657-2023 FSC-klagomål mail.docx", "A 58657-2023")</f>
        <v/>
      </c>
      <c r="AC101">
        <f>HYPERLINK("https://klasma.github.io/Logging_2481/tillsyn/A 58657-2023 tillsynsbegäran.docx", "A 58657-2023")</f>
        <v/>
      </c>
      <c r="AD101">
        <f>HYPERLINK("https://klasma.github.io/Logging_2481/tillsynsmail/A 58657-2023 tillsynsbegäran mail.docx", "A 58657-2023")</f>
        <v/>
      </c>
      <c r="AE101">
        <f>HYPERLINK("https://klasma.github.io/Logging_2481/fåglar/A 58657-2023 prioriterade fågelarter.docx", "A 58657-2023")</f>
        <v/>
      </c>
    </row>
    <row r="102" ht="15" customHeight="1">
      <c r="A102" t="inlineStr">
        <is>
          <t>A 26927-2026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46185</v>
      </c>
      <c r="E102" s="1" t="n">
        <v>46241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14.6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Korallrot
Fläcknycklar</t>
        </is>
      </c>
      <c r="W102">
        <f>HYPERLINK("https://klasma.github.io/Logging_2481/artfynd/A 26927-2026 artfynd.xlsx", "A 26927-2026")</f>
        <v/>
      </c>
      <c r="X102">
        <f>HYPERLINK("https://klasma.github.io/Logging_2481/kartor/A 26927-2026 karta.png", "A 26927-2026")</f>
        <v/>
      </c>
      <c r="Y102">
        <f>HYPERLINK("https://klasma.github.io/Logging_2481/kartor_geotiff/A 26927-2026 georefererad karta.tif", "A 26927-2026")</f>
        <v/>
      </c>
      <c r="AA102">
        <f>HYPERLINK("https://klasma.github.io/Logging_2481/klagomål/A 26927-2026 FSC-klagomål.docx", "A 26927-2026")</f>
        <v/>
      </c>
      <c r="AB102">
        <f>HYPERLINK("https://klasma.github.io/Logging_2481/klagomålsmail/A 26927-2026 FSC-klagomål mail.docx", "A 26927-2026")</f>
        <v/>
      </c>
      <c r="AC102">
        <f>HYPERLINK("https://klasma.github.io/Logging_2481/tillsyn/A 26927-2026 tillsynsbegäran.docx", "A 26927-2026")</f>
        <v/>
      </c>
      <c r="AD102">
        <f>HYPERLINK("https://klasma.github.io/Logging_2481/tillsynsmail/A 26927-2026 tillsynsbegäran mail.docx", "A 26927-2026")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46241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46241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46241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742-2025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46241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Holmen skog AB</t>
        </is>
      </c>
      <c r="I106" t="n">
        <v>5.6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Fläcknycklar</t>
        </is>
      </c>
      <c r="W106">
        <f>HYPERLINK("https://klasma.github.io/Logging_2481/artfynd/A 742-2025 artfynd.xlsx", "A 742-2025")</f>
        <v/>
      </c>
      <c r="X106">
        <f>HYPERLINK("https://klasma.github.io/Logging_2481/kartor/A 742-2025 karta.png", "A 742-2025")</f>
        <v/>
      </c>
      <c r="Y106">
        <f>HYPERLINK("https://klasma.github.io/Logging_2481/kartor_geotiff/A 742-2025 georefererad karta.tif", "A 742-2025")</f>
        <v/>
      </c>
      <c r="AA106">
        <f>HYPERLINK("https://klasma.github.io/Logging_2481/klagomål/A 742-2025 FSC-klagomål.docx", "A 742-2025")</f>
        <v/>
      </c>
      <c r="AB106">
        <f>HYPERLINK("https://klasma.github.io/Logging_2481/klagomålsmail/A 742-2025 FSC-klagomål mail.docx", "A 742-2025")</f>
        <v/>
      </c>
      <c r="AC106">
        <f>HYPERLINK("https://klasma.github.io/Logging_2481/tillsyn/A 742-2025 tillsynsbegäran.docx", "A 742-2025")</f>
        <v/>
      </c>
      <c r="AD106">
        <f>HYPERLINK("https://klasma.github.io/Logging_2481/tillsynsmail/A 742-2025 tillsynsbegäran mail.docx", "A 742-2025")</f>
        <v/>
      </c>
    </row>
    <row r="107" ht="15" customHeight="1">
      <c r="A107" t="inlineStr">
        <is>
          <t>A 26271-2025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46241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Gammelgransskål
Lunglav</t>
        </is>
      </c>
      <c r="W107">
        <f>HYPERLINK("https://klasma.github.io/Logging_2481/artfynd/A 26271-2025 artfynd.xlsx", "A 26271-2025")</f>
        <v/>
      </c>
      <c r="X107">
        <f>HYPERLINK("https://klasma.github.io/Logging_2481/kartor/A 26271-2025 karta.png", "A 26271-2025")</f>
        <v/>
      </c>
      <c r="Y107">
        <f>HYPERLINK("https://klasma.github.io/Logging_2481/kartor_geotiff/A 26271-2025 georefererad karta.tif", "A 26271-2025")</f>
        <v/>
      </c>
      <c r="AA107">
        <f>HYPERLINK("https://klasma.github.io/Logging_2481/klagomål/A 26271-2025 FSC-klagomål.docx", "A 26271-2025")</f>
        <v/>
      </c>
      <c r="AB107">
        <f>HYPERLINK("https://klasma.github.io/Logging_2481/klagomålsmail/A 26271-2025 FSC-klagomål mail.docx", "A 26271-2025")</f>
        <v/>
      </c>
      <c r="AC107">
        <f>HYPERLINK("https://klasma.github.io/Logging_2481/tillsyn/A 26271-2025 tillsynsbegäran.docx", "A 26271-2025")</f>
        <v/>
      </c>
      <c r="AD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46241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46241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46241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46241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46241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46241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46241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46241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46241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Ullticka</t>
        </is>
      </c>
      <c r="W116">
        <f>HYPERLINK("https://klasma.github.io/Logging_2481/artfynd/A 9341-2022 artfynd.xlsx", "A 9341-2022")</f>
        <v/>
      </c>
      <c r="X116">
        <f>HYPERLINK("https://klasma.github.io/Logging_2481/kartor/A 9341-2022 karta.png", "A 9341-2022")</f>
        <v/>
      </c>
      <c r="Y116">
        <f>HYPERLINK("https://klasma.github.io/Logging_2481/kartor_geotiff/A 9341-2022 georefererad karta.tif", "A 9341-2022")</f>
        <v/>
      </c>
      <c r="AA116">
        <f>HYPERLINK("https://klasma.github.io/Logging_2481/klagomål/A 9341-2022 FSC-klagomål.docx", "A 9341-2022")</f>
        <v/>
      </c>
      <c r="AB116">
        <f>HYPERLINK("https://klasma.github.io/Logging_2481/klagomålsmail/A 9341-2022 FSC-klagomål mail.docx", "A 9341-2022")</f>
        <v/>
      </c>
      <c r="AC116">
        <f>HYPERLINK("https://klasma.github.io/Logging_2481/tillsyn/A 9341-2022 tillsynsbegäran.docx", "A 9341-2022")</f>
        <v/>
      </c>
      <c r="AD116">
        <f>HYPERLINK("https://klasma.github.io/Logging_2481/tillsynsmail/A 9341-2022 tillsynsbegäran mail.docx", "A 9341-2022")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46241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61910-2024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45653</v>
      </c>
      <c r="E118" s="1" t="n">
        <v>46241</v>
      </c>
      <c r="F118" t="inlineStr">
        <is>
          <t>VÄSTERBOTTENS LÄN</t>
        </is>
      </c>
      <c r="G118" t="inlineStr">
        <is>
          <t>LYCKSELE</t>
        </is>
      </c>
      <c r="I118" t="n">
        <v>5.8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7</v>
      </c>
      <c r="U118" t="n">
        <v>3</v>
      </c>
      <c r="V118" s="2" t="inlineStr">
        <is>
          <t>Norna</t>
        </is>
      </c>
      <c r="W118">
        <f>HYPERLINK("https://klasma.github.io/Logging_2481/artfynd/A 61910-2024 artfynd.xlsx", "A 61910-2024")</f>
        <v/>
      </c>
      <c r="X118">
        <f>HYPERLINK("https://klasma.github.io/Logging_2481/kartor/A 61910-2024 karta.png", "A 61910-2024")</f>
        <v/>
      </c>
      <c r="Y118">
        <f>HYPERLINK("https://klasma.github.io/Logging_2481/kartor_geotiff/A 61910-2024 georefererad karta.tif", "A 61910-2024")</f>
        <v/>
      </c>
      <c r="AA118">
        <f>HYPERLINK("https://klasma.github.io/Logging_2481/klagomål/A 61910-2024 FSC-klagomål.docx", "A 61910-2024")</f>
        <v/>
      </c>
      <c r="AB118">
        <f>HYPERLINK("https://klasma.github.io/Logging_2481/klagomålsmail/A 61910-2024 FSC-klagomål mail.docx", "A 61910-2024")</f>
        <v/>
      </c>
      <c r="AC118">
        <f>HYPERLINK("https://klasma.github.io/Logging_2481/tillsyn/A 61910-2024 tillsynsbegäran.docx", "A 61910-2024")</f>
        <v/>
      </c>
      <c r="AD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37669-2024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46241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Dropptaggsvamp</t>
        </is>
      </c>
      <c r="W119">
        <f>HYPERLINK("https://klasma.github.io/Logging_2481/artfynd/A 37669-2024 artfynd.xlsx", "A 37669-2024")</f>
        <v/>
      </c>
      <c r="X119">
        <f>HYPERLINK("https://klasma.github.io/Logging_2481/kartor/A 37669-2024 karta.png", "A 37669-2024")</f>
        <v/>
      </c>
      <c r="Y119">
        <f>HYPERLINK("https://klasma.github.io/Logging_2481/kartor_geotiff/A 37669-2024 georefererad karta.tif", "A 37669-2024")</f>
        <v/>
      </c>
      <c r="AA119">
        <f>HYPERLINK("https://klasma.github.io/Logging_2481/klagomål/A 37669-2024 FSC-klagomål.docx", "A 37669-2024")</f>
        <v/>
      </c>
      <c r="AB119">
        <f>HYPERLINK("https://klasma.github.io/Logging_2481/klagomålsmail/A 37669-2024 FSC-klagomål mail.docx", "A 37669-2024")</f>
        <v/>
      </c>
      <c r="AC119">
        <f>HYPERLINK("https://klasma.github.io/Logging_2481/tillsyn/A 37669-2024 tillsynsbegäran.docx", "A 37669-2024")</f>
        <v/>
      </c>
      <c r="AD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35981-2025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45863</v>
      </c>
      <c r="E120" s="1" t="n">
        <v>46241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Dropptaggsvamp</t>
        </is>
      </c>
      <c r="W120">
        <f>HYPERLINK("https://klasma.github.io/Logging_2481/artfynd/A 35981-2025 artfynd.xlsx", "A 35981-2025")</f>
        <v/>
      </c>
      <c r="X120">
        <f>HYPERLINK("https://klasma.github.io/Logging_2481/kartor/A 35981-2025 karta.png", "A 35981-2025")</f>
        <v/>
      </c>
      <c r="Y120">
        <f>HYPERLINK("https://klasma.github.io/Logging_2481/kartor_geotiff/A 35981-2025 georefererad karta.tif", "A 35981-2025")</f>
        <v/>
      </c>
      <c r="AA120">
        <f>HYPERLINK("https://klasma.github.io/Logging_2481/klagomål/A 35981-2025 FSC-klagomål.docx", "A 35981-2025")</f>
        <v/>
      </c>
      <c r="AB120">
        <f>HYPERLINK("https://klasma.github.io/Logging_2481/klagomålsmail/A 35981-2025 FSC-klagomål mail.docx", "A 35981-2025")</f>
        <v/>
      </c>
      <c r="AC120">
        <f>HYPERLINK("https://klasma.github.io/Logging_2481/tillsyn/A 35981-2025 tillsynsbegäran.docx", "A 35981-2025")</f>
        <v/>
      </c>
      <c r="AD120">
        <f>HYPERLINK("https://klasma.github.io/Logging_2481/tillsynsmail/A 35981-2025 tillsynsbegäran mail.docx", "A 35981-2025")</f>
        <v/>
      </c>
    </row>
    <row r="121" ht="15" customHeight="1">
      <c r="A121" t="inlineStr">
        <is>
          <t>A 36687-2025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45873</v>
      </c>
      <c r="E121" s="1" t="n">
        <v>46241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Kolflarnlav</t>
        </is>
      </c>
      <c r="W121">
        <f>HYPERLINK("https://klasma.github.io/Logging_2481/artfynd/A 36687-2025 artfynd.xlsx", "A 36687-2025")</f>
        <v/>
      </c>
      <c r="X121">
        <f>HYPERLINK("https://klasma.github.io/Logging_2481/kartor/A 36687-2025 karta.png", "A 36687-2025")</f>
        <v/>
      </c>
      <c r="Y121">
        <f>HYPERLINK("https://klasma.github.io/Logging_2481/kartor_geotiff/A 36687-2025 georefererad karta.tif", "A 36687-2025")</f>
        <v/>
      </c>
      <c r="AA121">
        <f>HYPERLINK("https://klasma.github.io/Logging_2481/klagomål/A 36687-2025 FSC-klagomål.docx", "A 36687-2025")</f>
        <v/>
      </c>
      <c r="AB121">
        <f>HYPERLINK("https://klasma.github.io/Logging_2481/klagomålsmail/A 36687-2025 FSC-klagomål mail.docx", "A 36687-2025")</f>
        <v/>
      </c>
      <c r="AC121">
        <f>HYPERLINK("https://klasma.github.io/Logging_2481/tillsyn/A 36687-2025 tillsynsbegäran.docx", "A 36687-2025")</f>
        <v/>
      </c>
      <c r="AD121">
        <f>HYPERLINK("https://klasma.github.io/Logging_2481/tillsynsmail/A 36687-2025 tillsynsbegäran mail.docx", "A 36687-2025")</f>
        <v/>
      </c>
    </row>
    <row r="122" ht="15" customHeight="1">
      <c r="A122" t="inlineStr">
        <is>
          <t>A 37823-2025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45881</v>
      </c>
      <c r="E122" s="1" t="n">
        <v>46241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Plattlummer</t>
        </is>
      </c>
      <c r="W122">
        <f>HYPERLINK("https://klasma.github.io/Logging_2481/artfynd/A 37823-2025 artfynd.xlsx", "A 37823-2025")</f>
        <v/>
      </c>
      <c r="X122">
        <f>HYPERLINK("https://klasma.github.io/Logging_2481/kartor/A 37823-2025 karta.png", "A 37823-2025")</f>
        <v/>
      </c>
      <c r="Y122">
        <f>HYPERLINK("https://klasma.github.io/Logging_2481/kartor_geotiff/A 37823-2025 georefererad karta.tif", "A 37823-2025")</f>
        <v/>
      </c>
      <c r="AA122">
        <f>HYPERLINK("https://klasma.github.io/Logging_2481/klagomål/A 37823-2025 FSC-klagomål.docx", "A 37823-2025")</f>
        <v/>
      </c>
      <c r="AB122">
        <f>HYPERLINK("https://klasma.github.io/Logging_2481/klagomålsmail/A 37823-2025 FSC-klagomål mail.docx", "A 37823-2025")</f>
        <v/>
      </c>
      <c r="AC122">
        <f>HYPERLINK("https://klasma.github.io/Logging_2481/tillsyn/A 37823-2025 tillsynsbegäran.docx", "A 37823-2025")</f>
        <v/>
      </c>
      <c r="AD122">
        <f>HYPERLINK("https://klasma.github.io/Logging_2481/tillsynsmail/A 37823-2025 tillsynsbegäran mail.docx", "A 37823-2025")</f>
        <v/>
      </c>
    </row>
    <row r="123" ht="15" customHeight="1">
      <c r="A123" t="inlineStr">
        <is>
          <t>A 9924-2024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46241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HYPERLINK("https://klasma.github.io/Logging_2481/artfynd/A 9924-2024 artfynd.xlsx", "A 9924-2024")</f>
        <v/>
      </c>
      <c r="X123">
        <f>HYPERLINK("https://klasma.github.io/Logging_2481/kartor/A 9924-2024 karta.png", "A 9924-2024")</f>
        <v/>
      </c>
      <c r="Y123">
        <f>HYPERLINK("https://klasma.github.io/Logging_2481/kartor_geotiff/A 9924-2024 georefererad karta.tif", "A 9924-2024")</f>
        <v/>
      </c>
      <c r="AA123">
        <f>HYPERLINK("https://klasma.github.io/Logging_2481/klagomål/A 9924-2024 FSC-klagomål.docx", "A 9924-2024")</f>
        <v/>
      </c>
      <c r="AB123">
        <f>HYPERLINK("https://klasma.github.io/Logging_2481/klagomålsmail/A 9924-2024 FSC-klagomål mail.docx", "A 9924-2024")</f>
        <v/>
      </c>
      <c r="AC123">
        <f>HYPERLINK("https://klasma.github.io/Logging_2481/tillsyn/A 9924-2024 tillsynsbegäran.docx", "A 9924-2024")</f>
        <v/>
      </c>
      <c r="AD123">
        <f>HYPERLINK("https://klasma.github.io/Logging_2481/tillsynsmail/A 9924-2024 tillsynsbegäran mail.docx", "A 9924-2024")</f>
        <v/>
      </c>
    </row>
    <row r="124" ht="15" customHeight="1">
      <c r="A124" t="inlineStr">
        <is>
          <t>A 39231-2025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46241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16.3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kolflarnlav</t>
        </is>
      </c>
      <c r="W124">
        <f>HYPERLINK("https://klasma.github.io/Logging_2481/artfynd/A 39231-2025 artfynd.xlsx", "A 39231-2025")</f>
        <v/>
      </c>
      <c r="X124">
        <f>HYPERLINK("https://klasma.github.io/Logging_2481/kartor/A 39231-2025 karta.png", "A 39231-2025")</f>
        <v/>
      </c>
      <c r="Y124">
        <f>HYPERLINK("https://klasma.github.io/Logging_2481/kartor_geotiff/A 39231-2025 georefererad karta.tif", "A 39231-2025")</f>
        <v/>
      </c>
      <c r="AA124">
        <f>HYPERLINK("https://klasma.github.io/Logging_2481/klagomål/A 39231-2025 FSC-klagomål.docx", "A 39231-2025")</f>
        <v/>
      </c>
      <c r="AB124">
        <f>HYPERLINK("https://klasma.github.io/Logging_2481/klagomålsmail/A 39231-2025 FSC-klagomål mail.docx", "A 39231-2025")</f>
        <v/>
      </c>
      <c r="AC124">
        <f>HYPERLINK("https://klasma.github.io/Logging_2481/tillsyn/A 39231-2025 tillsynsbegäran.docx", "A 39231-2025")</f>
        <v/>
      </c>
      <c r="AD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46241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9.199999999999999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39280-2025 artfynd.xlsx", "A 39280-2025")</f>
        <v/>
      </c>
      <c r="X125">
        <f>HYPERLINK("https://klasma.github.io/Logging_2481/kartor/A 39280-2025 karta.png", "A 39280-2025")</f>
        <v/>
      </c>
      <c r="Y125">
        <f>HYPERLINK("https://klasma.github.io/Logging_2481/kartor_geotiff/A 39280-2025 georefererad karta.tif", "A 39280-2025")</f>
        <v/>
      </c>
      <c r="AA125">
        <f>HYPERLINK("https://klasma.github.io/Logging_2481/klagomål/A 39280-2025 FSC-klagomål.docx", "A 39280-2025")</f>
        <v/>
      </c>
      <c r="AB125">
        <f>HYPERLINK("https://klasma.github.io/Logging_2481/klagomålsmail/A 39280-2025 FSC-klagomål mail.docx", "A 39280-2025")</f>
        <v/>
      </c>
      <c r="AC125">
        <f>HYPERLINK("https://klasma.github.io/Logging_2481/tillsyn/A 39280-2025 tillsynsbegäran.docx", "A 39280-2025")</f>
        <v/>
      </c>
      <c r="AD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46241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46241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44331-2025 artfynd.xlsx", "A 44331-2025")</f>
        <v/>
      </c>
      <c r="X127">
        <f>HYPERLINK("https://klasma.github.io/Logging_2481/kartor/A 44331-2025 karta.png", "A 44331-2025")</f>
        <v/>
      </c>
      <c r="Y127">
        <f>HYPERLINK("https://klasma.github.io/Logging_2481/kartor_geotiff/A 44331-2025 georefererad karta.tif", "A 44331-2025")</f>
        <v/>
      </c>
      <c r="AA127">
        <f>HYPERLINK("https://klasma.github.io/Logging_2481/klagomål/A 44331-2025 FSC-klagomål.docx", "A 44331-2025")</f>
        <v/>
      </c>
      <c r="AB127">
        <f>HYPERLINK("https://klasma.github.io/Logging_2481/klagomålsmail/A 44331-2025 FSC-klagomål mail.docx", "A 44331-2025")</f>
        <v/>
      </c>
      <c r="AC127">
        <f>HYPERLINK("https://klasma.github.io/Logging_2481/tillsyn/A 44331-2025 tillsynsbegäran.docx", "A 44331-2025")</f>
        <v/>
      </c>
      <c r="AD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46241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47454-2025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46241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Motaggsvamp</t>
        </is>
      </c>
      <c r="W129">
        <f>HYPERLINK("https://klasma.github.io/Logging_2481/artfynd/A 47454-2025 artfynd.xlsx", "A 47454-2025")</f>
        <v/>
      </c>
      <c r="X129">
        <f>HYPERLINK("https://klasma.github.io/Logging_2481/kartor/A 47454-2025 karta.png", "A 47454-2025")</f>
        <v/>
      </c>
      <c r="Y129">
        <f>HYPERLINK("https://klasma.github.io/Logging_2481/kartor_geotiff/A 47454-2025 georefererad karta.tif", "A 47454-2025")</f>
        <v/>
      </c>
      <c r="AA129">
        <f>HYPERLINK("https://klasma.github.io/Logging_2481/klagomål/A 47454-2025 FSC-klagomål.docx", "A 47454-2025")</f>
        <v/>
      </c>
      <c r="AB129">
        <f>HYPERLINK("https://klasma.github.io/Logging_2481/klagomålsmail/A 47454-2025 FSC-klagomål mail.docx", "A 47454-2025")</f>
        <v/>
      </c>
      <c r="AC129">
        <f>HYPERLINK("https://klasma.github.io/Logging_2481/tillsyn/A 47454-2025 tillsynsbegäran.docx", "A 47454-2025")</f>
        <v/>
      </c>
      <c r="AD129">
        <f>HYPERLINK("https://klasma.github.io/Logging_2481/tillsynsmail/A 47454-2025 tillsynsbegäran mail.docx", "A 47454-2025")</f>
        <v/>
      </c>
    </row>
    <row r="130" ht="15" customHeight="1">
      <c r="A130" t="inlineStr">
        <is>
          <t>A 50463-2025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46241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Dropptaggsvamp</t>
        </is>
      </c>
      <c r="W130">
        <f>HYPERLINK("https://klasma.github.io/Logging_2481/artfynd/A 50463-2025 artfynd.xlsx", "A 50463-2025")</f>
        <v/>
      </c>
      <c r="X130">
        <f>HYPERLINK("https://klasma.github.io/Logging_2481/kartor/A 50463-2025 karta.png", "A 50463-2025")</f>
        <v/>
      </c>
      <c r="Y130">
        <f>HYPERLINK("https://klasma.github.io/Logging_2481/kartor_geotiff/A 50463-2025 georefererad karta.tif", "A 50463-2025")</f>
        <v/>
      </c>
      <c r="AA130">
        <f>HYPERLINK("https://klasma.github.io/Logging_2481/klagomål/A 50463-2025 FSC-klagomål.docx", "A 50463-2025")</f>
        <v/>
      </c>
      <c r="AB130">
        <f>HYPERLINK("https://klasma.github.io/Logging_2481/klagomålsmail/A 50463-2025 FSC-klagomål mail.docx", "A 50463-2025")</f>
        <v/>
      </c>
      <c r="AC130">
        <f>HYPERLINK("https://klasma.github.io/Logging_2481/tillsyn/A 50463-2025 tillsynsbegäran.docx", "A 50463-2025")</f>
        <v/>
      </c>
      <c r="AD130">
        <f>HYPERLINK("https://klasma.github.io/Logging_2481/tillsynsmail/A 50463-2025 tillsynsbegäran mail.docx", "A 50463-2025")</f>
        <v/>
      </c>
    </row>
    <row r="131" ht="15" customHeight="1">
      <c r="A131" t="inlineStr">
        <is>
          <t>A 20404-2026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46241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HYPERLINK("https://klasma.github.io/Logging_2481/artfynd/A 20404-2026 artfynd.xlsx", "A 20404-2026")</f>
        <v/>
      </c>
      <c r="X131">
        <f>HYPERLINK("https://klasma.github.io/Logging_2481/kartor/A 20404-2026 karta.png", "A 20404-2026")</f>
        <v/>
      </c>
      <c r="Y131">
        <f>HYPERLINK("https://klasma.github.io/Logging_2481/kartor_geotiff/A 20404-2026 georefererad karta.tif", "A 20404-2026")</f>
        <v/>
      </c>
      <c r="AA131">
        <f>HYPERLINK("https://klasma.github.io/Logging_2481/klagomål/A 20404-2026 FSC-klagomål.docx", "A 20404-2026")</f>
        <v/>
      </c>
      <c r="AB131">
        <f>HYPERLINK("https://klasma.github.io/Logging_2481/klagomålsmail/A 20404-2026 FSC-klagomål mail.docx", "A 20404-2026")</f>
        <v/>
      </c>
      <c r="AC131">
        <f>HYPERLINK("https://klasma.github.io/Logging_2481/tillsyn/A 20404-2026 tillsynsbegäran.docx", "A 20404-2026")</f>
        <v/>
      </c>
      <c r="AD131">
        <f>HYPERLINK("https://klasma.github.io/Logging_2481/tillsynsmail/A 20404-2026 tillsynsbegäran mail.docx", "A 20404-2026")</f>
        <v/>
      </c>
    </row>
    <row r="132" ht="15" customHeight="1">
      <c r="A132" t="inlineStr">
        <is>
          <t>A 53108-2025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46241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Bårdlav</t>
        </is>
      </c>
      <c r="W132">
        <f>HYPERLINK("https://klasma.github.io/Logging_2481/artfynd/A 53108-2025 artfynd.xlsx", "A 53108-2025")</f>
        <v/>
      </c>
      <c r="X132">
        <f>HYPERLINK("https://klasma.github.io/Logging_2481/kartor/A 53108-2025 karta.png", "A 53108-2025")</f>
        <v/>
      </c>
      <c r="Y132">
        <f>HYPERLINK("https://klasma.github.io/Logging_2481/kartor_geotiff/A 53108-2025 georefererad karta.tif", "A 53108-2025")</f>
        <v/>
      </c>
      <c r="AA132">
        <f>HYPERLINK("https://klasma.github.io/Logging_2481/klagomål/A 53108-2025 FSC-klagomål.docx", "A 53108-2025")</f>
        <v/>
      </c>
      <c r="AB132">
        <f>HYPERLINK("https://klasma.github.io/Logging_2481/klagomålsmail/A 53108-2025 FSC-klagomål mail.docx", "A 53108-2025")</f>
        <v/>
      </c>
      <c r="AC132">
        <f>HYPERLINK("https://klasma.github.io/Logging_2481/tillsyn/A 53108-2025 tillsynsbegäran.docx", "A 53108-2025")</f>
        <v/>
      </c>
      <c r="AD132">
        <f>HYPERLINK("https://klasma.github.io/Logging_2481/tillsynsmail/A 53108-2025 tillsynsbegäran mail.docx", "A 53108-2025")</f>
        <v/>
      </c>
    </row>
    <row r="133" ht="15" customHeight="1">
      <c r="A133" t="inlineStr">
        <is>
          <t>A 53110-2025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46241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53110-2025 artfynd.xlsx", "A 53110-2025")</f>
        <v/>
      </c>
      <c r="X133">
        <f>HYPERLINK("https://klasma.github.io/Logging_2481/kartor/A 53110-2025 karta.png", "A 53110-2025")</f>
        <v/>
      </c>
      <c r="Y133">
        <f>HYPERLINK("https://klasma.github.io/Logging_2481/kartor_geotiff/A 53110-2025 georefererad karta.tif", "A 53110-2025")</f>
        <v/>
      </c>
      <c r="AA133">
        <f>HYPERLINK("https://klasma.github.io/Logging_2481/klagomål/A 53110-2025 FSC-klagomål.docx", "A 53110-2025")</f>
        <v/>
      </c>
      <c r="AB133">
        <f>HYPERLINK("https://klasma.github.io/Logging_2481/klagomålsmail/A 53110-2025 FSC-klagomål mail.docx", "A 53110-2025")</f>
        <v/>
      </c>
      <c r="AC133">
        <f>HYPERLINK("https://klasma.github.io/Logging_2481/tillsyn/A 53110-2025 tillsynsbegäran.docx", "A 53110-2025")</f>
        <v/>
      </c>
      <c r="AD133">
        <f>HYPERLINK("https://klasma.github.io/Logging_2481/tillsynsmail/A 53110-2025 tillsynsbegäran mail.docx", "A 53110-2025")</f>
        <v/>
      </c>
    </row>
    <row r="134" ht="15" customHeight="1">
      <c r="A134" t="inlineStr">
        <is>
          <t>A 54277-2025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46241</v>
      </c>
      <c r="F134" t="inlineStr">
        <is>
          <t>VÄSTERBOTTENS LÄN</t>
        </is>
      </c>
      <c r="G134" t="inlineStr">
        <is>
          <t>LYCKSELE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Garnlav</t>
        </is>
      </c>
      <c r="W134">
        <f>HYPERLINK("https://klasma.github.io/Logging_2481/artfynd/A 54277-2025 artfynd.xlsx", "A 54277-2025")</f>
        <v/>
      </c>
      <c r="X134">
        <f>HYPERLINK("https://klasma.github.io/Logging_2481/kartor/A 54277-2025 karta.png", "A 54277-2025")</f>
        <v/>
      </c>
      <c r="Y134">
        <f>HYPERLINK("https://klasma.github.io/Logging_2481/kartor_geotiff/A 54277-2025 georefererad karta.tif", "A 54277-2025")</f>
        <v/>
      </c>
      <c r="AA134">
        <f>HYPERLINK("https://klasma.github.io/Logging_2481/klagomål/A 54277-2025 FSC-klagomål.docx", "A 54277-2025")</f>
        <v/>
      </c>
      <c r="AB134">
        <f>HYPERLINK("https://klasma.github.io/Logging_2481/klagomålsmail/A 54277-2025 FSC-klagomål mail.docx", "A 54277-2025")</f>
        <v/>
      </c>
      <c r="AC134">
        <f>HYPERLINK("https://klasma.github.io/Logging_2481/tillsyn/A 54277-2025 tillsynsbegäran.docx", "A 54277-2025")</f>
        <v/>
      </c>
      <c r="AD134">
        <f>HYPERLINK("https://klasma.github.io/Logging_2481/tillsynsmail/A 54277-2025 tillsynsbegäran mail.docx", "A 54277-2025")</f>
        <v/>
      </c>
    </row>
    <row r="135" ht="15" customHeight="1">
      <c r="A135" t="inlineStr">
        <is>
          <t>A 28408-2023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45101</v>
      </c>
      <c r="E135" s="1" t="n">
        <v>46241</v>
      </c>
      <c r="F135" t="inlineStr">
        <is>
          <t>VÄSTERBOTTENS LÄN</t>
        </is>
      </c>
      <c r="G135" t="inlineStr">
        <is>
          <t>LYCKSELE</t>
        </is>
      </c>
      <c r="I135" t="n">
        <v>5.7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 taggsvamp</t>
        </is>
      </c>
      <c r="W135">
        <f>HYPERLINK("https://klasma.github.io/Logging_2481/artfynd/A 28408-2023 artfynd.xlsx", "A 28408-2023")</f>
        <v/>
      </c>
      <c r="X135">
        <f>HYPERLINK("https://klasma.github.io/Logging_2481/kartor/A 28408-2023 karta.png", "A 28408-2023")</f>
        <v/>
      </c>
      <c r="Y135">
        <f>HYPERLINK("https://klasma.github.io/Logging_2481/kartor_geotiff/A 28408-2023 georefererad karta.tif", "A 28408-2023")</f>
        <v/>
      </c>
      <c r="AA135">
        <f>HYPERLINK("https://klasma.github.io/Logging_2481/klagomål/A 28408-2023 FSC-klagomål.docx", "A 28408-2023")</f>
        <v/>
      </c>
      <c r="AB135">
        <f>HYPERLINK("https://klasma.github.io/Logging_2481/klagomålsmail/A 28408-2023 FSC-klagomål mail.docx", "A 28408-2023")</f>
        <v/>
      </c>
      <c r="AC135">
        <f>HYPERLINK("https://klasma.github.io/Logging_2481/tillsyn/A 28408-2023 tillsynsbegäran.docx", "A 28408-2023")</f>
        <v/>
      </c>
      <c r="AD135">
        <f>HYPERLINK("https://klasma.github.io/Logging_2481/tillsynsmail/A 28408-2023 tillsynsbegäran mail.docx", "A 28408-2023")</f>
        <v/>
      </c>
    </row>
    <row r="136" ht="15" customHeight="1">
      <c r="A136" t="inlineStr">
        <is>
          <t>A 55938-2023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46241</v>
      </c>
      <c r="F136" t="inlineStr">
        <is>
          <t>VÄSTERBOTTENS LÄN</t>
        </is>
      </c>
      <c r="G136" t="inlineStr">
        <is>
          <t>LYCKSELE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Järpe</t>
        </is>
      </c>
      <c r="W136">
        <f>HYPERLINK("https://klasma.github.io/Logging_2481/artfynd/A 55938-2023 artfynd.xlsx", "A 55938-2023")</f>
        <v/>
      </c>
      <c r="X136">
        <f>HYPERLINK("https://klasma.github.io/Logging_2481/kartor/A 55938-2023 karta.png", "A 55938-2023")</f>
        <v/>
      </c>
      <c r="Y136">
        <f>HYPERLINK("https://klasma.github.io/Logging_2481/kartor_geotiff/A 55938-2023 georefererad karta.tif", "A 55938-2023")</f>
        <v/>
      </c>
      <c r="AA136">
        <f>HYPERLINK("https://klasma.github.io/Logging_2481/klagomål/A 55938-2023 FSC-klagomål.docx", "A 55938-2023")</f>
        <v/>
      </c>
      <c r="AB136">
        <f>HYPERLINK("https://klasma.github.io/Logging_2481/klagomålsmail/A 55938-2023 FSC-klagomål mail.docx", "A 55938-2023")</f>
        <v/>
      </c>
      <c r="AC136">
        <f>HYPERLINK("https://klasma.github.io/Logging_2481/tillsyn/A 55938-2023 tillsynsbegäran.docx", "A 55938-2023")</f>
        <v/>
      </c>
      <c r="AD136">
        <f>HYPERLINK("https://klasma.github.io/Logging_2481/tillsynsmail/A 55938-2023 tillsynsbegäran mail.docx", "A 55938-2023")</f>
        <v/>
      </c>
      <c r="AE136">
        <f>HYPERLINK("https://klasma.github.io/Logging_2481/fåglar/A 55938-2023 prioriterade fågelarter.docx", "A 55938-2023")</f>
        <v/>
      </c>
    </row>
    <row r="137" ht="15" customHeight="1">
      <c r="A137" t="inlineStr">
        <is>
          <t>A 58071-2025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46241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Stuplav</t>
        </is>
      </c>
      <c r="W137">
        <f>HYPERLINK("https://klasma.github.io/Logging_2481/artfynd/A 58071-2025 artfynd.xlsx", "A 58071-2025")</f>
        <v/>
      </c>
      <c r="X137">
        <f>HYPERLINK("https://klasma.github.io/Logging_2481/kartor/A 58071-2025 karta.png", "A 58071-2025")</f>
        <v/>
      </c>
      <c r="Y137">
        <f>HYPERLINK("https://klasma.github.io/Logging_2481/kartor_geotiff/A 58071-2025 georefererad karta.tif", "A 58071-2025")</f>
        <v/>
      </c>
      <c r="AA137">
        <f>HYPERLINK("https://klasma.github.io/Logging_2481/klagomål/A 58071-2025 FSC-klagomål.docx", "A 58071-2025")</f>
        <v/>
      </c>
      <c r="AB137">
        <f>HYPERLINK("https://klasma.github.io/Logging_2481/klagomålsmail/A 58071-2025 FSC-klagomål mail.docx", "A 58071-2025")</f>
        <v/>
      </c>
      <c r="AC137">
        <f>HYPERLINK("https://klasma.github.io/Logging_2481/tillsyn/A 58071-2025 tillsynsbegäran.docx", "A 58071-2025")</f>
        <v/>
      </c>
      <c r="AD137">
        <f>HYPERLINK("https://klasma.github.io/Logging_2481/tillsynsmail/A 58071-2025 tillsynsbegäran mail.docx", "A 58071-2025")</f>
        <v/>
      </c>
    </row>
    <row r="138" ht="15" customHeight="1">
      <c r="A138" t="inlineStr">
        <is>
          <t>A 58390-2025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46241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9.1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HYPERLINK("https://klasma.github.io/Logging_2481/artfynd/A 58390-2025 artfynd.xlsx", "A 58390-2025")</f>
        <v/>
      </c>
      <c r="X138">
        <f>HYPERLINK("https://klasma.github.io/Logging_2481/kartor/A 58390-2025 karta.png", "A 58390-2025")</f>
        <v/>
      </c>
      <c r="Y138">
        <f>HYPERLINK("https://klasma.github.io/Logging_2481/kartor_geotiff/A 58390-2025 georefererad karta.tif", "A 58390-2025")</f>
        <v/>
      </c>
      <c r="AA138">
        <f>HYPERLINK("https://klasma.github.io/Logging_2481/klagomål/A 58390-2025 FSC-klagomål.docx", "A 58390-2025")</f>
        <v/>
      </c>
      <c r="AB138">
        <f>HYPERLINK("https://klasma.github.io/Logging_2481/klagomålsmail/A 58390-2025 FSC-klagomål mail.docx", "A 58390-2025")</f>
        <v/>
      </c>
      <c r="AC138">
        <f>HYPERLINK("https://klasma.github.io/Logging_2481/tillsyn/A 58390-2025 tillsynsbegäran.docx", "A 58390-2025")</f>
        <v/>
      </c>
      <c r="AD138">
        <f>HYPERLINK("https://klasma.github.io/Logging_2481/tillsynsmail/A 58390-2025 tillsynsbegäran mail.docx", "A 58390-2025")</f>
        <v/>
      </c>
    </row>
    <row r="139" ht="15" customHeight="1">
      <c r="A139" t="inlineStr">
        <is>
          <t>A 59883-2025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46241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59883-2025 artfynd.xlsx", "A 59883-2025")</f>
        <v/>
      </c>
      <c r="X139">
        <f>HYPERLINK("https://klasma.github.io/Logging_2481/kartor/A 59883-2025 karta.png", "A 59883-2025")</f>
        <v/>
      </c>
      <c r="Y139">
        <f>HYPERLINK("https://klasma.github.io/Logging_2481/kartor_geotiff/A 59883-2025 georefererad karta.tif", "A 59883-2025")</f>
        <v/>
      </c>
      <c r="AA139">
        <f>HYPERLINK("https://klasma.github.io/Logging_2481/klagomål/A 59883-2025 FSC-klagomål.docx", "A 59883-2025")</f>
        <v/>
      </c>
      <c r="AB139">
        <f>HYPERLINK("https://klasma.github.io/Logging_2481/klagomålsmail/A 59883-2025 FSC-klagomål mail.docx", "A 59883-2025")</f>
        <v/>
      </c>
      <c r="AC139">
        <f>HYPERLINK("https://klasma.github.io/Logging_2481/tillsyn/A 59883-2025 tillsynsbegäran.docx", "A 59883-2025")</f>
        <v/>
      </c>
      <c r="AD139">
        <f>HYPERLINK("https://klasma.github.io/Logging_2481/tillsynsmail/A 59883-2025 tillsynsbegäran mail.docx", "A 59883-2025")</f>
        <v/>
      </c>
    </row>
    <row r="140" ht="15" customHeight="1">
      <c r="A140" t="inlineStr">
        <is>
          <t>A 22120-2026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46241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22120-2026 artfynd.xlsx", "A 22120-2026")</f>
        <v/>
      </c>
      <c r="X140">
        <f>HYPERLINK("https://klasma.github.io/Logging_2481/kartor/A 22120-2026 karta.png", "A 22120-2026")</f>
        <v/>
      </c>
      <c r="Y140">
        <f>HYPERLINK("https://klasma.github.io/Logging_2481/kartor_geotiff/A 22120-2026 georefererad karta.tif", "A 22120-2026")</f>
        <v/>
      </c>
      <c r="AA140">
        <f>HYPERLINK("https://klasma.github.io/Logging_2481/klagomål/A 22120-2026 FSC-klagomål.docx", "A 22120-2026")</f>
        <v/>
      </c>
      <c r="AB140">
        <f>HYPERLINK("https://klasma.github.io/Logging_2481/klagomålsmail/A 22120-2026 FSC-klagomål mail.docx", "A 22120-2026")</f>
        <v/>
      </c>
      <c r="AC140">
        <f>HYPERLINK("https://klasma.github.io/Logging_2481/tillsyn/A 22120-2026 tillsynsbegäran.docx", "A 22120-2026")</f>
        <v/>
      </c>
      <c r="AD140">
        <f>HYPERLINK("https://klasma.github.io/Logging_2481/tillsynsmail/A 22120-2026 tillsynsbegäran mail.docx", "A 22120-2026")</f>
        <v/>
      </c>
    </row>
    <row r="141" ht="15" customHeight="1">
      <c r="A141" t="inlineStr">
        <is>
          <t>A 20929-2025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45777</v>
      </c>
      <c r="E141" s="1" t="n">
        <v>46241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20929-2025 artfynd.xlsx", "A 20929-2025")</f>
        <v/>
      </c>
      <c r="X141">
        <f>HYPERLINK("https://klasma.github.io/Logging_2481/kartor/A 20929-2025 karta.png", "A 20929-2025")</f>
        <v/>
      </c>
      <c r="Y141">
        <f>HYPERLINK("https://klasma.github.io/Logging_2481/kartor_geotiff/A 20929-2025 georefererad karta.tif", "A 20929-2025")</f>
        <v/>
      </c>
      <c r="AA141">
        <f>HYPERLINK("https://klasma.github.io/Logging_2481/klagomål/A 20929-2025 FSC-klagomål.docx", "A 20929-2025")</f>
        <v/>
      </c>
      <c r="AB141">
        <f>HYPERLINK("https://klasma.github.io/Logging_2481/klagomålsmail/A 20929-2025 FSC-klagomål mail.docx", "A 20929-2025")</f>
        <v/>
      </c>
      <c r="AC141">
        <f>HYPERLINK("https://klasma.github.io/Logging_2481/tillsyn/A 20929-2025 tillsynsbegäran.docx", "A 20929-2025")</f>
        <v/>
      </c>
      <c r="AD141">
        <f>HYPERLINK("https://klasma.github.io/Logging_2481/tillsynsmail/A 20929-2025 tillsynsbegäran mail.docx", "A 20929-2025")</f>
        <v/>
      </c>
    </row>
    <row r="142" ht="15" customHeight="1">
      <c r="A142" t="inlineStr">
        <is>
          <t>A 72131-2021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46241</v>
      </c>
      <c r="F142" t="inlineStr">
        <is>
          <t>VÄSTERBOTTENS LÄN</t>
        </is>
      </c>
      <c r="G142" t="inlineStr">
        <is>
          <t>LYCKSELE</t>
        </is>
      </c>
      <c r="I142" t="n">
        <v>19.1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HYPERLINK("https://klasma.github.io/Logging_2481/artfynd/A 72131-2021 artfynd.xlsx", "A 72131-2021")</f>
        <v/>
      </c>
      <c r="X142">
        <f>HYPERLINK("https://klasma.github.io/Logging_2481/kartor/A 72131-2021 karta.png", "A 72131-2021")</f>
        <v/>
      </c>
      <c r="Y142">
        <f>HYPERLINK("https://klasma.github.io/Logging_2481/kartor_geotiff/A 72131-2021 georefererad karta.tif", "A 72131-2021")</f>
        <v/>
      </c>
      <c r="AA142">
        <f>HYPERLINK("https://klasma.github.io/Logging_2481/klagomål/A 72131-2021 FSC-klagomål.docx", "A 72131-2021")</f>
        <v/>
      </c>
      <c r="AB142">
        <f>HYPERLINK("https://klasma.github.io/Logging_2481/klagomålsmail/A 72131-2021 FSC-klagomål mail.docx", "A 72131-2021")</f>
        <v/>
      </c>
      <c r="AC142">
        <f>HYPERLINK("https://klasma.github.io/Logging_2481/tillsyn/A 72131-2021 tillsynsbegäran.docx", "A 72131-2021")</f>
        <v/>
      </c>
      <c r="AD142">
        <f>HYPERLINK("https://klasma.github.io/Logging_2481/tillsynsmail/A 72131-2021 tillsynsbegäran mail.docx", "A 72131-2021")</f>
        <v/>
      </c>
      <c r="AE142">
        <f>HYPERLINK("https://klasma.github.io/Logging_2481/fåglar/A 72131-2021 prioriterade fågelarter.docx", "A 72131-2021")</f>
        <v/>
      </c>
    </row>
    <row r="143" ht="15" customHeight="1">
      <c r="A143" t="inlineStr">
        <is>
          <t>A 22680-2026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46156</v>
      </c>
      <c r="E143" s="1" t="n">
        <v>46241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22.2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22680-2026 artfynd.xlsx", "A 22680-2026")</f>
        <v/>
      </c>
      <c r="X143">
        <f>HYPERLINK("https://klasma.github.io/Logging_2481/kartor/A 22680-2026 karta.png", "A 22680-2026")</f>
        <v/>
      </c>
      <c r="Y143">
        <f>HYPERLINK("https://klasma.github.io/Logging_2481/kartor_geotiff/A 22680-2026 georefererad karta.tif", "A 22680-2026")</f>
        <v/>
      </c>
      <c r="AA143">
        <f>HYPERLINK("https://klasma.github.io/Logging_2481/klagomål/A 22680-2026 FSC-klagomål.docx", "A 22680-2026")</f>
        <v/>
      </c>
      <c r="AB143">
        <f>HYPERLINK("https://klasma.github.io/Logging_2481/klagomålsmail/A 22680-2026 FSC-klagomål mail.docx", "A 22680-2026")</f>
        <v/>
      </c>
      <c r="AC143">
        <f>HYPERLINK("https://klasma.github.io/Logging_2481/tillsyn/A 22680-2026 tillsynsbegäran.docx", "A 22680-2026")</f>
        <v/>
      </c>
      <c r="AD143">
        <f>HYPERLINK("https://klasma.github.io/Logging_2481/tillsynsmail/A 22680-2026 tillsynsbegäran mail.docx", "A 22680-2026")</f>
        <v/>
      </c>
    </row>
    <row r="144" ht="15" customHeight="1">
      <c r="A144" t="inlineStr">
        <is>
          <t>A 57243-2025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45979</v>
      </c>
      <c r="E144" s="1" t="n">
        <v>46241</v>
      </c>
      <c r="F144" t="inlineStr">
        <is>
          <t>VÄSTERBOTTENS LÄN</t>
        </is>
      </c>
      <c r="G144" t="inlineStr">
        <is>
          <t>LYCKSELE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HYPERLINK("https://klasma.github.io/Logging_2481/artfynd/A 57243-2025 artfynd.xlsx", "A 57243-2025")</f>
        <v/>
      </c>
      <c r="X144">
        <f>HYPERLINK("https://klasma.github.io/Logging_2481/kartor/A 57243-2025 karta.png", "A 57243-2025")</f>
        <v/>
      </c>
      <c r="Y144">
        <f>HYPERLINK("https://klasma.github.io/Logging_2481/kartor_geotiff/A 57243-2025 georefererad karta.tif", "A 57243-2025")</f>
        <v/>
      </c>
      <c r="AA144">
        <f>HYPERLINK("https://klasma.github.io/Logging_2481/klagomål/A 57243-2025 FSC-klagomål.docx", "A 57243-2025")</f>
        <v/>
      </c>
      <c r="AB144">
        <f>HYPERLINK("https://klasma.github.io/Logging_2481/klagomålsmail/A 57243-2025 FSC-klagomål mail.docx", "A 57243-2025")</f>
        <v/>
      </c>
      <c r="AC144">
        <f>HYPERLINK("https://klasma.github.io/Logging_2481/tillsyn/A 57243-2025 tillsynsbegäran.docx", "A 57243-2025")</f>
        <v/>
      </c>
      <c r="AD144">
        <f>HYPERLINK("https://klasma.github.io/Logging_2481/tillsynsmail/A 57243-2025 tillsynsbegäran mail.docx", "A 57243-2025")</f>
        <v/>
      </c>
    </row>
    <row r="145" ht="15" customHeight="1">
      <c r="A145" t="inlineStr">
        <is>
          <t>A 62317-2025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46241</v>
      </c>
      <c r="F145" t="inlineStr">
        <is>
          <t>VÄSTERBOTTENS LÄN</t>
        </is>
      </c>
      <c r="G145" t="inlineStr">
        <is>
          <t>LYCKSELE</t>
        </is>
      </c>
      <c r="I145" t="n">
        <v>0.9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Plattlummer</t>
        </is>
      </c>
      <c r="W145">
        <f>HYPERLINK("https://klasma.github.io/Logging_2481/artfynd/A 62317-2025 artfynd.xlsx", "A 62317-2025")</f>
        <v/>
      </c>
      <c r="X145">
        <f>HYPERLINK("https://klasma.github.io/Logging_2481/kartor/A 62317-2025 karta.png", "A 62317-2025")</f>
        <v/>
      </c>
      <c r="Y145">
        <f>HYPERLINK("https://klasma.github.io/Logging_2481/kartor_geotiff/A 62317-2025 georefererad karta.tif", "A 62317-2025")</f>
        <v/>
      </c>
      <c r="AA145">
        <f>HYPERLINK("https://klasma.github.io/Logging_2481/klagomål/A 62317-2025 FSC-klagomål.docx", "A 62317-2025")</f>
        <v/>
      </c>
      <c r="AB145">
        <f>HYPERLINK("https://klasma.github.io/Logging_2481/klagomålsmail/A 62317-2025 FSC-klagomål mail.docx", "A 62317-2025")</f>
        <v/>
      </c>
      <c r="AC145">
        <f>HYPERLINK("https://klasma.github.io/Logging_2481/tillsyn/A 62317-2025 tillsynsbegäran.docx", "A 62317-2025")</f>
        <v/>
      </c>
      <c r="AD145">
        <f>HYPERLINK("https://klasma.github.io/Logging_2481/tillsynsmail/A 62317-2025 tillsynsbegäran mail.docx", "A 62317-2025")</f>
        <v/>
      </c>
    </row>
    <row r="146" ht="15" customHeight="1">
      <c r="A146" t="inlineStr">
        <is>
          <t>A 28838-2024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46241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28838-2024 artfynd.xlsx", "A 28838-2024")</f>
        <v/>
      </c>
      <c r="X146">
        <f>HYPERLINK("https://klasma.github.io/Logging_2481/kartor/A 28838-2024 karta.png", "A 28838-2024")</f>
        <v/>
      </c>
      <c r="Y146">
        <f>HYPERLINK("https://klasma.github.io/Logging_2481/kartor_geotiff/A 28838-2024 georefererad karta.tif", "A 28838-2024")</f>
        <v/>
      </c>
      <c r="AA146">
        <f>HYPERLINK("https://klasma.github.io/Logging_2481/klagomål/A 28838-2024 FSC-klagomål.docx", "A 28838-2024")</f>
        <v/>
      </c>
      <c r="AB146">
        <f>HYPERLINK("https://klasma.github.io/Logging_2481/klagomålsmail/A 28838-2024 FSC-klagomål mail.docx", "A 28838-2024")</f>
        <v/>
      </c>
      <c r="AC146">
        <f>HYPERLINK("https://klasma.github.io/Logging_2481/tillsyn/A 28838-2024 tillsynsbegäran.docx", "A 28838-2024")</f>
        <v/>
      </c>
      <c r="AD146">
        <f>HYPERLINK("https://klasma.github.io/Logging_2481/tillsynsmail/A 28838-2024 tillsynsbegäran mail.docx", "A 28838-2024")</f>
        <v/>
      </c>
    </row>
    <row r="147" ht="15" customHeight="1">
      <c r="A147" t="inlineStr">
        <is>
          <t>A 1339-2026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46241</v>
      </c>
      <c r="F147" t="inlineStr">
        <is>
          <t>VÄSTERBOTTENS LÄN</t>
        </is>
      </c>
      <c r="G147" t="inlineStr">
        <is>
          <t>LYCKSELE</t>
        </is>
      </c>
      <c r="I147" t="n">
        <v>4.9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7</v>
      </c>
      <c r="U147" t="n">
        <v>3</v>
      </c>
      <c r="V147" s="2" t="inlineStr">
        <is>
          <t>Norna</t>
        </is>
      </c>
      <c r="W147">
        <f>HYPERLINK("https://klasma.github.io/Logging_2481/artfynd/A 1339-2026 artfynd.xlsx", "A 1339-2026")</f>
        <v/>
      </c>
      <c r="X147">
        <f>HYPERLINK("https://klasma.github.io/Logging_2481/kartor/A 1339-2026 karta.png", "A 1339-2026")</f>
        <v/>
      </c>
      <c r="Y147">
        <f>HYPERLINK("https://klasma.github.io/Logging_2481/kartor_geotiff/A 1339-2026 georefererad karta.tif", "A 1339-2026")</f>
        <v/>
      </c>
      <c r="AA147">
        <f>HYPERLINK("https://klasma.github.io/Logging_2481/klagomål/A 1339-2026 FSC-klagomål.docx", "A 1339-2026")</f>
        <v/>
      </c>
      <c r="AB147">
        <f>HYPERLINK("https://klasma.github.io/Logging_2481/klagomålsmail/A 1339-2026 FSC-klagomål mail.docx", "A 1339-2026")</f>
        <v/>
      </c>
      <c r="AC147">
        <f>HYPERLINK("https://klasma.github.io/Logging_2481/tillsyn/A 1339-2026 tillsynsbegäran.docx", "A 1339-2026")</f>
        <v/>
      </c>
      <c r="AD147">
        <f>HYPERLINK("https://klasma.github.io/Logging_2481/tillsynsmail/A 1339-2026 tillsynsbegäran mail.docx", "A 1339-2026")</f>
        <v/>
      </c>
    </row>
    <row r="148" ht="15" customHeight="1">
      <c r="A148" t="inlineStr">
        <is>
          <t>A 23396-2026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46162</v>
      </c>
      <c r="E148" s="1" t="n">
        <v>46241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SCA</t>
        </is>
      </c>
      <c r="I148" t="n">
        <v>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Källpraktmossa</t>
        </is>
      </c>
      <c r="W148">
        <f>HYPERLINK("https://klasma.github.io/Logging_2481/artfynd/A 23396-2026 artfynd.xlsx", "A 23396-2026")</f>
        <v/>
      </c>
      <c r="X148">
        <f>HYPERLINK("https://klasma.github.io/Logging_2481/kartor/A 23396-2026 karta.png", "A 23396-2026")</f>
        <v/>
      </c>
      <c r="Y148">
        <f>HYPERLINK("https://klasma.github.io/Logging_2481/kartor_geotiff/A 23396-2026 georefererad karta.tif", "A 23396-2026")</f>
        <v/>
      </c>
      <c r="AA148">
        <f>HYPERLINK("https://klasma.github.io/Logging_2481/klagomål/A 23396-2026 FSC-klagomål.docx", "A 23396-2026")</f>
        <v/>
      </c>
      <c r="AB148">
        <f>HYPERLINK("https://klasma.github.io/Logging_2481/klagomålsmail/A 23396-2026 FSC-klagomål mail.docx", "A 23396-2026")</f>
        <v/>
      </c>
      <c r="AC148">
        <f>HYPERLINK("https://klasma.github.io/Logging_2481/tillsyn/A 23396-2026 tillsynsbegäran.docx", "A 23396-2026")</f>
        <v/>
      </c>
      <c r="AD148">
        <f>HYPERLINK("https://klasma.github.io/Logging_2481/tillsynsmail/A 23396-2026 tillsynsbegäran mail.docx", "A 23396-2026")</f>
        <v/>
      </c>
    </row>
    <row r="149" ht="15" customHeight="1">
      <c r="A149" t="inlineStr">
        <is>
          <t>A 2499-2026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46241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19.3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HYPERLINK("https://klasma.github.io/Logging_2481/artfynd/A 2499-2026 artfynd.xlsx", "A 2499-2026")</f>
        <v/>
      </c>
      <c r="X149">
        <f>HYPERLINK("https://klasma.github.io/Logging_2481/kartor/A 2499-2026 karta.png", "A 2499-2026")</f>
        <v/>
      </c>
      <c r="Y149">
        <f>HYPERLINK("https://klasma.github.io/Logging_2481/kartor_geotiff/A 2499-2026 georefererad karta.tif", "A 2499-2026")</f>
        <v/>
      </c>
      <c r="AA149">
        <f>HYPERLINK("https://klasma.github.io/Logging_2481/klagomål/A 2499-2026 FSC-klagomål.docx", "A 2499-2026")</f>
        <v/>
      </c>
      <c r="AB149">
        <f>HYPERLINK("https://klasma.github.io/Logging_2481/klagomålsmail/A 2499-2026 FSC-klagomål mail.docx", "A 2499-2026")</f>
        <v/>
      </c>
      <c r="AC149">
        <f>HYPERLINK("https://klasma.github.io/Logging_2481/tillsyn/A 2499-2026 tillsynsbegäran.docx", "A 2499-2026")</f>
        <v/>
      </c>
      <c r="AD149">
        <f>HYPERLINK("https://klasma.github.io/Logging_2481/tillsynsmail/A 2499-2026 tillsynsbegäran mail.docx", "A 2499-2026")</f>
        <v/>
      </c>
    </row>
    <row r="150" ht="15" customHeight="1">
      <c r="A150" t="inlineStr">
        <is>
          <t>A 35559-2023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46241</v>
      </c>
      <c r="F150" t="inlineStr">
        <is>
          <t>VÄSTERBOTTENS LÄN</t>
        </is>
      </c>
      <c r="G150" t="inlineStr">
        <is>
          <t>LYCKSELE</t>
        </is>
      </c>
      <c r="I150" t="n">
        <v>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Stjärntagging</t>
        </is>
      </c>
      <c r="W150">
        <f>HYPERLINK("https://klasma.github.io/Logging_2481/artfynd/A 35559-2023 artfynd.xlsx", "A 35559-2023")</f>
        <v/>
      </c>
      <c r="X150">
        <f>HYPERLINK("https://klasma.github.io/Logging_2481/kartor/A 35559-2023 karta.png", "A 35559-2023")</f>
        <v/>
      </c>
      <c r="Y150">
        <f>HYPERLINK("https://klasma.github.io/Logging_2481/kartor_geotiff/A 35559-2023 georefererad karta.tif", "A 35559-2023")</f>
        <v/>
      </c>
      <c r="AA150">
        <f>HYPERLINK("https://klasma.github.io/Logging_2481/klagomål/A 35559-2023 FSC-klagomål.docx", "A 35559-2023")</f>
        <v/>
      </c>
      <c r="AB150">
        <f>HYPERLINK("https://klasma.github.io/Logging_2481/klagomålsmail/A 35559-2023 FSC-klagomål mail.docx", "A 35559-2023")</f>
        <v/>
      </c>
      <c r="AC150">
        <f>HYPERLINK("https://klasma.github.io/Logging_2481/tillsyn/A 35559-2023 tillsynsbegäran.docx", "A 35559-2023")</f>
        <v/>
      </c>
      <c r="AD150">
        <f>HYPERLINK("https://klasma.github.io/Logging_2481/tillsynsmail/A 35559-2023 tillsynsbegäran mail.docx", "A 35559-2023")</f>
        <v/>
      </c>
    </row>
    <row r="151" ht="15" customHeight="1">
      <c r="A151" t="inlineStr">
        <is>
          <t>A 29828-2026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46241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HYPERLINK("https://klasma.github.io/Logging_2481/artfynd/A 29828-2026 artfynd.xlsx", "A 29828-2026")</f>
        <v/>
      </c>
      <c r="X151">
        <f>HYPERLINK("https://klasma.github.io/Logging_2481/kartor/A 29828-2026 karta.png", "A 29828-2026")</f>
        <v/>
      </c>
      <c r="Y151">
        <f>HYPERLINK("https://klasma.github.io/Logging_2481/kartor_geotiff/A 29828-2026 georefererad karta.tif", "A 29828-2026")</f>
        <v/>
      </c>
      <c r="AA151">
        <f>HYPERLINK("https://klasma.github.io/Logging_2481/klagomål/A 29828-2026 FSC-klagomål.docx", "A 29828-2026")</f>
        <v/>
      </c>
      <c r="AB151">
        <f>HYPERLINK("https://klasma.github.io/Logging_2481/klagomålsmail/A 29828-2026 FSC-klagomål mail.docx", "A 29828-2026")</f>
        <v/>
      </c>
      <c r="AC151">
        <f>HYPERLINK("https://klasma.github.io/Logging_2481/tillsyn/A 29828-2026 tillsynsbegäran.docx", "A 29828-2026")</f>
        <v/>
      </c>
      <c r="AD151">
        <f>HYPERLINK("https://klasma.github.io/Logging_2481/tillsynsmail/A 29828-2026 tillsynsbegäran mail.docx", "A 29828-2026")</f>
        <v/>
      </c>
    </row>
    <row r="152" ht="15" customHeight="1">
      <c r="A152" t="inlineStr">
        <is>
          <t>A 33726-2022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46241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SCA</t>
        </is>
      </c>
      <c r="I152" t="n">
        <v>12.7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Pärluggla</t>
        </is>
      </c>
      <c r="W152">
        <f>HYPERLINK("https://klasma.github.io/Logging_2481/artfynd/A 33726-2022 artfynd.xlsx", "A 33726-2022")</f>
        <v/>
      </c>
      <c r="X152">
        <f>HYPERLINK("https://klasma.github.io/Logging_2481/kartor/A 33726-2022 karta.png", "A 33726-2022")</f>
        <v/>
      </c>
      <c r="Y152">
        <f>HYPERLINK("https://klasma.github.io/Logging_2481/kartor_geotiff/A 33726-2022 georefererad karta.tif", "A 33726-2022")</f>
        <v/>
      </c>
      <c r="AA152">
        <f>HYPERLINK("https://klasma.github.io/Logging_2481/klagomål/A 33726-2022 FSC-klagomål.docx", "A 33726-2022")</f>
        <v/>
      </c>
      <c r="AB152">
        <f>HYPERLINK("https://klasma.github.io/Logging_2481/klagomålsmail/A 33726-2022 FSC-klagomål mail.docx", "A 33726-2022")</f>
        <v/>
      </c>
      <c r="AC152">
        <f>HYPERLINK("https://klasma.github.io/Logging_2481/tillsyn/A 33726-2022 tillsynsbegäran.docx", "A 33726-2022")</f>
        <v/>
      </c>
      <c r="AD152">
        <f>HYPERLINK("https://klasma.github.io/Logging_2481/tillsynsmail/A 33726-2022 tillsynsbegäran mail.docx", "A 33726-2022")</f>
        <v/>
      </c>
      <c r="AE152">
        <f>HYPERLINK("https://klasma.github.io/Logging_2481/fåglar/A 33726-2022 prioriterade fågelarter.docx", "A 33726-2022")</f>
        <v/>
      </c>
    </row>
    <row r="153" ht="15" customHeight="1">
      <c r="A153" t="inlineStr">
        <is>
          <t>A 8491-2026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46065</v>
      </c>
      <c r="E153" s="1" t="n">
        <v>46241</v>
      </c>
      <c r="F153" t="inlineStr">
        <is>
          <t>VÄSTERBOTTENS LÄN</t>
        </is>
      </c>
      <c r="G153" t="inlineStr">
        <is>
          <t>LYCKSELE</t>
        </is>
      </c>
      <c r="I153" t="n">
        <v>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8491-2026 artfynd.xlsx", "A 8491-2026")</f>
        <v/>
      </c>
      <c r="X153">
        <f>HYPERLINK("https://klasma.github.io/Logging_2481/kartor/A 8491-2026 karta.png", "A 8491-2026")</f>
        <v/>
      </c>
      <c r="Y153">
        <f>HYPERLINK("https://klasma.github.io/Logging_2481/kartor_geotiff/A 8491-2026 georefererad karta.tif", "A 8491-2026")</f>
        <v/>
      </c>
      <c r="AA153">
        <f>HYPERLINK("https://klasma.github.io/Logging_2481/klagomål/A 8491-2026 FSC-klagomål.docx", "A 8491-2026")</f>
        <v/>
      </c>
      <c r="AB153">
        <f>HYPERLINK("https://klasma.github.io/Logging_2481/klagomålsmail/A 8491-2026 FSC-klagomål mail.docx", "A 8491-2026")</f>
        <v/>
      </c>
      <c r="AC153">
        <f>HYPERLINK("https://klasma.github.io/Logging_2481/tillsyn/A 8491-2026 tillsynsbegäran.docx", "A 8491-2026")</f>
        <v/>
      </c>
      <c r="AD153">
        <f>HYPERLINK("https://klasma.github.io/Logging_2481/tillsynsmail/A 8491-2026 tillsynsbegäran mail.docx", "A 8491-2026")</f>
        <v/>
      </c>
    </row>
    <row r="154" ht="15" customHeight="1">
      <c r="A154" t="inlineStr">
        <is>
          <t>A 9722-2026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46072</v>
      </c>
      <c r="E154" s="1" t="n">
        <v>46241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Holmen skog AB</t>
        </is>
      </c>
      <c r="I154" t="n">
        <v>4.5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HYPERLINK("https://klasma.github.io/Logging_2481/artfynd/A 9722-2026 artfynd.xlsx", "A 9722-2026")</f>
        <v/>
      </c>
      <c r="X154">
        <f>HYPERLINK("https://klasma.github.io/Logging_2481/kartor/A 9722-2026 karta.png", "A 9722-2026")</f>
        <v/>
      </c>
      <c r="Y154">
        <f>HYPERLINK("https://klasma.github.io/Logging_2481/kartor_geotiff/A 9722-2026 georefererad karta.tif", "A 9722-2026")</f>
        <v/>
      </c>
      <c r="AA154">
        <f>HYPERLINK("https://klasma.github.io/Logging_2481/klagomål/A 9722-2026 FSC-klagomål.docx", "A 9722-2026")</f>
        <v/>
      </c>
      <c r="AB154">
        <f>HYPERLINK("https://klasma.github.io/Logging_2481/klagomålsmail/A 9722-2026 FSC-klagomål mail.docx", "A 9722-2026")</f>
        <v/>
      </c>
      <c r="AC154">
        <f>HYPERLINK("https://klasma.github.io/Logging_2481/tillsyn/A 9722-2026 tillsynsbegäran.docx", "A 9722-2026")</f>
        <v/>
      </c>
      <c r="AD154">
        <f>HYPERLINK("https://klasma.github.io/Logging_2481/tillsynsmail/A 9722-2026 tillsynsbegäran mail.docx", "A 9722-2026")</f>
        <v/>
      </c>
    </row>
    <row r="155" ht="15" customHeight="1">
      <c r="A155" t="inlineStr">
        <is>
          <t>A 30994-2026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46213</v>
      </c>
      <c r="E155" s="1" t="n">
        <v>46241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Violettgrå tagellav</t>
        </is>
      </c>
      <c r="W155">
        <f>HYPERLINK("https://klasma.github.io/Logging_2481/artfynd/A 30994-2026 artfynd.xlsx", "A 30994-2026")</f>
        <v/>
      </c>
      <c r="X155">
        <f>HYPERLINK("https://klasma.github.io/Logging_2481/kartor/A 30994-2026 karta.png", "A 30994-2026")</f>
        <v/>
      </c>
      <c r="Y155">
        <f>HYPERLINK("https://klasma.github.io/Logging_2481/kartor_geotiff/A 30994-2026 georefererad karta.tif", "A 30994-2026")</f>
        <v/>
      </c>
      <c r="AA155">
        <f>HYPERLINK("https://klasma.github.io/Logging_2481/klagomål/A 30994-2026 FSC-klagomål.docx", "A 30994-2026")</f>
        <v/>
      </c>
      <c r="AB155">
        <f>HYPERLINK("https://klasma.github.io/Logging_2481/klagomålsmail/A 30994-2026 FSC-klagomål mail.docx", "A 30994-2026")</f>
        <v/>
      </c>
      <c r="AC155">
        <f>HYPERLINK("https://klasma.github.io/Logging_2481/tillsyn/A 30994-2026 tillsynsbegäran.docx", "A 30994-2026")</f>
        <v/>
      </c>
      <c r="AD155">
        <f>HYPERLINK("https://klasma.github.io/Logging_2481/tillsynsmail/A 30994-2026 tillsynsbegäran mail.docx", "A 30994-2026")</f>
        <v/>
      </c>
    </row>
    <row r="156" ht="15" customHeight="1">
      <c r="A156" t="inlineStr">
        <is>
          <t>A 53869-2023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46241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5.6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Dropptaggsvamp</t>
        </is>
      </c>
      <c r="W156">
        <f>HYPERLINK("https://klasma.github.io/Logging_2481/artfynd/A 53869-2023 artfynd.xlsx", "A 53869-2023")</f>
        <v/>
      </c>
      <c r="X156">
        <f>HYPERLINK("https://klasma.github.io/Logging_2481/kartor/A 53869-2023 karta.png", "A 53869-2023")</f>
        <v/>
      </c>
      <c r="Y156">
        <f>HYPERLINK("https://klasma.github.io/Logging_2481/kartor_geotiff/A 53869-2023 georefererad karta.tif", "A 53869-2023")</f>
        <v/>
      </c>
      <c r="AA156">
        <f>HYPERLINK("https://klasma.github.io/Logging_2481/klagomål/A 53869-2023 FSC-klagomål.docx", "A 53869-2023")</f>
        <v/>
      </c>
      <c r="AB156">
        <f>HYPERLINK("https://klasma.github.io/Logging_2481/klagomålsmail/A 53869-2023 FSC-klagomål mail.docx", "A 53869-2023")</f>
        <v/>
      </c>
      <c r="AC156">
        <f>HYPERLINK("https://klasma.github.io/Logging_2481/tillsyn/A 53869-2023 tillsynsbegäran.docx", "A 53869-2023")</f>
        <v/>
      </c>
      <c r="AD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59283-2024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46241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HYPERLINK("https://klasma.github.io/Logging_2481/artfynd/A 59283-2024 artfynd.xlsx", "A 59283-2024")</f>
        <v/>
      </c>
      <c r="X157">
        <f>HYPERLINK("https://klasma.github.io/Logging_2481/kartor/A 59283-2024 karta.png", "A 59283-2024")</f>
        <v/>
      </c>
      <c r="Y157">
        <f>HYPERLINK("https://klasma.github.io/Logging_2481/kartor_geotiff/A 59283-2024 georefererad karta.tif", "A 59283-2024")</f>
        <v/>
      </c>
      <c r="AA157">
        <f>HYPERLINK("https://klasma.github.io/Logging_2481/klagomål/A 59283-2024 FSC-klagomål.docx", "A 59283-2024")</f>
        <v/>
      </c>
      <c r="AB157">
        <f>HYPERLINK("https://klasma.github.io/Logging_2481/klagomålsmail/A 59283-2024 FSC-klagomål mail.docx", "A 59283-2024")</f>
        <v/>
      </c>
      <c r="AC157">
        <f>HYPERLINK("https://klasma.github.io/Logging_2481/tillsyn/A 59283-2024 tillsynsbegäran.docx", "A 59283-2024")</f>
        <v/>
      </c>
      <c r="AD157">
        <f>HYPERLINK("https://klasma.github.io/Logging_2481/tillsynsmail/A 59283-2024 tillsynsbegäran mail.docx", "A 59283-2024")</f>
        <v/>
      </c>
    </row>
    <row r="158" ht="15" customHeight="1">
      <c r="A158" t="inlineStr">
        <is>
          <t>A 31290-2026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46218</v>
      </c>
      <c r="E158" s="1" t="n">
        <v>46241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10.8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HYPERLINK("https://klasma.github.io/Logging_2481/artfynd/A 31290-2026 artfynd.xlsx", "A 31290-2026")</f>
        <v/>
      </c>
      <c r="X158">
        <f>HYPERLINK("https://klasma.github.io/Logging_2481/kartor/A 31290-2026 karta.png", "A 31290-2026")</f>
        <v/>
      </c>
      <c r="Y158">
        <f>HYPERLINK("https://klasma.github.io/Logging_2481/kartor_geotiff/A 31290-2026 georefererad karta.tif", "A 31290-2026")</f>
        <v/>
      </c>
      <c r="AA158">
        <f>HYPERLINK("https://klasma.github.io/Logging_2481/klagomål/A 31290-2026 FSC-klagomål.docx", "A 31290-2026")</f>
        <v/>
      </c>
      <c r="AB158">
        <f>HYPERLINK("https://klasma.github.io/Logging_2481/klagomålsmail/A 31290-2026 FSC-klagomål mail.docx", "A 31290-2026")</f>
        <v/>
      </c>
      <c r="AC158">
        <f>HYPERLINK("https://klasma.github.io/Logging_2481/tillsyn/A 31290-2026 tillsynsbegäran.docx", "A 31290-2026")</f>
        <v/>
      </c>
      <c r="AD158">
        <f>HYPERLINK("https://klasma.github.io/Logging_2481/tillsynsmail/A 31290-2026 tillsynsbegäran mail.docx", "A 31290-2026")</f>
        <v/>
      </c>
    </row>
    <row r="159" ht="15" customHeight="1">
      <c r="A159" t="inlineStr">
        <is>
          <t>A 25591-2026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46241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15.9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Gränsticka</t>
        </is>
      </c>
      <c r="W159">
        <f>HYPERLINK("https://klasma.github.io/Logging_2481/artfynd/A 25591-2026 artfynd.xlsx", "A 25591-2026")</f>
        <v/>
      </c>
      <c r="X159">
        <f>HYPERLINK("https://klasma.github.io/Logging_2481/kartor/A 25591-2026 karta.png", "A 25591-2026")</f>
        <v/>
      </c>
      <c r="Y159">
        <f>HYPERLINK("https://klasma.github.io/Logging_2481/kartor_geotiff/A 25591-2026 georefererad karta.tif", "A 25591-2026")</f>
        <v/>
      </c>
      <c r="AA159">
        <f>HYPERLINK("https://klasma.github.io/Logging_2481/klagomål/A 25591-2026 FSC-klagomål.docx", "A 25591-2026")</f>
        <v/>
      </c>
      <c r="AB159">
        <f>HYPERLINK("https://klasma.github.io/Logging_2481/klagomålsmail/A 25591-2026 FSC-klagomål mail.docx", "A 25591-2026")</f>
        <v/>
      </c>
      <c r="AC159">
        <f>HYPERLINK("https://klasma.github.io/Logging_2481/tillsyn/A 25591-2026 tillsynsbegäran.docx", "A 25591-2026")</f>
        <v/>
      </c>
      <c r="AD159">
        <f>HYPERLINK("https://klasma.github.io/Logging_2481/tillsynsmail/A 25591-2026 tillsynsbegäran mail.docx", "A 25591-2026")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46241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HYPERLINK("https://klasma.github.io/Logging_2481/artfynd/A 38507-2023 artfynd.xlsx", "A 38507-2023")</f>
        <v/>
      </c>
      <c r="X160">
        <f>HYPERLINK("https://klasma.github.io/Logging_2481/kartor/A 38507-2023 karta.png", "A 38507-2023")</f>
        <v/>
      </c>
      <c r="Y160">
        <f>HYPERLINK("https://klasma.github.io/Logging_2481/kartor_geotiff/A 38507-2023 georefererad karta.tif", "A 38507-2023")</f>
        <v/>
      </c>
      <c r="AA160">
        <f>HYPERLINK("https://klasma.github.io/Logging_2481/klagomål/A 38507-2023 FSC-klagomål.docx", "A 38507-2023")</f>
        <v/>
      </c>
      <c r="AB160">
        <f>HYPERLINK("https://klasma.github.io/Logging_2481/klagomålsmail/A 38507-2023 FSC-klagomål mail.docx", "A 38507-2023")</f>
        <v/>
      </c>
      <c r="AC160">
        <f>HYPERLINK("https://klasma.github.io/Logging_2481/tillsyn/A 38507-2023 tillsynsbegäran.docx", "A 38507-2023")</f>
        <v/>
      </c>
      <c r="AD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25701-2026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46241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Skrovellav</t>
        </is>
      </c>
      <c r="W161">
        <f>HYPERLINK("https://klasma.github.io/Logging_2481/artfynd/A 25701-2026 artfynd.xlsx", "A 25701-2026")</f>
        <v/>
      </c>
      <c r="X161">
        <f>HYPERLINK("https://klasma.github.io/Logging_2481/kartor/A 25701-2026 karta.png", "A 25701-2026")</f>
        <v/>
      </c>
      <c r="Y161">
        <f>HYPERLINK("https://klasma.github.io/Logging_2481/kartor_geotiff/A 25701-2026 georefererad karta.tif", "A 25701-2026")</f>
        <v/>
      </c>
      <c r="AA161">
        <f>HYPERLINK("https://klasma.github.io/Logging_2481/klagomål/A 25701-2026 FSC-klagomål.docx", "A 25701-2026")</f>
        <v/>
      </c>
      <c r="AB161">
        <f>HYPERLINK("https://klasma.github.io/Logging_2481/klagomålsmail/A 25701-2026 FSC-klagomål mail.docx", "A 25701-2026")</f>
        <v/>
      </c>
      <c r="AC161">
        <f>HYPERLINK("https://klasma.github.io/Logging_2481/tillsyn/A 25701-2026 tillsynsbegäran.docx", "A 25701-2026")</f>
        <v/>
      </c>
      <c r="AD161">
        <f>HYPERLINK("https://klasma.github.io/Logging_2481/tillsynsmail/A 25701-2026 tillsynsbegäran mail.docx", "A 25701-2026")</f>
        <v/>
      </c>
    </row>
    <row r="162" ht="15" customHeight="1">
      <c r="A162" t="inlineStr">
        <is>
          <t>A 25720-2026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46241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Orange taggsvamp</t>
        </is>
      </c>
      <c r="W162">
        <f>HYPERLINK("https://klasma.github.io/Logging_2481/artfynd/A 25720-2026 artfynd.xlsx", "A 25720-2026")</f>
        <v/>
      </c>
      <c r="X162">
        <f>HYPERLINK("https://klasma.github.io/Logging_2481/kartor/A 25720-2026 karta.png", "A 25720-2026")</f>
        <v/>
      </c>
      <c r="Y162">
        <f>HYPERLINK("https://klasma.github.io/Logging_2481/kartor_geotiff/A 25720-2026 georefererad karta.tif", "A 25720-2026")</f>
        <v/>
      </c>
      <c r="AA162">
        <f>HYPERLINK("https://klasma.github.io/Logging_2481/klagomål/A 25720-2026 FSC-klagomål.docx", "A 25720-2026")</f>
        <v/>
      </c>
      <c r="AB162">
        <f>HYPERLINK("https://klasma.github.io/Logging_2481/klagomålsmail/A 25720-2026 FSC-klagomål mail.docx", "A 25720-2026")</f>
        <v/>
      </c>
      <c r="AC162">
        <f>HYPERLINK("https://klasma.github.io/Logging_2481/tillsyn/A 25720-2026 tillsynsbegäran.docx", "A 25720-2026")</f>
        <v/>
      </c>
      <c r="AD162">
        <f>HYPERLINK("https://klasma.github.io/Logging_2481/tillsynsmail/A 25720-2026 tillsynsbegäran mail.docx", "A 25720-2026")</f>
        <v/>
      </c>
    </row>
    <row r="163" ht="15" customHeight="1">
      <c r="A163" t="inlineStr">
        <is>
          <t>A 25706-2026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46241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7.9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25706-2026 artfynd.xlsx", "A 25706-2026")</f>
        <v/>
      </c>
      <c r="X163">
        <f>HYPERLINK("https://klasma.github.io/Logging_2481/kartor/A 25706-2026 karta.png", "A 25706-2026")</f>
        <v/>
      </c>
      <c r="Y163">
        <f>HYPERLINK("https://klasma.github.io/Logging_2481/kartor_geotiff/A 25706-2026 georefererad karta.tif", "A 25706-2026")</f>
        <v/>
      </c>
      <c r="AA163">
        <f>HYPERLINK("https://klasma.github.io/Logging_2481/klagomål/A 25706-2026 FSC-klagomål.docx", "A 25706-2026")</f>
        <v/>
      </c>
      <c r="AB163">
        <f>HYPERLINK("https://klasma.github.io/Logging_2481/klagomålsmail/A 25706-2026 FSC-klagomål mail.docx", "A 25706-2026")</f>
        <v/>
      </c>
      <c r="AC163">
        <f>HYPERLINK("https://klasma.github.io/Logging_2481/tillsyn/A 25706-2026 tillsynsbegäran.docx", "A 25706-2026")</f>
        <v/>
      </c>
      <c r="AD163">
        <f>HYPERLINK("https://klasma.github.io/Logging_2481/tillsynsmail/A 25706-2026 tillsynsbegäran mail.docx", "A 25706-2026")</f>
        <v/>
      </c>
    </row>
    <row r="164" ht="15" customHeight="1">
      <c r="A164" t="inlineStr">
        <is>
          <t>A 50826-2024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46241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Dropptaggsvamp</t>
        </is>
      </c>
      <c r="W164">
        <f>HYPERLINK("https://klasma.github.io/Logging_2481/artfynd/A 50826-2024 artfynd.xlsx", "A 50826-2024")</f>
        <v/>
      </c>
      <c r="X164">
        <f>HYPERLINK("https://klasma.github.io/Logging_2481/kartor/A 50826-2024 karta.png", "A 50826-2024")</f>
        <v/>
      </c>
      <c r="Y164">
        <f>HYPERLINK("https://klasma.github.io/Logging_2481/kartor_geotiff/A 50826-2024 georefererad karta.tif", "A 50826-2024")</f>
        <v/>
      </c>
      <c r="AA164">
        <f>HYPERLINK("https://klasma.github.io/Logging_2481/klagomål/A 50826-2024 FSC-klagomål.docx", "A 50826-2024")</f>
        <v/>
      </c>
      <c r="AB164">
        <f>HYPERLINK("https://klasma.github.io/Logging_2481/klagomålsmail/A 50826-2024 FSC-klagomål mail.docx", "A 50826-2024")</f>
        <v/>
      </c>
      <c r="AC164">
        <f>HYPERLINK("https://klasma.github.io/Logging_2481/tillsyn/A 50826-2024 tillsynsbegäran.docx", "A 50826-2024")</f>
        <v/>
      </c>
      <c r="AD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46241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27161-2026 artfynd.xlsx", "A 27161-2026")</f>
        <v/>
      </c>
      <c r="X165">
        <f>HYPERLINK("https://klasma.github.io/Logging_2481/kartor/A 27161-2026 karta.png", "A 27161-2026")</f>
        <v/>
      </c>
      <c r="Y165">
        <f>HYPERLINK("https://klasma.github.io/Logging_2481/kartor_geotiff/A 27161-2026 georefererad karta.tif", "A 27161-2026")</f>
        <v/>
      </c>
      <c r="AA165">
        <f>HYPERLINK("https://klasma.github.io/Logging_2481/klagomål/A 27161-2026 FSC-klagomål.docx", "A 27161-2026")</f>
        <v/>
      </c>
      <c r="AB165">
        <f>HYPERLINK("https://klasma.github.io/Logging_2481/klagomålsmail/A 27161-2026 FSC-klagomål mail.docx", "A 27161-2026")</f>
        <v/>
      </c>
      <c r="AC165">
        <f>HYPERLINK("https://klasma.github.io/Logging_2481/tillsyn/A 27161-2026 tillsynsbegäran.docx", "A 27161-2026")</f>
        <v/>
      </c>
      <c r="AD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27830-2026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46241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1.6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HYPERLINK("https://klasma.github.io/Logging_2481/artfynd/A 27830-2026 artfynd.xlsx", "A 27830-2026")</f>
        <v/>
      </c>
      <c r="X166">
        <f>HYPERLINK("https://klasma.github.io/Logging_2481/kartor/A 27830-2026 karta.png", "A 27830-2026")</f>
        <v/>
      </c>
      <c r="Y166">
        <f>HYPERLINK("https://klasma.github.io/Logging_2481/kartor_geotiff/A 27830-2026 georefererad karta.tif", "A 27830-2026")</f>
        <v/>
      </c>
      <c r="AA166">
        <f>HYPERLINK("https://klasma.github.io/Logging_2481/klagomål/A 27830-2026 FSC-klagomål.docx", "A 27830-2026")</f>
        <v/>
      </c>
      <c r="AB166">
        <f>HYPERLINK("https://klasma.github.io/Logging_2481/klagomålsmail/A 27830-2026 FSC-klagomål mail.docx", "A 27830-2026")</f>
        <v/>
      </c>
      <c r="AC166">
        <f>HYPERLINK("https://klasma.github.io/Logging_2481/tillsyn/A 27830-2026 tillsynsbegäran.docx", "A 27830-2026")</f>
        <v/>
      </c>
      <c r="AD166">
        <f>HYPERLINK("https://klasma.github.io/Logging_2481/tillsynsmail/A 27830-2026 tillsynsbegäran mail.docx", "A 27830-2026")</f>
        <v/>
      </c>
    </row>
    <row r="167" ht="15" customHeight="1">
      <c r="A167" t="inlineStr">
        <is>
          <t>A 49394-2024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46241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49394-2024 artfynd.xlsx", "A 49394-2024")</f>
        <v/>
      </c>
      <c r="X167">
        <f>HYPERLINK("https://klasma.github.io/Logging_2481/kartor/A 49394-2024 karta.png", "A 49394-2024")</f>
        <v/>
      </c>
      <c r="Y167">
        <f>HYPERLINK("https://klasma.github.io/Logging_2481/kartor_geotiff/A 49394-2024 georefererad karta.tif", "A 49394-2024")</f>
        <v/>
      </c>
      <c r="AA167">
        <f>HYPERLINK("https://klasma.github.io/Logging_2481/klagomål/A 49394-2024 FSC-klagomål.docx", "A 49394-2024")</f>
        <v/>
      </c>
      <c r="AB167">
        <f>HYPERLINK("https://klasma.github.io/Logging_2481/klagomålsmail/A 49394-2024 FSC-klagomål mail.docx", "A 49394-2024")</f>
        <v/>
      </c>
      <c r="AC167">
        <f>HYPERLINK("https://klasma.github.io/Logging_2481/tillsyn/A 49394-2024 tillsynsbegäran.docx", "A 49394-2024")</f>
        <v/>
      </c>
      <c r="AD167">
        <f>HYPERLINK("https://klasma.github.io/Logging_2481/tillsynsmail/A 49394-2024 tillsynsbegäran mail.docx", "A 49394-2024")</f>
        <v/>
      </c>
    </row>
    <row r="168" ht="15" customHeight="1">
      <c r="A168" t="inlineStr">
        <is>
          <t>A 45774-2024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46241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4.3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Barkticka</t>
        </is>
      </c>
      <c r="W168">
        <f>HYPERLINK("https://klasma.github.io/Logging_2481/artfynd/A 45774-2024 artfynd.xlsx", "A 45774-2024")</f>
        <v/>
      </c>
      <c r="X168">
        <f>HYPERLINK("https://klasma.github.io/Logging_2481/kartor/A 45774-2024 karta.png", "A 45774-2024")</f>
        <v/>
      </c>
      <c r="Y168">
        <f>HYPERLINK("https://klasma.github.io/Logging_2481/kartor_geotiff/A 45774-2024 georefererad karta.tif", "A 45774-2024")</f>
        <v/>
      </c>
      <c r="AA168">
        <f>HYPERLINK("https://klasma.github.io/Logging_2481/klagomål/A 45774-2024 FSC-klagomål.docx", "A 45774-2024")</f>
        <v/>
      </c>
      <c r="AB168">
        <f>HYPERLINK("https://klasma.github.io/Logging_2481/klagomålsmail/A 45774-2024 FSC-klagomål mail.docx", "A 45774-2024")</f>
        <v/>
      </c>
      <c r="AC168">
        <f>HYPERLINK("https://klasma.github.io/Logging_2481/tillsyn/A 45774-2024 tillsynsbegäran.docx", "A 45774-2024")</f>
        <v/>
      </c>
      <c r="AD168">
        <f>HYPERLINK("https://klasma.github.io/Logging_2481/tillsynsmail/A 45774-2024 tillsynsbegäran mail.docx", "A 45774-2024")</f>
        <v/>
      </c>
    </row>
    <row r="169" ht="15" customHeight="1">
      <c r="A169" t="inlineStr">
        <is>
          <t>A 32246-2026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46241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32246-2026 artfynd.xlsx", "A 32246-2026")</f>
        <v/>
      </c>
      <c r="X169">
        <f>HYPERLINK("https://klasma.github.io/Logging_2481/kartor/A 32246-2026 karta.png", "A 32246-2026")</f>
        <v/>
      </c>
      <c r="Y169">
        <f>HYPERLINK("https://klasma.github.io/Logging_2481/kartor_geotiff/A 32246-2026 georefererad karta.tif", "A 32246-2026")</f>
        <v/>
      </c>
      <c r="AA169">
        <f>HYPERLINK("https://klasma.github.io/Logging_2481/klagomål/A 32246-2026 FSC-klagomål.docx", "A 32246-2026")</f>
        <v/>
      </c>
      <c r="AB169">
        <f>HYPERLINK("https://klasma.github.io/Logging_2481/klagomålsmail/A 32246-2026 FSC-klagomål mail.docx", "A 32246-2026")</f>
        <v/>
      </c>
      <c r="AC169">
        <f>HYPERLINK("https://klasma.github.io/Logging_2481/tillsyn/A 32246-2026 tillsynsbegäran.docx", "A 32246-2026")</f>
        <v/>
      </c>
      <c r="AD169">
        <f>HYPERLINK("https://klasma.github.io/Logging_2481/tillsynsmail/A 32246-2026 tillsynsbegäran mail.docx", "A 32246-2026")</f>
        <v/>
      </c>
    </row>
    <row r="170" ht="15" customHeight="1">
      <c r="A170" t="inlineStr">
        <is>
          <t>A 32612-2026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46241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Garnlav</t>
        </is>
      </c>
      <c r="W170">
        <f>HYPERLINK("https://klasma.github.io/Logging_2481/artfynd/A 32612-2026 artfynd.xlsx", "A 32612-2026")</f>
        <v/>
      </c>
      <c r="X170">
        <f>HYPERLINK("https://klasma.github.io/Logging_2481/kartor/A 32612-2026 karta.png", "A 32612-2026")</f>
        <v/>
      </c>
      <c r="Y170">
        <f>HYPERLINK("https://klasma.github.io/Logging_2481/kartor_geotiff/A 32612-2026 georefererad karta.tif", "A 32612-2026")</f>
        <v/>
      </c>
      <c r="AA170">
        <f>HYPERLINK("https://klasma.github.io/Logging_2481/klagomål/A 32612-2026 FSC-klagomål.docx", "A 32612-2026")</f>
        <v/>
      </c>
      <c r="AB170">
        <f>HYPERLINK("https://klasma.github.io/Logging_2481/klagomålsmail/A 32612-2026 FSC-klagomål mail.docx", "A 32612-2026")</f>
        <v/>
      </c>
      <c r="AC170">
        <f>HYPERLINK("https://klasma.github.io/Logging_2481/tillsyn/A 32612-2026 tillsynsbegäran.docx", "A 32612-2026")</f>
        <v/>
      </c>
      <c r="AD170">
        <f>HYPERLINK("https://klasma.github.io/Logging_2481/tillsynsmail/A 32612-2026 tillsynsbegäran mail.docx", "A 32612-2026")</f>
        <v/>
      </c>
    </row>
    <row r="171" ht="15" customHeight="1">
      <c r="A171" t="inlineStr">
        <is>
          <t>A 28459-2026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46241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Fläcknycklar</t>
        </is>
      </c>
      <c r="W171">
        <f>HYPERLINK("https://klasma.github.io/Logging_2481/artfynd/A 28459-2026 artfynd.xlsx", "A 28459-2026")</f>
        <v/>
      </c>
      <c r="X171">
        <f>HYPERLINK("https://klasma.github.io/Logging_2481/kartor/A 28459-2026 karta.png", "A 28459-2026")</f>
        <v/>
      </c>
      <c r="Y171">
        <f>HYPERLINK("https://klasma.github.io/Logging_2481/kartor_geotiff/A 28459-2026 georefererad karta.tif", "A 28459-2026")</f>
        <v/>
      </c>
      <c r="AA171">
        <f>HYPERLINK("https://klasma.github.io/Logging_2481/klagomål/A 28459-2026 FSC-klagomål.docx", "A 28459-2026")</f>
        <v/>
      </c>
      <c r="AB171">
        <f>HYPERLINK("https://klasma.github.io/Logging_2481/klagomålsmail/A 28459-2026 FSC-klagomål mail.docx", "A 28459-2026")</f>
        <v/>
      </c>
      <c r="AC171">
        <f>HYPERLINK("https://klasma.github.io/Logging_2481/tillsyn/A 28459-2026 tillsynsbegäran.docx", "A 28459-2026")</f>
        <v/>
      </c>
      <c r="AD171">
        <f>HYPERLINK("https://klasma.github.io/Logging_2481/tillsynsmail/A 28459-2026 tillsynsbegäran mail.docx", "A 28459-2026")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46241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28716-2026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46241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HYPERLINK("https://klasma.github.io/Logging_2481/artfynd/A 28716-2026 artfynd.xlsx", "A 28716-2026")</f>
        <v/>
      </c>
      <c r="X173">
        <f>HYPERLINK("https://klasma.github.io/Logging_2481/kartor/A 28716-2026 karta.png", "A 28716-2026")</f>
        <v/>
      </c>
      <c r="Y173">
        <f>HYPERLINK("https://klasma.github.io/Logging_2481/kartor_geotiff/A 28716-2026 georefererad karta.tif", "A 28716-2026")</f>
        <v/>
      </c>
      <c r="AA173">
        <f>HYPERLINK("https://klasma.github.io/Logging_2481/klagomål/A 28716-2026 FSC-klagomål.docx", "A 28716-2026")</f>
        <v/>
      </c>
      <c r="AB173">
        <f>HYPERLINK("https://klasma.github.io/Logging_2481/klagomålsmail/A 28716-2026 FSC-klagomål mail.docx", "A 28716-2026")</f>
        <v/>
      </c>
      <c r="AC173">
        <f>HYPERLINK("https://klasma.github.io/Logging_2481/tillsyn/A 28716-2026 tillsynsbegäran.docx", "A 28716-2026")</f>
        <v/>
      </c>
      <c r="AD173">
        <f>HYPERLINK("https://klasma.github.io/Logging_2481/tillsynsmail/A 28716-2026 tillsynsbegäran mail.docx", "A 28716-2026")</f>
        <v/>
      </c>
    </row>
    <row r="174" ht="15" customHeight="1">
      <c r="A174" t="inlineStr">
        <is>
          <t>A 50018-2024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46241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50018-2024 artfynd.xlsx", "A 50018-2024")</f>
        <v/>
      </c>
      <c r="X174">
        <f>HYPERLINK("https://klasma.github.io/Logging_2481/kartor/A 50018-2024 karta.png", "A 50018-2024")</f>
        <v/>
      </c>
      <c r="Y174">
        <f>HYPERLINK("https://klasma.github.io/Logging_2481/kartor_geotiff/A 50018-2024 georefererad karta.tif", "A 50018-2024")</f>
        <v/>
      </c>
      <c r="AA174">
        <f>HYPERLINK("https://klasma.github.io/Logging_2481/klagomål/A 50018-2024 FSC-klagomål.docx", "A 50018-2024")</f>
        <v/>
      </c>
      <c r="AB174">
        <f>HYPERLINK("https://klasma.github.io/Logging_2481/klagomålsmail/A 50018-2024 FSC-klagomål mail.docx", "A 50018-2024")</f>
        <v/>
      </c>
      <c r="AC174">
        <f>HYPERLINK("https://klasma.github.io/Logging_2481/tillsyn/A 50018-2024 tillsynsbegäran.docx", "A 50018-2024")</f>
        <v/>
      </c>
      <c r="AD174">
        <f>HYPERLINK("https://klasma.github.io/Logging_2481/tillsynsmail/A 50018-2024 tillsynsbegäran mail.docx", "A 50018-2024")</f>
        <v/>
      </c>
    </row>
    <row r="175" ht="15" customHeight="1">
      <c r="A175" t="inlineStr">
        <is>
          <t>A 24824-2024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46241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6.1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Kungsörn</t>
        </is>
      </c>
      <c r="W175">
        <f>HYPERLINK("https://klasma.github.io/Logging_2481/artfynd/A 24824-2024 artfynd.xlsx", "A 24824-2024")</f>
        <v/>
      </c>
      <c r="X175">
        <f>HYPERLINK("https://klasma.github.io/Logging_2481/kartor/A 24824-2024 karta.png", "A 24824-2024")</f>
        <v/>
      </c>
      <c r="Y175">
        <f>HYPERLINK("https://klasma.github.io/Logging_2481/kartor_geotiff/A 24824-2024 georefererad karta.tif", "A 24824-2024")</f>
        <v/>
      </c>
      <c r="AA175">
        <f>HYPERLINK("https://klasma.github.io/Logging_2481/klagomål/A 24824-2024 FSC-klagomål.docx", "A 24824-2024")</f>
        <v/>
      </c>
      <c r="AB175">
        <f>HYPERLINK("https://klasma.github.io/Logging_2481/klagomålsmail/A 24824-2024 FSC-klagomål mail.docx", "A 24824-2024")</f>
        <v/>
      </c>
      <c r="AC175">
        <f>HYPERLINK("https://klasma.github.io/Logging_2481/tillsyn/A 24824-2024 tillsynsbegäran.docx", "A 24824-2024")</f>
        <v/>
      </c>
      <c r="AD175">
        <f>HYPERLINK("https://klasma.github.io/Logging_2481/tillsynsmail/A 24824-2024 tillsynsbegäran mail.docx", "A 24824-2024")</f>
        <v/>
      </c>
      <c r="AE175">
        <f>HYPERLINK("https://klasma.github.io/Logging_2481/fåglar/A 24824-2024 prioriterade fågelarter.docx", "A 24824-2024")</f>
        <v/>
      </c>
    </row>
    <row r="176" ht="15" customHeight="1">
      <c r="A176" t="inlineStr">
        <is>
          <t>A 41793-2024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46241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7.1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41793-2024 artfynd.xlsx", "A 41793-2024")</f>
        <v/>
      </c>
      <c r="X176">
        <f>HYPERLINK("https://klasma.github.io/Logging_2481/kartor/A 41793-2024 karta.png", "A 41793-2024")</f>
        <v/>
      </c>
      <c r="Y176">
        <f>HYPERLINK("https://klasma.github.io/Logging_2481/kartor_geotiff/A 41793-2024 georefererad karta.tif", "A 41793-2024")</f>
        <v/>
      </c>
      <c r="AA176">
        <f>HYPERLINK("https://klasma.github.io/Logging_2481/klagomål/A 41793-2024 FSC-klagomål.docx", "A 41793-2024")</f>
        <v/>
      </c>
      <c r="AB176">
        <f>HYPERLINK("https://klasma.github.io/Logging_2481/klagomålsmail/A 41793-2024 FSC-klagomål mail.docx", "A 41793-2024")</f>
        <v/>
      </c>
      <c r="AC176">
        <f>HYPERLINK("https://klasma.github.io/Logging_2481/tillsyn/A 41793-2024 tillsynsbegäran.docx", "A 41793-2024")</f>
        <v/>
      </c>
      <c r="AD176">
        <f>HYPERLINK("https://klasma.github.io/Logging_2481/tillsynsmail/A 41793-2024 tillsynsbegäran mail.docx", "A 41793-2024")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46241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496-2024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46241</v>
      </c>
      <c r="F178" t="inlineStr">
        <is>
          <t>VÄSTERBOTTENS LÄN</t>
        </is>
      </c>
      <c r="G178" t="inlineStr">
        <is>
          <t>LYCKSELE</t>
        </is>
      </c>
      <c r="I178" t="n">
        <v>5.2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7</v>
      </c>
      <c r="U178" t="n">
        <v>7</v>
      </c>
      <c r="V178" s="2" t="inlineStr">
        <is>
          <t>Tretåig hackspett</t>
        </is>
      </c>
      <c r="W178">
        <f>HYPERLINK("https://klasma.github.io/Logging_2481/artfynd/A 496-2024 artfynd.xlsx", "A 496-2024")</f>
        <v/>
      </c>
      <c r="X178">
        <f>HYPERLINK("https://klasma.github.io/Logging_2481/kartor/A 496-2024 karta.png", "A 496-2024")</f>
        <v/>
      </c>
      <c r="Y178">
        <f>HYPERLINK("https://klasma.github.io/Logging_2481/kartor_geotiff/A 496-2024 georefererad karta.tif", "A 496-2024")</f>
        <v/>
      </c>
      <c r="AA178">
        <f>HYPERLINK("https://klasma.github.io/Logging_2481/klagomål/A 496-2024 FSC-klagomål.docx", "A 496-2024")</f>
        <v/>
      </c>
      <c r="AB178">
        <f>HYPERLINK("https://klasma.github.io/Logging_2481/klagomålsmail/A 496-2024 FSC-klagomål mail.docx", "A 496-2024")</f>
        <v/>
      </c>
      <c r="AC178">
        <f>HYPERLINK("https://klasma.github.io/Logging_2481/tillsyn/A 496-2024 tillsynsbegäran.docx", "A 496-2024")</f>
        <v/>
      </c>
      <c r="AD178">
        <f>HYPERLINK("https://klasma.github.io/Logging_2481/tillsynsmail/A 496-2024 tillsynsbegäran mail.docx", "A 496-2024")</f>
        <v/>
      </c>
      <c r="AE178">
        <f>HYPERLINK("https://klasma.github.io/Logging_2481/fåglar/A 496-2024 prioriterade fågelarter.docx", "A 496-2024")</f>
        <v/>
      </c>
    </row>
    <row r="179" ht="15" customHeight="1">
      <c r="A179" t="inlineStr">
        <is>
          <t>A 22373-2025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45786</v>
      </c>
      <c r="E179" s="1" t="n">
        <v>46241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5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22373-2025 artfynd.xlsx", "A 22373-2025")</f>
        <v/>
      </c>
      <c r="X179">
        <f>HYPERLINK("https://klasma.github.io/Logging_2481/kartor/A 22373-2025 karta.png", "A 22373-2025")</f>
        <v/>
      </c>
      <c r="Y179">
        <f>HYPERLINK("https://klasma.github.io/Logging_2481/kartor_geotiff/A 22373-2025 georefererad karta.tif", "A 22373-2025")</f>
        <v/>
      </c>
      <c r="AA179">
        <f>HYPERLINK("https://klasma.github.io/Logging_2481/klagomål/A 22373-2025 FSC-klagomål.docx", "A 22373-2025")</f>
        <v/>
      </c>
      <c r="AB179">
        <f>HYPERLINK("https://klasma.github.io/Logging_2481/klagomålsmail/A 22373-2025 FSC-klagomål mail.docx", "A 22373-2025")</f>
        <v/>
      </c>
      <c r="AC179">
        <f>HYPERLINK("https://klasma.github.io/Logging_2481/tillsyn/A 22373-2025 tillsynsbegäran.docx", "A 22373-2025")</f>
        <v/>
      </c>
      <c r="AD179">
        <f>HYPERLINK("https://klasma.github.io/Logging_2481/tillsynsmail/A 22373-2025 tillsynsbegäran mail.docx", "A 22373-2025")</f>
        <v/>
      </c>
    </row>
    <row r="180" ht="15" customHeight="1">
      <c r="A180" t="inlineStr">
        <is>
          <t>A 53226-2022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44876</v>
      </c>
      <c r="E180" s="1" t="n">
        <v>46241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10.5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Ängsmetallvinge</t>
        </is>
      </c>
      <c r="W180">
        <f>HYPERLINK("https://klasma.github.io/Logging_2481/artfynd/A 53226-2022 artfynd.xlsx", "A 53226-2022")</f>
        <v/>
      </c>
      <c r="X180">
        <f>HYPERLINK("https://klasma.github.io/Logging_2481/kartor/A 53226-2022 karta.png", "A 53226-2022")</f>
        <v/>
      </c>
      <c r="Y180">
        <f>HYPERLINK("https://klasma.github.io/Logging_2481/kartor_geotiff/A 53226-2022 georefererad karta.tif", "A 53226-2022")</f>
        <v/>
      </c>
      <c r="AA180">
        <f>HYPERLINK("https://klasma.github.io/Logging_2481/klagomål/A 53226-2022 FSC-klagomål.docx", "A 53226-2022")</f>
        <v/>
      </c>
      <c r="AB180">
        <f>HYPERLINK("https://klasma.github.io/Logging_2481/klagomålsmail/A 53226-2022 FSC-klagomål mail.docx", "A 53226-2022")</f>
        <v/>
      </c>
      <c r="AC180">
        <f>HYPERLINK("https://klasma.github.io/Logging_2481/tillsyn/A 53226-2022 tillsynsbegäran.docx", "A 53226-2022")</f>
        <v/>
      </c>
      <c r="AD180">
        <f>HYPERLINK("https://klasma.github.io/Logging_2481/tillsynsmail/A 53226-2022 tillsynsbegäran mail.docx", "A 53226-2022")</f>
        <v/>
      </c>
    </row>
    <row r="181" ht="15" customHeight="1">
      <c r="A181" t="inlineStr">
        <is>
          <t>A 7768-2023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46241</v>
      </c>
      <c r="F181" t="inlineStr">
        <is>
          <t>VÄSTERBOTTENS LÄN</t>
        </is>
      </c>
      <c r="G181" t="inlineStr">
        <is>
          <t>LYCKSELE</t>
        </is>
      </c>
      <c r="I181" t="n">
        <v>2.3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HYPERLINK("https://klasma.github.io/Logging_2481/artfynd/A 7768-2023 artfynd.xlsx", "A 7768-2023")</f>
        <v/>
      </c>
      <c r="X181">
        <f>HYPERLINK("https://klasma.github.io/Logging_2481/kartor/A 7768-2023 karta.png", "A 7768-2023")</f>
        <v/>
      </c>
      <c r="Y181">
        <f>HYPERLINK("https://klasma.github.io/Logging_2481/kartor_geotiff/A 7768-2023 georefererad karta.tif", "A 7768-2023")</f>
        <v/>
      </c>
      <c r="Z181">
        <f>HYPERLINK("https://klasma.github.io/Logging_2481/knärot/A 7768-2023 karta knärot.png", "A 7768-2023")</f>
        <v/>
      </c>
      <c r="AA181">
        <f>HYPERLINK("https://klasma.github.io/Logging_2481/klagomål/A 7768-2023 FSC-klagomål.docx", "A 7768-2023")</f>
        <v/>
      </c>
      <c r="AB181">
        <f>HYPERLINK("https://klasma.github.io/Logging_2481/klagomålsmail/A 7768-2023 FSC-klagomål mail.docx", "A 7768-2023")</f>
        <v/>
      </c>
      <c r="AC181">
        <f>HYPERLINK("https://klasma.github.io/Logging_2481/tillsyn/A 7768-2023 tillsynsbegäran.docx", "A 7768-2023")</f>
        <v/>
      </c>
      <c r="AD181">
        <f>HYPERLINK("https://klasma.github.io/Logging_2481/tillsynsmail/A 7768-2023 tillsynsbegäran mail.docx", "A 7768-2023")</f>
        <v/>
      </c>
    </row>
    <row r="182" ht="15" customHeight="1">
      <c r="A182" t="inlineStr">
        <is>
          <t>A 30515-2025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46241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8.1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Ullticka</t>
        </is>
      </c>
      <c r="W182">
        <f>HYPERLINK("https://klasma.github.io/Logging_2481/artfynd/A 30515-2025 artfynd.xlsx", "A 30515-2025")</f>
        <v/>
      </c>
      <c r="X182">
        <f>HYPERLINK("https://klasma.github.io/Logging_2481/kartor/A 30515-2025 karta.png", "A 30515-2025")</f>
        <v/>
      </c>
      <c r="Y182">
        <f>HYPERLINK("https://klasma.github.io/Logging_2481/kartor_geotiff/A 30515-2025 georefererad karta.tif", "A 30515-2025")</f>
        <v/>
      </c>
      <c r="AA182">
        <f>HYPERLINK("https://klasma.github.io/Logging_2481/klagomål/A 30515-2025 FSC-klagomål.docx", "A 30515-2025")</f>
        <v/>
      </c>
      <c r="AB182">
        <f>HYPERLINK("https://klasma.github.io/Logging_2481/klagomålsmail/A 30515-2025 FSC-klagomål mail.docx", "A 30515-2025")</f>
        <v/>
      </c>
      <c r="AC182">
        <f>HYPERLINK("https://klasma.github.io/Logging_2481/tillsyn/A 30515-2025 tillsynsbegäran.docx", "A 30515-2025")</f>
        <v/>
      </c>
      <c r="AD182">
        <f>HYPERLINK("https://klasma.github.io/Logging_2481/tillsynsmail/A 30515-2025 tillsynsbegäran mail.docx", "A 30515-2025")</f>
        <v/>
      </c>
    </row>
    <row r="183" ht="15" customHeight="1">
      <c r="A183" t="inlineStr">
        <is>
          <t>A 33346-2025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46241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Doftskinn</t>
        </is>
      </c>
      <c r="W183">
        <f>HYPERLINK("https://klasma.github.io/Logging_2481/artfynd/A 33346-2025 artfynd.xlsx", "A 33346-2025")</f>
        <v/>
      </c>
      <c r="X183">
        <f>HYPERLINK("https://klasma.github.io/Logging_2481/kartor/A 33346-2025 karta.png", "A 33346-2025")</f>
        <v/>
      </c>
      <c r="Y183">
        <f>HYPERLINK("https://klasma.github.io/Logging_2481/kartor_geotiff/A 33346-2025 georefererad karta.tif", "A 33346-2025")</f>
        <v/>
      </c>
      <c r="AA183">
        <f>HYPERLINK("https://klasma.github.io/Logging_2481/klagomål/A 33346-2025 FSC-klagomål.docx", "A 33346-2025")</f>
        <v/>
      </c>
      <c r="AB183">
        <f>HYPERLINK("https://klasma.github.io/Logging_2481/klagomålsmail/A 33346-2025 FSC-klagomål mail.docx", "A 33346-2025")</f>
        <v/>
      </c>
      <c r="AC183">
        <f>HYPERLINK("https://klasma.github.io/Logging_2481/tillsyn/A 33346-2025 tillsynsbegäran.docx", "A 33346-2025")</f>
        <v/>
      </c>
      <c r="AD183">
        <f>HYPERLINK("https://klasma.github.io/Logging_2481/tillsynsmail/A 33346-2025 tillsynsbegäran mail.docx", "A 33346-2025")</f>
        <v/>
      </c>
    </row>
    <row r="184" ht="15" customHeight="1">
      <c r="A184" t="inlineStr">
        <is>
          <t>A 34032-2025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45845</v>
      </c>
      <c r="E184" s="1" t="n">
        <v>46241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34032-2025 artfynd.xlsx", "A 34032-2025")</f>
        <v/>
      </c>
      <c r="X184">
        <f>HYPERLINK("https://klasma.github.io/Logging_2481/kartor/A 34032-2025 karta.png", "A 34032-2025")</f>
        <v/>
      </c>
      <c r="Y184">
        <f>HYPERLINK("https://klasma.github.io/Logging_2481/kartor_geotiff/A 34032-2025 georefererad karta.tif", "A 34032-2025")</f>
        <v/>
      </c>
      <c r="AA184">
        <f>HYPERLINK("https://klasma.github.io/Logging_2481/klagomål/A 34032-2025 FSC-klagomål.docx", "A 34032-2025")</f>
        <v/>
      </c>
      <c r="AB184">
        <f>HYPERLINK("https://klasma.github.io/Logging_2481/klagomålsmail/A 34032-2025 FSC-klagomål mail.docx", "A 34032-2025")</f>
        <v/>
      </c>
      <c r="AC184">
        <f>HYPERLINK("https://klasma.github.io/Logging_2481/tillsyn/A 34032-2025 tillsynsbegäran.docx", "A 34032-2025")</f>
        <v/>
      </c>
      <c r="AD184">
        <f>HYPERLINK("https://klasma.github.io/Logging_2481/tillsynsmail/A 34032-2025 tillsynsbegäran mail.docx", "A 34032-2025")</f>
        <v/>
      </c>
    </row>
    <row r="185" ht="15" customHeight="1">
      <c r="A185" t="inlineStr">
        <is>
          <t>A 34958-2025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45849</v>
      </c>
      <c r="E185" s="1" t="n">
        <v>46241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4.1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HYPERLINK("https://klasma.github.io/Logging_2481/artfynd/A 34958-2025 artfynd.xlsx", "A 34958-2025")</f>
        <v/>
      </c>
      <c r="X185">
        <f>HYPERLINK("https://klasma.github.io/Logging_2481/kartor/A 34958-2025 karta.png", "A 34958-2025")</f>
        <v/>
      </c>
      <c r="Y185">
        <f>HYPERLINK("https://klasma.github.io/Logging_2481/kartor_geotiff/A 34958-2025 georefererad karta.tif", "A 34958-2025")</f>
        <v/>
      </c>
      <c r="AA185">
        <f>HYPERLINK("https://klasma.github.io/Logging_2481/klagomål/A 34958-2025 FSC-klagomål.docx", "A 34958-2025")</f>
        <v/>
      </c>
      <c r="AB185">
        <f>HYPERLINK("https://klasma.github.io/Logging_2481/klagomålsmail/A 34958-2025 FSC-klagomål mail.docx", "A 34958-2025")</f>
        <v/>
      </c>
      <c r="AC185">
        <f>HYPERLINK("https://klasma.github.io/Logging_2481/tillsyn/A 34958-2025 tillsynsbegäran.docx", "A 34958-2025")</f>
        <v/>
      </c>
      <c r="AD185">
        <f>HYPERLINK("https://klasma.github.io/Logging_2481/tillsynsmail/A 34958-2025 tillsynsbegäran mail.docx", "A 34958-2025")</f>
        <v/>
      </c>
      <c r="AE185">
        <f>HYPERLINK("https://klasma.github.io/Logging_2481/fåglar/A 34958-2025 prioriterade fågelarter.docx", "A 34958-2025")</f>
        <v/>
      </c>
    </row>
    <row r="186" ht="15" customHeight="1">
      <c r="A186" t="inlineStr">
        <is>
          <t>A 35226-2025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45853</v>
      </c>
      <c r="E186" s="1" t="n">
        <v>46241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14.7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Tretåig hackspett</t>
        </is>
      </c>
      <c r="W186">
        <f>HYPERLINK("https://klasma.github.io/Logging_2481/artfynd/A 35226-2025 artfynd.xlsx", "A 35226-2025")</f>
        <v/>
      </c>
      <c r="X186">
        <f>HYPERLINK("https://klasma.github.io/Logging_2481/kartor/A 35226-2025 karta.png", "A 35226-2025")</f>
        <v/>
      </c>
      <c r="Y186">
        <f>HYPERLINK("https://klasma.github.io/Logging_2481/kartor_geotiff/A 35226-2025 georefererad karta.tif", "A 35226-2025")</f>
        <v/>
      </c>
      <c r="AA186">
        <f>HYPERLINK("https://klasma.github.io/Logging_2481/klagomål/A 35226-2025 FSC-klagomål.docx", "A 35226-2025")</f>
        <v/>
      </c>
      <c r="AB186">
        <f>HYPERLINK("https://klasma.github.io/Logging_2481/klagomålsmail/A 35226-2025 FSC-klagomål mail.docx", "A 35226-2025")</f>
        <v/>
      </c>
      <c r="AC186">
        <f>HYPERLINK("https://klasma.github.io/Logging_2481/tillsyn/A 35226-2025 tillsynsbegäran.docx", "A 35226-2025")</f>
        <v/>
      </c>
      <c r="AD186">
        <f>HYPERLINK("https://klasma.github.io/Logging_2481/tillsynsmail/A 35226-2025 tillsynsbegäran mail.docx", "A 35226-2025")</f>
        <v/>
      </c>
      <c r="AE186">
        <f>HYPERLINK("https://klasma.github.io/Logging_2481/fåglar/A 35226-2025 prioriterade fågelarter.docx", "A 35226-2025")</f>
        <v/>
      </c>
    </row>
    <row r="187" ht="15" customHeight="1">
      <c r="A187" t="inlineStr">
        <is>
          <t>A 7398-2025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45705</v>
      </c>
      <c r="E187" s="1" t="n">
        <v>46241</v>
      </c>
      <c r="F187" t="inlineStr">
        <is>
          <t>VÄSTERBOTTENS LÄN</t>
        </is>
      </c>
      <c r="G187" t="inlineStr">
        <is>
          <t>LYCKSELE</t>
        </is>
      </c>
      <c r="I187" t="n">
        <v>2.4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Gråspett</t>
        </is>
      </c>
      <c r="W187">
        <f>HYPERLINK("https://klasma.github.io/Logging_2481/artfynd/A 7398-2025 artfynd.xlsx", "A 7398-2025")</f>
        <v/>
      </c>
      <c r="X187">
        <f>HYPERLINK("https://klasma.github.io/Logging_2481/kartor/A 7398-2025 karta.png", "A 7398-2025")</f>
        <v/>
      </c>
      <c r="Y187">
        <f>HYPERLINK("https://klasma.github.io/Logging_2481/kartor_geotiff/A 7398-2025 georefererad karta.tif", "A 7398-2025")</f>
        <v/>
      </c>
      <c r="AA187">
        <f>HYPERLINK("https://klasma.github.io/Logging_2481/klagomål/A 7398-2025 FSC-klagomål.docx", "A 7398-2025")</f>
        <v/>
      </c>
      <c r="AB187">
        <f>HYPERLINK("https://klasma.github.io/Logging_2481/klagomålsmail/A 7398-2025 FSC-klagomål mail.docx", "A 7398-2025")</f>
        <v/>
      </c>
      <c r="AC187">
        <f>HYPERLINK("https://klasma.github.io/Logging_2481/tillsyn/A 7398-2025 tillsynsbegäran.docx", "A 7398-2025")</f>
        <v/>
      </c>
      <c r="AD187">
        <f>HYPERLINK("https://klasma.github.io/Logging_2481/tillsynsmail/A 7398-2025 tillsynsbegäran mail.docx", "A 7398-2025")</f>
        <v/>
      </c>
      <c r="AE187">
        <f>HYPERLINK("https://klasma.github.io/Logging_2481/fåglar/A 7398-2025 prioriterade fågelarter.docx", "A 7398-2025")</f>
        <v/>
      </c>
    </row>
    <row r="188" ht="15" customHeight="1">
      <c r="A188" t="inlineStr">
        <is>
          <t>A 35239-2025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45853</v>
      </c>
      <c r="E188" s="1" t="n">
        <v>46241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8.699999999999999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Gammelgransskål</t>
        </is>
      </c>
      <c r="W188">
        <f>HYPERLINK("https://klasma.github.io/Logging_2481/artfynd/A 35239-2025 artfynd.xlsx", "A 35239-2025")</f>
        <v/>
      </c>
      <c r="X188">
        <f>HYPERLINK("https://klasma.github.io/Logging_2481/kartor/A 35239-2025 karta.png", "A 35239-2025")</f>
        <v/>
      </c>
      <c r="Y188">
        <f>HYPERLINK("https://klasma.github.io/Logging_2481/kartor_geotiff/A 35239-2025 georefererad karta.tif", "A 35239-2025")</f>
        <v/>
      </c>
      <c r="AA188">
        <f>HYPERLINK("https://klasma.github.io/Logging_2481/klagomål/A 35239-2025 FSC-klagomål.docx", "A 35239-2025")</f>
        <v/>
      </c>
      <c r="AB188">
        <f>HYPERLINK("https://klasma.github.io/Logging_2481/klagomålsmail/A 35239-2025 FSC-klagomål mail.docx", "A 35239-2025")</f>
        <v/>
      </c>
      <c r="AC188">
        <f>HYPERLINK("https://klasma.github.io/Logging_2481/tillsyn/A 35239-2025 tillsynsbegäran.docx", "A 35239-2025")</f>
        <v/>
      </c>
      <c r="AD188">
        <f>HYPERLINK("https://klasma.github.io/Logging_2481/tillsynsmail/A 35239-2025 tillsynsbegäran mail.docx", "A 35239-2025")</f>
        <v/>
      </c>
    </row>
    <row r="189" ht="15" customHeight="1">
      <c r="A189" t="inlineStr">
        <is>
          <t>S 156-2023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44943</v>
      </c>
      <c r="E189" s="1" t="n">
        <v>46241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SCA</t>
        </is>
      </c>
      <c r="I189" t="n">
        <v>356.6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Norrlandslav</t>
        </is>
      </c>
      <c r="W189">
        <f>HYPERLINK("https://klasma.github.io/Logging_2481/artfynd/S 156-2023 artfynd.xlsx", "S 156-2023")</f>
        <v/>
      </c>
      <c r="X189">
        <f>HYPERLINK("https://klasma.github.io/Logging_2481/kartor/S 156-2023 karta.png", "S 156-2023")</f>
        <v/>
      </c>
      <c r="Y189">
        <f>HYPERLINK("https://klasma.github.io/Logging_2481/kartor_geotiff/S 156-2023 georefererad karta.tif", "S 156-2023")</f>
        <v/>
      </c>
      <c r="AA189">
        <f>HYPERLINK("https://klasma.github.io/Logging_2481/klagomål/S 156-2023 FSC-klagomål.docx", "S 156-2023")</f>
        <v/>
      </c>
      <c r="AB189">
        <f>HYPERLINK("https://klasma.github.io/Logging_2481/klagomålsmail/S 156-2023 FSC-klagomål mail.docx", "S 156-2023")</f>
        <v/>
      </c>
      <c r="AC189">
        <f>HYPERLINK("https://klasma.github.io/Logging_2481/tillsyn/S 156-2023 tillsynsbegäran.docx", "S 156-2023")</f>
        <v/>
      </c>
      <c r="AD189">
        <f>HYPERLINK("https://klasma.github.io/Logging_2481/tillsynsmail/S 156-2023 tillsynsbegäran mail.docx", "S 156-2023")</f>
        <v/>
      </c>
    </row>
    <row r="190" ht="15" customHeight="1">
      <c r="A190" t="inlineStr">
        <is>
          <t>S 454-2025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45701</v>
      </c>
      <c r="E190" s="1" t="n">
        <v>46241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74.3</v>
      </c>
      <c r="J190" t="n">
        <v>1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Doftticka</t>
        </is>
      </c>
      <c r="W190">
        <f>HYPERLINK("https://klasma.github.io/Logging_2481/artfynd/S 454-2025 artfynd.xlsx", "S 454-2025")</f>
        <v/>
      </c>
      <c r="X190">
        <f>HYPERLINK("https://klasma.github.io/Logging_2481/kartor/S 454-2025 karta.png", "S 454-2025")</f>
        <v/>
      </c>
      <c r="Y190">
        <f>HYPERLINK("https://klasma.github.io/Logging_2481/kartor_geotiff/S 454-2025 georefererad karta.tif", "S 454-2025")</f>
        <v/>
      </c>
      <c r="AA190">
        <f>HYPERLINK("https://klasma.github.io/Logging_2481/klagomål/S 454-2025 FSC-klagomål.docx", "S 454-2025")</f>
        <v/>
      </c>
      <c r="AB190">
        <f>HYPERLINK("https://klasma.github.io/Logging_2481/klagomålsmail/S 454-2025 FSC-klagomål mail.docx", "S 454-2025")</f>
        <v/>
      </c>
      <c r="AC190">
        <f>HYPERLINK("https://klasma.github.io/Logging_2481/tillsyn/S 454-2025 tillsynsbegäran.docx", "S 454-2025")</f>
        <v/>
      </c>
      <c r="AD190">
        <f>HYPERLINK("https://klasma.github.io/Logging_2481/tillsynsmail/S 454-2025 tillsynsbegäran mail.docx", "S 454-2025")</f>
        <v/>
      </c>
    </row>
    <row r="191" ht="15" customHeight="1">
      <c r="A191" t="inlineStr">
        <is>
          <t>A 60044-2021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44495</v>
      </c>
      <c r="E191" s="1" t="n">
        <v>46241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44805</v>
      </c>
      <c r="E192" s="1" t="n">
        <v>46241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44567</v>
      </c>
      <c r="E193" s="1" t="n">
        <v>46241</v>
      </c>
      <c r="F193" t="inlineStr">
        <is>
          <t>VÄSTERBOTTENS LÄN</t>
        </is>
      </c>
      <c r="G193" t="inlineStr">
        <is>
          <t>LYCKSELE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44426</v>
      </c>
      <c r="E194" s="1" t="n">
        <v>46241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44484</v>
      </c>
      <c r="E195" s="1" t="n">
        <v>46241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46241</v>
      </c>
      <c r="F196" t="inlineStr">
        <is>
          <t>VÄSTERBOTTENS LÄN</t>
        </is>
      </c>
      <c r="G196" t="inlineStr">
        <is>
          <t>LYCKSELE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44446</v>
      </c>
      <c r="E197" s="1" t="n">
        <v>46241</v>
      </c>
      <c r="F197" t="inlineStr">
        <is>
          <t>VÄSTERBOTTENS LÄN</t>
        </is>
      </c>
      <c r="G197" t="inlineStr">
        <is>
          <t>LYCKSELE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46241</v>
      </c>
      <c r="F198" t="inlineStr">
        <is>
          <t>VÄSTERBOTTENS LÄN</t>
        </is>
      </c>
      <c r="G198" t="inlineStr">
        <is>
          <t>LYCKSELE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46241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46241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46241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46241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46241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46241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46241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46241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46241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46241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46241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46241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46241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46241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46241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46241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46241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46241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46241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46241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46241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46241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46241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46241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46241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46241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46241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46241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46241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46241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46241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46241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46241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46241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46241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46241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46241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46241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46241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46241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46241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46241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46241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46241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46241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46241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46241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46241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46241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46241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46241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46241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46241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46241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46241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46241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46241</v>
      </c>
      <c r="F255" t="inlineStr">
        <is>
          <t>VÄSTERBOTTENS LÄN</t>
        </is>
      </c>
      <c r="G255" t="inlineStr">
        <is>
          <t>LYCKSELE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46241</v>
      </c>
      <c r="F256" t="inlineStr">
        <is>
          <t>VÄSTERBOTTENS LÄN</t>
        </is>
      </c>
      <c r="G256" t="inlineStr">
        <is>
          <t>LYCKSELE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45232</v>
      </c>
      <c r="E257" s="1" t="n">
        <v>46241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Holmen skog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45498</v>
      </c>
      <c r="E258" s="1" t="n">
        <v>46241</v>
      </c>
      <c r="F258" t="inlineStr">
        <is>
          <t>VÄSTERBOTTENS LÄN</t>
        </is>
      </c>
      <c r="G258" t="inlineStr">
        <is>
          <t>LYCKSELE</t>
        </is>
      </c>
      <c r="I258" t="n">
        <v>14.4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46241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46241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46241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46241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46241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46241</v>
      </c>
      <c r="F264" t="inlineStr">
        <is>
          <t>VÄSTERBOTTENS LÄN</t>
        </is>
      </c>
      <c r="G264" t="inlineStr">
        <is>
          <t>LYCKSELE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46241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46241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46241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46241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46241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46241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46241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46241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46241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46241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46241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47182-2024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45586</v>
      </c>
      <c r="E276" s="1" t="n">
        <v>46241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46241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45515</v>
      </c>
      <c r="E278" s="1" t="n">
        <v>46241</v>
      </c>
      <c r="F278" t="inlineStr">
        <is>
          <t>VÄSTERBOTTENS LÄN</t>
        </is>
      </c>
      <c r="G278" t="inlineStr">
        <is>
          <t>LYCKSELE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46241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45468</v>
      </c>
      <c r="E280" s="1" t="n">
        <v>46241</v>
      </c>
      <c r="F280" t="inlineStr">
        <is>
          <t>VÄSTERBOTTENS LÄN</t>
        </is>
      </c>
      <c r="G280" t="inlineStr">
        <is>
          <t>LYCKSELE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46241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46241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46241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46241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46241</v>
      </c>
      <c r="F285" t="inlineStr">
        <is>
          <t>VÄSTERBOTTENS LÄN</t>
        </is>
      </c>
      <c r="G285" t="inlineStr">
        <is>
          <t>LYCKSELE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46241</v>
      </c>
      <c r="F286" t="inlineStr">
        <is>
          <t>VÄSTERBOTTENS LÄN</t>
        </is>
      </c>
      <c r="G286" t="inlineStr">
        <is>
          <t>LYCKSELE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46241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45428</v>
      </c>
      <c r="E288" s="1" t="n">
        <v>46241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Holmen skog AB</t>
        </is>
      </c>
      <c r="I288" t="n">
        <v>11.1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45483</v>
      </c>
      <c r="E289" s="1" t="n">
        <v>46241</v>
      </c>
      <c r="F289" t="inlineStr">
        <is>
          <t>VÄSTERBOTTENS LÄN</t>
        </is>
      </c>
      <c r="G289" t="inlineStr">
        <is>
          <t>LYCKSELE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70195-2021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44534</v>
      </c>
      <c r="E290" s="1" t="n">
        <v>46241</v>
      </c>
      <c r="F290" t="inlineStr">
        <is>
          <t>VÄSTERBOTTENS LÄN</t>
        </is>
      </c>
      <c r="G290" t="inlineStr">
        <is>
          <t>LYCKSELE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46241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46241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44518</v>
      </c>
      <c r="E293" s="1" t="n">
        <v>46241</v>
      </c>
      <c r="F293" t="inlineStr">
        <is>
          <t>VÄSTERBOTTENS LÄN</t>
        </is>
      </c>
      <c r="G293" t="inlineStr">
        <is>
          <t>LYCKSELE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46241</v>
      </c>
      <c r="F294" t="inlineStr">
        <is>
          <t>VÄSTERBOTTENS LÄN</t>
        </is>
      </c>
      <c r="G294" t="inlineStr">
        <is>
          <t>LYCKSELE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46241</v>
      </c>
      <c r="F295" t="inlineStr">
        <is>
          <t>VÄSTERBOTTENS LÄN</t>
        </is>
      </c>
      <c r="G295" t="inlineStr">
        <is>
          <t>LYCKSELE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45479</v>
      </c>
      <c r="E296" s="1" t="n">
        <v>46241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46241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45503</v>
      </c>
      <c r="E298" s="1" t="n">
        <v>46241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46241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73113-2021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44550</v>
      </c>
      <c r="E300" s="1" t="n">
        <v>46241</v>
      </c>
      <c r="F300" t="inlineStr">
        <is>
          <t>VÄSTERBOTTENS LÄN</t>
        </is>
      </c>
      <c r="G300" t="inlineStr">
        <is>
          <t>LYCKSELE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57108-2024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45629</v>
      </c>
      <c r="E301" s="1" t="n">
        <v>46241</v>
      </c>
      <c r="F301" t="inlineStr">
        <is>
          <t>VÄSTERBOTTENS LÄN</t>
        </is>
      </c>
      <c r="G301" t="inlineStr">
        <is>
          <t>LYCKSELE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46241</v>
      </c>
      <c r="F302" t="inlineStr">
        <is>
          <t>VÄSTERBOTTENS LÄN</t>
        </is>
      </c>
      <c r="G302" t="inlineStr">
        <is>
          <t>LYCKSELE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12261-2022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44637</v>
      </c>
      <c r="E303" s="1" t="n">
        <v>46241</v>
      </c>
      <c r="F303" t="inlineStr">
        <is>
          <t>VÄSTERBOTTENS LÄN</t>
        </is>
      </c>
      <c r="G303" t="inlineStr">
        <is>
          <t>LYCKSELE</t>
        </is>
      </c>
      <c r="I303" t="n">
        <v>30.8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45307</v>
      </c>
      <c r="E304" s="1" t="n">
        <v>46241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45545</v>
      </c>
      <c r="E305" s="1" t="n">
        <v>46241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60685-2022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44911</v>
      </c>
      <c r="E306" s="1" t="n">
        <v>46241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44484</v>
      </c>
      <c r="E307" s="1" t="n">
        <v>46241</v>
      </c>
      <c r="F307" t="inlineStr">
        <is>
          <t>VÄSTERBOTTENS LÄN</t>
        </is>
      </c>
      <c r="G307" t="inlineStr">
        <is>
          <t>LYCKSELE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38114-2024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45545</v>
      </c>
      <c r="E308" s="1" t="n">
        <v>46241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45491</v>
      </c>
      <c r="E309" s="1" t="n">
        <v>46241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46241</v>
      </c>
      <c r="F310" t="inlineStr">
        <is>
          <t>VÄSTERBOTTENS LÄN</t>
        </is>
      </c>
      <c r="G310" t="inlineStr">
        <is>
          <t>LYCKSELE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21668-2024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46241</v>
      </c>
      <c r="F311" t="inlineStr">
        <is>
          <t>VÄSTERBOTTENS LÄN</t>
        </is>
      </c>
      <c r="G311" t="inlineStr">
        <is>
          <t>LYCKSELE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45552</v>
      </c>
      <c r="E312" s="1" t="n">
        <v>46241</v>
      </c>
      <c r="F312" t="inlineStr">
        <is>
          <t>VÄSTERBOTTENS LÄN</t>
        </is>
      </c>
      <c r="G312" t="inlineStr">
        <is>
          <t>LYCKSELE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46241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50.1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46241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45751</v>
      </c>
      <c r="E315" s="1" t="n">
        <v>46241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46241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43134-2023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45182</v>
      </c>
      <c r="E317" s="1" t="n">
        <v>46241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46241</v>
      </c>
      <c r="F318" t="inlineStr">
        <is>
          <t>VÄSTERBOTTENS LÄN</t>
        </is>
      </c>
      <c r="G318" t="inlineStr">
        <is>
          <t>LYCKSELE</t>
        </is>
      </c>
      <c r="I318" t="n">
        <v>12.3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45117</v>
      </c>
      <c r="E319" s="1" t="n">
        <v>46241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46241</v>
      </c>
      <c r="F320" t="inlineStr">
        <is>
          <t>VÄSTERBOTTENS LÄN</t>
        </is>
      </c>
      <c r="G320" t="inlineStr">
        <is>
          <t>LYCKSELE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45534</v>
      </c>
      <c r="E321" s="1" t="n">
        <v>46241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45526</v>
      </c>
      <c r="E322" s="1" t="n">
        <v>46241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46241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71407-2021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44540</v>
      </c>
      <c r="E324" s="1" t="n">
        <v>46241</v>
      </c>
      <c r="F324" t="inlineStr">
        <is>
          <t>VÄSTERBOTTENS LÄN</t>
        </is>
      </c>
      <c r="G324" t="inlineStr">
        <is>
          <t>LYCKSELE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46241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45859</v>
      </c>
      <c r="E326" s="1" t="n">
        <v>46241</v>
      </c>
      <c r="F326" t="inlineStr">
        <is>
          <t>VÄSTERBOTTENS LÄN</t>
        </is>
      </c>
      <c r="G326" t="inlineStr">
        <is>
          <t>LYCKSELE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44572</v>
      </c>
      <c r="E327" s="1" t="n">
        <v>46241</v>
      </c>
      <c r="F327" t="inlineStr">
        <is>
          <t>VÄSTERBOTTENS LÄN</t>
        </is>
      </c>
      <c r="G327" t="inlineStr">
        <is>
          <t>LYCKSELE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35662-2025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45859</v>
      </c>
      <c r="E328" s="1" t="n">
        <v>46241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45859</v>
      </c>
      <c r="E329" s="1" t="n">
        <v>46241</v>
      </c>
      <c r="F329" t="inlineStr">
        <is>
          <t>VÄSTERBOTTENS LÄN</t>
        </is>
      </c>
      <c r="G329" t="inlineStr">
        <is>
          <t>LYCKSELE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46241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46241</v>
      </c>
      <c r="F331" t="inlineStr">
        <is>
          <t>VÄSTERBOTTENS LÄN</t>
        </is>
      </c>
      <c r="G331" t="inlineStr">
        <is>
          <t>LYCKSELE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45861</v>
      </c>
      <c r="E332" s="1" t="n">
        <v>46241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45862</v>
      </c>
      <c r="E333" s="1" t="n">
        <v>46241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46241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46241</v>
      </c>
      <c r="F335" t="inlineStr">
        <is>
          <t>VÄSTERBOTTENS LÄN</t>
        </is>
      </c>
      <c r="G335" t="inlineStr">
        <is>
          <t>LYCKSELE</t>
        </is>
      </c>
      <c r="I335" t="n">
        <v>13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46241</v>
      </c>
      <c r="F336" t="inlineStr">
        <is>
          <t>VÄSTERBOTTENS LÄN</t>
        </is>
      </c>
      <c r="G336" t="inlineStr">
        <is>
          <t>LYCKSELE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45142</v>
      </c>
      <c r="E337" s="1" t="n">
        <v>46241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46241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13.5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46241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36542-2025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45869</v>
      </c>
      <c r="E340" s="1" t="n">
        <v>46241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46241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14.3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46241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46241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16.8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46112</v>
      </c>
      <c r="E344" s="1" t="n">
        <v>46241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13.9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46241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19.5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46241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44994</v>
      </c>
      <c r="E347" s="1" t="n">
        <v>46241</v>
      </c>
      <c r="F347" t="inlineStr">
        <is>
          <t>VÄSTERBOTTENS LÄN</t>
        </is>
      </c>
      <c r="G347" t="inlineStr">
        <is>
          <t>LYCKSELE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46241</v>
      </c>
      <c r="F348" t="inlineStr">
        <is>
          <t>VÄSTERBOTTENS LÄN</t>
        </is>
      </c>
      <c r="G348" t="inlineStr">
        <is>
          <t>LYCKSELE</t>
        </is>
      </c>
      <c r="I348" t="n">
        <v>17.1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45444-2024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45576</v>
      </c>
      <c r="E349" s="1" t="n">
        <v>46241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46241</v>
      </c>
      <c r="F350" t="inlineStr">
        <is>
          <t>VÄSTERBOTTENS LÄN</t>
        </is>
      </c>
      <c r="G350" t="inlineStr">
        <is>
          <t>LYCKSELE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45873</v>
      </c>
      <c r="E351" s="1" t="n">
        <v>46241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46241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46241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46241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46241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46241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46241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46241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16.4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46241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45875</v>
      </c>
      <c r="E360" s="1" t="n">
        <v>46241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46241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12.7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46241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46241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46241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45888</v>
      </c>
      <c r="E365" s="1" t="n">
        <v>46241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46241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46241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26397-2022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44735</v>
      </c>
      <c r="E368" s="1" t="n">
        <v>46241</v>
      </c>
      <c r="F368" t="inlineStr">
        <is>
          <t>VÄSTERBOTTENS LÄN</t>
        </is>
      </c>
      <c r="G368" t="inlineStr">
        <is>
          <t>LYCKSELE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46114</v>
      </c>
      <c r="E369" s="1" t="n">
        <v>46241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45713</v>
      </c>
      <c r="E370" s="1" t="n">
        <v>46241</v>
      </c>
      <c r="F370" t="inlineStr">
        <is>
          <t>VÄSTERBOTTENS LÄN</t>
        </is>
      </c>
      <c r="G370" t="inlineStr">
        <is>
          <t>LYCKSELE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64663-2023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45281</v>
      </c>
      <c r="E371" s="1" t="n">
        <v>46241</v>
      </c>
      <c r="F371" t="inlineStr">
        <is>
          <t>VÄSTERBOTTENS LÄN</t>
        </is>
      </c>
      <c r="G371" t="inlineStr">
        <is>
          <t>LYCKSELE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46241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12.1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46241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46241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46241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46241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39562-2025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45890</v>
      </c>
      <c r="E377" s="1" t="n">
        <v>46241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39239-2025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45889</v>
      </c>
      <c r="E378" s="1" t="n">
        <v>46241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46241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46241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46241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46241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46241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45694</v>
      </c>
      <c r="E384" s="1" t="n">
        <v>46241</v>
      </c>
      <c r="F384" t="inlineStr">
        <is>
          <t>VÄSTERBOTTENS LÄN</t>
        </is>
      </c>
      <c r="G384" t="inlineStr">
        <is>
          <t>LYCKSELE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46241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46241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45730</v>
      </c>
      <c r="E387" s="1" t="n">
        <v>46241</v>
      </c>
      <c r="F387" t="inlineStr">
        <is>
          <t>VÄSTERBOTTENS LÄN</t>
        </is>
      </c>
      <c r="G387" t="inlineStr">
        <is>
          <t>LYCKSELE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59516-2021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44491</v>
      </c>
      <c r="E388" s="1" t="n">
        <v>46241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45894</v>
      </c>
      <c r="E389" s="1" t="n">
        <v>46241</v>
      </c>
      <c r="F389" t="inlineStr">
        <is>
          <t>VÄSTERBOTTENS LÄN</t>
        </is>
      </c>
      <c r="G389" t="inlineStr">
        <is>
          <t>LYCKSELE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46241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SCA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46241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46241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44933</v>
      </c>
      <c r="E393" s="1" t="n">
        <v>46241</v>
      </c>
      <c r="F393" t="inlineStr">
        <is>
          <t>VÄSTERBOTTENS LÄN</t>
        </is>
      </c>
      <c r="G393" t="inlineStr">
        <is>
          <t>LYCKSELE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46241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54697-2024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45618</v>
      </c>
      <c r="E395" s="1" t="n">
        <v>46241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46241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8.4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46241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44942</v>
      </c>
      <c r="E398" s="1" t="n">
        <v>46241</v>
      </c>
      <c r="F398" t="inlineStr">
        <is>
          <t>VÄSTERBOTTENS LÄN</t>
        </is>
      </c>
      <c r="G398" t="inlineStr">
        <is>
          <t>LYCKSELE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46241</v>
      </c>
      <c r="F399" t="inlineStr">
        <is>
          <t>VÄSTERBOTTENS LÄN</t>
        </is>
      </c>
      <c r="G399" t="inlineStr">
        <is>
          <t>LYCKSELE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44952</v>
      </c>
      <c r="E400" s="1" t="n">
        <v>46241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45902</v>
      </c>
      <c r="E401" s="1" t="n">
        <v>46241</v>
      </c>
      <c r="F401" t="inlineStr">
        <is>
          <t>VÄSTERBOTTENS LÄN</t>
        </is>
      </c>
      <c r="G401" t="inlineStr">
        <is>
          <t>LYCKSELE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41604-2025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45901</v>
      </c>
      <c r="E402" s="1" t="n">
        <v>46241</v>
      </c>
      <c r="F402" t="inlineStr">
        <is>
          <t>VÄSTERBOTTENS LÄN</t>
        </is>
      </c>
      <c r="G402" t="inlineStr">
        <is>
          <t>LYCKSELE</t>
        </is>
      </c>
      <c r="I402" t="n">
        <v>16.6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46241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45637</v>
      </c>
      <c r="E404" s="1" t="n">
        <v>46241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46241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46241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46241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46241</v>
      </c>
      <c r="F408" t="inlineStr">
        <is>
          <t>VÄSTERBOTTENS LÄN</t>
        </is>
      </c>
      <c r="G408" t="inlineStr">
        <is>
          <t>LYCKSELE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46241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45147</v>
      </c>
      <c r="E410" s="1" t="n">
        <v>46241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46241</v>
      </c>
      <c r="F411" t="inlineStr">
        <is>
          <t>VÄSTERBOTTENS LÄN</t>
        </is>
      </c>
      <c r="G411" t="inlineStr">
        <is>
          <t>LYCKSELE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24340-2024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46241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62094-2023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45266</v>
      </c>
      <c r="E413" s="1" t="n">
        <v>46241</v>
      </c>
      <c r="F413" t="inlineStr">
        <is>
          <t>VÄSTERBOTTENS LÄN</t>
        </is>
      </c>
      <c r="G413" t="inlineStr">
        <is>
          <t>LYCKSELE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46241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44979</v>
      </c>
      <c r="E415" s="1" t="n">
        <v>46241</v>
      </c>
      <c r="F415" t="inlineStr">
        <is>
          <t>VÄSTERBOTTENS LÄN</t>
        </is>
      </c>
      <c r="G415" t="inlineStr">
        <is>
          <t>LYCKSELE</t>
        </is>
      </c>
      <c r="I415" t="n">
        <v>12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46241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18789-2026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46241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46241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46241</v>
      </c>
      <c r="F419" t="inlineStr">
        <is>
          <t>VÄSTERBOTTENS LÄN</t>
        </is>
      </c>
      <c r="G419" t="inlineStr">
        <is>
          <t>LYCKSELE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62715-2022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44925</v>
      </c>
      <c r="E420" s="1" t="n">
        <v>46241</v>
      </c>
      <c r="F420" t="inlineStr">
        <is>
          <t>VÄSTERBOTTENS LÄN</t>
        </is>
      </c>
      <c r="G420" t="inlineStr">
        <is>
          <t>LYCKSELE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45909</v>
      </c>
      <c r="E421" s="1" t="n">
        <v>46241</v>
      </c>
      <c r="F421" t="inlineStr">
        <is>
          <t>VÄSTERBOTTENS LÄN</t>
        </is>
      </c>
      <c r="G421" t="inlineStr">
        <is>
          <t>LYCKSELE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59559-2022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44900</v>
      </c>
      <c r="E422" s="1" t="n">
        <v>46241</v>
      </c>
      <c r="F422" t="inlineStr">
        <is>
          <t>VÄSTERBOTTENS LÄN</t>
        </is>
      </c>
      <c r="G422" t="inlineStr">
        <is>
          <t>LYCKSELE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45457</v>
      </c>
      <c r="E423" s="1" t="n">
        <v>46241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45488</v>
      </c>
      <c r="E424" s="1" t="n">
        <v>46241</v>
      </c>
      <c r="F424" t="inlineStr">
        <is>
          <t>VÄSTERBOTTENS LÄN</t>
        </is>
      </c>
      <c r="G424" t="inlineStr">
        <is>
          <t>LYCKSELE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45590</v>
      </c>
      <c r="E425" s="1" t="n">
        <v>46241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28525-2023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46241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28528-2023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46241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45103</v>
      </c>
      <c r="E428" s="1" t="n">
        <v>46241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34929-2023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45142</v>
      </c>
      <c r="E429" s="1" t="n">
        <v>46241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45608</v>
      </c>
      <c r="E430" s="1" t="n">
        <v>46241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45608</v>
      </c>
      <c r="E431" s="1" t="n">
        <v>46241</v>
      </c>
      <c r="F431" t="inlineStr">
        <is>
          <t>VÄSTERBOTTENS LÄN</t>
        </is>
      </c>
      <c r="G431" t="inlineStr">
        <is>
          <t>LYCKSELE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46241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46241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45672</v>
      </c>
      <c r="E434" s="1" t="n">
        <v>46241</v>
      </c>
      <c r="F434" t="inlineStr">
        <is>
          <t>VÄSTERBOTTENS LÄN</t>
        </is>
      </c>
      <c r="G434" t="inlineStr">
        <is>
          <t>LYCKSELE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46241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46241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46241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9090-2025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45713</v>
      </c>
      <c r="E438" s="1" t="n">
        <v>46241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46241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46241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46241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62870-2023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45271</v>
      </c>
      <c r="E442" s="1" t="n">
        <v>46241</v>
      </c>
      <c r="F442" t="inlineStr">
        <is>
          <t>VÄSTERBOTTENS LÄN</t>
        </is>
      </c>
      <c r="G442" t="inlineStr">
        <is>
          <t>LYCKSELE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44342-2025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46241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44346-2025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46241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46241</v>
      </c>
      <c r="F445" t="inlineStr">
        <is>
          <t>VÄSTERBOTTENS LÄN</t>
        </is>
      </c>
      <c r="G445" t="inlineStr">
        <is>
          <t>LYCKSELE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46241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46241</v>
      </c>
      <c r="F447" t="inlineStr">
        <is>
          <t>VÄSTERBOTTENS LÄN</t>
        </is>
      </c>
      <c r="G447" t="inlineStr">
        <is>
          <t>LYCKSELE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44733</v>
      </c>
      <c r="E448" s="1" t="n">
        <v>46241</v>
      </c>
      <c r="F448" t="inlineStr">
        <is>
          <t>VÄSTERBOTTENS LÄN</t>
        </is>
      </c>
      <c r="G448" t="inlineStr">
        <is>
          <t>LYCKSELE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44924</v>
      </c>
      <c r="E449" s="1" t="n">
        <v>46241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44107-2025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46241</v>
      </c>
      <c r="F450" t="inlineStr">
        <is>
          <t>VÄSTERBOTTENS LÄN</t>
        </is>
      </c>
      <c r="G450" t="inlineStr">
        <is>
          <t>LYCKSELE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46241</v>
      </c>
      <c r="F451" t="inlineStr">
        <is>
          <t>VÄSTERBOTTENS LÄN</t>
        </is>
      </c>
      <c r="G451" t="inlineStr">
        <is>
          <t>LYCKSELE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46241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46241</v>
      </c>
      <c r="F453" t="inlineStr">
        <is>
          <t>VÄSTERBOTTENS LÄN</t>
        </is>
      </c>
      <c r="G453" t="inlineStr">
        <is>
          <t>LYCKSELE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44547-2025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45917</v>
      </c>
      <c r="E454" s="1" t="n">
        <v>46241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46241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36875-2023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45154</v>
      </c>
      <c r="E456" s="1" t="n">
        <v>46241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46241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45919</v>
      </c>
      <c r="E458" s="1" t="n">
        <v>46241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57263-2024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46241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26351-2022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44735</v>
      </c>
      <c r="E460" s="1" t="n">
        <v>46241</v>
      </c>
      <c r="F460" t="inlineStr">
        <is>
          <t>VÄSTERBOTTENS LÄN</t>
        </is>
      </c>
      <c r="G460" t="inlineStr">
        <is>
          <t>LYCKSELE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46241</v>
      </c>
      <c r="F461" t="inlineStr">
        <is>
          <t>VÄSTERBOTTENS LÄN</t>
        </is>
      </c>
      <c r="G461" t="inlineStr">
        <is>
          <t>LYCKSELE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45701</v>
      </c>
      <c r="E462" s="1" t="n">
        <v>46241</v>
      </c>
      <c r="F462" t="inlineStr">
        <is>
          <t>VÄSTERBOTTENS LÄN</t>
        </is>
      </c>
      <c r="G462" t="inlineStr">
        <is>
          <t>LYCKSELE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45837-2025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46241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46241</v>
      </c>
      <c r="F464" t="inlineStr">
        <is>
          <t>VÄSTERBOTTENS LÄN</t>
        </is>
      </c>
      <c r="G464" t="inlineStr">
        <is>
          <t>LYCKSELE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46241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46241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46241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45630</v>
      </c>
      <c r="E468" s="1" t="n">
        <v>46241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46241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46826-2023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45198</v>
      </c>
      <c r="E470" s="1" t="n">
        <v>46241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45187</v>
      </c>
      <c r="E471" s="1" t="n">
        <v>46241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46241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47093-2025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45929</v>
      </c>
      <c r="E473" s="1" t="n">
        <v>46241</v>
      </c>
      <c r="F473" t="inlineStr">
        <is>
          <t>VÄSTERBOTTENS LÄN</t>
        </is>
      </c>
      <c r="G473" t="inlineStr">
        <is>
          <t>LYCKSELE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45930</v>
      </c>
      <c r="E474" s="1" t="n">
        <v>46241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46241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44812</v>
      </c>
      <c r="E476" s="1" t="n">
        <v>46241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46241</v>
      </c>
      <c r="F477" t="inlineStr">
        <is>
          <t>VÄSTERBOTTENS LÄN</t>
        </is>
      </c>
      <c r="G477" t="inlineStr">
        <is>
          <t>LYCKSELE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46241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45666</v>
      </c>
      <c r="E479" s="1" t="n">
        <v>46241</v>
      </c>
      <c r="F479" t="inlineStr">
        <is>
          <t>VÄSTERBOTTENS LÄN</t>
        </is>
      </c>
      <c r="G479" t="inlineStr">
        <is>
          <t>LYCKSELE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15037-2025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45743</v>
      </c>
      <c r="E480" s="1" t="n">
        <v>46241</v>
      </c>
      <c r="F480" t="inlineStr">
        <is>
          <t>VÄSTERBOTTENS LÄN</t>
        </is>
      </c>
      <c r="G480" t="inlineStr">
        <is>
          <t>LYCKSELE</t>
        </is>
      </c>
      <c r="I480" t="n">
        <v>12.1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40262-2022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44820</v>
      </c>
      <c r="E481" s="1" t="n">
        <v>46241</v>
      </c>
      <c r="F481" t="inlineStr">
        <is>
          <t>VÄSTERBOTTENS LÄN</t>
        </is>
      </c>
      <c r="G481" t="inlineStr">
        <is>
          <t>LYCKSELE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59653-2022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44907</v>
      </c>
      <c r="E482" s="1" t="n">
        <v>46241</v>
      </c>
      <c r="F482" t="inlineStr">
        <is>
          <t>VÄSTERBOTTENS LÄN</t>
        </is>
      </c>
      <c r="G482" t="inlineStr">
        <is>
          <t>LYCKSELE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47930-2025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45932</v>
      </c>
      <c r="E483" s="1" t="n">
        <v>46241</v>
      </c>
      <c r="F483" t="inlineStr">
        <is>
          <t>VÄSTERBOTTENS LÄN</t>
        </is>
      </c>
      <c r="G483" t="inlineStr">
        <is>
          <t>LYCKSELE</t>
        </is>
      </c>
      <c r="I483" t="n">
        <v>17.8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57666-2021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44484</v>
      </c>
      <c r="E484" s="1" t="n">
        <v>46241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3632-2024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45320</v>
      </c>
      <c r="E485" s="1" t="n">
        <v>46241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41419-2022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44826</v>
      </c>
      <c r="E486" s="1" t="n">
        <v>46241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Naturvårdsverket</t>
        </is>
      </c>
      <c r="I486" t="n">
        <v>32.1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41703-2023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45176</v>
      </c>
      <c r="E487" s="1" t="n">
        <v>46241</v>
      </c>
      <c r="F487" t="inlineStr">
        <is>
          <t>VÄSTERBOTTENS LÄN</t>
        </is>
      </c>
      <c r="G487" t="inlineStr">
        <is>
          <t>LYCKSELE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45936</v>
      </c>
      <c r="E488" s="1" t="n">
        <v>46241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48208-2025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45933</v>
      </c>
      <c r="E489" s="1" t="n">
        <v>46241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45695</v>
      </c>
      <c r="E490" s="1" t="n">
        <v>46241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64346-2023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45279</v>
      </c>
      <c r="E491" s="1" t="n">
        <v>46241</v>
      </c>
      <c r="F491" t="inlineStr">
        <is>
          <t>VÄSTERBOTTENS LÄN</t>
        </is>
      </c>
      <c r="G491" t="inlineStr">
        <is>
          <t>LYCKSELE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62547-2022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44924</v>
      </c>
      <c r="E492" s="1" t="n">
        <v>46241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48205-2025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45933</v>
      </c>
      <c r="E493" s="1" t="n">
        <v>46241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52370-2022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44874</v>
      </c>
      <c r="E494" s="1" t="n">
        <v>46241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49196-2025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46241</v>
      </c>
      <c r="F495" t="inlineStr">
        <is>
          <t>VÄSTERBOTTENS LÄN</t>
        </is>
      </c>
      <c r="G495" t="inlineStr">
        <is>
          <t>LYCKSELE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49366-2025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45938</v>
      </c>
      <c r="E496" s="1" t="n">
        <v>46241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45741</v>
      </c>
      <c r="E497" s="1" t="n">
        <v>46241</v>
      </c>
      <c r="F497" t="inlineStr">
        <is>
          <t>VÄSTERBOTTENS LÄN</t>
        </is>
      </c>
      <c r="G497" t="inlineStr">
        <is>
          <t>LYCKSELE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46241</v>
      </c>
      <c r="F498" t="inlineStr">
        <is>
          <t>VÄSTERBOTTENS LÄN</t>
        </is>
      </c>
      <c r="G498" t="inlineStr">
        <is>
          <t>LYCKSELE</t>
        </is>
      </c>
      <c r="I498" t="n">
        <v>8.5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16274-2022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44670</v>
      </c>
      <c r="E499" s="1" t="n">
        <v>46241</v>
      </c>
      <c r="F499" t="inlineStr">
        <is>
          <t>VÄSTERBOTTENS LÄN</t>
        </is>
      </c>
      <c r="G499" t="inlineStr">
        <is>
          <t>LYCKSELE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46241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31453-2024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45505</v>
      </c>
      <c r="E501" s="1" t="n">
        <v>46241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49859-2025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45940</v>
      </c>
      <c r="E502" s="1" t="n">
        <v>46241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46241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52.4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46241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45685</v>
      </c>
      <c r="E505" s="1" t="n">
        <v>46241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48585-2025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45936</v>
      </c>
      <c r="E506" s="1" t="n">
        <v>46241</v>
      </c>
      <c r="F506" t="inlineStr">
        <is>
          <t>VÄSTERBOTTENS LÄN</t>
        </is>
      </c>
      <c r="G506" t="inlineStr">
        <is>
          <t>LYCKSELE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49968-2025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45941</v>
      </c>
      <c r="E507" s="1" t="n">
        <v>46241</v>
      </c>
      <c r="F507" t="inlineStr">
        <is>
          <t>VÄSTERBOTTENS LÄN</t>
        </is>
      </c>
      <c r="G507" t="inlineStr">
        <is>
          <t>LYCKSELE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29675-2023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46241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45942</v>
      </c>
      <c r="E509" s="1" t="n">
        <v>46241</v>
      </c>
      <c r="F509" t="inlineStr">
        <is>
          <t>VÄSTERBOTTENS LÄN</t>
        </is>
      </c>
      <c r="G509" t="inlineStr">
        <is>
          <t>LYCKSELE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50021-2025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45943</v>
      </c>
      <c r="E510" s="1" t="n">
        <v>46241</v>
      </c>
      <c r="F510" t="inlineStr">
        <is>
          <t>VÄSTERBOTTENS LÄN</t>
        </is>
      </c>
      <c r="G510" t="inlineStr">
        <is>
          <t>LYCKSELE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53614-2021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44469</v>
      </c>
      <c r="E511" s="1" t="n">
        <v>46241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46241</v>
      </c>
      <c r="F512" t="inlineStr">
        <is>
          <t>VÄSTERBOTTENS LÄN</t>
        </is>
      </c>
      <c r="G512" t="inlineStr">
        <is>
          <t>LYCKSELE</t>
        </is>
      </c>
      <c r="I512" t="n">
        <v>17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47697-2021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44448</v>
      </c>
      <c r="E513" s="1" t="n">
        <v>46241</v>
      </c>
      <c r="F513" t="inlineStr">
        <is>
          <t>VÄSTERBOTTENS LÄN</t>
        </is>
      </c>
      <c r="G513" t="inlineStr">
        <is>
          <t>LYCKSELE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51207-2025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45947</v>
      </c>
      <c r="E514" s="1" t="n">
        <v>46241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7.8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45709</v>
      </c>
      <c r="E515" s="1" t="n">
        <v>46241</v>
      </c>
      <c r="F515" t="inlineStr">
        <is>
          <t>VÄSTERBOTTENS LÄN</t>
        </is>
      </c>
      <c r="G515" t="inlineStr">
        <is>
          <t>LYCKSELE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46241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44620</v>
      </c>
      <c r="E517" s="1" t="n">
        <v>46241</v>
      </c>
      <c r="F517" t="inlineStr">
        <is>
          <t>VÄSTERBOTTENS LÄN</t>
        </is>
      </c>
      <c r="G517" t="inlineStr">
        <is>
          <t>LYCKSELE</t>
        </is>
      </c>
      <c r="I517" t="n">
        <v>14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44642</v>
      </c>
      <c r="E518" s="1" t="n">
        <v>46241</v>
      </c>
      <c r="F518" t="inlineStr">
        <is>
          <t>VÄSTERBOTTENS LÄN</t>
        </is>
      </c>
      <c r="G518" t="inlineStr">
        <is>
          <t>LYCKSELE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51859-2025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46241</v>
      </c>
      <c r="F519" t="inlineStr">
        <is>
          <t>VÄSTERBOTTENS LÄN</t>
        </is>
      </c>
      <c r="G519" t="inlineStr">
        <is>
          <t>LYCKSELE</t>
        </is>
      </c>
      <c r="I519" t="n">
        <v>13.5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45951</v>
      </c>
      <c r="E520" s="1" t="n">
        <v>46241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19.8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27964-2023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45098</v>
      </c>
      <c r="E521" s="1" t="n">
        <v>46241</v>
      </c>
      <c r="F521" t="inlineStr">
        <is>
          <t>VÄSTERBOTTENS LÄN</t>
        </is>
      </c>
      <c r="G521" t="inlineStr">
        <is>
          <t>LYCKSELE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60272-2022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44910</v>
      </c>
      <c r="E522" s="1" t="n">
        <v>46241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46241</v>
      </c>
      <c r="F523" t="inlineStr">
        <is>
          <t>VÄSTERBOTTENS LÄN</t>
        </is>
      </c>
      <c r="G523" t="inlineStr">
        <is>
          <t>LYCKSELE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46241</v>
      </c>
      <c r="F524" t="inlineStr">
        <is>
          <t>VÄSTERBOTTENS LÄN</t>
        </is>
      </c>
      <c r="G524" t="inlineStr">
        <is>
          <t>LYCKSELE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45313</v>
      </c>
      <c r="E525" s="1" t="n">
        <v>46241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Naturvårdsverket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44571</v>
      </c>
      <c r="E526" s="1" t="n">
        <v>46241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26357-2023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45091</v>
      </c>
      <c r="E527" s="1" t="n">
        <v>46241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46241</v>
      </c>
      <c r="F528" t="inlineStr">
        <is>
          <t>VÄSTERBOTTENS LÄN</t>
        </is>
      </c>
      <c r="G528" t="inlineStr">
        <is>
          <t>LYCKSELE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45210</v>
      </c>
      <c r="E529" s="1" t="n">
        <v>46241</v>
      </c>
      <c r="F529" t="inlineStr">
        <is>
          <t>VÄSTERBOTTENS LÄN</t>
        </is>
      </c>
      <c r="G529" t="inlineStr">
        <is>
          <t>LYCKSELE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45103</v>
      </c>
      <c r="E530" s="1" t="n">
        <v>46241</v>
      </c>
      <c r="F530" t="inlineStr">
        <is>
          <t>VÄSTERBOTTENS LÄN</t>
        </is>
      </c>
      <c r="G530" t="inlineStr">
        <is>
          <t>LYCKSELE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58263-2025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46241</v>
      </c>
      <c r="F531" t="inlineStr">
        <is>
          <t>VÄSTERBOTTENS LÄN</t>
        </is>
      </c>
      <c r="G531" t="inlineStr">
        <is>
          <t>LYCKSELE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44876</v>
      </c>
      <c r="E532" s="1" t="n">
        <v>46241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45576</v>
      </c>
      <c r="E533" s="1" t="n">
        <v>46241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Naturvårdsverket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56401-2021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44477</v>
      </c>
      <c r="E534" s="1" t="n">
        <v>46241</v>
      </c>
      <c r="F534" t="inlineStr">
        <is>
          <t>VÄSTERBOTTENS LÄN</t>
        </is>
      </c>
      <c r="G534" t="inlineStr">
        <is>
          <t>LYCKSELE</t>
        </is>
      </c>
      <c r="I534" t="n">
        <v>11.5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45957</v>
      </c>
      <c r="E535" s="1" t="n">
        <v>46241</v>
      </c>
      <c r="F535" t="inlineStr">
        <is>
          <t>VÄSTERBOTTENS LÄN</t>
        </is>
      </c>
      <c r="G535" t="inlineStr">
        <is>
          <t>LYCKSELE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53323-2021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44468</v>
      </c>
      <c r="E536" s="1" t="n">
        <v>46241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4858-2025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45688</v>
      </c>
      <c r="E537" s="1" t="n">
        <v>46241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45959</v>
      </c>
      <c r="E538" s="1" t="n">
        <v>46241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45576</v>
      </c>
      <c r="E539" s="1" t="n">
        <v>46241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Naturvårdsverket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45821</v>
      </c>
      <c r="E540" s="1" t="n">
        <v>46241</v>
      </c>
      <c r="F540" t="inlineStr">
        <is>
          <t>VÄSTERBOTTENS LÄN</t>
        </is>
      </c>
      <c r="G540" t="inlineStr">
        <is>
          <t>LYCKSELE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52699-2021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44466</v>
      </c>
      <c r="E541" s="1" t="n">
        <v>46241</v>
      </c>
      <c r="F541" t="inlineStr">
        <is>
          <t>VÄSTERBOTTENS LÄN</t>
        </is>
      </c>
      <c r="G541" t="inlineStr">
        <is>
          <t>LYCKSELE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45406</v>
      </c>
      <c r="E542" s="1" t="n">
        <v>46241</v>
      </c>
      <c r="F542" t="inlineStr">
        <is>
          <t>VÄSTERBOTTENS LÄN</t>
        </is>
      </c>
      <c r="G542" t="inlineStr">
        <is>
          <t>LYCKSELE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44902</v>
      </c>
      <c r="E543" s="1" t="n">
        <v>46241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53036-2023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45226</v>
      </c>
      <c r="E544" s="1" t="n">
        <v>46241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45139-2025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45919</v>
      </c>
      <c r="E545" s="1" t="n">
        <v>46241</v>
      </c>
      <c r="F545" t="inlineStr">
        <is>
          <t>VÄSTERBOTTENS LÄN</t>
        </is>
      </c>
      <c r="G545" t="inlineStr">
        <is>
          <t>LYCKSELE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46176-2023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46241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45915</v>
      </c>
      <c r="E547" s="1" t="n">
        <v>46241</v>
      </c>
      <c r="F547" t="inlineStr">
        <is>
          <t>VÄSTERBOTTENS LÄN</t>
        </is>
      </c>
      <c r="G547" t="inlineStr">
        <is>
          <t>LYCKSELE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45732</v>
      </c>
      <c r="E548" s="1" t="n">
        <v>46241</v>
      </c>
      <c r="F548" t="inlineStr">
        <is>
          <t>VÄSTERBOTTENS LÄN</t>
        </is>
      </c>
      <c r="G548" t="inlineStr">
        <is>
          <t>LYCKSELE</t>
        </is>
      </c>
      <c r="I548" t="n">
        <v>15.5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46241</v>
      </c>
      <c r="F549" t="inlineStr">
        <is>
          <t>VÄSTERBOTTENS LÄN</t>
        </is>
      </c>
      <c r="G549" t="inlineStr">
        <is>
          <t>LYCKSELE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45993</v>
      </c>
      <c r="E550" s="1" t="n">
        <v>46241</v>
      </c>
      <c r="F550" t="inlineStr">
        <is>
          <t>VÄSTERBOTTENS LÄN</t>
        </is>
      </c>
      <c r="G550" t="inlineStr">
        <is>
          <t>LYCKSELE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45967</v>
      </c>
      <c r="E551" s="1" t="n">
        <v>46241</v>
      </c>
      <c r="F551" t="inlineStr">
        <is>
          <t>VÄSTERBOTTENS LÄN</t>
        </is>
      </c>
      <c r="G551" t="inlineStr">
        <is>
          <t>LYCKSELE</t>
        </is>
      </c>
      <c r="I551" t="n">
        <v>24.9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20242-2026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46139</v>
      </c>
      <c r="E552" s="1" t="n">
        <v>46241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54943-2025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45967</v>
      </c>
      <c r="E553" s="1" t="n">
        <v>46241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55216-2025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45968</v>
      </c>
      <c r="E554" s="1" t="n">
        <v>46241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Naturvårdsverket</t>
        </is>
      </c>
      <c r="I554" t="n">
        <v>8.699999999999999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45967</v>
      </c>
      <c r="E555" s="1" t="n">
        <v>46241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45968</v>
      </c>
      <c r="E556" s="1" t="n">
        <v>46241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58961-2022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46241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46241</v>
      </c>
      <c r="F558" t="inlineStr">
        <is>
          <t>VÄSTERBOTTENS LÄN</t>
        </is>
      </c>
      <c r="G558" t="inlineStr">
        <is>
          <t>LYCKSELE</t>
        </is>
      </c>
      <c r="I558" t="n">
        <v>34.9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44934</v>
      </c>
      <c r="E559" s="1" t="n">
        <v>46241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15221-2025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46241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12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45972</v>
      </c>
      <c r="E561" s="1" t="n">
        <v>46241</v>
      </c>
      <c r="F561" t="inlineStr">
        <is>
          <t>VÄSTERBOTTENS LÄN</t>
        </is>
      </c>
      <c r="G561" t="inlineStr">
        <is>
          <t>LYCKSELE</t>
        </is>
      </c>
      <c r="I561" t="n">
        <v>14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55545-2025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45971</v>
      </c>
      <c r="E562" s="1" t="n">
        <v>46241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55666-2025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45972</v>
      </c>
      <c r="E563" s="1" t="n">
        <v>46241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46003</v>
      </c>
      <c r="E564" s="1" t="n">
        <v>46241</v>
      </c>
      <c r="F564" t="inlineStr">
        <is>
          <t>VÄSTERBOTTENS LÄN</t>
        </is>
      </c>
      <c r="G564" t="inlineStr">
        <is>
          <t>LYCKSELE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55333-2025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45971</v>
      </c>
      <c r="E565" s="1" t="n">
        <v>46241</v>
      </c>
      <c r="F565" t="inlineStr">
        <is>
          <t>VÄSTERBOTTENS LÄN</t>
        </is>
      </c>
      <c r="G565" t="inlineStr">
        <is>
          <t>LYCKSELE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56172-2025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46241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55170-2022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44886</v>
      </c>
      <c r="E567" s="1" t="n">
        <v>46241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325-2022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44564</v>
      </c>
      <c r="E568" s="1" t="n">
        <v>46241</v>
      </c>
      <c r="F568" t="inlineStr">
        <is>
          <t>VÄSTERBOTTENS LÄN</t>
        </is>
      </c>
      <c r="G568" t="inlineStr">
        <is>
          <t>LYCKSELE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62874-2023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46241</v>
      </c>
      <c r="F569" t="inlineStr">
        <is>
          <t>VÄSTERBOTTENS LÄN</t>
        </is>
      </c>
      <c r="G569" t="inlineStr">
        <is>
          <t>LYCKSELE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41977-2024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45561</v>
      </c>
      <c r="E570" s="1" t="n">
        <v>46241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46241</v>
      </c>
      <c r="F571" t="inlineStr">
        <is>
          <t>VÄSTERBOTTENS LÄN</t>
        </is>
      </c>
      <c r="G571" t="inlineStr">
        <is>
          <t>LYCKSELE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53839-2023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45231</v>
      </c>
      <c r="E572" s="1" t="n">
        <v>46241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44994</v>
      </c>
      <c r="E573" s="1" t="n">
        <v>46241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28550-2023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45103</v>
      </c>
      <c r="E574" s="1" t="n">
        <v>46241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8.300000000000001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46241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10.8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46241</v>
      </c>
      <c r="F576" t="inlineStr">
        <is>
          <t>VÄSTERBOTTENS LÄN</t>
        </is>
      </c>
      <c r="G576" t="inlineStr">
        <is>
          <t>LYCKSELE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45895</v>
      </c>
      <c r="E577" s="1" t="n">
        <v>46241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46241</v>
      </c>
      <c r="F578" t="inlineStr">
        <is>
          <t>VÄSTERBOTTENS LÄN</t>
        </is>
      </c>
      <c r="G578" t="inlineStr">
        <is>
          <t>LYCKSELE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50652-2021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44459</v>
      </c>
      <c r="E579" s="1" t="n">
        <v>46241</v>
      </c>
      <c r="F579" t="inlineStr">
        <is>
          <t>VÄSTERBOTTENS LÄN</t>
        </is>
      </c>
      <c r="G579" t="inlineStr">
        <is>
          <t>LYCKSELE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46241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46241</v>
      </c>
      <c r="F581" t="inlineStr">
        <is>
          <t>VÄSTERBOTTENS LÄN</t>
        </is>
      </c>
      <c r="G581" t="inlineStr">
        <is>
          <t>LYCKSELE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45128</v>
      </c>
      <c r="E582" s="1" t="n">
        <v>46241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46241</v>
      </c>
      <c r="F583" t="inlineStr">
        <is>
          <t>VÄSTERBOTTENS LÄN</t>
        </is>
      </c>
      <c r="G583" t="inlineStr">
        <is>
          <t>LYCKSELE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57197-2025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45979</v>
      </c>
      <c r="E584" s="1" t="n">
        <v>46241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46241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46241</v>
      </c>
      <c r="F586" t="inlineStr">
        <is>
          <t>VÄSTERBOTTENS LÄN</t>
        </is>
      </c>
      <c r="G586" t="inlineStr">
        <is>
          <t>LYCKSELE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58094-2025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46241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57668-2025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45981</v>
      </c>
      <c r="E588" s="1" t="n">
        <v>46241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45520</v>
      </c>
      <c r="E589" s="1" t="n">
        <v>46241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33713-2024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45520</v>
      </c>
      <c r="E590" s="1" t="n">
        <v>46241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45982</v>
      </c>
      <c r="E591" s="1" t="n">
        <v>46241</v>
      </c>
      <c r="F591" t="inlineStr">
        <is>
          <t>VÄSTERBOTTENS LÄN</t>
        </is>
      </c>
      <c r="G591" t="inlineStr">
        <is>
          <t>LYCKSELE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50044-2021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44456</v>
      </c>
      <c r="E592" s="1" t="n">
        <v>46241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46241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46241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45890</v>
      </c>
      <c r="E595" s="1" t="n">
        <v>46241</v>
      </c>
      <c r="F595" t="inlineStr">
        <is>
          <t>VÄSTERBOTTENS LÄN</t>
        </is>
      </c>
      <c r="G595" t="inlineStr">
        <is>
          <t>LYCKSELE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46146</v>
      </c>
      <c r="E596" s="1" t="n">
        <v>46241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46241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23679-2025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45793</v>
      </c>
      <c r="E598" s="1" t="n">
        <v>46241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29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23971-2024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45455</v>
      </c>
      <c r="E599" s="1" t="n">
        <v>46241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46146</v>
      </c>
      <c r="E600" s="1" t="n">
        <v>46241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46241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46241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29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46241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46241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46241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46241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46241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46241</v>
      </c>
      <c r="F608" t="inlineStr">
        <is>
          <t>VÄSTERBOTTENS LÄN</t>
        </is>
      </c>
      <c r="G608" t="inlineStr">
        <is>
          <t>LYCKSELE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46241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29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46241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29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46241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46241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46241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Holmen skog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46241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58439-2022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44901</v>
      </c>
      <c r="E615" s="1" t="n">
        <v>46241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46241</v>
      </c>
      <c r="F616" t="inlineStr">
        <is>
          <t>VÄSTERBOTTENS LÄN</t>
        </is>
      </c>
      <c r="G616" t="inlineStr">
        <is>
          <t>LYCKSELE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46241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64668-2023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45281</v>
      </c>
      <c r="E618" s="1" t="n">
        <v>46241</v>
      </c>
      <c r="F618" t="inlineStr">
        <is>
          <t>VÄSTERBOTTENS LÄN</t>
        </is>
      </c>
      <c r="G618" t="inlineStr">
        <is>
          <t>LYCKSELE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46241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59825-2025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45992</v>
      </c>
      <c r="E620" s="1" t="n">
        <v>46241</v>
      </c>
      <c r="F620" t="inlineStr">
        <is>
          <t>VÄSTERBOTTENS LÄN</t>
        </is>
      </c>
      <c r="G620" t="inlineStr">
        <is>
          <t>LYCKSELE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46241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46241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57571-2025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45980</v>
      </c>
      <c r="E623" s="1" t="n">
        <v>46241</v>
      </c>
      <c r="F623" t="inlineStr">
        <is>
          <t>VÄSTERBOTTENS LÄN</t>
        </is>
      </c>
      <c r="G623" t="inlineStr">
        <is>
          <t>LYCKSELE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60859-2022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44908</v>
      </c>
      <c r="E624" s="1" t="n">
        <v>46241</v>
      </c>
      <c r="F624" t="inlineStr">
        <is>
          <t>VÄSTERBOTTENS LÄN</t>
        </is>
      </c>
      <c r="G624" t="inlineStr">
        <is>
          <t>LYCKSELE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60309-2025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46241</v>
      </c>
      <c r="F625" t="inlineStr">
        <is>
          <t>VÄSTERBOTTENS LÄN</t>
        </is>
      </c>
      <c r="G625" t="inlineStr">
        <is>
          <t>LYCKSELE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59927-2025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46241</v>
      </c>
      <c r="F626" t="inlineStr">
        <is>
          <t>VÄSTERBOTTENS LÄN</t>
        </is>
      </c>
      <c r="G626" t="inlineStr">
        <is>
          <t>LYCKSELE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16289-2025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45751</v>
      </c>
      <c r="E627" s="1" t="n">
        <v>46241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46241</v>
      </c>
      <c r="F628" t="inlineStr">
        <is>
          <t>VÄSTERBOTTENS LÄN</t>
        </is>
      </c>
      <c r="G628" t="inlineStr">
        <is>
          <t>LYCKSELE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46150</v>
      </c>
      <c r="E629" s="1" t="n">
        <v>46241</v>
      </c>
      <c r="F629" t="inlineStr">
        <is>
          <t>VÄSTERBOTTENS LÄN</t>
        </is>
      </c>
      <c r="G629" t="inlineStr">
        <is>
          <t>LYCKSELE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60594-2025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45996</v>
      </c>
      <c r="E630" s="1" t="n">
        <v>46241</v>
      </c>
      <c r="F630" t="inlineStr">
        <is>
          <t>VÄSTERBOTTENS LÄN</t>
        </is>
      </c>
      <c r="G630" t="inlineStr">
        <is>
          <t>LYCKSELE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46000</v>
      </c>
      <c r="E631" s="1" t="n">
        <v>46241</v>
      </c>
      <c r="F631" t="inlineStr">
        <is>
          <t>VÄSTERBOTTENS LÄN</t>
        </is>
      </c>
      <c r="G631" t="inlineStr">
        <is>
          <t>LYCKSELE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46241</v>
      </c>
      <c r="F632" t="inlineStr">
        <is>
          <t>VÄSTERBOTTENS LÄN</t>
        </is>
      </c>
      <c r="G632" t="inlineStr">
        <is>
          <t>LYCKSELE</t>
        </is>
      </c>
      <c r="I632" t="n">
        <v>9.9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70197-2021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44534</v>
      </c>
      <c r="E633" s="1" t="n">
        <v>46241</v>
      </c>
      <c r="F633" t="inlineStr">
        <is>
          <t>VÄSTERBOTTENS LÄN</t>
        </is>
      </c>
      <c r="G633" t="inlineStr">
        <is>
          <t>LYCKSELE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46000</v>
      </c>
      <c r="E634" s="1" t="n">
        <v>46241</v>
      </c>
      <c r="F634" t="inlineStr">
        <is>
          <t>VÄSTERBOTTENS LÄN</t>
        </is>
      </c>
      <c r="G634" t="inlineStr">
        <is>
          <t>LYCKSELE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53740-2022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44880</v>
      </c>
      <c r="E635" s="1" t="n">
        <v>46241</v>
      </c>
      <c r="F635" t="inlineStr">
        <is>
          <t>VÄSTERBOTTENS LÄN</t>
        </is>
      </c>
      <c r="G635" t="inlineStr">
        <is>
          <t>LYCKSELE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16887-2024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45411</v>
      </c>
      <c r="E636" s="1" t="n">
        <v>46241</v>
      </c>
      <c r="F636" t="inlineStr">
        <is>
          <t>VÄSTERBOTTENS LÄN</t>
        </is>
      </c>
      <c r="G636" t="inlineStr">
        <is>
          <t>LYCKSELE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22050-2024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45443</v>
      </c>
      <c r="E637" s="1" t="n">
        <v>46241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46154</v>
      </c>
      <c r="E638" s="1" t="n">
        <v>46241</v>
      </c>
      <c r="F638" t="inlineStr">
        <is>
          <t>VÄSTERBOTTENS LÄN</t>
        </is>
      </c>
      <c r="G638" t="inlineStr">
        <is>
          <t>LYCKSELE</t>
        </is>
      </c>
      <c r="I638" t="n">
        <v>18.8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61115-2025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46000</v>
      </c>
      <c r="E639" s="1" t="n">
        <v>46241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22285-2026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46241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45021</v>
      </c>
      <c r="E641" s="1" t="n">
        <v>46241</v>
      </c>
      <c r="F641" t="inlineStr">
        <is>
          <t>VÄSTERBOTTENS LÄN</t>
        </is>
      </c>
      <c r="G641" t="inlineStr">
        <is>
          <t>LYCKSELE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46241</v>
      </c>
      <c r="F642" t="inlineStr">
        <is>
          <t>VÄSTERBOTTENS LÄN</t>
        </is>
      </c>
      <c r="G642" t="inlineStr">
        <is>
          <t>LYCKSELE</t>
        </is>
      </c>
      <c r="I642" t="n">
        <v>12.3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29524-2023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46241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26531-2024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45469</v>
      </c>
      <c r="E644" s="1" t="n">
        <v>46241</v>
      </c>
      <c r="F644" t="inlineStr">
        <is>
          <t>VÄSTERBOTTENS LÄN</t>
        </is>
      </c>
      <c r="G644" t="inlineStr">
        <is>
          <t>LYCKSELE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45475</v>
      </c>
      <c r="E645" s="1" t="n">
        <v>46241</v>
      </c>
      <c r="F645" t="inlineStr">
        <is>
          <t>VÄSTERBOTTENS LÄN</t>
        </is>
      </c>
      <c r="G645" t="inlineStr">
        <is>
          <t>LYCKSELE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46241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27671-2024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45474</v>
      </c>
      <c r="E647" s="1" t="n">
        <v>46241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Naturvårdsverket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35569-2024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45531</v>
      </c>
      <c r="E648" s="1" t="n">
        <v>46241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46241</v>
      </c>
      <c r="F649" t="inlineStr">
        <is>
          <t>VÄSTERBOTTENS LÄN</t>
        </is>
      </c>
      <c r="G649" t="inlineStr">
        <is>
          <t>LYCKSELE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18156-2023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46241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46241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46241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46241</v>
      </c>
      <c r="F653" t="inlineStr">
        <is>
          <t>VÄSTERBOTTENS LÄN</t>
        </is>
      </c>
      <c r="G653" t="inlineStr">
        <is>
          <t>LYCKSELE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14857-2023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45014</v>
      </c>
      <c r="E654" s="1" t="n">
        <v>46241</v>
      </c>
      <c r="F654" t="inlineStr">
        <is>
          <t>VÄSTERBOTTENS LÄN</t>
        </is>
      </c>
      <c r="G654" t="inlineStr">
        <is>
          <t>LYCKSELE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21289-2025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45779</v>
      </c>
      <c r="E655" s="1" t="n">
        <v>46241</v>
      </c>
      <c r="F655" t="inlineStr">
        <is>
          <t>VÄSTERBOTTENS LÄN</t>
        </is>
      </c>
      <c r="G655" t="inlineStr">
        <is>
          <t>LYCKSELE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46241</v>
      </c>
      <c r="F656" t="inlineStr">
        <is>
          <t>VÄSTERBOTTENS LÄN</t>
        </is>
      </c>
      <c r="G656" t="inlineStr">
        <is>
          <t>LYCKSELE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46001</v>
      </c>
      <c r="E657" s="1" t="n">
        <v>46241</v>
      </c>
      <c r="F657" t="inlineStr">
        <is>
          <t>VÄSTERBOTTENS LÄN</t>
        </is>
      </c>
      <c r="G657" t="inlineStr">
        <is>
          <t>LYCKSELE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61351-2025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46001</v>
      </c>
      <c r="E658" s="1" t="n">
        <v>46241</v>
      </c>
      <c r="F658" t="inlineStr">
        <is>
          <t>VÄSTERBOTTENS LÄN</t>
        </is>
      </c>
      <c r="G658" t="inlineStr">
        <is>
          <t>LYCKSELE</t>
        </is>
      </c>
      <c r="I658" t="n">
        <v>8.199999999999999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46002</v>
      </c>
      <c r="E659" s="1" t="n">
        <v>46241</v>
      </c>
      <c r="F659" t="inlineStr">
        <is>
          <t>VÄSTERBOTTENS LÄN</t>
        </is>
      </c>
      <c r="G659" t="inlineStr">
        <is>
          <t>LYCKSELE</t>
        </is>
      </c>
      <c r="I659" t="n">
        <v>12.4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46241</v>
      </c>
      <c r="F660" t="inlineStr">
        <is>
          <t>VÄSTERBOTTENS LÄN</t>
        </is>
      </c>
      <c r="G660" t="inlineStr">
        <is>
          <t>LYCKSELE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61334-2025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46241</v>
      </c>
      <c r="F661" t="inlineStr">
        <is>
          <t>VÄSTERBOTTENS LÄN</t>
        </is>
      </c>
      <c r="G661" t="inlineStr">
        <is>
          <t>LYCKSELE</t>
        </is>
      </c>
      <c r="I661" t="n">
        <v>8.9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61593-2025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46002</v>
      </c>
      <c r="E662" s="1" t="n">
        <v>46241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25.2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28890-2024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45479</v>
      </c>
      <c r="E663" s="1" t="n">
        <v>46241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45479</v>
      </c>
      <c r="E664" s="1" t="n">
        <v>46241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28939-2026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46241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61854-2025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46003</v>
      </c>
      <c r="E666" s="1" t="n">
        <v>46241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62476-2025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46007</v>
      </c>
      <c r="E667" s="1" t="n">
        <v>46241</v>
      </c>
      <c r="F667" t="inlineStr">
        <is>
          <t>VÄSTERBOTTENS LÄN</t>
        </is>
      </c>
      <c r="G667" t="inlineStr">
        <is>
          <t>LYCKSELE</t>
        </is>
      </c>
      <c r="I667" t="n">
        <v>36.8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29149-2026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46241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38.4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29151-2026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46202</v>
      </c>
      <c r="E669" s="1" t="n">
        <v>46241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46009</v>
      </c>
      <c r="E670" s="1" t="n">
        <v>46241</v>
      </c>
      <c r="F670" t="inlineStr">
        <is>
          <t>VÄSTERBOTTENS LÄN</t>
        </is>
      </c>
      <c r="G670" t="inlineStr">
        <is>
          <t>LYCKSELE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57298-2025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45979</v>
      </c>
      <c r="E671" s="1" t="n">
        <v>46241</v>
      </c>
      <c r="F671" t="inlineStr">
        <is>
          <t>VÄSTERBOTTENS LÄN</t>
        </is>
      </c>
      <c r="G671" t="inlineStr">
        <is>
          <t>LYCKSELE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63100-2025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46009</v>
      </c>
      <c r="E672" s="1" t="n">
        <v>46241</v>
      </c>
      <c r="F672" t="inlineStr">
        <is>
          <t>VÄSTERBOTTENS LÄN</t>
        </is>
      </c>
      <c r="G672" t="inlineStr">
        <is>
          <t>LYCKSELE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60425-2021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44496</v>
      </c>
      <c r="E673" s="1" t="n">
        <v>46241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46241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28910-2026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46199</v>
      </c>
      <c r="E675" s="1" t="n">
        <v>46241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35284-2023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45145</v>
      </c>
      <c r="E676" s="1" t="n">
        <v>46241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20034-2025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45772</v>
      </c>
      <c r="E677" s="1" t="n">
        <v>46241</v>
      </c>
      <c r="F677" t="inlineStr">
        <is>
          <t>VÄSTERBOTTENS LÄN</t>
        </is>
      </c>
      <c r="G677" t="inlineStr">
        <is>
          <t>LYCKSELE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62906-2025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46009</v>
      </c>
      <c r="E678" s="1" t="n">
        <v>46241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63315-2025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46010</v>
      </c>
      <c r="E679" s="1" t="n">
        <v>46241</v>
      </c>
      <c r="F679" t="inlineStr">
        <is>
          <t>VÄSTERBOTTENS LÄN</t>
        </is>
      </c>
      <c r="G679" t="inlineStr">
        <is>
          <t>LYCKSELE</t>
        </is>
      </c>
      <c r="I679" t="n">
        <v>9.199999999999999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29301-2026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46202</v>
      </c>
      <c r="E680" s="1" t="n">
        <v>46241</v>
      </c>
      <c r="F680" t="inlineStr">
        <is>
          <t>VÄSTERBOTTENS LÄN</t>
        </is>
      </c>
      <c r="G680" t="inlineStr">
        <is>
          <t>LYCKSELE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28225-2026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46196</v>
      </c>
      <c r="E681" s="1" t="n">
        <v>46241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63639-2025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46014</v>
      </c>
      <c r="E682" s="1" t="n">
        <v>46241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10.6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45361-2024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45576</v>
      </c>
      <c r="E683" s="1" t="n">
        <v>46241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45926</v>
      </c>
      <c r="E684" s="1" t="n">
        <v>46241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26396-2022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44735</v>
      </c>
      <c r="E685" s="1" t="n">
        <v>46241</v>
      </c>
      <c r="F685" t="inlineStr">
        <is>
          <t>VÄSTERBOTTENS LÄN</t>
        </is>
      </c>
      <c r="G685" t="inlineStr">
        <is>
          <t>LYCKSELE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46181-2025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45924</v>
      </c>
      <c r="E686" s="1" t="n">
        <v>46241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2859-2022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44581</v>
      </c>
      <c r="E687" s="1" t="n">
        <v>46241</v>
      </c>
      <c r="F687" t="inlineStr">
        <is>
          <t>VÄSTERBOTTENS LÄN</t>
        </is>
      </c>
      <c r="G687" t="inlineStr">
        <is>
          <t>LYCKSELE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34857-2024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45527</v>
      </c>
      <c r="E688" s="1" t="n">
        <v>46241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45763</v>
      </c>
      <c r="E689" s="1" t="n">
        <v>46241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1103-2026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46030</v>
      </c>
      <c r="E690" s="1" t="n">
        <v>46241</v>
      </c>
      <c r="F690" t="inlineStr">
        <is>
          <t>VÄSTERBOTTENS LÄN</t>
        </is>
      </c>
      <c r="G690" t="inlineStr">
        <is>
          <t>LYCKSELE</t>
        </is>
      </c>
      <c r="I690" t="n">
        <v>16.3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46241</v>
      </c>
      <c r="F691" t="inlineStr">
        <is>
          <t>VÄSTERBOTTENS LÄN</t>
        </is>
      </c>
      <c r="G691" t="inlineStr">
        <is>
          <t>LYCKSELE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29719-2026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46241</v>
      </c>
      <c r="F692" t="inlineStr">
        <is>
          <t>VÄSTERBOTTENS LÄN</t>
        </is>
      </c>
      <c r="G692" t="inlineStr">
        <is>
          <t>LYCKSELE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45312-2024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46241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45352-2024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45576</v>
      </c>
      <c r="E694" s="1" t="n">
        <v>46241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7.6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18674-2025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45763</v>
      </c>
      <c r="E695" s="1" t="n">
        <v>46241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7.9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46034</v>
      </c>
      <c r="E696" s="1" t="n">
        <v>46241</v>
      </c>
      <c r="F696" t="inlineStr">
        <is>
          <t>VÄSTERBOTTENS LÄN</t>
        </is>
      </c>
      <c r="G696" t="inlineStr">
        <is>
          <t>LYCKSELE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19390-2024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46241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54680-2024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45618</v>
      </c>
      <c r="E698" s="1" t="n">
        <v>46241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46034</v>
      </c>
      <c r="E699" s="1" t="n">
        <v>46241</v>
      </c>
      <c r="F699" t="inlineStr">
        <is>
          <t>VÄSTERBOTTENS LÄN</t>
        </is>
      </c>
      <c r="G699" t="inlineStr">
        <is>
          <t>LYCKSELE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29706-2026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46204</v>
      </c>
      <c r="E700" s="1" t="n">
        <v>46241</v>
      </c>
      <c r="F700" t="inlineStr">
        <is>
          <t>VÄSTERBOTTENS LÄN</t>
        </is>
      </c>
      <c r="G700" t="inlineStr">
        <is>
          <t>LYCKSELE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46241</v>
      </c>
      <c r="F701" t="inlineStr">
        <is>
          <t>VÄSTERBOTTENS LÄN</t>
        </is>
      </c>
      <c r="G701" t="inlineStr">
        <is>
          <t>LYCKSELE</t>
        </is>
      </c>
      <c r="I701" t="n">
        <v>10.7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45604</v>
      </c>
      <c r="E702" s="1" t="n">
        <v>46241</v>
      </c>
      <c r="F702" t="inlineStr">
        <is>
          <t>VÄSTERBOTTENS LÄN</t>
        </is>
      </c>
      <c r="G702" t="inlineStr">
        <is>
          <t>LYCKSELE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29425-2026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46203</v>
      </c>
      <c r="E703" s="1" t="n">
        <v>46241</v>
      </c>
      <c r="F703" t="inlineStr">
        <is>
          <t>VÄSTERBOTTENS LÄN</t>
        </is>
      </c>
      <c r="G703" t="inlineStr">
        <is>
          <t>LYCKSELE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46241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57109-2024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45629</v>
      </c>
      <c r="E705" s="1" t="n">
        <v>46241</v>
      </c>
      <c r="F705" t="inlineStr">
        <is>
          <t>VÄSTERBOTTENS LÄN</t>
        </is>
      </c>
      <c r="G705" t="inlineStr">
        <is>
          <t>LYCKSELE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46241</v>
      </c>
      <c r="F706" t="inlineStr">
        <is>
          <t>VÄSTERBOTTENS LÄN</t>
        </is>
      </c>
      <c r="G706" t="inlineStr">
        <is>
          <t>LYCKSELE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29424-2026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46203</v>
      </c>
      <c r="E707" s="1" t="n">
        <v>46241</v>
      </c>
      <c r="F707" t="inlineStr">
        <is>
          <t>VÄSTERBOTTENS LÄN</t>
        </is>
      </c>
      <c r="G707" t="inlineStr">
        <is>
          <t>LYCKSELE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23391-2026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46241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46241</v>
      </c>
      <c r="F709" t="inlineStr">
        <is>
          <t>VÄSTERBOTTENS LÄN</t>
        </is>
      </c>
      <c r="G709" t="inlineStr">
        <is>
          <t>LYCKSELE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26717-2024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45470</v>
      </c>
      <c r="E710" s="1" t="n">
        <v>46241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51842-2025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45952</v>
      </c>
      <c r="E711" s="1" t="n">
        <v>46241</v>
      </c>
      <c r="F711" t="inlineStr">
        <is>
          <t>VÄSTERBOTTENS LÄN</t>
        </is>
      </c>
      <c r="G711" t="inlineStr">
        <is>
          <t>LYCKSELE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29436-2026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46203</v>
      </c>
      <c r="E712" s="1" t="n">
        <v>46241</v>
      </c>
      <c r="F712" t="inlineStr">
        <is>
          <t>VÄSTERBOTTENS LÄN</t>
        </is>
      </c>
      <c r="G712" t="inlineStr">
        <is>
          <t>LYCKSELE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4102-2026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46044</v>
      </c>
      <c r="E713" s="1" t="n">
        <v>46241</v>
      </c>
      <c r="F713" t="inlineStr">
        <is>
          <t>VÄSTERBOTTENS LÄN</t>
        </is>
      </c>
      <c r="G713" t="inlineStr">
        <is>
          <t>LYCKSELE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46044</v>
      </c>
      <c r="E714" s="1" t="n">
        <v>46241</v>
      </c>
      <c r="F714" t="inlineStr">
        <is>
          <t>VÄSTERBOTTENS LÄN</t>
        </is>
      </c>
      <c r="G714" t="inlineStr">
        <is>
          <t>LYCKSELE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44566</v>
      </c>
      <c r="E715" s="1" t="n">
        <v>46241</v>
      </c>
      <c r="F715" t="inlineStr">
        <is>
          <t>VÄSTERBOTTENS LÄN</t>
        </is>
      </c>
      <c r="G715" t="inlineStr">
        <is>
          <t>LYCKSELE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29904-2026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46241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29852-2026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46241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46205</v>
      </c>
      <c r="E718" s="1" t="n">
        <v>46241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29836-2026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46205</v>
      </c>
      <c r="E719" s="1" t="n">
        <v>46241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29839-2026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46241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46241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46045</v>
      </c>
      <c r="E722" s="1" t="n">
        <v>46241</v>
      </c>
      <c r="F722" t="inlineStr">
        <is>
          <t>VÄSTERBOTTENS LÄN</t>
        </is>
      </c>
      <c r="G722" t="inlineStr">
        <is>
          <t>LYCKSELE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23769-2023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45077</v>
      </c>
      <c r="E723" s="1" t="n">
        <v>46241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46241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46034</v>
      </c>
      <c r="E725" s="1" t="n">
        <v>46241</v>
      </c>
      <c r="F725" t="inlineStr">
        <is>
          <t>VÄSTERBOTTENS LÄN</t>
        </is>
      </c>
      <c r="G725" t="inlineStr">
        <is>
          <t>LYCKSELE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46241</v>
      </c>
      <c r="F726" t="inlineStr">
        <is>
          <t>VÄSTERBOTTENS LÄN</t>
        </is>
      </c>
      <c r="G726" t="inlineStr">
        <is>
          <t>LYCKSELE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11199-2024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45371</v>
      </c>
      <c r="E727" s="1" t="n">
        <v>46241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55.8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51152-2024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45603</v>
      </c>
      <c r="E728" s="1" t="n">
        <v>46241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23356-2026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46241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50468-2024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45601</v>
      </c>
      <c r="E730" s="1" t="n">
        <v>46241</v>
      </c>
      <c r="F730" t="inlineStr">
        <is>
          <t>VÄSTERBOTTENS LÄN</t>
        </is>
      </c>
      <c r="G730" t="inlineStr">
        <is>
          <t>LYCKSELE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46049</v>
      </c>
      <c r="E731" s="1" t="n">
        <v>46241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29848-2026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46241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30290-2026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46241</v>
      </c>
      <c r="F733" t="inlineStr">
        <is>
          <t>VÄSTERBOTTENS LÄN</t>
        </is>
      </c>
      <c r="G733" t="inlineStr">
        <is>
          <t>LYCKSELE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5508-2026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46050</v>
      </c>
      <c r="E734" s="1" t="n">
        <v>46241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54287-2024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45617</v>
      </c>
      <c r="E735" s="1" t="n">
        <v>46241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46241</v>
      </c>
      <c r="F736" t="inlineStr">
        <is>
          <t>VÄSTERBOTTENS LÄN</t>
        </is>
      </c>
      <c r="G736" t="inlineStr">
        <is>
          <t>LYCKSELE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46241</v>
      </c>
      <c r="F737" t="inlineStr">
        <is>
          <t>VÄSTERBOTTENS LÄN</t>
        </is>
      </c>
      <c r="G737" t="inlineStr">
        <is>
          <t>LYCKSELE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40912-2024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45558</v>
      </c>
      <c r="E738" s="1" t="n">
        <v>46241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26999-2023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45093</v>
      </c>
      <c r="E739" s="1" t="n">
        <v>46241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53011-2024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45611</v>
      </c>
      <c r="E740" s="1" t="n">
        <v>46241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58775-2025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45986</v>
      </c>
      <c r="E741" s="1" t="n">
        <v>46241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20287-2022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44698</v>
      </c>
      <c r="E742" s="1" t="n">
        <v>46241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11.5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46038</v>
      </c>
      <c r="E743" s="1" t="n">
        <v>46241</v>
      </c>
      <c r="F743" t="inlineStr">
        <is>
          <t>VÄSTERBOTTENS LÄN</t>
        </is>
      </c>
      <c r="G743" t="inlineStr">
        <is>
          <t>LYCKSELE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53788-2024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46241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30360-2026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46241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7842-2026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46062</v>
      </c>
      <c r="E746" s="1" t="n">
        <v>46241</v>
      </c>
      <c r="F746" t="inlineStr">
        <is>
          <t>VÄSTERBOTTENS LÄN</t>
        </is>
      </c>
      <c r="G746" t="inlineStr">
        <is>
          <t>LYCKSELE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46241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30447-2026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46209</v>
      </c>
      <c r="E748" s="1" t="n">
        <v>46241</v>
      </c>
      <c r="F748" t="inlineStr">
        <is>
          <t>VÄSTERBOTTENS LÄN</t>
        </is>
      </c>
      <c r="G748" t="inlineStr">
        <is>
          <t>LYCKSELE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46241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46241</v>
      </c>
      <c r="F750" t="inlineStr">
        <is>
          <t>VÄSTERBOTTENS LÄN</t>
        </is>
      </c>
      <c r="G750" t="inlineStr">
        <is>
          <t>LYCKSELE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44571</v>
      </c>
      <c r="E751" s="1" t="n">
        <v>46241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48542-2023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45208</v>
      </c>
      <c r="E752" s="1" t="n">
        <v>46241</v>
      </c>
      <c r="F752" t="inlineStr">
        <is>
          <t>VÄSTERBOTTENS LÄN</t>
        </is>
      </c>
      <c r="G752" t="inlineStr">
        <is>
          <t>LYCKSELE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8272-2026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46064</v>
      </c>
      <c r="E753" s="1" t="n">
        <v>46241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Naturvårdsverket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23988-2026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46167</v>
      </c>
      <c r="E754" s="1" t="n">
        <v>46241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46063</v>
      </c>
      <c r="E755" s="1" t="n">
        <v>46241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Naturvårdsverket</t>
        </is>
      </c>
      <c r="I755" t="n">
        <v>11.4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7954-2026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46063</v>
      </c>
      <c r="E756" s="1" t="n">
        <v>46241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Naturvårdsverket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8273-2026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46064</v>
      </c>
      <c r="E757" s="1" t="n">
        <v>46241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Naturvårdsverket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61891-2024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45652</v>
      </c>
      <c r="E758" s="1" t="n">
        <v>46241</v>
      </c>
      <c r="F758" t="inlineStr">
        <is>
          <t>VÄSTERBOTTENS LÄN</t>
        </is>
      </c>
      <c r="G758" t="inlineStr">
        <is>
          <t>LYCKSELE</t>
        </is>
      </c>
      <c r="I758" t="n">
        <v>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30589-2026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46210</v>
      </c>
      <c r="E759" s="1" t="n">
        <v>46241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6.9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8467-2026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46241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8035-2024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45350</v>
      </c>
      <c r="E761" s="1" t="n">
        <v>46241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8485-2026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46065</v>
      </c>
      <c r="E762" s="1" t="n">
        <v>46241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22451-2026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46153</v>
      </c>
      <c r="E763" s="1" t="n">
        <v>46241</v>
      </c>
      <c r="F763" t="inlineStr">
        <is>
          <t>VÄSTERBOTTENS LÄN</t>
        </is>
      </c>
      <c r="G763" t="inlineStr">
        <is>
          <t>LYCKSELE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29861-2023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45107</v>
      </c>
      <c r="E764" s="1" t="n">
        <v>46241</v>
      </c>
      <c r="F764" t="inlineStr">
        <is>
          <t>VÄSTERBOTTENS LÄN</t>
        </is>
      </c>
      <c r="G764" t="inlineStr">
        <is>
          <t>LYCKSELE</t>
        </is>
      </c>
      <c r="I764" t="n">
        <v>10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30631-2026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46211</v>
      </c>
      <c r="E765" s="1" t="n">
        <v>46241</v>
      </c>
      <c r="F765" t="inlineStr">
        <is>
          <t>VÄSTERBOTTENS LÄN</t>
        </is>
      </c>
      <c r="G765" t="inlineStr">
        <is>
          <t>LYCKSELE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9310-2026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46070</v>
      </c>
      <c r="E766" s="1" t="n">
        <v>46241</v>
      </c>
      <c r="F766" t="inlineStr">
        <is>
          <t>VÄSTERBOTTENS LÄN</t>
        </is>
      </c>
      <c r="G766" t="inlineStr">
        <is>
          <t>LYCKSELE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45687</v>
      </c>
      <c r="E767" s="1" t="n">
        <v>46241</v>
      </c>
      <c r="F767" t="inlineStr">
        <is>
          <t>VÄSTERBOTTENS LÄN</t>
        </is>
      </c>
      <c r="G767" t="inlineStr">
        <is>
          <t>LYCKSELE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9716-2026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46241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46241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46241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10478-2026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46077</v>
      </c>
      <c r="E771" s="1" t="n">
        <v>46241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7.3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46076</v>
      </c>
      <c r="E772" s="1" t="n">
        <v>46241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30939-2026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46241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46076</v>
      </c>
      <c r="E774" s="1" t="n">
        <v>46241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11.5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10174-2026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46241</v>
      </c>
      <c r="F775" t="inlineStr">
        <is>
          <t>VÄSTERBOTTENS LÄN</t>
        </is>
      </c>
      <c r="G775" t="inlineStr">
        <is>
          <t>LYCKSELE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51669-2024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45606</v>
      </c>
      <c r="E776" s="1" t="n">
        <v>46241</v>
      </c>
      <c r="F776" t="inlineStr">
        <is>
          <t>VÄSTERBOTTENS LÄN</t>
        </is>
      </c>
      <c r="G776" t="inlineStr">
        <is>
          <t>LYCKSELE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46241</v>
      </c>
      <c r="F777" t="inlineStr">
        <is>
          <t>VÄSTERBOTTENS LÄN</t>
        </is>
      </c>
      <c r="G777" t="inlineStr">
        <is>
          <t>LYCKSELE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61367-2024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46241</v>
      </c>
      <c r="F778" t="inlineStr">
        <is>
          <t>VÄSTERBOTTENS LÄN</t>
        </is>
      </c>
      <c r="G778" t="inlineStr">
        <is>
          <t>LYCKSELE</t>
        </is>
      </c>
      <c r="I778" t="n">
        <v>10.4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24574-2026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46170</v>
      </c>
      <c r="E779" s="1" t="n">
        <v>46241</v>
      </c>
      <c r="F779" t="inlineStr">
        <is>
          <t>VÄSTERBOTTENS LÄN</t>
        </is>
      </c>
      <c r="G779" t="inlineStr">
        <is>
          <t>LYCKSELE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46213</v>
      </c>
      <c r="E780" s="1" t="n">
        <v>46241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23973-2024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45455</v>
      </c>
      <c r="E781" s="1" t="n">
        <v>46241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24954-2026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46174</v>
      </c>
      <c r="E782" s="1" t="n">
        <v>46241</v>
      </c>
      <c r="F782" t="inlineStr">
        <is>
          <t>VÄSTERBOTTENS LÄN</t>
        </is>
      </c>
      <c r="G782" t="inlineStr">
        <is>
          <t>LYCKSELE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30890-2026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46213</v>
      </c>
      <c r="E783" s="1" t="n">
        <v>46241</v>
      </c>
      <c r="F783" t="inlineStr">
        <is>
          <t>VÄSTERBOTTENS LÄN</t>
        </is>
      </c>
      <c r="G783" t="inlineStr">
        <is>
          <t>LYCKSELE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30945-2026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46213</v>
      </c>
      <c r="E784" s="1" t="n">
        <v>46241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61094-2023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45261</v>
      </c>
      <c r="E785" s="1" t="n">
        <v>46241</v>
      </c>
      <c r="F785" t="inlineStr">
        <is>
          <t>VÄSTERBOTTENS LÄN</t>
        </is>
      </c>
      <c r="G785" t="inlineStr">
        <is>
          <t>LYCKSELE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24548-2026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46170</v>
      </c>
      <c r="E786" s="1" t="n">
        <v>46241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46241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19246-2025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45769</v>
      </c>
      <c r="E788" s="1" t="n">
        <v>46241</v>
      </c>
      <c r="F788" t="inlineStr">
        <is>
          <t>VÄSTERBOTTENS LÄN</t>
        </is>
      </c>
      <c r="G788" t="inlineStr">
        <is>
          <t>LYCKSELE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23164-2022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44719</v>
      </c>
      <c r="E789" s="1" t="n">
        <v>46241</v>
      </c>
      <c r="F789" t="inlineStr">
        <is>
          <t>VÄSTERBOTTENS LÄN</t>
        </is>
      </c>
      <c r="G789" t="inlineStr">
        <is>
          <t>LYCKSELE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11870-2026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46085</v>
      </c>
      <c r="E790" s="1" t="n">
        <v>46241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12302-2026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46087</v>
      </c>
      <c r="E791" s="1" t="n">
        <v>46241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12327-2026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46087</v>
      </c>
      <c r="E792" s="1" t="n">
        <v>46241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12292-2026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46087</v>
      </c>
      <c r="E793" s="1" t="n">
        <v>46241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31288-2026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46218</v>
      </c>
      <c r="E794" s="1" t="n">
        <v>46241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12083-2026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46086</v>
      </c>
      <c r="E795" s="1" t="n">
        <v>46241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9550-2025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45715</v>
      </c>
      <c r="E796" s="1" t="n">
        <v>46241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58553-2023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45251</v>
      </c>
      <c r="E797" s="1" t="n">
        <v>46241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25080-2026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46241</v>
      </c>
      <c r="F798" t="inlineStr">
        <is>
          <t>VÄSTERBOTTENS LÄN</t>
        </is>
      </c>
      <c r="G798" t="inlineStr">
        <is>
          <t>LYCKSELE</t>
        </is>
      </c>
      <c r="I798" t="n">
        <v>13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31289-2026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46218</v>
      </c>
      <c r="E799" s="1" t="n">
        <v>46241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13.4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47096-2023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45201</v>
      </c>
      <c r="E800" s="1" t="n">
        <v>46241</v>
      </c>
      <c r="F800" t="inlineStr">
        <is>
          <t>VÄSTERBOTTENS LÄN</t>
        </is>
      </c>
      <c r="G800" t="inlineStr">
        <is>
          <t>LYCKSELE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46091</v>
      </c>
      <c r="E801" s="1" t="n">
        <v>46241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12436-2026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46090</v>
      </c>
      <c r="E802" s="1" t="n">
        <v>46241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12735-2026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46091</v>
      </c>
      <c r="E803" s="1" t="n">
        <v>46241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32863-2023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45124</v>
      </c>
      <c r="E804" s="1" t="n">
        <v>46241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42208-2022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44830</v>
      </c>
      <c r="E805" s="1" t="n">
        <v>46241</v>
      </c>
      <c r="F805" t="inlineStr">
        <is>
          <t>VÄSTERBOTTENS LÄN</t>
        </is>
      </c>
      <c r="G805" t="inlineStr">
        <is>
          <t>LYCKSELE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34060-2023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45135</v>
      </c>
      <c r="E806" s="1" t="n">
        <v>46241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46092</v>
      </c>
      <c r="E807" s="1" t="n">
        <v>46241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12998-2026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46092</v>
      </c>
      <c r="E808" s="1" t="n">
        <v>46241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25039-2026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46174</v>
      </c>
      <c r="E809" s="1" t="n">
        <v>46241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25490-2026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46241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46241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10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12889-2026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46092</v>
      </c>
      <c r="E812" s="1" t="n">
        <v>46241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13384-2026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46241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46241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46097</v>
      </c>
      <c r="E815" s="1" t="n">
        <v>46241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46241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13413-2026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46241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46241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46094</v>
      </c>
      <c r="E819" s="1" t="n">
        <v>46241</v>
      </c>
      <c r="F819" t="inlineStr">
        <is>
          <t>VÄSTERBOTTENS LÄN</t>
        </is>
      </c>
      <c r="G819" t="inlineStr">
        <is>
          <t>LYCKSELE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13518-2026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46241</v>
      </c>
      <c r="F820" t="inlineStr">
        <is>
          <t>VÄSTERBOTTENS LÄN</t>
        </is>
      </c>
      <c r="G820" t="inlineStr">
        <is>
          <t>LYCKSELE</t>
        </is>
      </c>
      <c r="I820" t="n">
        <v>12.7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25328-2026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46176</v>
      </c>
      <c r="E821" s="1" t="n">
        <v>46241</v>
      </c>
      <c r="F821" t="inlineStr">
        <is>
          <t>VÄSTERBOTTENS LÄN</t>
        </is>
      </c>
      <c r="G821" t="inlineStr">
        <is>
          <t>LYCKSELE</t>
        </is>
      </c>
      <c r="I821" t="n">
        <v>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14235-2026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46241</v>
      </c>
      <c r="F822" t="inlineStr">
        <is>
          <t>VÄSTERBOTTENS LÄN</t>
        </is>
      </c>
      <c r="G822" t="inlineStr">
        <is>
          <t>LYCKSELE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14243-2026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46099</v>
      </c>
      <c r="E823" s="1" t="n">
        <v>46241</v>
      </c>
      <c r="F823" t="inlineStr">
        <is>
          <t>VÄSTERBOTTENS LÄN</t>
        </is>
      </c>
      <c r="G823" t="inlineStr">
        <is>
          <t>LYCKSELE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53116-2024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45611</v>
      </c>
      <c r="E824" s="1" t="n">
        <v>46241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29279-2026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46202</v>
      </c>
      <c r="E825" s="1" t="n">
        <v>46241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46219</v>
      </c>
      <c r="E826" s="1" t="n">
        <v>46241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46219</v>
      </c>
      <c r="E827" s="1" t="n">
        <v>46241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46219</v>
      </c>
      <c r="E828" s="1" t="n">
        <v>46241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16.3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31400-2026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46220</v>
      </c>
      <c r="E829" s="1" t="n">
        <v>46241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46098</v>
      </c>
      <c r="E830" s="1" t="n">
        <v>46241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46241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46220</v>
      </c>
      <c r="E832" s="1" t="n">
        <v>46241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46220</v>
      </c>
      <c r="E833" s="1" t="n">
        <v>46241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17192-2025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45756</v>
      </c>
      <c r="E834" s="1" t="n">
        <v>46241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13921-2026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46098</v>
      </c>
      <c r="E835" s="1" t="n">
        <v>46241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31384-2026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46241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8915-2025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45713</v>
      </c>
      <c r="E837" s="1" t="n">
        <v>46241</v>
      </c>
      <c r="F837" t="inlineStr">
        <is>
          <t>VÄSTERBOTTENS LÄN</t>
        </is>
      </c>
      <c r="G837" t="inlineStr">
        <is>
          <t>LYCKSELE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38347-2025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45883</v>
      </c>
      <c r="E838" s="1" t="n">
        <v>46241</v>
      </c>
      <c r="F838" t="inlineStr">
        <is>
          <t>VÄSTERBOTTENS LÄN</t>
        </is>
      </c>
      <c r="G838" t="inlineStr">
        <is>
          <t>LYCKSELE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14404-2026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46100</v>
      </c>
      <c r="E839" s="1" t="n">
        <v>46241</v>
      </c>
      <c r="F839" t="inlineStr">
        <is>
          <t>VÄSTERBOTTENS LÄN</t>
        </is>
      </c>
      <c r="G839" t="inlineStr">
        <is>
          <t>LYCKSELE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55456-2022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44887</v>
      </c>
      <c r="E840" s="1" t="n">
        <v>46241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25461-2026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46177</v>
      </c>
      <c r="E841" s="1" t="n">
        <v>46241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21666-2024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45441</v>
      </c>
      <c r="E842" s="1" t="n">
        <v>46241</v>
      </c>
      <c r="F842" t="inlineStr">
        <is>
          <t>VÄSTERBOTTENS LÄN</t>
        </is>
      </c>
      <c r="G842" t="inlineStr">
        <is>
          <t>LYCKSELE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14675-2026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46101</v>
      </c>
      <c r="E843" s="1" t="n">
        <v>46241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46101</v>
      </c>
      <c r="E844" s="1" t="n">
        <v>46241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25492-2026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46177</v>
      </c>
      <c r="E845" s="1" t="n">
        <v>46241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7837-2023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44973</v>
      </c>
      <c r="E846" s="1" t="n">
        <v>46241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14405-2026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46100</v>
      </c>
      <c r="E847" s="1" t="n">
        <v>46241</v>
      </c>
      <c r="F847" t="inlineStr">
        <is>
          <t>VÄSTERBOTTENS LÄN</t>
        </is>
      </c>
      <c r="G847" t="inlineStr">
        <is>
          <t>LYCKSELE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46241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30470-2022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44761</v>
      </c>
      <c r="E849" s="1" t="n">
        <v>46241</v>
      </c>
      <c r="F849" t="inlineStr">
        <is>
          <t>VÄSTERBOTTENS LÄN</t>
        </is>
      </c>
      <c r="G849" t="inlineStr">
        <is>
          <t>LYCKSELE</t>
        </is>
      </c>
      <c r="I849" t="n">
        <v>11.9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14845-2026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46241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25727-2026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46241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25709-2026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46241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6.1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25716-2026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46241</v>
      </c>
      <c r="F853" t="inlineStr">
        <is>
          <t>VÄSTERBOTTENS LÄN</t>
        </is>
      </c>
      <c r="G853" t="inlineStr">
        <is>
          <t>LYCKSELE</t>
        </is>
      </c>
      <c r="I853" t="n">
        <v>7.7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46181</v>
      </c>
      <c r="E854" s="1" t="n">
        <v>46241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24041-2023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45078</v>
      </c>
      <c r="E855" s="1" t="n">
        <v>46241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32475-2024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45513</v>
      </c>
      <c r="E856" s="1" t="n">
        <v>46241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57224-2023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45239</v>
      </c>
      <c r="E857" s="1" t="n">
        <v>46241</v>
      </c>
      <c r="F857" t="inlineStr">
        <is>
          <t>VÄSTERBOTTENS LÄN</t>
        </is>
      </c>
      <c r="G857" t="inlineStr">
        <is>
          <t>LYCKSELE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15696-2026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46107</v>
      </c>
      <c r="E858" s="1" t="n">
        <v>46241</v>
      </c>
      <c r="F858" t="inlineStr">
        <is>
          <t>VÄSTERBOTTENS LÄN</t>
        </is>
      </c>
      <c r="G858" t="inlineStr">
        <is>
          <t>LYCKSELE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25718-2026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46241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15655-2026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46106</v>
      </c>
      <c r="E860" s="1" t="n">
        <v>46241</v>
      </c>
      <c r="F860" t="inlineStr">
        <is>
          <t>VÄSTERBOTTENS LÄN</t>
        </is>
      </c>
      <c r="G860" t="inlineStr">
        <is>
          <t>LYCKSELE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67092-2021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44522</v>
      </c>
      <c r="E861" s="1" t="n">
        <v>46241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15389-2026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46106</v>
      </c>
      <c r="E862" s="1" t="n">
        <v>46241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12.9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53035-2023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45226</v>
      </c>
      <c r="E863" s="1" t="n">
        <v>46241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25746-2026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46241</v>
      </c>
      <c r="F864" t="inlineStr">
        <is>
          <t>VÄSTERBOTTENS LÄN</t>
        </is>
      </c>
      <c r="G864" t="inlineStr">
        <is>
          <t>LYCKSELE</t>
        </is>
      </c>
      <c r="I864" t="n">
        <v>22.3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35970-2024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45533</v>
      </c>
      <c r="E865" s="1" t="n">
        <v>46241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12.6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31653-2026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46225</v>
      </c>
      <c r="E866" s="1" t="n">
        <v>46241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12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26485-2026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46183</v>
      </c>
      <c r="E867" s="1" t="n">
        <v>46241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5.4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26276-2026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46182</v>
      </c>
      <c r="E868" s="1" t="n">
        <v>46241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8360-2024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45352</v>
      </c>
      <c r="E869" s="1" t="n">
        <v>46241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31.5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26246-2026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46182</v>
      </c>
      <c r="E870" s="1" t="n">
        <v>46241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26387-2026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46183</v>
      </c>
      <c r="E871" s="1" t="n">
        <v>46241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9.9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26511-2026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46183</v>
      </c>
      <c r="E872" s="1" t="n">
        <v>46241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27219-2026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46184</v>
      </c>
      <c r="E873" s="1" t="n">
        <v>46241</v>
      </c>
      <c r="F873" t="inlineStr">
        <is>
          <t>VÄSTERBOTTENS LÄN</t>
        </is>
      </c>
      <c r="G873" t="inlineStr">
        <is>
          <t>LYCKSELE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62877-2023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45271</v>
      </c>
      <c r="E874" s="1" t="n">
        <v>46241</v>
      </c>
      <c r="F874" t="inlineStr">
        <is>
          <t>VÄSTERBOTTENS LÄN</t>
        </is>
      </c>
      <c r="G874" t="inlineStr">
        <is>
          <t>LYCKSELE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26175-2026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46241</v>
      </c>
      <c r="F875" t="inlineStr">
        <is>
          <t>VÄSTERBOTTENS LÄN</t>
        </is>
      </c>
      <c r="G875" t="inlineStr">
        <is>
          <t>LYCKSELE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26435-2026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46183</v>
      </c>
      <c r="E876" s="1" t="n">
        <v>46241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48379-2024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45590</v>
      </c>
      <c r="E877" s="1" t="n">
        <v>46241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43875-2023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45187</v>
      </c>
      <c r="E878" s="1" t="n">
        <v>46241</v>
      </c>
      <c r="F878" t="inlineStr">
        <is>
          <t>VÄSTERBOTTENS LÄN</t>
        </is>
      </c>
      <c r="G878" t="inlineStr">
        <is>
          <t>LYCKSELE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9879-2022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44620</v>
      </c>
      <c r="E879" s="1" t="n">
        <v>46241</v>
      </c>
      <c r="F879" t="inlineStr">
        <is>
          <t>VÄSTERBOTTENS LÄN</t>
        </is>
      </c>
      <c r="G879" t="inlineStr">
        <is>
          <t>LYCKSELE</t>
        </is>
      </c>
      <c r="I879" t="n">
        <v>8.699999999999999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49514-2022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44861</v>
      </c>
      <c r="E880" s="1" t="n">
        <v>46241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26916-2026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46241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2323-2025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45673</v>
      </c>
      <c r="E882" s="1" t="n">
        <v>46241</v>
      </c>
      <c r="F882" t="inlineStr">
        <is>
          <t>VÄSTERBOTTENS LÄN</t>
        </is>
      </c>
      <c r="G882" t="inlineStr">
        <is>
          <t>LYCKSELE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46241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26988-2026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46241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14249-2025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45740</v>
      </c>
      <c r="E885" s="1" t="n">
        <v>46241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31819-2026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46230</v>
      </c>
      <c r="E886" s="1" t="n">
        <v>46241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46230</v>
      </c>
      <c r="E887" s="1" t="n">
        <v>46241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52956-2022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44875</v>
      </c>
      <c r="E888" s="1" t="n">
        <v>46241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33699-2024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45520</v>
      </c>
      <c r="E889" s="1" t="n">
        <v>46241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16.3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33716-2024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46241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33717-2024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46241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13.6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41980-2024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45561</v>
      </c>
      <c r="E892" s="1" t="n">
        <v>46241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27436-2026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46189</v>
      </c>
      <c r="E893" s="1" t="n">
        <v>46241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33704-2024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46241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27430-2026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46189</v>
      </c>
      <c r="E895" s="1" t="n">
        <v>46241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46541-2022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44847</v>
      </c>
      <c r="E896" s="1" t="n">
        <v>46241</v>
      </c>
      <c r="F896" t="inlineStr">
        <is>
          <t>VÄSTERBOTTENS LÄN</t>
        </is>
      </c>
      <c r="G896" t="inlineStr">
        <is>
          <t>LYCKSELE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36357-2024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45534</v>
      </c>
      <c r="E897" s="1" t="n">
        <v>46241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25327-2024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46241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27427-2026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46189</v>
      </c>
      <c r="E899" s="1" t="n">
        <v>46241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61506-2021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44501</v>
      </c>
      <c r="E900" s="1" t="n">
        <v>46241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6.4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42216-2022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44830</v>
      </c>
      <c r="E901" s="1" t="n">
        <v>46241</v>
      </c>
      <c r="F901" t="inlineStr">
        <is>
          <t>VÄSTERBOTTENS LÄN</t>
        </is>
      </c>
      <c r="G901" t="inlineStr">
        <is>
          <t>LYCKSELE</t>
        </is>
      </c>
      <c r="I901" t="n">
        <v>15.9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40115-2024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45554</v>
      </c>
      <c r="E902" s="1" t="n">
        <v>46241</v>
      </c>
      <c r="F902" t="inlineStr">
        <is>
          <t>VÄSTERBOTTENS LÄN</t>
        </is>
      </c>
      <c r="G902" t="inlineStr">
        <is>
          <t>LYCKSELE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7063-2022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44603</v>
      </c>
      <c r="E903" s="1" t="n">
        <v>46241</v>
      </c>
      <c r="F903" t="inlineStr">
        <is>
          <t>VÄSTERBOTTENS LÄN</t>
        </is>
      </c>
      <c r="G903" t="inlineStr">
        <is>
          <t>LYCKSELE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41497-2021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44424</v>
      </c>
      <c r="E904" s="1" t="n">
        <v>46241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59174-2024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45637</v>
      </c>
      <c r="E905" s="1" t="n">
        <v>46241</v>
      </c>
      <c r="F905" t="inlineStr">
        <is>
          <t>VÄSTERBOTTENS LÄN</t>
        </is>
      </c>
      <c r="G905" t="inlineStr">
        <is>
          <t>LYCKSELE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27854-2026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46191</v>
      </c>
      <c r="E906" s="1" t="n">
        <v>46241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7.4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53369-2022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44874</v>
      </c>
      <c r="E907" s="1" t="n">
        <v>46241</v>
      </c>
      <c r="F907" t="inlineStr">
        <is>
          <t>VÄSTERBOTTENS LÄN</t>
        </is>
      </c>
      <c r="G907" t="inlineStr">
        <is>
          <t>LYCKSELE</t>
        </is>
      </c>
      <c r="I907" t="n">
        <v>9.1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32112-2026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46234</v>
      </c>
      <c r="E908" s="1" t="n">
        <v>46241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33.3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27842-2026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46241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27843-2026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46241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4.7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56343-2022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44890</v>
      </c>
      <c r="E911" s="1" t="n">
        <v>46241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41756-2024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45561</v>
      </c>
      <c r="E912" s="1" t="n">
        <v>46241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4.8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45559-2022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44845</v>
      </c>
      <c r="E913" s="1" t="n">
        <v>46241</v>
      </c>
      <c r="F913" t="inlineStr">
        <is>
          <t>VÄSTERBOTTENS LÄN</t>
        </is>
      </c>
      <c r="G913" t="inlineStr">
        <is>
          <t>LYCKSELE</t>
        </is>
      </c>
      <c r="I913" t="n">
        <v>17.8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27883-2026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46241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41358-2022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44826</v>
      </c>
      <c r="E915" s="1" t="n">
        <v>46241</v>
      </c>
      <c r="F915" t="inlineStr">
        <is>
          <t>VÄSTERBOTTENS LÄN</t>
        </is>
      </c>
      <c r="G915" t="inlineStr">
        <is>
          <t>LYCKSELE</t>
        </is>
      </c>
      <c r="I915" t="n">
        <v>6.2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32245-2026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46237</v>
      </c>
      <c r="E916" s="1" t="n">
        <v>46241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7.3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32214-2026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46241</v>
      </c>
      <c r="F917" t="inlineStr">
        <is>
          <t>VÄSTERBOTTENS LÄN</t>
        </is>
      </c>
      <c r="G917" t="inlineStr">
        <is>
          <t>LYCKSELE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2576-2022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44580</v>
      </c>
      <c r="E918" s="1" t="n">
        <v>46241</v>
      </c>
      <c r="F918" t="inlineStr">
        <is>
          <t>VÄSTERBOTTENS LÄN</t>
        </is>
      </c>
      <c r="G918" t="inlineStr">
        <is>
          <t>LYCKSELE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54167-2022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44881</v>
      </c>
      <c r="E919" s="1" t="n">
        <v>46241</v>
      </c>
      <c r="F919" t="inlineStr">
        <is>
          <t>VÄSTERBOTTENS LÄN</t>
        </is>
      </c>
      <c r="G919" t="inlineStr">
        <is>
          <t>LYCKSELE</t>
        </is>
      </c>
      <c r="I919" t="n">
        <v>11.3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37391-2024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45540</v>
      </c>
      <c r="E920" s="1" t="n">
        <v>46241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32201-2026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46237</v>
      </c>
      <c r="E921" s="1" t="n">
        <v>46241</v>
      </c>
      <c r="F921" t="inlineStr">
        <is>
          <t>VÄSTERBOTTENS LÄN</t>
        </is>
      </c>
      <c r="G921" t="inlineStr">
        <is>
          <t>LYCKSELE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32289-2026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46237</v>
      </c>
      <c r="E922" s="1" t="n">
        <v>46241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32167-2026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46237</v>
      </c>
      <c r="E923" s="1" t="n">
        <v>46241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8.6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32174-2026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46237</v>
      </c>
      <c r="E924" s="1" t="n">
        <v>46241</v>
      </c>
      <c r="F924" t="inlineStr">
        <is>
          <t>VÄSTERBOTTENS LÄN</t>
        </is>
      </c>
      <c r="G924" t="inlineStr">
        <is>
          <t>LYCKSELE</t>
        </is>
      </c>
      <c r="I924" t="n">
        <v>20.2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32229-2026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46241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8.6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28421-2026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46197</v>
      </c>
      <c r="E926" s="1" t="n">
        <v>46241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7.6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32608-2026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46240</v>
      </c>
      <c r="E927" s="1" t="n">
        <v>46241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15046-2023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45015</v>
      </c>
      <c r="E928" s="1" t="n">
        <v>46241</v>
      </c>
      <c r="F928" t="inlineStr">
        <is>
          <t>VÄSTERBOTTENS LÄN</t>
        </is>
      </c>
      <c r="G928" t="inlineStr">
        <is>
          <t>LYCKSELE</t>
        </is>
      </c>
      <c r="I928" t="n">
        <v>13.4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51943-2023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45223</v>
      </c>
      <c r="E929" s="1" t="n">
        <v>46241</v>
      </c>
      <c r="F929" t="inlineStr">
        <is>
          <t>VÄSTERBOTTENS LÄN</t>
        </is>
      </c>
      <c r="G929" t="inlineStr">
        <is>
          <t>LYCKSELE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28829-2026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46198</v>
      </c>
      <c r="E930" s="1" t="n">
        <v>46241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25.4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41950-2024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45561</v>
      </c>
      <c r="E931" s="1" t="n">
        <v>46241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15564-2023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45020</v>
      </c>
      <c r="E932" s="1" t="n">
        <v>46241</v>
      </c>
      <c r="F932" t="inlineStr">
        <is>
          <t>VÄSTERBOTTENS LÄN</t>
        </is>
      </c>
      <c r="G932" t="inlineStr">
        <is>
          <t>LYCKSELE</t>
        </is>
      </c>
      <c r="I932" t="n">
        <v>5.9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28217-2026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46196</v>
      </c>
      <c r="E933" s="1" t="n">
        <v>46241</v>
      </c>
      <c r="F933" t="inlineStr">
        <is>
          <t>VÄSTERBOTTENS LÄN</t>
        </is>
      </c>
      <c r="G933" t="inlineStr">
        <is>
          <t>LYCKSELE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32611-2026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46240</v>
      </c>
      <c r="E934" s="1" t="n">
        <v>46241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29314-2026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46197</v>
      </c>
      <c r="E935" s="1" t="n">
        <v>46241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Kommuner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32614-2026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46240</v>
      </c>
      <c r="E936" s="1" t="n">
        <v>46241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32619-2026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46240</v>
      </c>
      <c r="E937" s="1" t="n">
        <v>46241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28650-2026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46241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32686-2026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46240</v>
      </c>
      <c r="E939" s="1" t="n">
        <v>46241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24289-2023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45079</v>
      </c>
      <c r="E940" s="1" t="n">
        <v>46241</v>
      </c>
      <c r="F940" t="inlineStr">
        <is>
          <t>VÄSTERBOTTENS LÄN</t>
        </is>
      </c>
      <c r="G940" t="inlineStr">
        <is>
          <t>LYCKSELE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54619-2024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46241</v>
      </c>
      <c r="F941" t="inlineStr">
        <is>
          <t>VÄSTERBOTTENS LÄN</t>
        </is>
      </c>
      <c r="G941" t="inlineStr">
        <is>
          <t>LYCKSELE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43566-2024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45569</v>
      </c>
      <c r="E942" s="1" t="n">
        <v>46241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28586-2026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46197</v>
      </c>
      <c r="E943" s="1" t="n">
        <v>46241</v>
      </c>
      <c r="F943" t="inlineStr">
        <is>
          <t>VÄSTERBOTTENS LÄN</t>
        </is>
      </c>
      <c r="G943" t="inlineStr">
        <is>
          <t>LYCKSELE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3947-2023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44952</v>
      </c>
      <c r="E944" s="1" t="n">
        <v>46241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32644-2026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46240</v>
      </c>
      <c r="E945" s="1" t="n">
        <v>46241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8.4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59272-2022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44904</v>
      </c>
      <c r="E946" s="1" t="n">
        <v>46241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19233-2023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45048</v>
      </c>
      <c r="E947" s="1" t="n">
        <v>46241</v>
      </c>
      <c r="F947" t="inlineStr">
        <is>
          <t>VÄSTERBOTTENS LÄN</t>
        </is>
      </c>
      <c r="G947" t="inlineStr">
        <is>
          <t>LYCKSELE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9551-2025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45715</v>
      </c>
      <c r="E948" s="1" t="n">
        <v>46241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7001-2022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44603</v>
      </c>
      <c r="E949" s="1" t="n">
        <v>46241</v>
      </c>
      <c r="F949" t="inlineStr">
        <is>
          <t>VÄSTERBOTTENS LÄN</t>
        </is>
      </c>
      <c r="G949" t="inlineStr">
        <is>
          <t>LYCKSELE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27595-2023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45097</v>
      </c>
      <c r="E950" s="1" t="n">
        <v>46241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56518-2023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45238</v>
      </c>
      <c r="E951" s="1" t="n">
        <v>46241</v>
      </c>
      <c r="F951" t="inlineStr">
        <is>
          <t>VÄSTERBOTTENS LÄN</t>
        </is>
      </c>
      <c r="G951" t="inlineStr">
        <is>
          <t>LYCKSELE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18365-2023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45041</v>
      </c>
      <c r="E952" s="1" t="n">
        <v>46241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25170-2024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45462</v>
      </c>
      <c r="E953" s="1" t="n">
        <v>46241</v>
      </c>
      <c r="F953" t="inlineStr">
        <is>
          <t>VÄSTERBOTTENS LÄN</t>
        </is>
      </c>
      <c r="G953" t="inlineStr">
        <is>
          <t>LYCKSELE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37491-2023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45156</v>
      </c>
      <c r="E954" s="1" t="n">
        <v>46241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37599-2024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45541</v>
      </c>
      <c r="E955" s="1" t="n">
        <v>46241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34273-2024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45524</v>
      </c>
      <c r="E956" s="1" t="n">
        <v>46241</v>
      </c>
      <c r="F956" t="inlineStr">
        <is>
          <t>VÄSTERBOTTENS LÄN</t>
        </is>
      </c>
      <c r="G956" t="inlineStr">
        <is>
          <t>LYCKSELE</t>
        </is>
      </c>
      <c r="I956" t="n">
        <v>6.7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12430-2025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45730</v>
      </c>
      <c r="E957" s="1" t="n">
        <v>46241</v>
      </c>
      <c r="F957" t="inlineStr">
        <is>
          <t>VÄSTERBOTTENS LÄN</t>
        </is>
      </c>
      <c r="G957" t="inlineStr">
        <is>
          <t>LYCKSELE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35227-2023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45145</v>
      </c>
      <c r="E958" s="1" t="n">
        <v>46241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41728-2023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45176</v>
      </c>
      <c r="E959" s="1" t="n">
        <v>46241</v>
      </c>
      <c r="F959" t="inlineStr">
        <is>
          <t>VÄSTERBOTTENS LÄN</t>
        </is>
      </c>
      <c r="G959" t="inlineStr">
        <is>
          <t>LYCKSELE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30306-2024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45490</v>
      </c>
      <c r="E960" s="1" t="n">
        <v>46241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68665-2021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44529</v>
      </c>
      <c r="E961" s="1" t="n">
        <v>46241</v>
      </c>
      <c r="F961" t="inlineStr">
        <is>
          <t>VÄSTERBOTTENS LÄN</t>
        </is>
      </c>
      <c r="G961" t="inlineStr">
        <is>
          <t>LYCKSELE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31372-2024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45503</v>
      </c>
      <c r="E962" s="1" t="n">
        <v>46241</v>
      </c>
      <c r="F962" t="inlineStr">
        <is>
          <t>VÄSTERBOTTENS LÄN</t>
        </is>
      </c>
      <c r="G962" t="inlineStr">
        <is>
          <t>LYCKSELE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27929-2024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45475</v>
      </c>
      <c r="E963" s="1" t="n">
        <v>46241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Naturvårdsverket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27932-2024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45475</v>
      </c>
      <c r="E964" s="1" t="n">
        <v>46241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Naturvårdsverket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21109-2023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45061</v>
      </c>
      <c r="E965" s="1" t="n">
        <v>46241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59569-2024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45638</v>
      </c>
      <c r="E966" s="1" t="n">
        <v>46241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26358-2023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45091</v>
      </c>
      <c r="E967" s="1" t="n">
        <v>46241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44924</v>
      </c>
      <c r="E968" s="1" t="n">
        <v>46241</v>
      </c>
      <c r="F968" t="inlineStr">
        <is>
          <t>VÄSTERBOTTENS LÄN</t>
        </is>
      </c>
      <c r="G968" t="inlineStr">
        <is>
          <t>LYCKSELE</t>
        </is>
      </c>
      <c r="I968" t="n">
        <v>11.9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25020-2024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45461</v>
      </c>
      <c r="E969" s="1" t="n">
        <v>46241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6800-2025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45700</v>
      </c>
      <c r="E970" s="1" t="n">
        <v>46241</v>
      </c>
      <c r="F970" t="inlineStr">
        <is>
          <t>VÄSTERBOTTENS LÄN</t>
        </is>
      </c>
      <c r="G970" t="inlineStr">
        <is>
          <t>LYCKSELE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30425-2024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45491</v>
      </c>
      <c r="E971" s="1" t="n">
        <v>46241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47131-2024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45586</v>
      </c>
      <c r="E972" s="1" t="n">
        <v>46241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37969-2024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45544</v>
      </c>
      <c r="E973" s="1" t="n">
        <v>46241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21660-2023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45063</v>
      </c>
      <c r="E974" s="1" t="n">
        <v>46241</v>
      </c>
      <c r="F974" t="inlineStr">
        <is>
          <t>VÄSTERBOTTENS LÄN</t>
        </is>
      </c>
      <c r="G974" t="inlineStr">
        <is>
          <t>LYCKSELE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33693-2024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46241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16504-2025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45751</v>
      </c>
      <c r="E976" s="1" t="n">
        <v>46241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49130-2024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45594</v>
      </c>
      <c r="E977" s="1" t="n">
        <v>46241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37262-2023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45155</v>
      </c>
      <c r="E978" s="1" t="n">
        <v>46241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58714-2024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45635</v>
      </c>
      <c r="E979" s="1" t="n">
        <v>46241</v>
      </c>
      <c r="F979" t="inlineStr">
        <is>
          <t>VÄSTERBOTTENS LÄN</t>
        </is>
      </c>
      <c r="G979" t="inlineStr">
        <is>
          <t>LYCKSELE</t>
        </is>
      </c>
      <c r="I979" t="n">
        <v>25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1962-2024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45308</v>
      </c>
      <c r="E980" s="1" t="n">
        <v>46241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9.300000000000001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46817-2024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45583</v>
      </c>
      <c r="E981" s="1" t="n">
        <v>46241</v>
      </c>
      <c r="F981" t="inlineStr">
        <is>
          <t>VÄSTERBOTTENS LÄN</t>
        </is>
      </c>
      <c r="G981" t="inlineStr">
        <is>
          <t>LYCKSELE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55203-2024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45621</v>
      </c>
      <c r="E982" s="1" t="n">
        <v>46241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60482-2024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45643</v>
      </c>
      <c r="E983" s="1" t="n">
        <v>46241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7.8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49631-2023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45211</v>
      </c>
      <c r="E984" s="1" t="n">
        <v>46241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Kommuner</t>
        </is>
      </c>
      <c r="I984" t="n">
        <v>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37658-2024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45541</v>
      </c>
      <c r="E985" s="1" t="n">
        <v>46241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28409-2023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45101</v>
      </c>
      <c r="E986" s="1" t="n">
        <v>46241</v>
      </c>
      <c r="F986" t="inlineStr">
        <is>
          <t>VÄSTERBOTTENS LÄN</t>
        </is>
      </c>
      <c r="G986" t="inlineStr">
        <is>
          <t>LYCKSELE</t>
        </is>
      </c>
      <c r="I986" t="n">
        <v>12.9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54446-2023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45233</v>
      </c>
      <c r="E987" s="1" t="n">
        <v>46241</v>
      </c>
      <c r="F987" t="inlineStr">
        <is>
          <t>VÄSTERBOTTENS LÄN</t>
        </is>
      </c>
      <c r="G987" t="inlineStr">
        <is>
          <t>LYCKSELE</t>
        </is>
      </c>
      <c r="I987" t="n">
        <v>21.4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40527-2024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45555</v>
      </c>
      <c r="E988" s="1" t="n">
        <v>46241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8.9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48992-2023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45209</v>
      </c>
      <c r="E989" s="1" t="n">
        <v>46241</v>
      </c>
      <c r="F989" t="inlineStr">
        <is>
          <t>VÄSTERBOTTENS LÄN</t>
        </is>
      </c>
      <c r="G989" t="inlineStr">
        <is>
          <t>LYCKSELE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33708-2024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45520</v>
      </c>
      <c r="E990" s="1" t="n">
        <v>46241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33714-2024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45520</v>
      </c>
      <c r="E991" s="1" t="n">
        <v>46241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16669-2022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44672</v>
      </c>
      <c r="E992" s="1" t="n">
        <v>46241</v>
      </c>
      <c r="F992" t="inlineStr">
        <is>
          <t>VÄSTERBOTTENS LÄN</t>
        </is>
      </c>
      <c r="G992" t="inlineStr">
        <is>
          <t>LYCKSELE</t>
        </is>
      </c>
      <c r="I992" t="n">
        <v>12.8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57898-2021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44486</v>
      </c>
      <c r="E993" s="1" t="n">
        <v>46241</v>
      </c>
      <c r="F993" t="inlineStr">
        <is>
          <t>VÄSTERBOTTENS LÄN</t>
        </is>
      </c>
      <c r="G993" t="inlineStr">
        <is>
          <t>LYCKSELE</t>
        </is>
      </c>
      <c r="I993" t="n">
        <v>14.7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32408-2024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45512</v>
      </c>
      <c r="E994" s="1" t="n">
        <v>46241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Naturvårdsverket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39321-2024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45551</v>
      </c>
      <c r="E995" s="1" t="n">
        <v>46241</v>
      </c>
      <c r="F995" t="inlineStr">
        <is>
          <t>VÄSTERBOTTENS LÄN</t>
        </is>
      </c>
      <c r="G995" t="inlineStr">
        <is>
          <t>LYCKSELE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71412-2021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44540</v>
      </c>
      <c r="E996" s="1" t="n">
        <v>46241</v>
      </c>
      <c r="F996" t="inlineStr">
        <is>
          <t>VÄSTERBOTTENS LÄN</t>
        </is>
      </c>
      <c r="G996" t="inlineStr">
        <is>
          <t>LYCKSELE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10331-2023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44980</v>
      </c>
      <c r="E997" s="1" t="n">
        <v>46241</v>
      </c>
      <c r="F997" t="inlineStr">
        <is>
          <t>VÄSTERBOTTENS LÄN</t>
        </is>
      </c>
      <c r="G997" t="inlineStr">
        <is>
          <t>LYCKSELE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48832-2024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45593</v>
      </c>
      <c r="E998" s="1" t="n">
        <v>46241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10208-2024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45364</v>
      </c>
      <c r="E999" s="1" t="n">
        <v>46241</v>
      </c>
      <c r="F999" t="inlineStr">
        <is>
          <t>VÄSTERBOTTENS LÄN</t>
        </is>
      </c>
      <c r="G999" t="inlineStr">
        <is>
          <t>LYCKSELE</t>
        </is>
      </c>
      <c r="I999" t="n">
        <v>9.4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47807-2024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45588</v>
      </c>
      <c r="E1000" s="1" t="n">
        <v>46241</v>
      </c>
      <c r="F1000" t="inlineStr">
        <is>
          <t>VÄSTERBOTTENS LÄN</t>
        </is>
      </c>
      <c r="G1000" t="inlineStr">
        <is>
          <t>LYCKSELE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44465-2022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44840</v>
      </c>
      <c r="E1001" s="1" t="n">
        <v>46241</v>
      </c>
      <c r="F1001" t="inlineStr">
        <is>
          <t>VÄSTERBOTTENS LÄN</t>
        </is>
      </c>
      <c r="G1001" t="inlineStr">
        <is>
          <t>LYCKSELE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34810-2024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45526</v>
      </c>
      <c r="E1002" s="1" t="n">
        <v>46241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54428-2024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45617</v>
      </c>
      <c r="E1003" s="1" t="n">
        <v>46241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41361-2023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45174</v>
      </c>
      <c r="E1004" s="1" t="n">
        <v>46241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37271-2023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45155</v>
      </c>
      <c r="E1005" s="1" t="n">
        <v>46241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4.7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64336-2023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45279</v>
      </c>
      <c r="E1006" s="1" t="n">
        <v>46241</v>
      </c>
      <c r="F1006" t="inlineStr">
        <is>
          <t>VÄSTERBOTTENS LÄN</t>
        </is>
      </c>
      <c r="G1006" t="inlineStr">
        <is>
          <t>LYCKSELE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9517-2025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45715</v>
      </c>
      <c r="E1007" s="1" t="n">
        <v>46241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11640-2024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45373</v>
      </c>
      <c r="E1008" s="1" t="n">
        <v>46241</v>
      </c>
      <c r="F1008" t="inlineStr">
        <is>
          <t>VÄSTERBOTTENS LÄN</t>
        </is>
      </c>
      <c r="G1008" t="inlineStr">
        <is>
          <t>LYCKSELE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41992-2022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44830</v>
      </c>
      <c r="E1009" s="1" t="n">
        <v>46241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17688-2025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45758</v>
      </c>
      <c r="E1010" s="1" t="n">
        <v>46241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60542-2024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45643</v>
      </c>
      <c r="E1011" s="1" t="n">
        <v>46241</v>
      </c>
      <c r="F1011" t="inlineStr">
        <is>
          <t>VÄSTERBOTTENS LÄN</t>
        </is>
      </c>
      <c r="G1011" t="inlineStr">
        <is>
          <t>LYCKSELE</t>
        </is>
      </c>
      <c r="I1011" t="n">
        <v>4.4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60143-2022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44909</v>
      </c>
      <c r="E1012" s="1" t="n">
        <v>46241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15239-2025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45744</v>
      </c>
      <c r="E1013" s="1" t="n">
        <v>46241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38478-2024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45546</v>
      </c>
      <c r="E1014" s="1" t="n">
        <v>46241</v>
      </c>
      <c r="F1014" t="inlineStr">
        <is>
          <t>VÄSTERBOTTENS LÄN</t>
        </is>
      </c>
      <c r="G1014" t="inlineStr">
        <is>
          <t>LYCKSELE</t>
        </is>
      </c>
      <c r="I1014" t="n">
        <v>0.1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2794-2025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45677</v>
      </c>
      <c r="E1015" s="1" t="n">
        <v>46241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57246-2024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45629</v>
      </c>
      <c r="E1016" s="1" t="n">
        <v>46241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6.3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14623-2025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45742</v>
      </c>
      <c r="E1017" s="1" t="n">
        <v>46241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Naturvårdsverket</t>
        </is>
      </c>
      <c r="I1017" t="n">
        <v>10.4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38112-2024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45545</v>
      </c>
      <c r="E1018" s="1" t="n">
        <v>46241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13883-2025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45737</v>
      </c>
      <c r="E1019" s="1" t="n">
        <v>46241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Naturvårdsverket</t>
        </is>
      </c>
      <c r="I1019" t="n">
        <v>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9976-2024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45363</v>
      </c>
      <c r="E1020" s="1" t="n">
        <v>46241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24234-2023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45079</v>
      </c>
      <c r="E1021" s="1" t="n">
        <v>46241</v>
      </c>
      <c r="F1021" t="inlineStr">
        <is>
          <t>VÄSTERBOTTENS LÄN</t>
        </is>
      </c>
      <c r="G1021" t="inlineStr">
        <is>
          <t>LYCKSELE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52755-2023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45225</v>
      </c>
      <c r="E1022" s="1" t="n">
        <v>46241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20685-2025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45776</v>
      </c>
      <c r="E1023" s="1" t="n">
        <v>46241</v>
      </c>
      <c r="F1023" t="inlineStr">
        <is>
          <t>VÄSTERBOTTENS LÄN</t>
        </is>
      </c>
      <c r="G1023" t="inlineStr">
        <is>
          <t>LYCKSELE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21046-2025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46241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20979-2025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46241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45779</v>
      </c>
      <c r="E1026" s="1" t="n">
        <v>46241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21861-2025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45784</v>
      </c>
      <c r="E1027" s="1" t="n">
        <v>46241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10.5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21888-2025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45784</v>
      </c>
      <c r="E1028" s="1" t="n">
        <v>46241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4.4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22309-2025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45786</v>
      </c>
      <c r="E1029" s="1" t="n">
        <v>46241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64391-2023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45280</v>
      </c>
      <c r="E1030" s="1" t="n">
        <v>46241</v>
      </c>
      <c r="F1030" t="inlineStr">
        <is>
          <t>VÄSTERBOTTENS LÄN</t>
        </is>
      </c>
      <c r="G1030" t="inlineStr">
        <is>
          <t>LYCKSELE</t>
        </is>
      </c>
      <c r="I1030" t="n">
        <v>5.8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22453-2025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46241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22452-2025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45786</v>
      </c>
      <c r="E1032" s="1" t="n">
        <v>46241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22343-2025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45786</v>
      </c>
      <c r="E1033" s="1" t="n">
        <v>46241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4.7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22127-2025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45785</v>
      </c>
      <c r="E1034" s="1" t="n">
        <v>46241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22456-2025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46241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32474-2024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45513</v>
      </c>
      <c r="E1036" s="1" t="n">
        <v>46241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22759-2025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45789</v>
      </c>
      <c r="E1037" s="1" t="n">
        <v>46241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25.5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22344-2025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45786</v>
      </c>
      <c r="E1038" s="1" t="n">
        <v>46241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23801-2025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45793</v>
      </c>
      <c r="E1039" s="1" t="n">
        <v>46241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48997-2021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44453</v>
      </c>
      <c r="E1040" s="1" t="n">
        <v>46241</v>
      </c>
      <c r="F1040" t="inlineStr">
        <is>
          <t>VÄSTERBOTTENS LÄN</t>
        </is>
      </c>
      <c r="G1040" t="inlineStr">
        <is>
          <t>LYCKSELE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60226-2022</t>
        </is>
      </c>
      <c r="B1041" t="inlineStr">
        <is>
          <t>avverkningsanmälan</t>
        </is>
      </c>
      <c r="C1041" t="inlineStr">
        <is>
          <t>Avverkning för att bevara och utveckla /försöksver</t>
        </is>
      </c>
      <c r="D1041" s="1" t="n">
        <v>44910</v>
      </c>
      <c r="E1041" s="1" t="n">
        <v>46241</v>
      </c>
      <c r="F1041" t="inlineStr">
        <is>
          <t>VÄSTERBOTTENS LÄN</t>
        </is>
      </c>
      <c r="G1041" t="inlineStr">
        <is>
          <t>LYCKSELE</t>
        </is>
      </c>
      <c r="I1041" t="n">
        <v>5.4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24129-2025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45796</v>
      </c>
      <c r="E1042" s="1" t="n">
        <v>46241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45503-2021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44440</v>
      </c>
      <c r="E1043" s="1" t="n">
        <v>46241</v>
      </c>
      <c r="F1043" t="inlineStr">
        <is>
          <t>VÄSTERBOTTENS LÄN</t>
        </is>
      </c>
      <c r="G1043" t="inlineStr">
        <is>
          <t>LYCKSELE</t>
        </is>
      </c>
      <c r="I1043" t="n">
        <v>29.1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23315-2024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45453</v>
      </c>
      <c r="E1044" s="1" t="n">
        <v>46241</v>
      </c>
      <c r="F1044" t="inlineStr">
        <is>
          <t>VÄSTERBOTTENS LÄN</t>
        </is>
      </c>
      <c r="G1044" t="inlineStr">
        <is>
          <t>LYCKSELE</t>
        </is>
      </c>
      <c r="I1044" t="n">
        <v>7.3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31848-2024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45509</v>
      </c>
      <c r="E1045" s="1" t="n">
        <v>46241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24603-2025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45798</v>
      </c>
      <c r="E1046" s="1" t="n">
        <v>46241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24514-2025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45798</v>
      </c>
      <c r="E1047" s="1" t="n">
        <v>46241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8.300000000000001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54893-2023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45236</v>
      </c>
      <c r="E1048" s="1" t="n">
        <v>46241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24729-2025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46241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25061-2025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45799</v>
      </c>
      <c r="E1050" s="1" t="n">
        <v>46241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13.7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24906-2025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45799</v>
      </c>
      <c r="E1051" s="1" t="n">
        <v>46241</v>
      </c>
      <c r="F1051" t="inlineStr">
        <is>
          <t>VÄSTERBOTTENS LÄN</t>
        </is>
      </c>
      <c r="G1051" t="inlineStr">
        <is>
          <t>LYCKSELE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24770-2025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45799</v>
      </c>
      <c r="E1052" s="1" t="n">
        <v>46241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25581-2025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45803</v>
      </c>
      <c r="E1053" s="1" t="n">
        <v>46241</v>
      </c>
      <c r="F1053" t="inlineStr">
        <is>
          <t>VÄSTERBOTTENS LÄN</t>
        </is>
      </c>
      <c r="G1053" t="inlineStr">
        <is>
          <t>LYCKSELE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25590-2025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45803</v>
      </c>
      <c r="E1054" s="1" t="n">
        <v>46241</v>
      </c>
      <c r="F1054" t="inlineStr">
        <is>
          <t>VÄSTERBOTTENS LÄN</t>
        </is>
      </c>
      <c r="G1054" t="inlineStr">
        <is>
          <t>LYCKSELE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25537-2025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45803</v>
      </c>
      <c r="E1055" s="1" t="n">
        <v>46241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25655-2025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45803</v>
      </c>
      <c r="E1056" s="1" t="n">
        <v>46241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60714-2022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44912</v>
      </c>
      <c r="E1057" s="1" t="n">
        <v>46241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26318-2024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45468</v>
      </c>
      <c r="E1058" s="1" t="n">
        <v>46241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26228-2025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45805</v>
      </c>
      <c r="E1059" s="1" t="n">
        <v>46241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55250-2024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45621</v>
      </c>
      <c r="E1060" s="1" t="n">
        <v>46241</v>
      </c>
      <c r="F1060" t="inlineStr">
        <is>
          <t>VÄSTERBOTTENS LÄN</t>
        </is>
      </c>
      <c r="G1060" t="inlineStr">
        <is>
          <t>LYCKSELE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26622-2025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45810</v>
      </c>
      <c r="E1061" s="1" t="n">
        <v>46241</v>
      </c>
      <c r="F1061" t="inlineStr">
        <is>
          <t>VÄSTERBOTTENS LÄN</t>
        </is>
      </c>
      <c r="G1061" t="inlineStr">
        <is>
          <t>LYCKSELE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3303-2024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45316</v>
      </c>
      <c r="E1062" s="1" t="n">
        <v>46241</v>
      </c>
      <c r="F1062" t="inlineStr">
        <is>
          <t>VÄSTERBOTTENS LÄN</t>
        </is>
      </c>
      <c r="G1062" t="inlineStr">
        <is>
          <t>LYCKSELE</t>
        </is>
      </c>
      <c r="I1062" t="n">
        <v>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26398-2025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45807</v>
      </c>
      <c r="E1063" s="1" t="n">
        <v>46241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52039-2023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45223</v>
      </c>
      <c r="E1064" s="1" t="n">
        <v>46241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26410-2025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45807</v>
      </c>
      <c r="E1065" s="1" t="n">
        <v>46241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26951-2025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45811</v>
      </c>
      <c r="E1066" s="1" t="n">
        <v>46241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64334-2023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45279</v>
      </c>
      <c r="E1067" s="1" t="n">
        <v>46241</v>
      </c>
      <c r="F1067" t="inlineStr">
        <is>
          <t>VÄSTERBOTTENS LÄN</t>
        </is>
      </c>
      <c r="G1067" t="inlineStr">
        <is>
          <t>LYCKSELE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27072-2025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45811</v>
      </c>
      <c r="E1068" s="1" t="n">
        <v>46241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4.2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13563-2023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45006</v>
      </c>
      <c r="E1069" s="1" t="n">
        <v>46241</v>
      </c>
      <c r="F1069" t="inlineStr">
        <is>
          <t>VÄSTERBOTTENS LÄN</t>
        </is>
      </c>
      <c r="G1069" t="inlineStr">
        <is>
          <t>LYCKSELE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27471-2025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45813</v>
      </c>
      <c r="E1070" s="1" t="n">
        <v>46241</v>
      </c>
      <c r="F1070" t="inlineStr">
        <is>
          <t>VÄSTERBOTTENS LÄN</t>
        </is>
      </c>
      <c r="G1070" t="inlineStr">
        <is>
          <t>LYCKSELE</t>
        </is>
      </c>
      <c r="I1070" t="n">
        <v>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27595-2025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45813</v>
      </c>
      <c r="E1071" s="1" t="n">
        <v>46241</v>
      </c>
      <c r="F1071" t="inlineStr">
        <is>
          <t>VÄSTERBOTTENS LÄN</t>
        </is>
      </c>
      <c r="G1071" t="inlineStr">
        <is>
          <t>LYCKSELE</t>
        </is>
      </c>
      <c r="I1071" t="n">
        <v>10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27610-2025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45813</v>
      </c>
      <c r="E1072" s="1" t="n">
        <v>46241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27643-2025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45813</v>
      </c>
      <c r="E1073" s="1" t="n">
        <v>46241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29277-2023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45105</v>
      </c>
      <c r="E1074" s="1" t="n">
        <v>46241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6.4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30161-2024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45488</v>
      </c>
      <c r="E1075" s="1" t="n">
        <v>46241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28306-2025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45818</v>
      </c>
      <c r="E1076" s="1" t="n">
        <v>46241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5039-2025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45691</v>
      </c>
      <c r="E1077" s="1" t="n">
        <v>46241</v>
      </c>
      <c r="F1077" t="inlineStr">
        <is>
          <t>VÄSTERBOTTENS LÄN</t>
        </is>
      </c>
      <c r="G1077" t="inlineStr">
        <is>
          <t>LYCKSELE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8313-2025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45708</v>
      </c>
      <c r="E1078" s="1" t="n">
        <v>46241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28486-2025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45819</v>
      </c>
      <c r="E1079" s="1" t="n">
        <v>46241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28833-2025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45820</v>
      </c>
      <c r="E1080" s="1" t="n">
        <v>46241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29235-2025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45824</v>
      </c>
      <c r="E1081" s="1" t="n">
        <v>46241</v>
      </c>
      <c r="F1081" t="inlineStr">
        <is>
          <t>VÄSTERBOTTENS LÄN</t>
        </is>
      </c>
      <c r="G1081" t="inlineStr">
        <is>
          <t>LYCKSELE</t>
        </is>
      </c>
      <c r="I1081" t="n">
        <v>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29236-2025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45824</v>
      </c>
      <c r="E1082" s="1" t="n">
        <v>46241</v>
      </c>
      <c r="F1082" t="inlineStr">
        <is>
          <t>VÄSTERBOTTENS LÄN</t>
        </is>
      </c>
      <c r="G1082" t="inlineStr">
        <is>
          <t>LYCKSELE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29088-2025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45821</v>
      </c>
      <c r="E1083" s="1" t="n">
        <v>46241</v>
      </c>
      <c r="F1083" t="inlineStr">
        <is>
          <t>VÄSTERBOTTENS LÄN</t>
        </is>
      </c>
      <c r="G1083" t="inlineStr">
        <is>
          <t>LYCKSELE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29123-2025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45821</v>
      </c>
      <c r="E1084" s="1" t="n">
        <v>46241</v>
      </c>
      <c r="F1084" t="inlineStr">
        <is>
          <t>VÄSTERBOTTENS LÄN</t>
        </is>
      </c>
      <c r="G1084" t="inlineStr">
        <is>
          <t>LYCKSELE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29866-2025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45826</v>
      </c>
      <c r="E1085" s="1" t="n">
        <v>46241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6.7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29784-2025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45825</v>
      </c>
      <c r="E1086" s="1" t="n">
        <v>46241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30154-2025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45827</v>
      </c>
      <c r="E1087" s="1" t="n">
        <v>46241</v>
      </c>
      <c r="F1087" t="inlineStr">
        <is>
          <t>VÄSTERBOTTENS LÄN</t>
        </is>
      </c>
      <c r="G1087" t="inlineStr">
        <is>
          <t>LYCKSELE</t>
        </is>
      </c>
      <c r="I1087" t="n">
        <v>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30258-2025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45827</v>
      </c>
      <c r="E1088" s="1" t="n">
        <v>46241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19.5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30632-2025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45831</v>
      </c>
      <c r="E1089" s="1" t="n">
        <v>46241</v>
      </c>
      <c r="F1089" t="inlineStr">
        <is>
          <t>VÄSTERBOTTENS LÄN</t>
        </is>
      </c>
      <c r="G1089" t="inlineStr">
        <is>
          <t>LYCKSELE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31022-2025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45832</v>
      </c>
      <c r="E1090" s="1" t="n">
        <v>46241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30623-2025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45831</v>
      </c>
      <c r="E1091" s="1" t="n">
        <v>46241</v>
      </c>
      <c r="F1091" t="inlineStr">
        <is>
          <t>VÄSTERBOTTENS LÄN</t>
        </is>
      </c>
      <c r="G1091" t="inlineStr">
        <is>
          <t>LYCKSELE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30624-2025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45831</v>
      </c>
      <c r="E1092" s="1" t="n">
        <v>46241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9.5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30656-2025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45831</v>
      </c>
      <c r="E1093" s="1" t="n">
        <v>46241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5.9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31693-2025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45834</v>
      </c>
      <c r="E1094" s="1" t="n">
        <v>46241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18.9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31897-2025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45834</v>
      </c>
      <c r="E1095" s="1" t="n">
        <v>46241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32619-2025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45838</v>
      </c>
      <c r="E1096" s="1" t="n">
        <v>46241</v>
      </c>
      <c r="F1096" t="inlineStr">
        <is>
          <t>VÄSTERBOTTENS LÄN</t>
        </is>
      </c>
      <c r="G1096" t="inlineStr">
        <is>
          <t>LYCKSELE</t>
        </is>
      </c>
      <c r="I1096" t="n">
        <v>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32783-2025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45839</v>
      </c>
      <c r="E1097" s="1" t="n">
        <v>46241</v>
      </c>
      <c r="F1097" t="inlineStr">
        <is>
          <t>VÄSTERBOTTENS LÄN</t>
        </is>
      </c>
      <c r="G1097" t="inlineStr">
        <is>
          <t>LYCKSELE</t>
        </is>
      </c>
      <c r="I1097" t="n">
        <v>4.5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32722-2025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45839</v>
      </c>
      <c r="E1098" s="1" t="n">
        <v>46241</v>
      </c>
      <c r="F1098" t="inlineStr">
        <is>
          <t>VÄSTERBOTTENS LÄN</t>
        </is>
      </c>
      <c r="G1098" t="inlineStr">
        <is>
          <t>LYCKSELE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33067-2025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45840</v>
      </c>
      <c r="E1099" s="1" t="n">
        <v>46241</v>
      </c>
      <c r="F1099" t="inlineStr">
        <is>
          <t>VÄSTERBOTTENS LÄN</t>
        </is>
      </c>
      <c r="G1099" t="inlineStr">
        <is>
          <t>LYCKSELE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33966-2025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45842</v>
      </c>
      <c r="E1100" s="1" t="n">
        <v>46241</v>
      </c>
      <c r="F1100" t="inlineStr">
        <is>
          <t>VÄSTERBOTTENS LÄN</t>
        </is>
      </c>
      <c r="G1100" t="inlineStr">
        <is>
          <t>LYCKSELE</t>
        </is>
      </c>
      <c r="I1100" t="n">
        <v>12.5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33527-2025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45841</v>
      </c>
      <c r="E1101" s="1" t="n">
        <v>46241</v>
      </c>
      <c r="F1101" t="inlineStr">
        <is>
          <t>VÄSTERBOTTENS LÄN</t>
        </is>
      </c>
      <c r="G1101" t="inlineStr">
        <is>
          <t>LYCKSELE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33431-2025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45841</v>
      </c>
      <c r="E1102" s="1" t="n">
        <v>46241</v>
      </c>
      <c r="F1102" t="inlineStr">
        <is>
          <t>VÄSTERBOTTENS LÄN</t>
        </is>
      </c>
      <c r="G1102" t="inlineStr">
        <is>
          <t>LYCKSELE</t>
        </is>
      </c>
      <c r="I1102" t="n">
        <v>0.1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33415-2025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45841</v>
      </c>
      <c r="E1103" s="1" t="n">
        <v>46241</v>
      </c>
      <c r="F1103" t="inlineStr">
        <is>
          <t>VÄSTERBOTTENS LÄN</t>
        </is>
      </c>
      <c r="G1103" t="inlineStr">
        <is>
          <t>LYCKSELE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33423-2025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45841</v>
      </c>
      <c r="E1104" s="1" t="n">
        <v>46241</v>
      </c>
      <c r="F1104" t="inlineStr">
        <is>
          <t>VÄSTERBOTTENS LÄN</t>
        </is>
      </c>
      <c r="G1104" t="inlineStr">
        <is>
          <t>LYCKSELE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33992-2025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45843</v>
      </c>
      <c r="E1105" s="1" t="n">
        <v>46241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34110-2025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45845</v>
      </c>
      <c r="E1106" s="1" t="n">
        <v>46241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33991-2025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45843</v>
      </c>
      <c r="E1107" s="1" t="n">
        <v>46241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34465-2025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45847</v>
      </c>
      <c r="E1108" s="1" t="n">
        <v>46241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26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34918-2025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45849</v>
      </c>
      <c r="E1109" s="1" t="n">
        <v>46241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9.300000000000001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34940-2025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45849</v>
      </c>
      <c r="E1110" s="1" t="n">
        <v>46241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7.2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34955-2025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45849</v>
      </c>
      <c r="E1111" s="1" t="n">
        <v>46241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9.4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34915-2025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45849</v>
      </c>
      <c r="E1112" s="1" t="n">
        <v>46241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34954-2025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45849</v>
      </c>
      <c r="E1113" s="1" t="n">
        <v>46241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35130-2025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45852</v>
      </c>
      <c r="E1114" s="1" t="n">
        <v>46241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35303-2025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45854</v>
      </c>
      <c r="E1115" s="1" t="n">
        <v>46241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35333-2025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45854</v>
      </c>
      <c r="E1116" s="1" t="n">
        <v>46241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35225-2025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45853</v>
      </c>
      <c r="E1117" s="1" t="n">
        <v>46241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35234-2025</t>
        </is>
      </c>
      <c r="B1118" t="inlineStr">
        <is>
          <t>avverkningsanmälan</t>
        </is>
      </c>
      <c r="C1118" t="inlineStr">
        <is>
          <t>Avverkning för att bevara och utveckla /försöksver</t>
        </is>
      </c>
      <c r="D1118" s="1" t="n">
        <v>45853</v>
      </c>
      <c r="E1118" s="1" t="n">
        <v>46241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35192-2025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45853</v>
      </c>
      <c r="E1119" s="1" t="n">
        <v>46241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35232-2025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45853</v>
      </c>
      <c r="E1120" s="1" t="n">
        <v>46241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35237-2025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45853</v>
      </c>
      <c r="E1121" s="1" t="n">
        <v>46241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5.9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35332-2025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45854</v>
      </c>
      <c r="E1122" s="1" t="n">
        <v>46241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5.2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919-2021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44314</v>
      </c>
      <c r="E1123" s="1" t="n">
        <v>46241</v>
      </c>
      <c r="F1123" t="inlineStr">
        <is>
          <t>VÄSTERBOTTENS LÄN</t>
        </is>
      </c>
      <c r="G1123" t="inlineStr">
        <is>
          <t>LYCKSELE</t>
        </is>
      </c>
      <c r="I1123" t="n">
        <v>26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827-2022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44603</v>
      </c>
      <c r="E1124" s="1" t="n">
        <v>46241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42.7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46241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897-2022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44607</v>
      </c>
      <c r="E1126" s="1" t="n">
        <v>46241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264.9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1133-2024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46241</v>
      </c>
      <c r="F1127" t="inlineStr">
        <is>
          <t>VÄSTERBOTTENS LÄN</t>
        </is>
      </c>
      <c r="G1127" t="inlineStr">
        <is>
          <t>LYCKSELE</t>
        </is>
      </c>
      <c r="I1127" t="n">
        <v>33.1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6646-2021</t>
        </is>
      </c>
      <c r="B1128" t="inlineStr">
        <is>
          <t>samrådsanmälan</t>
        </is>
      </c>
      <c r="C1128" t="inlineStr">
        <is>
          <t>Basväg</t>
        </is>
      </c>
      <c r="D1128" s="1" t="n">
        <v>44455</v>
      </c>
      <c r="E1128" s="1" t="n">
        <v>46241</v>
      </c>
      <c r="F1128" t="inlineStr">
        <is>
          <t>VÄSTERBOTTENS LÄN</t>
        </is>
      </c>
      <c r="G1128" t="inlineStr">
        <is>
          <t>LYCKSELE</t>
        </is>
      </c>
      <c r="I1128" t="n">
        <v>0.2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4195-2023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45250</v>
      </c>
      <c r="E1129" s="1" t="n">
        <v>46241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63.8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1398-2023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45040</v>
      </c>
      <c r="E1130" s="1" t="n">
        <v>46241</v>
      </c>
      <c r="F1130" t="inlineStr">
        <is>
          <t>VÄSTERBOTTENS LÄN</t>
        </is>
      </c>
      <c r="G1130" t="inlineStr">
        <is>
          <t>LYCKSELE</t>
        </is>
      </c>
      <c r="I1130" t="n">
        <v>21.5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1378-2023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45040</v>
      </c>
      <c r="E1131" s="1" t="n">
        <v>46241</v>
      </c>
      <c r="F1131" t="inlineStr">
        <is>
          <t>VÄSTERBOTTENS LÄN</t>
        </is>
      </c>
      <c r="G1131" t="inlineStr">
        <is>
          <t>LYCKSELE</t>
        </is>
      </c>
      <c r="I1131" t="n">
        <v>33.1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1656-2024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45426</v>
      </c>
      <c r="E1132" s="1" t="n">
        <v>46241</v>
      </c>
      <c r="F1132" t="inlineStr">
        <is>
          <t>VÄSTERBOTTENS LÄN</t>
        </is>
      </c>
      <c r="G1132" t="inlineStr">
        <is>
          <t>LYCKSELE</t>
        </is>
      </c>
      <c r="I1132" t="n">
        <v>56.6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523-2024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45348</v>
      </c>
      <c r="E1133" s="1" t="n">
        <v>46241</v>
      </c>
      <c r="F1133" t="inlineStr">
        <is>
          <t>VÄSTERBOTTENS LÄN</t>
        </is>
      </c>
      <c r="G1133" t="inlineStr">
        <is>
          <t>LYCKSELE</t>
        </is>
      </c>
      <c r="I1133" t="n">
        <v>19.9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3789-2024</t>
        </is>
      </c>
      <c r="B1134" t="inlineStr">
        <is>
          <t>samrådsanmälan</t>
        </is>
      </c>
      <c r="C1134" t="inlineStr">
        <is>
          <t>Annan skogsbruksåtgärd</t>
        </is>
      </c>
      <c r="D1134" s="1" t="n">
        <v>45558</v>
      </c>
      <c r="E1134" s="1" t="n">
        <v>46241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9.800000000000001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271-2024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45323</v>
      </c>
      <c r="E1135" s="1" t="n">
        <v>46241</v>
      </c>
      <c r="F1135" t="inlineStr">
        <is>
          <t>VÄSTERBOTTENS LÄN</t>
        </is>
      </c>
      <c r="G1135" t="inlineStr">
        <is>
          <t>LYCKSELE</t>
        </is>
      </c>
      <c r="I1135" t="n">
        <v>48.7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1132-2024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45393</v>
      </c>
      <c r="E1136" s="1" t="n">
        <v>46241</v>
      </c>
      <c r="F1136" t="inlineStr">
        <is>
          <t>VÄSTERBOTTENS LÄN</t>
        </is>
      </c>
      <c r="G1136" t="inlineStr">
        <is>
          <t>LYCKSELE</t>
        </is>
      </c>
      <c r="I1136" t="n">
        <v>19.2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1031-2025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45747</v>
      </c>
      <c r="E1137" s="1" t="n">
        <v>46241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36.8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1037-2025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45747</v>
      </c>
      <c r="E1138" s="1" t="n">
        <v>46241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138.5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1233-2025</t>
        </is>
      </c>
      <c r="B1139" t="inlineStr">
        <is>
          <t>samrådsanmälan</t>
        </is>
      </c>
      <c r="C1139" t="inlineStr">
        <is>
          <t>Annan skogsbruksåtgärd</t>
        </is>
      </c>
      <c r="D1139" s="1" t="n">
        <v>45757</v>
      </c>
      <c r="E1139" s="1" t="n">
        <v>46241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5.9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1326-2025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45771</v>
      </c>
      <c r="E1140" s="1" t="n">
        <v>46241</v>
      </c>
      <c r="F1140" t="inlineStr">
        <is>
          <t>VÄSTERBOTTENS LÄN</t>
        </is>
      </c>
      <c r="G1140" t="inlineStr">
        <is>
          <t>LYCKSELE</t>
        </is>
      </c>
      <c r="I1140" t="n">
        <v>6.2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1841-2025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45820</v>
      </c>
      <c r="E1141" s="1" t="n">
        <v>46241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447-2026</t>
        </is>
      </c>
      <c r="B1142" t="inlineStr">
        <is>
          <t>samrådsanmälan</t>
        </is>
      </c>
      <c r="C1142" t="inlineStr">
        <is>
          <t>Annan skogsbruksåtgärd</t>
        </is>
      </c>
      <c r="D1142" s="1" t="n">
        <v>46071</v>
      </c>
      <c r="E1142" s="1" t="n">
        <v>46241</v>
      </c>
      <c r="F1142" t="inlineStr">
        <is>
          <t>VÄSTERBOTTENS LÄN</t>
        </is>
      </c>
      <c r="G1142" t="inlineStr">
        <is>
          <t>LYCKSELE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727-2026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46093</v>
      </c>
      <c r="E1143" s="1" t="n">
        <v>46241</v>
      </c>
      <c r="F1143" t="inlineStr">
        <is>
          <t>VÄSTERBOTTENS LÄN</t>
        </is>
      </c>
      <c r="G1143" t="inlineStr">
        <is>
          <t>LYCKSELE</t>
        </is>
      </c>
      <c r="I1143" t="n">
        <v>23.5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1148-2026</t>
        </is>
      </c>
      <c r="B1144" t="inlineStr">
        <is>
          <t>samrådsanmälan</t>
        </is>
      </c>
      <c r="C1144" t="inlineStr">
        <is>
          <t>Askåterföring</t>
        </is>
      </c>
      <c r="D1144" s="1" t="n">
        <v>46135</v>
      </c>
      <c r="E1144" s="1" t="n">
        <v>46241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4.5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1358-2026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46152</v>
      </c>
      <c r="E1145" s="1" t="n">
        <v>46241</v>
      </c>
      <c r="F1145" t="inlineStr">
        <is>
          <t>VÄSTERBOTTENS LÄN</t>
        </is>
      </c>
      <c r="G1145" t="inlineStr">
        <is>
          <t>LYCKSELE</t>
        </is>
      </c>
      <c r="I1145" t="n">
        <v>20.5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>
      <c r="A1146" t="inlineStr">
        <is>
          <t>S 1524-2026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46164</v>
      </c>
      <c r="E1146" s="1" t="n">
        <v>46241</v>
      </c>
      <c r="F1146" t="inlineStr">
        <is>
          <t>VÄSTERBOTTENS LÄN</t>
        </is>
      </c>
      <c r="G1146" t="inlineStr">
        <is>
          <t>LYCKSELE</t>
        </is>
      </c>
      <c r="I1146" t="n">
        <v>99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2026-08-07T01:56:51Z</dcterms:created>
  <dcterms:modified xmlns:dcterms="http://purl.org/dc/terms/" xmlns:xsi="http://www.w3.org/2001/XMLSchema-instance" xsi:type="dcterms:W3CDTF">2026-08-07T01:56:52Z</dcterms:modified>
</cp:coreProperties>
</file>