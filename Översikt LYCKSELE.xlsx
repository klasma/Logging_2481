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46290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46290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46290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46290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46290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46290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46290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46290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46290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46290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46290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46290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48832-2024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46290</v>
      </c>
      <c r="F26" t="inlineStr">
        <is>
          <t>VÄSTERBOTTENS LÄN</t>
        </is>
      </c>
      <c r="G26" t="inlineStr">
        <is>
          <t>LYCKSELE</t>
        </is>
      </c>
      <c r="H26" t="inlineStr">
        <is>
          <t>SCA</t>
        </is>
      </c>
      <c r="I26" t="n">
        <v>3.7</v>
      </c>
      <c r="J26" t="n">
        <v>4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Knärot
Skogsfru
Bollvitmossa
Spindelblomster
Ögonpyrola
Videsparv</t>
        </is>
      </c>
      <c r="W26">
        <f>HYPERLINK("https://klasma.github.io/Logging_2481/artfynd/A 48832-2024 artfynd.xlsx", "A 48832-2024")</f>
        <v/>
      </c>
      <c r="X26">
        <f>HYPERLINK("https://klasma.github.io/Logging_2481/kartor/A 48832-2024 karta.png", "A 48832-2024")</f>
        <v/>
      </c>
      <c r="Y26">
        <f>HYPERLINK("https://klasma.github.io/Logging_2481/kartor_geotiff/A 48832-2024 georefererad karta.tif", "A 48832-2024")</f>
        <v/>
      </c>
      <c r="Z26">
        <f>HYPERLINK("https://klasma.github.io/Logging_2481/knärot/A 48832-2024 karta knärot.png", "A 48832-2024")</f>
        <v/>
      </c>
      <c r="AA26">
        <f>HYPERLINK("https://klasma.github.io/Logging_2481/klagomål/A 48832-2024 FSC-klagomål.docx", "A 48832-2024")</f>
        <v/>
      </c>
      <c r="AB26">
        <f>HYPERLINK("https://klasma.github.io/Logging_2481/klagomålsmail/A 48832-2024 FSC-klagomål mail.docx", "A 48832-2024")</f>
        <v/>
      </c>
      <c r="AC26">
        <f>HYPERLINK("https://klasma.github.io/Logging_2481/tillsyn/A 48832-2024 tillsynsbegäran.docx", "A 48832-2024")</f>
        <v/>
      </c>
      <c r="AD26">
        <f>HYPERLINK("https://klasma.github.io/Logging_2481/tillsynsmail/A 48832-2024 tillsynsbegäran mail.docx", "A 48832-2024")</f>
        <v/>
      </c>
      <c r="AE26">
        <f>HYPERLINK("https://klasma.github.io/Logging_2481/fåglar/A 48832-2024 prioriterade fågelarter.docx", "A 48832-2024")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46290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46290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46290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46290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46290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46290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46290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46290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46290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46290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46290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46290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73357-2021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44551</v>
      </c>
      <c r="E41" s="1" t="n">
        <v>46290</v>
      </c>
      <c r="F41" t="inlineStr">
        <is>
          <t>VÄSTERBOTTENS LÄN</t>
        </is>
      </c>
      <c r="G41" t="inlineStr">
        <is>
          <t>LYCKSELE</t>
        </is>
      </c>
      <c r="I41" t="n">
        <v>11.3</v>
      </c>
      <c r="J41" t="n">
        <v>2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Garnlav
Gammelgransskål
Tretåig hackspett
Spindelblomster</t>
        </is>
      </c>
      <c r="W41">
        <f>HYPERLINK("https://klasma.github.io/Logging_2481/artfynd/A 73357-2021 artfynd.xlsx", "A 73357-2021")</f>
        <v/>
      </c>
      <c r="X41">
        <f>HYPERLINK("https://klasma.github.io/Logging_2481/kartor/A 73357-2021 karta.png", "A 73357-2021")</f>
        <v/>
      </c>
      <c r="Y41">
        <f>HYPERLINK("https://klasma.github.io/Logging_2481/kartor_geotiff/A 73357-2021 georefererad karta.tif", "A 73357-2021")</f>
        <v/>
      </c>
      <c r="AA41">
        <f>HYPERLINK("https://klasma.github.io/Logging_2481/klagomål/A 73357-2021 FSC-klagomål.docx", "A 73357-2021")</f>
        <v/>
      </c>
      <c r="AB41">
        <f>HYPERLINK("https://klasma.github.io/Logging_2481/klagomålsmail/A 73357-2021 FSC-klagomål mail.docx", "A 73357-2021")</f>
        <v/>
      </c>
      <c r="AC41">
        <f>HYPERLINK("https://klasma.github.io/Logging_2481/tillsyn/A 73357-2021 tillsynsbegäran.docx", "A 73357-2021")</f>
        <v/>
      </c>
      <c r="AD41">
        <f>HYPERLINK("https://klasma.github.io/Logging_2481/tillsynsmail/A 73357-2021 tillsynsbegäran mail.docx", "A 73357-2021")</f>
        <v/>
      </c>
      <c r="AE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46290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46290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33581-2026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46290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9.300000000000001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Dropptaggsvamp
Mörk kolflarnlav
Vedflamlav</t>
        </is>
      </c>
      <c r="W44">
        <f>HYPERLINK("https://klasma.github.io/Logging_2481/artfynd/A 33581-2026 artfynd.xlsx", "A 33581-2026")</f>
        <v/>
      </c>
      <c r="X44">
        <f>HYPERLINK("https://klasma.github.io/Logging_2481/kartor/A 33581-2026 karta.png", "A 33581-2026")</f>
        <v/>
      </c>
      <c r="Y44">
        <f>HYPERLINK("https://klasma.github.io/Logging_2481/kartor_geotiff/A 33581-2026 georefererad karta.tif", "A 33581-2026")</f>
        <v/>
      </c>
      <c r="AA44">
        <f>HYPERLINK("https://klasma.github.io/Logging_2481/klagomål/A 33581-2026 FSC-klagomål.docx", "A 33581-2026")</f>
        <v/>
      </c>
      <c r="AB44">
        <f>HYPERLINK("https://klasma.github.io/Logging_2481/klagomålsmail/A 33581-2026 FSC-klagomål mail.docx", "A 33581-2026")</f>
        <v/>
      </c>
      <c r="AC44">
        <f>HYPERLINK("https://klasma.github.io/Logging_2481/tillsyn/A 33581-2026 tillsynsbegäran.docx", "A 33581-2026")</f>
        <v/>
      </c>
      <c r="AD44">
        <f>HYPERLINK("https://klasma.github.io/Logging_2481/tillsynsmail/A 33581-2026 tillsynsbegäran mail.docx", "A 33581-2026")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46290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46290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46290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46290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46290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46290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46290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46290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46290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46290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46290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46290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46290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46290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46290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46290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46290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46290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46290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12980-2026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46092</v>
      </c>
      <c r="E67" s="1" t="n">
        <v>46290</v>
      </c>
      <c r="F67" t="inlineStr">
        <is>
          <t>VÄSTERBOTTENS LÄN</t>
        </is>
      </c>
      <c r="G67" t="inlineStr">
        <is>
          <t>LYCKSELE</t>
        </is>
      </c>
      <c r="H67" t="inlineStr">
        <is>
          <t>SCA</t>
        </is>
      </c>
      <c r="I67" t="n">
        <v>7.2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Lunglav
Sälg
Videsparv</t>
        </is>
      </c>
      <c r="W67">
        <f>HYPERLINK("https://klasma.github.io/Logging_2481/artfynd/A 12980-2026 artfynd.xlsx", "A 12980-2026")</f>
        <v/>
      </c>
      <c r="X67">
        <f>HYPERLINK("https://klasma.github.io/Logging_2481/kartor/A 12980-2026 karta.png", "A 12980-2026")</f>
        <v/>
      </c>
      <c r="Y67">
        <f>HYPERLINK("https://klasma.github.io/Logging_2481/kartor_geotiff/A 12980-2026 georefererad karta.tif", "A 12980-2026")</f>
        <v/>
      </c>
      <c r="AA67">
        <f>HYPERLINK("https://klasma.github.io/Logging_2481/klagomål/A 12980-2026 FSC-klagomål.docx", "A 12980-2026")</f>
        <v/>
      </c>
      <c r="AB67">
        <f>HYPERLINK("https://klasma.github.io/Logging_2481/klagomålsmail/A 12980-2026 FSC-klagomål mail.docx", "A 12980-2026")</f>
        <v/>
      </c>
      <c r="AC67">
        <f>HYPERLINK("https://klasma.github.io/Logging_2481/tillsyn/A 12980-2026 tillsynsbegäran.docx", "A 12980-2026")</f>
        <v/>
      </c>
      <c r="AD67">
        <f>HYPERLINK("https://klasma.github.io/Logging_2481/tillsynsmail/A 12980-2026 tillsynsbegäran mail.docx", "A 12980-2026")</f>
        <v/>
      </c>
      <c r="AE67">
        <f>HYPERLINK("https://klasma.github.io/Logging_2481/fåglar/A 12980-2026 prioriterade fågelarter.docx", "A 12980-2026")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46290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60422-2024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46290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60422-2024 artfynd.xlsx", "A 60422-2024")</f>
        <v/>
      </c>
      <c r="X69">
        <f>HYPERLINK("https://klasma.github.io/Logging_2481/kartor/A 60422-2024 karta.png", "A 60422-2024")</f>
        <v/>
      </c>
      <c r="Y69">
        <f>HYPERLINK("https://klasma.github.io/Logging_2481/kartor_geotiff/A 60422-2024 georefererad karta.tif", "A 60422-2024")</f>
        <v/>
      </c>
      <c r="AA69">
        <f>HYPERLINK("https://klasma.github.io/Logging_2481/klagomål/A 60422-2024 FSC-klagomål.docx", "A 60422-2024")</f>
        <v/>
      </c>
      <c r="AB69">
        <f>HYPERLINK("https://klasma.github.io/Logging_2481/klagomålsmail/A 60422-2024 FSC-klagomål mail.docx", "A 60422-2024")</f>
        <v/>
      </c>
      <c r="AC69">
        <f>HYPERLINK("https://klasma.github.io/Logging_2481/tillsyn/A 60422-2024 tillsynsbegäran.docx", "A 60422-2024")</f>
        <v/>
      </c>
      <c r="AD69">
        <f>HYPERLINK("https://klasma.github.io/Logging_2481/tillsynsmail/A 60422-2024 tillsynsbegäran mail.docx", "A 60422-2024")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46290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46290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57357-2024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46290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9.699999999999999</v>
      </c>
      <c r="J73" t="n">
        <v>0</v>
      </c>
      <c r="K73" t="n">
        <v>0</v>
      </c>
      <c r="L73" t="n">
        <v>2</v>
      </c>
      <c r="M73" t="n">
        <v>1</v>
      </c>
      <c r="N73" t="n">
        <v>0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Garnlav
Doftskinn
Gammelgransskål</t>
        </is>
      </c>
      <c r="W73">
        <f>HYPERLINK("https://klasma.github.io/Logging_2481/artfynd/A 57357-2024 artfynd.xlsx", "A 57357-2024")</f>
        <v/>
      </c>
      <c r="X73">
        <f>HYPERLINK("https://klasma.github.io/Logging_2481/kartor/A 57357-2024 karta.png", "A 57357-2024")</f>
        <v/>
      </c>
      <c r="Y73">
        <f>HYPERLINK("https://klasma.github.io/Logging_2481/kartor_geotiff/A 57357-2024 georefererad karta.tif", "A 57357-2024")</f>
        <v/>
      </c>
      <c r="AA73">
        <f>HYPERLINK("https://klasma.github.io/Logging_2481/klagomål/A 57357-2024 FSC-klagomål.docx", "A 57357-2024")</f>
        <v/>
      </c>
      <c r="AB73">
        <f>HYPERLINK("https://klasma.github.io/Logging_2481/klagomålsmail/A 57357-2024 FSC-klagomål mail.docx", "A 57357-2024")</f>
        <v/>
      </c>
      <c r="AC73">
        <f>HYPERLINK("https://klasma.github.io/Logging_2481/tillsyn/A 57357-2024 tillsynsbegäran.docx", "A 57357-2024")</f>
        <v/>
      </c>
      <c r="AD73">
        <f>HYPERLINK("https://klasma.github.io/Logging_2481/tillsynsmail/A 57357-2024 tillsynsbegäran mail.docx", "A 57357-2024")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22123-2025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46290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11.2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Dropptaggsvamp
Kolflarnlav</t>
        </is>
      </c>
      <c r="W76">
        <f>HYPERLINK("https://klasma.github.io/Logging_2481/artfynd/A 22123-2025 artfynd.xlsx", "A 22123-2025")</f>
        <v/>
      </c>
      <c r="X76">
        <f>HYPERLINK("https://klasma.github.io/Logging_2481/kartor/A 22123-2025 karta.png", "A 22123-2025")</f>
        <v/>
      </c>
      <c r="Y76">
        <f>HYPERLINK("https://klasma.github.io/Logging_2481/kartor_geotiff/A 22123-2025 georefererad karta.tif", "A 22123-2025")</f>
        <v/>
      </c>
      <c r="AA76">
        <f>HYPERLINK("https://klasma.github.io/Logging_2481/klagomål/A 22123-2025 FSC-klagomål.docx", "A 22123-2025")</f>
        <v/>
      </c>
      <c r="AB76">
        <f>HYPERLINK("https://klasma.github.io/Logging_2481/klagomålsmail/A 22123-2025 FSC-klagomål mail.docx", "A 22123-2025")</f>
        <v/>
      </c>
      <c r="AC76">
        <f>HYPERLINK("https://klasma.github.io/Logging_2481/tillsyn/A 22123-2025 tillsynsbegäran.docx", "A 22123-2025")</f>
        <v/>
      </c>
      <c r="AD76">
        <f>HYPERLINK("https://klasma.github.io/Logging_2481/tillsynsmail/A 22123-2025 tillsynsbegäran mail.docx", "A 22123-2025")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46290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46290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46290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46290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46290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t="n">
        <v>7</v>
      </c>
      <c r="V82" s="2" t="inlineStr">
        <is>
          <t>Garnlav
Dropptaggsvamp</t>
        </is>
      </c>
      <c r="W82">
        <f>HYPERLINK("https://klasma.github.io/Logging_2481/artfynd/A 2893-2023 artfynd.xlsx", "A 2893-2023")</f>
        <v/>
      </c>
      <c r="X82">
        <f>HYPERLINK("https://klasma.github.io/Logging_2481/kartor/A 2893-2023 karta.png", "A 2893-2023")</f>
        <v/>
      </c>
      <c r="Y82">
        <f>HYPERLINK("https://klasma.github.io/Logging_2481/kartor_geotiff/A 2893-2023 georefererad karta.tif", "A 2893-2023")</f>
        <v/>
      </c>
      <c r="AA82">
        <f>HYPERLINK("https://klasma.github.io/Logging_2481/klagomål/A 2893-2023 FSC-klagomål.docx", "A 2893-2023")</f>
        <v/>
      </c>
      <c r="AB82">
        <f>HYPERLINK("https://klasma.github.io/Logging_2481/klagomålsmail/A 2893-2023 FSC-klagomål mail.docx", "A 2893-2023")</f>
        <v/>
      </c>
      <c r="AC82">
        <f>HYPERLINK("https://klasma.github.io/Logging_2481/tillsyn/A 2893-2023 tillsynsbegäran.docx", "A 2893-2023")</f>
        <v/>
      </c>
      <c r="AD82">
        <f>HYPERLINK("https://klasma.github.io/Logging_2481/tillsynsmail/A 2893-2023 tillsynsbegäran mail.docx", "A 2893-2023")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46290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37458-2025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46290</v>
      </c>
      <c r="F84" t="inlineStr">
        <is>
          <t>VÄSTERBOTTENS LÄN</t>
        </is>
      </c>
      <c r="G84" t="inlineStr">
        <is>
          <t>LYCKSELE</t>
        </is>
      </c>
      <c r="H84" t="inlineStr">
        <is>
          <t>Holmen skog AB</t>
        </is>
      </c>
      <c r="I84" t="n">
        <v>5.1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Lavskrika</t>
        </is>
      </c>
      <c r="W84">
        <f>HYPERLINK("https://klasma.github.io/Logging_2481/artfynd/A 37458-2025 artfynd.xlsx", "A 37458-2025")</f>
        <v/>
      </c>
      <c r="X84">
        <f>HYPERLINK("https://klasma.github.io/Logging_2481/kartor/A 37458-2025 karta.png", "A 37458-2025")</f>
        <v/>
      </c>
      <c r="Y84">
        <f>HYPERLINK("https://klasma.github.io/Logging_2481/kartor_geotiff/A 37458-2025 georefererad karta.tif", "A 37458-2025")</f>
        <v/>
      </c>
      <c r="AA84">
        <f>HYPERLINK("https://klasma.github.io/Logging_2481/klagomål/A 37458-2025 FSC-klagomål.docx", "A 37458-2025")</f>
        <v/>
      </c>
      <c r="AB84">
        <f>HYPERLINK("https://klasma.github.io/Logging_2481/klagomålsmail/A 37458-2025 FSC-klagomål mail.docx", "A 37458-2025")</f>
        <v/>
      </c>
      <c r="AC84">
        <f>HYPERLINK("https://klasma.github.io/Logging_2481/tillsyn/A 37458-2025 tillsynsbegäran.docx", "A 37458-2025")</f>
        <v/>
      </c>
      <c r="AD84">
        <f>HYPERLINK("https://klasma.github.io/Logging_2481/tillsynsmail/A 37458-2025 tillsynsbegäran mail.docx", "A 37458-2025")</f>
        <v/>
      </c>
      <c r="AE84">
        <f>HYPERLINK("https://klasma.github.io/Logging_2481/fåglar/A 37458-2025 prioriterade fågelarter.docx", "A 37458-2025")</f>
        <v/>
      </c>
    </row>
    <row r="85" ht="15" customHeight="1">
      <c r="A85" t="inlineStr">
        <is>
          <t>A 16914-2024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46290</v>
      </c>
      <c r="F85" t="inlineStr">
        <is>
          <t>VÄSTERBOTTENS LÄN</t>
        </is>
      </c>
      <c r="G85" t="inlineStr">
        <is>
          <t>LYCKSELE</t>
        </is>
      </c>
      <c r="I85" t="n">
        <v>24.6</v>
      </c>
      <c r="J85" t="n">
        <v>2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Lavskrika
Tretåig hackspett</t>
        </is>
      </c>
      <c r="W85">
        <f>HYPERLINK("https://klasma.github.io/Logging_2481/artfynd/A 16914-2024 artfynd.xlsx", "A 16914-2024")</f>
        <v/>
      </c>
      <c r="X85">
        <f>HYPERLINK("https://klasma.github.io/Logging_2481/kartor/A 16914-2024 karta.png", "A 16914-2024")</f>
        <v/>
      </c>
      <c r="Y85">
        <f>HYPERLINK("https://klasma.github.io/Logging_2481/kartor_geotiff/A 16914-2024 georefererad karta.tif", "A 16914-2024")</f>
        <v/>
      </c>
      <c r="AA85">
        <f>HYPERLINK("https://klasma.github.io/Logging_2481/klagomål/A 16914-2024 FSC-klagomål.docx", "A 16914-2024")</f>
        <v/>
      </c>
      <c r="AB85">
        <f>HYPERLINK("https://klasma.github.io/Logging_2481/klagomålsmail/A 16914-2024 FSC-klagomål mail.docx", "A 16914-2024")</f>
        <v/>
      </c>
      <c r="AC85">
        <f>HYPERLINK("https://klasma.github.io/Logging_2481/tillsyn/A 16914-2024 tillsynsbegäran.docx", "A 16914-2024")</f>
        <v/>
      </c>
      <c r="AD85">
        <f>HYPERLINK("https://klasma.github.io/Logging_2481/tillsynsmail/A 16914-2024 tillsynsbegäran mail.docx", "A 16914-2024")</f>
        <v/>
      </c>
      <c r="AE85">
        <f>HYPERLINK("https://klasma.github.io/Logging_2481/fåglar/A 16914-2024 prioriterade fågelarter.docx", "A 16914-2024")</f>
        <v/>
      </c>
    </row>
    <row r="86" ht="15" customHeight="1">
      <c r="A86" t="inlineStr">
        <is>
          <t>A 58657-2023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14.4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Talltita
Bollvitmossa</t>
        </is>
      </c>
      <c r="W86">
        <f>HYPERLINK("https://klasma.github.io/Logging_2481/artfynd/A 58657-2023 artfynd.xlsx", "A 58657-2023")</f>
        <v/>
      </c>
      <c r="X86">
        <f>HYPERLINK("https://klasma.github.io/Logging_2481/kartor/A 58657-2023 karta.png", "A 58657-2023")</f>
        <v/>
      </c>
      <c r="Y86">
        <f>HYPERLINK("https://klasma.github.io/Logging_2481/kartor_geotiff/A 58657-2023 georefererad karta.tif", "A 58657-2023")</f>
        <v/>
      </c>
      <c r="AA86">
        <f>HYPERLINK("https://klasma.github.io/Logging_2481/klagomål/A 58657-2023 FSC-klagomål.docx", "A 58657-2023")</f>
        <v/>
      </c>
      <c r="AB86">
        <f>HYPERLINK("https://klasma.github.io/Logging_2481/klagomålsmail/A 58657-2023 FSC-klagomål mail.docx", "A 58657-2023")</f>
        <v/>
      </c>
      <c r="AC86">
        <f>HYPERLINK("https://klasma.github.io/Logging_2481/tillsyn/A 58657-2023 tillsynsbegäran.docx", "A 58657-2023")</f>
        <v/>
      </c>
      <c r="AD86">
        <f>HYPERLINK("https://klasma.github.io/Logging_2481/tillsynsmail/A 58657-2023 tillsynsbegäran mail.docx", "A 58657-2023")</f>
        <v/>
      </c>
      <c r="AE86">
        <f>HYPERLINK("https://klasma.github.io/Logging_2481/fåglar/A 58657-2023 prioriterade fågelarter.docx", "A 58657-2023")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46290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46290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46290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46290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46290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38475-2023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46290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 taggsvamp
Mörk kolflarnlav</t>
        </is>
      </c>
      <c r="W94">
        <f>HYPERLINK("https://klasma.github.io/Logging_2481/artfynd/A 38475-2023 artfynd.xlsx", "A 38475-2023")</f>
        <v/>
      </c>
      <c r="X94">
        <f>HYPERLINK("https://klasma.github.io/Logging_2481/kartor/A 38475-2023 karta.png", "A 38475-2023")</f>
        <v/>
      </c>
      <c r="Y94">
        <f>HYPERLINK("https://klasma.github.io/Logging_2481/kartor_geotiff/A 38475-2023 georefererad karta.tif", "A 38475-2023")</f>
        <v/>
      </c>
      <c r="AA94">
        <f>HYPERLINK("https://klasma.github.io/Logging_2481/klagomål/A 38475-2023 FSC-klagomål.docx", "A 38475-2023")</f>
        <v/>
      </c>
      <c r="AB94">
        <f>HYPERLINK("https://klasma.github.io/Logging_2481/klagomålsmail/A 38475-2023 FSC-klagomål mail.docx", "A 38475-2023")</f>
        <v/>
      </c>
      <c r="AC94">
        <f>HYPERLINK("https://klasma.github.io/Logging_2481/tillsyn/A 38475-2023 tillsynsbegäran.docx", "A 38475-2023")</f>
        <v/>
      </c>
      <c r="AD94">
        <f>HYPERLINK("https://klasma.github.io/Logging_2481/tillsynsmail/A 38475-2023 tillsynsbegäran mail.docx", "A 38475-2023")</f>
        <v/>
      </c>
    </row>
    <row r="95" ht="15" customHeight="1">
      <c r="A95" t="inlineStr">
        <is>
          <t>A 49740-2025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Kolflarnlav
Mörk kolflarnlav</t>
        </is>
      </c>
      <c r="W95">
        <f>HYPERLINK("https://klasma.github.io/Logging_2481/artfynd/A 49740-2025 artfynd.xlsx", "A 49740-2025")</f>
        <v/>
      </c>
      <c r="X95">
        <f>HYPERLINK("https://klasma.github.io/Logging_2481/kartor/A 49740-2025 karta.png", "A 49740-2025")</f>
        <v/>
      </c>
      <c r="Y95">
        <f>HYPERLINK("https://klasma.github.io/Logging_2481/kartor_geotiff/A 49740-2025 georefererad karta.tif", "A 49740-2025")</f>
        <v/>
      </c>
      <c r="AA95">
        <f>HYPERLINK("https://klasma.github.io/Logging_2481/klagomål/A 49740-2025 FSC-klagomål.docx", "A 49740-2025")</f>
        <v/>
      </c>
      <c r="AB95">
        <f>HYPERLINK("https://klasma.github.io/Logging_2481/klagomålsmail/A 49740-2025 FSC-klagomål mail.docx", "A 49740-2025")</f>
        <v/>
      </c>
      <c r="AC95">
        <f>HYPERLINK("https://klasma.github.io/Logging_2481/tillsyn/A 49740-2025 tillsynsbegäran.docx", "A 49740-2025")</f>
        <v/>
      </c>
      <c r="AD95">
        <f>HYPERLINK("https://klasma.github.io/Logging_2481/tillsynsmail/A 49740-2025 tillsynsbegäran mail.docx", "A 49740-2025")</f>
        <v/>
      </c>
    </row>
    <row r="96" ht="15" customHeight="1">
      <c r="A96" t="inlineStr">
        <is>
          <t>A 55508-2025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45971</v>
      </c>
      <c r="E96" s="1" t="n">
        <v>46290</v>
      </c>
      <c r="F96" t="inlineStr">
        <is>
          <t>VÄSTERBOTTENS LÄN</t>
        </is>
      </c>
      <c r="G96" t="inlineStr">
        <is>
          <t>LYCKSELE</t>
        </is>
      </c>
      <c r="I96" t="n">
        <v>10.5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HYPERLINK("https://klasma.github.io/Logging_2481/artfynd/A 55508-2025 artfynd.xlsx", "A 55508-2025")</f>
        <v/>
      </c>
      <c r="X96">
        <f>HYPERLINK("https://klasma.github.io/Logging_2481/kartor/A 55508-2025 karta.png", "A 55508-2025")</f>
        <v/>
      </c>
      <c r="Y96">
        <f>HYPERLINK("https://klasma.github.io/Logging_2481/kartor_geotiff/A 55508-2025 georefererad karta.tif", "A 55508-2025")</f>
        <v/>
      </c>
      <c r="AA96">
        <f>HYPERLINK("https://klasma.github.io/Logging_2481/klagomål/A 55508-2025 FSC-klagomål.docx", "A 55508-2025")</f>
        <v/>
      </c>
      <c r="AB96">
        <f>HYPERLINK("https://klasma.github.io/Logging_2481/klagomålsmail/A 55508-2025 FSC-klagomål mail.docx", "A 55508-2025")</f>
        <v/>
      </c>
      <c r="AC96">
        <f>HYPERLINK("https://klasma.github.io/Logging_2481/tillsyn/A 55508-2025 tillsynsbegäran.docx", "A 55508-2025")</f>
        <v/>
      </c>
      <c r="AD96">
        <f>HYPERLINK("https://klasma.github.io/Logging_2481/tillsynsmail/A 55508-2025 tillsynsbegäran mail.docx", "A 55508-2025")</f>
        <v/>
      </c>
    </row>
    <row r="97" ht="15" customHeight="1">
      <c r="A97" t="inlineStr">
        <is>
          <t>A 28515-2023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46290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4</v>
      </c>
      <c r="U97" t="n">
        <v>4</v>
      </c>
      <c r="V97" s="2" t="inlineStr">
        <is>
          <t>Lunglav
Tallticka</t>
        </is>
      </c>
      <c r="W97">
        <f>HYPERLINK("https://klasma.github.io/Logging_2481/artfynd/A 28515-2023 artfynd.xlsx", "A 28515-2023")</f>
        <v/>
      </c>
      <c r="X97">
        <f>HYPERLINK("https://klasma.github.io/Logging_2481/kartor/A 28515-2023 karta.png", "A 28515-2023")</f>
        <v/>
      </c>
      <c r="Y97">
        <f>HYPERLINK("https://klasma.github.io/Logging_2481/kartor_geotiff/A 28515-2023 georefererad karta.tif", "A 28515-2023")</f>
        <v/>
      </c>
      <c r="AA97">
        <f>HYPERLINK("https://klasma.github.io/Logging_2481/klagomål/A 28515-2023 FSC-klagomål.docx", "A 28515-2023")</f>
        <v/>
      </c>
      <c r="AB97">
        <f>HYPERLINK("https://klasma.github.io/Logging_2481/klagomålsmail/A 28515-2023 FSC-klagomål mail.docx", "A 28515-2023")</f>
        <v/>
      </c>
      <c r="AC97">
        <f>HYPERLINK("https://klasma.github.io/Logging_2481/tillsyn/A 28515-2023 tillsynsbegäran.docx", "A 28515-2023")</f>
        <v/>
      </c>
      <c r="AD97">
        <f>HYPERLINK("https://klasma.github.io/Logging_2481/tillsynsmail/A 28515-2023 tillsynsbegäran mail.docx", "A 28515-2023")</f>
        <v/>
      </c>
    </row>
    <row r="98" ht="15" customHeight="1">
      <c r="A98" t="inlineStr">
        <is>
          <t>A 41776-2024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46290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Kolflarnlav
Koralltaggsvamp</t>
        </is>
      </c>
      <c r="W98">
        <f>HYPERLINK("https://klasma.github.io/Logging_2481/artfynd/A 41776-2024 artfynd.xlsx", "A 41776-2024")</f>
        <v/>
      </c>
      <c r="X98">
        <f>HYPERLINK("https://klasma.github.io/Logging_2481/kartor/A 41776-2024 karta.png", "A 41776-2024")</f>
        <v/>
      </c>
      <c r="Y98">
        <f>HYPERLINK("https://klasma.github.io/Logging_2481/kartor_geotiff/A 41776-2024 georefererad karta.tif", "A 41776-2024")</f>
        <v/>
      </c>
      <c r="AA98">
        <f>HYPERLINK("https://klasma.github.io/Logging_2481/klagomål/A 41776-2024 FSC-klagomål.docx", "A 41776-2024")</f>
        <v/>
      </c>
      <c r="AB98">
        <f>HYPERLINK("https://klasma.github.io/Logging_2481/klagomålsmail/A 41776-2024 FSC-klagomål mail.docx", "A 41776-2024")</f>
        <v/>
      </c>
      <c r="AC98">
        <f>HYPERLINK("https://klasma.github.io/Logging_2481/tillsyn/A 41776-2024 tillsynsbegäran.docx", "A 41776-2024")</f>
        <v/>
      </c>
      <c r="AD98">
        <f>HYPERLINK("https://klasma.github.io/Logging_2481/tillsynsmail/A 41776-2024 tillsynsbegäran mail.docx", "A 41776-2024")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46290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23096-2026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46290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12.7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23096-2026 artfynd.xlsx", "A 23096-2026")</f>
        <v/>
      </c>
      <c r="X100">
        <f>HYPERLINK("https://klasma.github.io/Logging_2481/kartor/A 23096-2026 karta.png", "A 23096-2026")</f>
        <v/>
      </c>
      <c r="Y100">
        <f>HYPERLINK("https://klasma.github.io/Logging_2481/kartor_geotiff/A 23096-2026 georefererad karta.tif", "A 23096-2026")</f>
        <v/>
      </c>
      <c r="AA100">
        <f>HYPERLINK("https://klasma.github.io/Logging_2481/klagomål/A 23096-2026 FSC-klagomål.docx", "A 23096-2026")</f>
        <v/>
      </c>
      <c r="AB100">
        <f>HYPERLINK("https://klasma.github.io/Logging_2481/klagomålsmail/A 23096-2026 FSC-klagomål mail.docx", "A 23096-2026")</f>
        <v/>
      </c>
      <c r="AC100">
        <f>HYPERLINK("https://klasma.github.io/Logging_2481/tillsyn/A 23096-2026 tillsynsbegäran.docx", "A 23096-2026")</f>
        <v/>
      </c>
      <c r="AD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46290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12619-2026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46290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Kungsörn
Orre</t>
        </is>
      </c>
      <c r="W102">
        <f>HYPERLINK("https://klasma.github.io/Logging_2481/artfynd/A 12619-2026 artfynd.xlsx", "A 12619-2026")</f>
        <v/>
      </c>
      <c r="X102">
        <f>HYPERLINK("https://klasma.github.io/Logging_2481/kartor/A 12619-2026 karta.png", "A 12619-2026")</f>
        <v/>
      </c>
      <c r="Y102">
        <f>HYPERLINK("https://klasma.github.io/Logging_2481/kartor_geotiff/A 12619-2026 georefererad karta.tif", "A 12619-2026")</f>
        <v/>
      </c>
      <c r="AA102">
        <f>HYPERLINK("https://klasma.github.io/Logging_2481/klagomål/A 12619-2026 FSC-klagomål.docx", "A 12619-2026")</f>
        <v/>
      </c>
      <c r="AB102">
        <f>HYPERLINK("https://klasma.github.io/Logging_2481/klagomålsmail/A 12619-2026 FSC-klagomål mail.docx", "A 12619-2026")</f>
        <v/>
      </c>
      <c r="AC102">
        <f>HYPERLINK("https://klasma.github.io/Logging_2481/tillsyn/A 12619-2026 tillsynsbegäran.docx", "A 12619-2026")</f>
        <v/>
      </c>
      <c r="AD102">
        <f>HYPERLINK("https://klasma.github.io/Logging_2481/tillsynsmail/A 12619-2026 tillsynsbegäran mail.docx", "A 12619-2026")</f>
        <v/>
      </c>
      <c r="AE102">
        <f>HYPERLINK("https://klasma.github.io/Logging_2481/fåglar/A 12619-2026 prioriterade fågelarter.docx", "A 12619-2026")</f>
        <v/>
      </c>
    </row>
    <row r="103" ht="15" customHeight="1">
      <c r="A103" t="inlineStr">
        <is>
          <t>A 25713-2026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46290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25713-2026 artfynd.xlsx", "A 25713-2026")</f>
        <v/>
      </c>
      <c r="X103">
        <f>HYPERLINK("https://klasma.github.io/Logging_2481/kartor/A 25713-2026 karta.png", "A 25713-2026")</f>
        <v/>
      </c>
      <c r="Y103">
        <f>HYPERLINK("https://klasma.github.io/Logging_2481/kartor_geotiff/A 25713-2026 georefererad karta.tif", "A 25713-2026")</f>
        <v/>
      </c>
      <c r="AA103">
        <f>HYPERLINK("https://klasma.github.io/Logging_2481/klagomål/A 25713-2026 FSC-klagomål.docx", "A 25713-2026")</f>
        <v/>
      </c>
      <c r="AB103">
        <f>HYPERLINK("https://klasma.github.io/Logging_2481/klagomålsmail/A 25713-2026 FSC-klagomål mail.docx", "A 25713-2026")</f>
        <v/>
      </c>
      <c r="AC103">
        <f>HYPERLINK("https://klasma.github.io/Logging_2481/tillsyn/A 25713-2026 tillsynsbegäran.docx", "A 25713-2026")</f>
        <v/>
      </c>
      <c r="AD103">
        <f>HYPERLINK("https://klasma.github.io/Logging_2481/tillsynsmail/A 25713-2026 tillsynsbegäran mail.docx", "A 25713-2026")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46290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46290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26927-2026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46290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14.6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Korallrot
Fläcknycklar</t>
        </is>
      </c>
      <c r="W106">
        <f>HYPERLINK("https://klasma.github.io/Logging_2481/artfynd/A 26927-2026 artfynd.xlsx", "A 26927-2026")</f>
        <v/>
      </c>
      <c r="X106">
        <f>HYPERLINK("https://klasma.github.io/Logging_2481/kartor/A 26927-2026 karta.png", "A 26927-2026")</f>
        <v/>
      </c>
      <c r="Y106">
        <f>HYPERLINK("https://klasma.github.io/Logging_2481/kartor_geotiff/A 26927-2026 georefererad karta.tif", "A 26927-2026")</f>
        <v/>
      </c>
      <c r="AA106">
        <f>HYPERLINK("https://klasma.github.io/Logging_2481/klagomål/A 26927-2026 FSC-klagomål.docx", "A 26927-2026")</f>
        <v/>
      </c>
      <c r="AB106">
        <f>HYPERLINK("https://klasma.github.io/Logging_2481/klagomålsmail/A 26927-2026 FSC-klagomål mail.docx", "A 26927-2026")</f>
        <v/>
      </c>
      <c r="AC106">
        <f>HYPERLINK("https://klasma.github.io/Logging_2481/tillsyn/A 26927-2026 tillsynsbegäran.docx", "A 26927-2026")</f>
        <v/>
      </c>
      <c r="AD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55566-2024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HYPERLINK("https://klasma.github.io/Logging_2481/artfynd/A 55566-2024 artfynd.xlsx", "A 55566-2024")</f>
        <v/>
      </c>
      <c r="X107">
        <f>HYPERLINK("https://klasma.github.io/Logging_2481/kartor/A 55566-2024 karta.png", "A 55566-2024")</f>
        <v/>
      </c>
      <c r="Y107">
        <f>HYPERLINK("https://klasma.github.io/Logging_2481/kartor_geotiff/A 55566-2024 georefererad karta.tif", "A 55566-2024")</f>
        <v/>
      </c>
      <c r="AA107">
        <f>HYPERLINK("https://klasma.github.io/Logging_2481/klagomål/A 55566-2024 FSC-klagomål.docx", "A 55566-2024")</f>
        <v/>
      </c>
      <c r="AB107">
        <f>HYPERLINK("https://klasma.github.io/Logging_2481/klagomålsmail/A 55566-2024 FSC-klagomål mail.docx", "A 55566-2024")</f>
        <v/>
      </c>
      <c r="AC107">
        <f>HYPERLINK("https://klasma.github.io/Logging_2481/tillsyn/A 55566-2024 tillsynsbegäran.docx", "A 55566-2024")</f>
        <v/>
      </c>
      <c r="AD107">
        <f>HYPERLINK("https://klasma.github.io/Logging_2481/tillsynsmail/A 55566-2024 tillsynsbegäran mail.docx", "A 55566-2024")</f>
        <v/>
      </c>
    </row>
    <row r="108" ht="15" customHeight="1">
      <c r="A108" t="inlineStr">
        <is>
          <t>A 20111-2025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46290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6.9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 taggsvamp
Orange taggsvamp</t>
        </is>
      </c>
      <c r="W108">
        <f>HYPERLINK("https://klasma.github.io/Logging_2481/artfynd/A 20111-2025 artfynd.xlsx", "A 20111-2025")</f>
        <v/>
      </c>
      <c r="X108">
        <f>HYPERLINK("https://klasma.github.io/Logging_2481/kartor/A 20111-2025 karta.png", "A 20111-2025")</f>
        <v/>
      </c>
      <c r="Y108">
        <f>HYPERLINK("https://klasma.github.io/Logging_2481/kartor_geotiff/A 20111-2025 georefererad karta.tif", "A 20111-2025")</f>
        <v/>
      </c>
      <c r="AA108">
        <f>HYPERLINK("https://klasma.github.io/Logging_2481/klagomål/A 20111-2025 FSC-klagomål.docx", "A 20111-2025")</f>
        <v/>
      </c>
      <c r="AB108">
        <f>HYPERLINK("https://klasma.github.io/Logging_2481/klagomålsmail/A 20111-2025 FSC-klagomål mail.docx", "A 20111-2025")</f>
        <v/>
      </c>
      <c r="AC108">
        <f>HYPERLINK("https://klasma.github.io/Logging_2481/tillsyn/A 20111-2025 tillsynsbegäran.docx", "A 20111-2025")</f>
        <v/>
      </c>
      <c r="AD108">
        <f>HYPERLINK("https://klasma.github.io/Logging_2481/tillsynsmail/A 20111-2025 tillsynsbegäran mail.docx", "A 20111-2025")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46290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33809-2026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46290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Kolflarnlav</t>
        </is>
      </c>
      <c r="W110">
        <f>HYPERLINK("https://klasma.github.io/Logging_2481/artfynd/A 33809-2026 artfynd.xlsx", "A 33809-2026")</f>
        <v/>
      </c>
      <c r="X110">
        <f>HYPERLINK("https://klasma.github.io/Logging_2481/kartor/A 33809-2026 karta.png", "A 33809-2026")</f>
        <v/>
      </c>
      <c r="Y110">
        <f>HYPERLINK("https://klasma.github.io/Logging_2481/kartor_geotiff/A 33809-2026 georefererad karta.tif", "A 33809-2026")</f>
        <v/>
      </c>
      <c r="AA110">
        <f>HYPERLINK("https://klasma.github.io/Logging_2481/klagomål/A 33809-2026 FSC-klagomål.docx", "A 33809-2026")</f>
        <v/>
      </c>
      <c r="AB110">
        <f>HYPERLINK("https://klasma.github.io/Logging_2481/klagomålsmail/A 33809-2026 FSC-klagomål mail.docx", "A 33809-2026")</f>
        <v/>
      </c>
      <c r="AC110">
        <f>HYPERLINK("https://klasma.github.io/Logging_2481/tillsyn/A 33809-2026 tillsynsbegäran.docx", "A 33809-2026")</f>
        <v/>
      </c>
      <c r="AD110">
        <f>HYPERLINK("https://klasma.github.io/Logging_2481/tillsynsmail/A 33809-2026 tillsynsbegäran mail.docx", "A 33809-2026")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46290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46290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15197-2023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45016</v>
      </c>
      <c r="E113" s="1" t="n">
        <v>46290</v>
      </c>
      <c r="F113" t="inlineStr">
        <is>
          <t>VÄSTERBOTTENS LÄN</t>
        </is>
      </c>
      <c r="G113" t="inlineStr">
        <is>
          <t>LYCKSELE</t>
        </is>
      </c>
      <c r="I113" t="n">
        <v>11.2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Dropptaggsvamp
Vaddporing</t>
        </is>
      </c>
      <c r="W113">
        <f>HYPERLINK("https://klasma.github.io/Logging_2481/artfynd/A 15197-2023 artfynd.xlsx", "A 15197-2023")</f>
        <v/>
      </c>
      <c r="X113">
        <f>HYPERLINK("https://klasma.github.io/Logging_2481/kartor/A 15197-2023 karta.png", "A 15197-2023")</f>
        <v/>
      </c>
      <c r="Y113">
        <f>HYPERLINK("https://klasma.github.io/Logging_2481/kartor_geotiff/A 15197-2023 georefererad karta.tif", "A 15197-2023")</f>
        <v/>
      </c>
      <c r="AA113">
        <f>HYPERLINK("https://klasma.github.io/Logging_2481/klagomål/A 15197-2023 FSC-klagomål.docx", "A 15197-2023")</f>
        <v/>
      </c>
      <c r="AB113">
        <f>HYPERLINK("https://klasma.github.io/Logging_2481/klagomålsmail/A 15197-2023 FSC-klagomål mail.docx", "A 15197-2023")</f>
        <v/>
      </c>
      <c r="AC113">
        <f>HYPERLINK("https://klasma.github.io/Logging_2481/tillsyn/A 15197-2023 tillsynsbegäran.docx", "A 15197-2023")</f>
        <v/>
      </c>
      <c r="AD113">
        <f>HYPERLINK("https://klasma.github.io/Logging_2481/tillsynsmail/A 15197-2023 tillsynsbegäran mail.docx", "A 15197-2023")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46290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46290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38467-2026 artfynd.xlsx", "A 38467-2026")</f>
        <v/>
      </c>
      <c r="X115">
        <f>HYPERLINK("https://klasma.github.io/Logging_2481/kartor/A 38467-2026 karta.png", "A 38467-2026")</f>
        <v/>
      </c>
      <c r="Y115">
        <f>HYPERLINK("https://klasma.github.io/Logging_2481/kartor_geotiff/A 38467-2026 georefererad karta.tif", "A 38467-2026")</f>
        <v/>
      </c>
      <c r="AA115">
        <f>HYPERLINK("https://klasma.github.io/Logging_2481/klagomål/A 38467-2026 FSC-klagomål.docx", "A 38467-2026")</f>
        <v/>
      </c>
      <c r="AB115">
        <f>HYPERLINK("https://klasma.github.io/Logging_2481/klagomålsmail/A 38467-2026 FSC-klagomål mail.docx", "A 38467-2026")</f>
        <v/>
      </c>
      <c r="AC115">
        <f>HYPERLINK("https://klasma.github.io/Logging_2481/tillsyn/A 38467-2026 tillsynsbegäran.docx", "A 38467-2026")</f>
        <v/>
      </c>
      <c r="AD115">
        <f>HYPERLINK("https://klasma.github.io/Logging_2481/tillsynsmail/A 38467-2026 tillsynsbegäran mail.docx", "A 38467-2026")</f>
        <v/>
      </c>
    </row>
    <row r="116" ht="15" customHeight="1">
      <c r="A116" t="inlineStr">
        <is>
          <t>A 38657-2026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46283</v>
      </c>
      <c r="E116" s="1" t="n">
        <v>46290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13.4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Garnlav
Kolflarnlav</t>
        </is>
      </c>
      <c r="W116">
        <f>HYPERLINK("https://klasma.github.io/Logging_2481/artfynd/A 38657-2026 artfynd.xlsx", "A 38657-2026")</f>
        <v/>
      </c>
      <c r="X116">
        <f>HYPERLINK("https://klasma.github.io/Logging_2481/kartor/A 38657-2026 karta.png", "A 38657-2026")</f>
        <v/>
      </c>
      <c r="Y116">
        <f>HYPERLINK("https://klasma.github.io/Logging_2481/kartor_geotiff/A 38657-2026 georefererad karta.tif", "A 38657-2026")</f>
        <v/>
      </c>
      <c r="AA116">
        <f>HYPERLINK("https://klasma.github.io/Logging_2481/klagomål/A 38657-2026 FSC-klagomål.docx", "A 38657-2026")</f>
        <v/>
      </c>
      <c r="AB116">
        <f>HYPERLINK("https://klasma.github.io/Logging_2481/klagomålsmail/A 38657-2026 FSC-klagomål mail.docx", "A 38657-2026")</f>
        <v/>
      </c>
      <c r="AC116">
        <f>HYPERLINK("https://klasma.github.io/Logging_2481/tillsyn/A 38657-2026 tillsynsbegäran.docx", "A 38657-2026")</f>
        <v/>
      </c>
      <c r="AD116">
        <f>HYPERLINK("https://klasma.github.io/Logging_2481/tillsynsmail/A 38657-2026 tillsynsbegäran mail.docx", "A 38657-2026")</f>
        <v/>
      </c>
    </row>
    <row r="117" ht="15" customHeight="1">
      <c r="A117" t="inlineStr">
        <is>
          <t>A 26271-2025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46290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Gammelgransskål
Lunglav</t>
        </is>
      </c>
      <c r="W117">
        <f>HYPERLINK("https://klasma.github.io/Logging_2481/artfynd/A 26271-2025 artfynd.xlsx", "A 26271-2025")</f>
        <v/>
      </c>
      <c r="X117">
        <f>HYPERLINK("https://klasma.github.io/Logging_2481/kartor/A 26271-2025 karta.png", "A 26271-2025")</f>
        <v/>
      </c>
      <c r="Y117">
        <f>HYPERLINK("https://klasma.github.io/Logging_2481/kartor_geotiff/A 26271-2025 georefererad karta.tif", "A 26271-2025")</f>
        <v/>
      </c>
      <c r="AA117">
        <f>HYPERLINK("https://klasma.github.io/Logging_2481/klagomål/A 26271-2025 FSC-klagomål.docx", "A 26271-2025")</f>
        <v/>
      </c>
      <c r="AB117">
        <f>HYPERLINK("https://klasma.github.io/Logging_2481/klagomålsmail/A 26271-2025 FSC-klagomål mail.docx", "A 26271-2025")</f>
        <v/>
      </c>
      <c r="AC117">
        <f>HYPERLINK("https://klasma.github.io/Logging_2481/tillsyn/A 26271-2025 tillsynsbegäran.docx", "A 26271-2025")</f>
        <v/>
      </c>
      <c r="AD117">
        <f>HYPERLINK("https://klasma.github.io/Logging_2481/tillsynsmail/A 26271-2025 tillsynsbegäran mail.docx", "A 26271-2025")</f>
        <v/>
      </c>
    </row>
    <row r="118" ht="15" customHeight="1">
      <c r="A118" t="inlineStr">
        <is>
          <t>A 30691-2025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46290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2</v>
      </c>
      <c r="V118" s="2" t="inlineStr">
        <is>
          <t>Mörk kolflarnlav
Tretåig hackspett</t>
        </is>
      </c>
      <c r="W118">
        <f>HYPERLINK("https://klasma.github.io/Logging_2481/artfynd/A 30691-2025 artfynd.xlsx", "A 30691-2025")</f>
        <v/>
      </c>
      <c r="X118">
        <f>HYPERLINK("https://klasma.github.io/Logging_2481/kartor/A 30691-2025 karta.png", "A 30691-2025")</f>
        <v/>
      </c>
      <c r="Y118">
        <f>HYPERLINK("https://klasma.github.io/Logging_2481/kartor_geotiff/A 30691-2025 georefererad karta.tif", "A 30691-2025")</f>
        <v/>
      </c>
      <c r="AA118">
        <f>HYPERLINK("https://klasma.github.io/Logging_2481/klagomål/A 30691-2025 FSC-klagomål.docx", "A 30691-2025")</f>
        <v/>
      </c>
      <c r="AB118">
        <f>HYPERLINK("https://klasma.github.io/Logging_2481/klagomålsmail/A 30691-2025 FSC-klagomål mail.docx", "A 30691-2025")</f>
        <v/>
      </c>
      <c r="AC118">
        <f>HYPERLINK("https://klasma.github.io/Logging_2481/tillsyn/A 30691-2025 tillsynsbegäran.docx", "A 30691-2025")</f>
        <v/>
      </c>
      <c r="AD118">
        <f>HYPERLINK("https://klasma.github.io/Logging_2481/tillsynsmail/A 30691-2025 tillsynsbegäran mail.docx", "A 30691-2025")</f>
        <v/>
      </c>
      <c r="AE118">
        <f>HYPERLINK("https://klasma.github.io/Logging_2481/fåglar/A 30691-2025 prioriterade fågelarter.docx", "A 30691-2025")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46290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46290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46290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46290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46290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46290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46290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45774-2024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46290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4.3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Barkticka</t>
        </is>
      </c>
      <c r="W126">
        <f>HYPERLINK("https://klasma.github.io/Logging_2481/artfynd/A 45774-2024 artfynd.xlsx", "A 45774-2024")</f>
        <v/>
      </c>
      <c r="X126">
        <f>HYPERLINK("https://klasma.github.io/Logging_2481/kartor/A 45774-2024 karta.png", "A 45774-2024")</f>
        <v/>
      </c>
      <c r="Y126">
        <f>HYPERLINK("https://klasma.github.io/Logging_2481/kartor_geotiff/A 45774-2024 georefererad karta.tif", "A 45774-2024")</f>
        <v/>
      </c>
      <c r="AA126">
        <f>HYPERLINK("https://klasma.github.io/Logging_2481/klagomål/A 45774-2024 FSC-klagomål.docx", "A 45774-2024")</f>
        <v/>
      </c>
      <c r="AB126">
        <f>HYPERLINK("https://klasma.github.io/Logging_2481/klagomålsmail/A 45774-2024 FSC-klagomål mail.docx", "A 45774-2024")</f>
        <v/>
      </c>
      <c r="AC126">
        <f>HYPERLINK("https://klasma.github.io/Logging_2481/tillsyn/A 45774-2024 tillsynsbegäran.docx", "A 45774-2024")</f>
        <v/>
      </c>
      <c r="AD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9924-2024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46290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5.3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9924-2024 artfynd.xlsx", "A 9924-2024")</f>
        <v/>
      </c>
      <c r="X127">
        <f>HYPERLINK("https://klasma.github.io/Logging_2481/kartor/A 9924-2024 karta.png", "A 9924-2024")</f>
        <v/>
      </c>
      <c r="Y127">
        <f>HYPERLINK("https://klasma.github.io/Logging_2481/kartor_geotiff/A 9924-2024 georefererad karta.tif", "A 9924-2024")</f>
        <v/>
      </c>
      <c r="AA127">
        <f>HYPERLINK("https://klasma.github.io/Logging_2481/klagomål/A 9924-2024 FSC-klagomål.docx", "A 9924-2024")</f>
        <v/>
      </c>
      <c r="AB127">
        <f>HYPERLINK("https://klasma.github.io/Logging_2481/klagomålsmail/A 9924-2024 FSC-klagomål mail.docx", "A 9924-2024")</f>
        <v/>
      </c>
      <c r="AC127">
        <f>HYPERLINK("https://klasma.github.io/Logging_2481/tillsyn/A 9924-2024 tillsynsbegäran.docx", "A 9924-2024")</f>
        <v/>
      </c>
      <c r="AD127">
        <f>HYPERLINK("https://klasma.github.io/Logging_2481/tillsynsmail/A 9924-2024 tillsynsbegäran mail.docx", "A 9924-2024")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46290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24824-2024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46290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6.1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Kungsörn</t>
        </is>
      </c>
      <c r="W129">
        <f>HYPERLINK("https://klasma.github.io/Logging_2481/artfynd/A 24824-2024 artfynd.xlsx", "A 24824-2024")</f>
        <v/>
      </c>
      <c r="X129">
        <f>HYPERLINK("https://klasma.github.io/Logging_2481/kartor/A 24824-2024 karta.png", "A 24824-2024")</f>
        <v/>
      </c>
      <c r="Y129">
        <f>HYPERLINK("https://klasma.github.io/Logging_2481/kartor_geotiff/A 24824-2024 georefererad karta.tif", "A 24824-2024")</f>
        <v/>
      </c>
      <c r="AA129">
        <f>HYPERLINK("https://klasma.github.io/Logging_2481/klagomål/A 24824-2024 FSC-klagomål.docx", "A 24824-2024")</f>
        <v/>
      </c>
      <c r="AB129">
        <f>HYPERLINK("https://klasma.github.io/Logging_2481/klagomålsmail/A 24824-2024 FSC-klagomål mail.docx", "A 24824-2024")</f>
        <v/>
      </c>
      <c r="AC129">
        <f>HYPERLINK("https://klasma.github.io/Logging_2481/tillsyn/A 24824-2024 tillsynsbegäran.docx", "A 24824-2024")</f>
        <v/>
      </c>
      <c r="AD129">
        <f>HYPERLINK("https://klasma.github.io/Logging_2481/tillsynsmail/A 24824-2024 tillsynsbegäran mail.docx", "A 24824-2024")</f>
        <v/>
      </c>
      <c r="AE129">
        <f>HYPERLINK("https://klasma.github.io/Logging_2481/fåglar/A 24824-2024 prioriterade fågelarter.docx", "A 24824-2024")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46290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46290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46290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35559-2023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46290</v>
      </c>
      <c r="F133" t="inlineStr">
        <is>
          <t>VÄSTERBOTTENS LÄN</t>
        </is>
      </c>
      <c r="G133" t="inlineStr">
        <is>
          <t>LYCKSELE</t>
        </is>
      </c>
      <c r="I133" t="n">
        <v>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Stjärntagging</t>
        </is>
      </c>
      <c r="W133">
        <f>HYPERLINK("https://klasma.github.io/Logging_2481/artfynd/A 35559-2023 artfynd.xlsx", "A 35559-2023")</f>
        <v/>
      </c>
      <c r="X133">
        <f>HYPERLINK("https://klasma.github.io/Logging_2481/kartor/A 35559-2023 karta.png", "A 35559-2023")</f>
        <v/>
      </c>
      <c r="Y133">
        <f>HYPERLINK("https://klasma.github.io/Logging_2481/kartor_geotiff/A 35559-2023 georefererad karta.tif", "A 35559-2023")</f>
        <v/>
      </c>
      <c r="AA133">
        <f>HYPERLINK("https://klasma.github.io/Logging_2481/klagomål/A 35559-2023 FSC-klagomål.docx", "A 35559-2023")</f>
        <v/>
      </c>
      <c r="AB133">
        <f>HYPERLINK("https://klasma.github.io/Logging_2481/klagomålsmail/A 35559-2023 FSC-klagomål mail.docx", "A 35559-2023")</f>
        <v/>
      </c>
      <c r="AC133">
        <f>HYPERLINK("https://klasma.github.io/Logging_2481/tillsyn/A 35559-2023 tillsynsbegäran.docx", "A 35559-2023")</f>
        <v/>
      </c>
      <c r="AD133">
        <f>HYPERLINK("https://klasma.github.io/Logging_2481/tillsynsmail/A 35559-2023 tillsynsbegäran mail.docx", "A 35559-2023")</f>
        <v/>
      </c>
    </row>
    <row r="134" ht="15" customHeight="1">
      <c r="A134" t="inlineStr">
        <is>
          <t>A 36687-2025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45873</v>
      </c>
      <c r="E134" s="1" t="n">
        <v>46290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36687-2025 artfynd.xlsx", "A 36687-2025")</f>
        <v/>
      </c>
      <c r="X134">
        <f>HYPERLINK("https://klasma.github.io/Logging_2481/kartor/A 36687-2025 karta.png", "A 36687-2025")</f>
        <v/>
      </c>
      <c r="Y134">
        <f>HYPERLINK("https://klasma.github.io/Logging_2481/kartor_geotiff/A 36687-2025 georefererad karta.tif", "A 36687-2025")</f>
        <v/>
      </c>
      <c r="AA134">
        <f>HYPERLINK("https://klasma.github.io/Logging_2481/klagomål/A 36687-2025 FSC-klagomål.docx", "A 36687-2025")</f>
        <v/>
      </c>
      <c r="AB134">
        <f>HYPERLINK("https://klasma.github.io/Logging_2481/klagomålsmail/A 36687-2025 FSC-klagomål mail.docx", "A 36687-2025")</f>
        <v/>
      </c>
      <c r="AC134">
        <f>HYPERLINK("https://klasma.github.io/Logging_2481/tillsyn/A 36687-2025 tillsynsbegäran.docx", "A 36687-2025")</f>
        <v/>
      </c>
      <c r="AD134">
        <f>HYPERLINK("https://klasma.github.io/Logging_2481/tillsynsmail/A 36687-2025 tillsynsbegäran mail.docx", "A 36687-2025")</f>
        <v/>
      </c>
    </row>
    <row r="135" ht="15" customHeight="1">
      <c r="A135" t="inlineStr">
        <is>
          <t>A 39231-2025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46290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kolflarnlav</t>
        </is>
      </c>
      <c r="W135">
        <f>HYPERLINK("https://klasma.github.io/Logging_2481/artfynd/A 39231-2025 artfynd.xlsx", "A 39231-2025")</f>
        <v/>
      </c>
      <c r="X135">
        <f>HYPERLINK("https://klasma.github.io/Logging_2481/kartor/A 39231-2025 karta.png", "A 39231-2025")</f>
        <v/>
      </c>
      <c r="Y135">
        <f>HYPERLINK("https://klasma.github.io/Logging_2481/kartor_geotiff/A 39231-2025 georefererad karta.tif", "A 39231-2025")</f>
        <v/>
      </c>
      <c r="AA135">
        <f>HYPERLINK("https://klasma.github.io/Logging_2481/klagomål/A 39231-2025 FSC-klagomål.docx", "A 39231-2025")</f>
        <v/>
      </c>
      <c r="AB135">
        <f>HYPERLINK("https://klasma.github.io/Logging_2481/klagomålsmail/A 39231-2025 FSC-klagomål mail.docx", "A 39231-2025")</f>
        <v/>
      </c>
      <c r="AC135">
        <f>HYPERLINK("https://klasma.github.io/Logging_2481/tillsyn/A 39231-2025 tillsynsbegäran.docx", "A 39231-2025")</f>
        <v/>
      </c>
      <c r="AD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46290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39280-2025 artfynd.xlsx", "A 39280-2025")</f>
        <v/>
      </c>
      <c r="X136">
        <f>HYPERLINK("https://klasma.github.io/Logging_2481/kartor/A 39280-2025 karta.png", "A 39280-2025")</f>
        <v/>
      </c>
      <c r="Y136">
        <f>HYPERLINK("https://klasma.github.io/Logging_2481/kartor_geotiff/A 39280-2025 georefererad karta.tif", "A 39280-2025")</f>
        <v/>
      </c>
      <c r="AA136">
        <f>HYPERLINK("https://klasma.github.io/Logging_2481/klagomål/A 39280-2025 FSC-klagomål.docx", "A 39280-2025")</f>
        <v/>
      </c>
      <c r="AB136">
        <f>HYPERLINK("https://klasma.github.io/Logging_2481/klagomålsmail/A 39280-2025 FSC-klagomål mail.docx", "A 39280-2025")</f>
        <v/>
      </c>
      <c r="AC136">
        <f>HYPERLINK("https://klasma.github.io/Logging_2481/tillsyn/A 39280-2025 tillsynsbegäran.docx", "A 39280-2025")</f>
        <v/>
      </c>
      <c r="AD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37823-2025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46290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Plattlummer</t>
        </is>
      </c>
      <c r="W137">
        <f>HYPERLINK("https://klasma.github.io/Logging_2481/artfynd/A 37823-2025 artfynd.xlsx", "A 37823-2025")</f>
        <v/>
      </c>
      <c r="X137">
        <f>HYPERLINK("https://klasma.github.io/Logging_2481/kartor/A 37823-2025 karta.png", "A 37823-2025")</f>
        <v/>
      </c>
      <c r="Y137">
        <f>HYPERLINK("https://klasma.github.io/Logging_2481/kartor_geotiff/A 37823-2025 georefererad karta.tif", "A 37823-2025")</f>
        <v/>
      </c>
      <c r="AA137">
        <f>HYPERLINK("https://klasma.github.io/Logging_2481/klagomål/A 37823-2025 FSC-klagomål.docx", "A 37823-2025")</f>
        <v/>
      </c>
      <c r="AB137">
        <f>HYPERLINK("https://klasma.github.io/Logging_2481/klagomålsmail/A 37823-2025 FSC-klagomål mail.docx", "A 37823-2025")</f>
        <v/>
      </c>
      <c r="AC137">
        <f>HYPERLINK("https://klasma.github.io/Logging_2481/tillsyn/A 37823-2025 tillsynsbegäran.docx", "A 37823-2025")</f>
        <v/>
      </c>
      <c r="AD137">
        <f>HYPERLINK("https://klasma.github.io/Logging_2481/tillsynsmail/A 37823-2025 tillsynsbegäran mail.docx", "A 37823-2025")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46290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44360-2025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46290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44360-2025 artfynd.xlsx", "A 44360-2025")</f>
        <v/>
      </c>
      <c r="X140">
        <f>HYPERLINK("https://klasma.github.io/Logging_2481/kartor/A 44360-2025 karta.png", "A 44360-2025")</f>
        <v/>
      </c>
      <c r="Y140">
        <f>HYPERLINK("https://klasma.github.io/Logging_2481/kartor_geotiff/A 44360-2025 georefererad karta.tif", "A 44360-2025")</f>
        <v/>
      </c>
      <c r="AA140">
        <f>HYPERLINK("https://klasma.github.io/Logging_2481/klagomål/A 44360-2025 FSC-klagomål.docx", "A 44360-2025")</f>
        <v/>
      </c>
      <c r="AB140">
        <f>HYPERLINK("https://klasma.github.io/Logging_2481/klagomålsmail/A 44360-2025 FSC-klagomål mail.docx", "A 44360-2025")</f>
        <v/>
      </c>
      <c r="AC140">
        <f>HYPERLINK("https://klasma.github.io/Logging_2481/tillsyn/A 44360-2025 tillsynsbegäran.docx", "A 44360-2025")</f>
        <v/>
      </c>
      <c r="AD140">
        <f>HYPERLINK("https://klasma.github.io/Logging_2481/tillsynsmail/A 44360-2025 tillsynsbegäran mail.docx", "A 44360-2025")</f>
        <v/>
      </c>
    </row>
    <row r="141" ht="15" customHeight="1">
      <c r="A141" t="inlineStr">
        <is>
          <t>A 44331-2025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46290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44331-2025 artfynd.xlsx", "A 44331-2025")</f>
        <v/>
      </c>
      <c r="X141">
        <f>HYPERLINK("https://klasma.github.io/Logging_2481/kartor/A 44331-2025 karta.png", "A 44331-2025")</f>
        <v/>
      </c>
      <c r="Y141">
        <f>HYPERLINK("https://klasma.github.io/Logging_2481/kartor_geotiff/A 44331-2025 georefererad karta.tif", "A 44331-2025")</f>
        <v/>
      </c>
      <c r="AA141">
        <f>HYPERLINK("https://klasma.github.io/Logging_2481/klagomål/A 44331-2025 FSC-klagomål.docx", "A 44331-2025")</f>
        <v/>
      </c>
      <c r="AB141">
        <f>HYPERLINK("https://klasma.github.io/Logging_2481/klagomålsmail/A 44331-2025 FSC-klagomål mail.docx", "A 44331-2025")</f>
        <v/>
      </c>
      <c r="AC141">
        <f>HYPERLINK("https://klasma.github.io/Logging_2481/tillsyn/A 44331-2025 tillsynsbegäran.docx", "A 44331-2025")</f>
        <v/>
      </c>
      <c r="AD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45127-2025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46290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45127-2025 artfynd.xlsx", "A 45127-2025")</f>
        <v/>
      </c>
      <c r="X142">
        <f>HYPERLINK("https://klasma.github.io/Logging_2481/kartor/A 45127-2025 karta.png", "A 45127-2025")</f>
        <v/>
      </c>
      <c r="Y142">
        <f>HYPERLINK("https://klasma.github.io/Logging_2481/kartor_geotiff/A 45127-2025 georefererad karta.tif", "A 45127-2025")</f>
        <v/>
      </c>
      <c r="AA142">
        <f>HYPERLINK("https://klasma.github.io/Logging_2481/klagomål/A 45127-2025 FSC-klagomål.docx", "A 45127-2025")</f>
        <v/>
      </c>
      <c r="AB142">
        <f>HYPERLINK("https://klasma.github.io/Logging_2481/klagomålsmail/A 45127-2025 FSC-klagomål mail.docx", "A 45127-2025")</f>
        <v/>
      </c>
      <c r="AC142">
        <f>HYPERLINK("https://klasma.github.io/Logging_2481/tillsyn/A 45127-2025 tillsynsbegäran.docx", "A 45127-2025")</f>
        <v/>
      </c>
      <c r="AD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46290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50463-2025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46290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50463-2025 artfynd.xlsx", "A 50463-2025")</f>
        <v/>
      </c>
      <c r="X144">
        <f>HYPERLINK("https://klasma.github.io/Logging_2481/kartor/A 50463-2025 karta.png", "A 50463-2025")</f>
        <v/>
      </c>
      <c r="Y144">
        <f>HYPERLINK("https://klasma.github.io/Logging_2481/kartor_geotiff/A 50463-2025 georefererad karta.tif", "A 50463-2025")</f>
        <v/>
      </c>
      <c r="AA144">
        <f>HYPERLINK("https://klasma.github.io/Logging_2481/klagomål/A 50463-2025 FSC-klagomål.docx", "A 50463-2025")</f>
        <v/>
      </c>
      <c r="AB144">
        <f>HYPERLINK("https://klasma.github.io/Logging_2481/klagomålsmail/A 50463-2025 FSC-klagomål mail.docx", "A 50463-2025")</f>
        <v/>
      </c>
      <c r="AC144">
        <f>HYPERLINK("https://klasma.github.io/Logging_2481/tillsyn/A 50463-2025 tillsynsbegäran.docx", "A 50463-2025")</f>
        <v/>
      </c>
      <c r="AD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46290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46290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14.1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Bårdlav</t>
        </is>
      </c>
      <c r="W146">
        <f>HYPERLINK("https://klasma.github.io/Logging_2481/artfynd/A 53108-2025 artfynd.xlsx", "A 53108-2025")</f>
        <v/>
      </c>
      <c r="X146">
        <f>HYPERLINK("https://klasma.github.io/Logging_2481/kartor/A 53108-2025 karta.png", "A 53108-2025")</f>
        <v/>
      </c>
      <c r="Y146">
        <f>HYPERLINK("https://klasma.github.io/Logging_2481/kartor_geotiff/A 53108-2025 georefererad karta.tif", "A 53108-2025")</f>
        <v/>
      </c>
      <c r="AA146">
        <f>HYPERLINK("https://klasma.github.io/Logging_2481/klagomål/A 53108-2025 FSC-klagomål.docx", "A 53108-2025")</f>
        <v/>
      </c>
      <c r="AB146">
        <f>HYPERLINK("https://klasma.github.io/Logging_2481/klagomålsmail/A 53108-2025 FSC-klagomål mail.docx", "A 53108-2025")</f>
        <v/>
      </c>
      <c r="AC146">
        <f>HYPERLINK("https://klasma.github.io/Logging_2481/tillsyn/A 53108-2025 tillsynsbegäran.docx", "A 53108-2025")</f>
        <v/>
      </c>
      <c r="AD146">
        <f>HYPERLINK("https://klasma.github.io/Logging_2481/tillsynsmail/A 53108-2025 tillsynsbegäran mail.docx", "A 53108-2025")</f>
        <v/>
      </c>
    </row>
    <row r="147" ht="15" customHeight="1">
      <c r="A147" t="inlineStr">
        <is>
          <t>A 54277-2025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46290</v>
      </c>
      <c r="F147" t="inlineStr">
        <is>
          <t>VÄSTERBOTTENS LÄN</t>
        </is>
      </c>
      <c r="G147" t="inlineStr">
        <is>
          <t>LYCKSELE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0</v>
      </c>
      <c r="V147" s="2" t="inlineStr">
        <is>
          <t>Garnlav</t>
        </is>
      </c>
      <c r="W147">
        <f>HYPERLINK("https://klasma.github.io/Logging_2481/artfynd/A 54277-2025 artfynd.xlsx", "A 54277-2025")</f>
        <v/>
      </c>
      <c r="X147">
        <f>HYPERLINK("https://klasma.github.io/Logging_2481/kartor/A 54277-2025 karta.png", "A 54277-2025")</f>
        <v/>
      </c>
      <c r="Y147">
        <f>HYPERLINK("https://klasma.github.io/Logging_2481/kartor_geotiff/A 54277-2025 georefererad karta.tif", "A 54277-2025")</f>
        <v/>
      </c>
      <c r="AA147">
        <f>HYPERLINK("https://klasma.github.io/Logging_2481/klagomål/A 54277-2025 FSC-klagomål.docx", "A 54277-2025")</f>
        <v/>
      </c>
      <c r="AB147">
        <f>HYPERLINK("https://klasma.github.io/Logging_2481/klagomålsmail/A 54277-2025 FSC-klagomål mail.docx", "A 54277-2025")</f>
        <v/>
      </c>
      <c r="AC147">
        <f>HYPERLINK("https://klasma.github.io/Logging_2481/tillsyn/A 54277-2025 tillsynsbegäran.docx", "A 54277-2025")</f>
        <v/>
      </c>
      <c r="AD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55938-2023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46290</v>
      </c>
      <c r="F148" t="inlineStr">
        <is>
          <t>VÄSTERBOTTENS LÄN</t>
        </is>
      </c>
      <c r="G148" t="inlineStr">
        <is>
          <t>LYCKSELE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Järpe</t>
        </is>
      </c>
      <c r="W148">
        <f>HYPERLINK("https://klasma.github.io/Logging_2481/artfynd/A 55938-2023 artfynd.xlsx", "A 55938-2023")</f>
        <v/>
      </c>
      <c r="X148">
        <f>HYPERLINK("https://klasma.github.io/Logging_2481/kartor/A 55938-2023 karta.png", "A 55938-2023")</f>
        <v/>
      </c>
      <c r="Y148">
        <f>HYPERLINK("https://klasma.github.io/Logging_2481/kartor_geotiff/A 55938-2023 georefererad karta.tif", "A 55938-2023")</f>
        <v/>
      </c>
      <c r="AA148">
        <f>HYPERLINK("https://klasma.github.io/Logging_2481/klagomål/A 55938-2023 FSC-klagomål.docx", "A 55938-2023")</f>
        <v/>
      </c>
      <c r="AB148">
        <f>HYPERLINK("https://klasma.github.io/Logging_2481/klagomålsmail/A 55938-2023 FSC-klagomål mail.docx", "A 55938-2023")</f>
        <v/>
      </c>
      <c r="AC148">
        <f>HYPERLINK("https://klasma.github.io/Logging_2481/tillsyn/A 55938-2023 tillsynsbegäran.docx", "A 55938-2023")</f>
        <v/>
      </c>
      <c r="AD148">
        <f>HYPERLINK("https://klasma.github.io/Logging_2481/tillsynsmail/A 55938-2023 tillsynsbegäran mail.docx", "A 55938-2023")</f>
        <v/>
      </c>
      <c r="AE148">
        <f>HYPERLINK("https://klasma.github.io/Logging_2481/fåglar/A 55938-2023 prioriterade fågelarter.docx", "A 55938-2023")</f>
        <v/>
      </c>
    </row>
    <row r="149" ht="15" customHeight="1">
      <c r="A149" t="inlineStr">
        <is>
          <t>A 20404-2026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46290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Utter</t>
        </is>
      </c>
      <c r="W149">
        <f>HYPERLINK("https://klasma.github.io/Logging_2481/artfynd/A 20404-2026 artfynd.xlsx", "A 20404-2026")</f>
        <v/>
      </c>
      <c r="X149">
        <f>HYPERLINK("https://klasma.github.io/Logging_2481/kartor/A 20404-2026 karta.png", "A 20404-2026")</f>
        <v/>
      </c>
      <c r="Y149">
        <f>HYPERLINK("https://klasma.github.io/Logging_2481/kartor_geotiff/A 20404-2026 georefererad karta.tif", "A 20404-2026")</f>
        <v/>
      </c>
      <c r="AA149">
        <f>HYPERLINK("https://klasma.github.io/Logging_2481/klagomål/A 20404-2026 FSC-klagomål.docx", "A 20404-2026")</f>
        <v/>
      </c>
      <c r="AB149">
        <f>HYPERLINK("https://klasma.github.io/Logging_2481/klagomålsmail/A 20404-2026 FSC-klagomål mail.docx", "A 20404-2026")</f>
        <v/>
      </c>
      <c r="AC149">
        <f>HYPERLINK("https://klasma.github.io/Logging_2481/tillsyn/A 20404-2026 tillsynsbegäran.docx", "A 20404-2026")</f>
        <v/>
      </c>
      <c r="AD149">
        <f>HYPERLINK("https://klasma.github.io/Logging_2481/tillsynsmail/A 20404-2026 tillsynsbegäran mail.docx", "A 20404-2026")</f>
        <v/>
      </c>
    </row>
    <row r="150" ht="15" customHeight="1">
      <c r="A150" t="inlineStr">
        <is>
          <t>A 38507-2023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46290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38507-2023 artfynd.xlsx", "A 38507-2023")</f>
        <v/>
      </c>
      <c r="X150">
        <f>HYPERLINK("https://klasma.github.io/Logging_2481/kartor/A 38507-2023 karta.png", "A 38507-2023")</f>
        <v/>
      </c>
      <c r="Y150">
        <f>HYPERLINK("https://klasma.github.io/Logging_2481/kartor_geotiff/A 38507-2023 georefererad karta.tif", "A 38507-2023")</f>
        <v/>
      </c>
      <c r="AA150">
        <f>HYPERLINK("https://klasma.github.io/Logging_2481/klagomål/A 38507-2023 FSC-klagomål.docx", "A 38507-2023")</f>
        <v/>
      </c>
      <c r="AB150">
        <f>HYPERLINK("https://klasma.github.io/Logging_2481/klagomålsmail/A 38507-2023 FSC-klagomål mail.docx", "A 38507-2023")</f>
        <v/>
      </c>
      <c r="AC150">
        <f>HYPERLINK("https://klasma.github.io/Logging_2481/tillsyn/A 38507-2023 tillsynsbegäran.docx", "A 38507-2023")</f>
        <v/>
      </c>
      <c r="AD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46290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46290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20929-2025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46290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HYPERLINK("https://klasma.github.io/Logging_2481/artfynd/A 20929-2025 artfynd.xlsx", "A 20929-2025")</f>
        <v/>
      </c>
      <c r="X153">
        <f>HYPERLINK("https://klasma.github.io/Logging_2481/kartor/A 20929-2025 karta.png", "A 20929-2025")</f>
        <v/>
      </c>
      <c r="Y153">
        <f>HYPERLINK("https://klasma.github.io/Logging_2481/kartor_geotiff/A 20929-2025 georefererad karta.tif", "A 20929-2025")</f>
        <v/>
      </c>
      <c r="AA153">
        <f>HYPERLINK("https://klasma.github.io/Logging_2481/klagomål/A 20929-2025 FSC-klagomål.docx", "A 20929-2025")</f>
        <v/>
      </c>
      <c r="AB153">
        <f>HYPERLINK("https://klasma.github.io/Logging_2481/klagomålsmail/A 20929-2025 FSC-klagomål mail.docx", "A 20929-2025")</f>
        <v/>
      </c>
      <c r="AC153">
        <f>HYPERLINK("https://klasma.github.io/Logging_2481/tillsyn/A 20929-2025 tillsynsbegäran.docx", "A 20929-2025")</f>
        <v/>
      </c>
      <c r="AD153">
        <f>HYPERLINK("https://klasma.github.io/Logging_2481/tillsynsmail/A 20929-2025 tillsynsbegäran mail.docx", "A 20929-2025")</f>
        <v/>
      </c>
    </row>
    <row r="154" ht="15" customHeight="1">
      <c r="A154" t="inlineStr">
        <is>
          <t>A 59883-2025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46290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59883-2025 artfynd.xlsx", "A 59883-2025")</f>
        <v/>
      </c>
      <c r="X154">
        <f>HYPERLINK("https://klasma.github.io/Logging_2481/kartor/A 59883-2025 karta.png", "A 59883-2025")</f>
        <v/>
      </c>
      <c r="Y154">
        <f>HYPERLINK("https://klasma.github.io/Logging_2481/kartor_geotiff/A 59883-2025 georefererad karta.tif", "A 59883-2025")</f>
        <v/>
      </c>
      <c r="AA154">
        <f>HYPERLINK("https://klasma.github.io/Logging_2481/klagomål/A 59883-2025 FSC-klagomål.docx", "A 59883-2025")</f>
        <v/>
      </c>
      <c r="AB154">
        <f>HYPERLINK("https://klasma.github.io/Logging_2481/klagomålsmail/A 59883-2025 FSC-klagomål mail.docx", "A 59883-2025")</f>
        <v/>
      </c>
      <c r="AC154">
        <f>HYPERLINK("https://klasma.github.io/Logging_2481/tillsyn/A 59883-2025 tillsynsbegäran.docx", "A 59883-2025")</f>
        <v/>
      </c>
      <c r="AD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22120-2026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46290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22120-2026 artfynd.xlsx", "A 22120-2026")</f>
        <v/>
      </c>
      <c r="X155">
        <f>HYPERLINK("https://klasma.github.io/Logging_2481/kartor/A 22120-2026 karta.png", "A 22120-2026")</f>
        <v/>
      </c>
      <c r="Y155">
        <f>HYPERLINK("https://klasma.github.io/Logging_2481/kartor_geotiff/A 22120-2026 georefererad karta.tif", "A 22120-2026")</f>
        <v/>
      </c>
      <c r="AA155">
        <f>HYPERLINK("https://klasma.github.io/Logging_2481/klagomål/A 22120-2026 FSC-klagomål.docx", "A 22120-2026")</f>
        <v/>
      </c>
      <c r="AB155">
        <f>HYPERLINK("https://klasma.github.io/Logging_2481/klagomålsmail/A 22120-2026 FSC-klagomål mail.docx", "A 22120-2026")</f>
        <v/>
      </c>
      <c r="AC155">
        <f>HYPERLINK("https://klasma.github.io/Logging_2481/tillsyn/A 22120-2026 tillsynsbegäran.docx", "A 22120-2026")</f>
        <v/>
      </c>
      <c r="AD155">
        <f>HYPERLINK("https://klasma.github.io/Logging_2481/tillsynsmail/A 22120-2026 tillsynsbegäran mail.docx", "A 22120-2026")</f>
        <v/>
      </c>
    </row>
    <row r="156" ht="15" customHeight="1">
      <c r="A156" t="inlineStr">
        <is>
          <t>A 57243-2025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45979</v>
      </c>
      <c r="E156" s="1" t="n">
        <v>46290</v>
      </c>
      <c r="F156" t="inlineStr">
        <is>
          <t>VÄSTERBOTTENS LÄN</t>
        </is>
      </c>
      <c r="G156" t="inlineStr">
        <is>
          <t>LYCKSELE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57243-2025 artfynd.xlsx", "A 57243-2025")</f>
        <v/>
      </c>
      <c r="X156">
        <f>HYPERLINK("https://klasma.github.io/Logging_2481/kartor/A 57243-2025 karta.png", "A 57243-2025")</f>
        <v/>
      </c>
      <c r="Y156">
        <f>HYPERLINK("https://klasma.github.io/Logging_2481/kartor_geotiff/A 57243-2025 georefererad karta.tif", "A 57243-2025")</f>
        <v/>
      </c>
      <c r="AA156">
        <f>HYPERLINK("https://klasma.github.io/Logging_2481/klagomål/A 57243-2025 FSC-klagomål.docx", "A 57243-2025")</f>
        <v/>
      </c>
      <c r="AB156">
        <f>HYPERLINK("https://klasma.github.io/Logging_2481/klagomålsmail/A 57243-2025 FSC-klagomål mail.docx", "A 57243-2025")</f>
        <v/>
      </c>
      <c r="AC156">
        <f>HYPERLINK("https://klasma.github.io/Logging_2481/tillsyn/A 57243-2025 tillsynsbegäran.docx", "A 57243-2025")</f>
        <v/>
      </c>
      <c r="AD156">
        <f>HYPERLINK("https://klasma.github.io/Logging_2481/tillsynsmail/A 57243-2025 tillsynsbegäran mail.docx", "A 57243-2025")</f>
        <v/>
      </c>
    </row>
    <row r="157" ht="15" customHeight="1">
      <c r="A157" t="inlineStr">
        <is>
          <t>A 62317-2025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46290</v>
      </c>
      <c r="F157" t="inlineStr">
        <is>
          <t>VÄSTERBOTTENS LÄN</t>
        </is>
      </c>
      <c r="G157" t="inlineStr">
        <is>
          <t>LYCKSELE</t>
        </is>
      </c>
      <c r="I157" t="n">
        <v>0.9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Plattlummer</t>
        </is>
      </c>
      <c r="W157">
        <f>HYPERLINK("https://klasma.github.io/Logging_2481/artfynd/A 62317-2025 artfynd.xlsx", "A 62317-2025")</f>
        <v/>
      </c>
      <c r="X157">
        <f>HYPERLINK("https://klasma.github.io/Logging_2481/kartor/A 62317-2025 karta.png", "A 62317-2025")</f>
        <v/>
      </c>
      <c r="Y157">
        <f>HYPERLINK("https://klasma.github.io/Logging_2481/kartor_geotiff/A 62317-2025 georefererad karta.tif", "A 62317-2025")</f>
        <v/>
      </c>
      <c r="AA157">
        <f>HYPERLINK("https://klasma.github.io/Logging_2481/klagomål/A 62317-2025 FSC-klagomål.docx", "A 62317-2025")</f>
        <v/>
      </c>
      <c r="AB157">
        <f>HYPERLINK("https://klasma.github.io/Logging_2481/klagomålsmail/A 62317-2025 FSC-klagomål mail.docx", "A 62317-2025")</f>
        <v/>
      </c>
      <c r="AC157">
        <f>HYPERLINK("https://klasma.github.io/Logging_2481/tillsyn/A 62317-2025 tillsynsbegäran.docx", "A 62317-2025")</f>
        <v/>
      </c>
      <c r="AD157">
        <f>HYPERLINK("https://klasma.github.io/Logging_2481/tillsynsmail/A 62317-2025 tillsynsbegäran mail.docx", "A 62317-2025")</f>
        <v/>
      </c>
    </row>
    <row r="158" ht="15" customHeight="1">
      <c r="A158" t="inlineStr">
        <is>
          <t>A 23396-2026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46290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SCA</t>
        </is>
      </c>
      <c r="I158" t="n">
        <v>6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Källpraktmossa</t>
        </is>
      </c>
      <c r="W158">
        <f>HYPERLINK("https://klasma.github.io/Logging_2481/artfynd/A 23396-2026 artfynd.xlsx", "A 23396-2026")</f>
        <v/>
      </c>
      <c r="X158">
        <f>HYPERLINK("https://klasma.github.io/Logging_2481/kartor/A 23396-2026 karta.png", "A 23396-2026")</f>
        <v/>
      </c>
      <c r="Y158">
        <f>HYPERLINK("https://klasma.github.io/Logging_2481/kartor_geotiff/A 23396-2026 georefererad karta.tif", "A 23396-2026")</f>
        <v/>
      </c>
      <c r="AA158">
        <f>HYPERLINK("https://klasma.github.io/Logging_2481/klagomål/A 23396-2026 FSC-klagomål.docx", "A 23396-2026")</f>
        <v/>
      </c>
      <c r="AB158">
        <f>HYPERLINK("https://klasma.github.io/Logging_2481/klagomålsmail/A 23396-2026 FSC-klagomål mail.docx", "A 23396-2026")</f>
        <v/>
      </c>
      <c r="AC158">
        <f>HYPERLINK("https://klasma.github.io/Logging_2481/tillsyn/A 23396-2026 tillsynsbegäran.docx", "A 23396-2026")</f>
        <v/>
      </c>
      <c r="AD158">
        <f>HYPERLINK("https://klasma.github.io/Logging_2481/tillsynsmail/A 23396-2026 tillsynsbegäran mail.docx", "A 23396-2026")</f>
        <v/>
      </c>
    </row>
    <row r="159" ht="15" customHeight="1">
      <c r="A159" t="inlineStr">
        <is>
          <t>A 2499-2026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19.3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HYPERLINK("https://klasma.github.io/Logging_2481/artfynd/A 2499-2026 artfynd.xlsx", "A 2499-2026")</f>
        <v/>
      </c>
      <c r="X159">
        <f>HYPERLINK("https://klasma.github.io/Logging_2481/kartor/A 2499-2026 karta.png", "A 2499-2026")</f>
        <v/>
      </c>
      <c r="Y159">
        <f>HYPERLINK("https://klasma.github.io/Logging_2481/kartor_geotiff/A 2499-2026 georefererad karta.tif", "A 2499-2026")</f>
        <v/>
      </c>
      <c r="AA159">
        <f>HYPERLINK("https://klasma.github.io/Logging_2481/klagomål/A 2499-2026 FSC-klagomål.docx", "A 2499-2026")</f>
        <v/>
      </c>
      <c r="AB159">
        <f>HYPERLINK("https://klasma.github.io/Logging_2481/klagomålsmail/A 2499-2026 FSC-klagomål mail.docx", "A 2499-2026")</f>
        <v/>
      </c>
      <c r="AC159">
        <f>HYPERLINK("https://klasma.github.io/Logging_2481/tillsyn/A 2499-2026 tillsynsbegäran.docx", "A 2499-2026")</f>
        <v/>
      </c>
      <c r="AD159">
        <f>HYPERLINK("https://klasma.github.io/Logging_2481/tillsynsmail/A 2499-2026 tillsynsbegäran mail.docx", "A 2499-2026")</f>
        <v/>
      </c>
    </row>
    <row r="160" ht="15" customHeight="1">
      <c r="A160" t="inlineStr">
        <is>
          <t>A 41793-2024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46290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HYPERLINK("https://klasma.github.io/Logging_2481/artfynd/A 41793-2024 artfynd.xlsx", "A 41793-2024")</f>
        <v/>
      </c>
      <c r="X160">
        <f>HYPERLINK("https://klasma.github.io/Logging_2481/kartor/A 41793-2024 karta.png", "A 41793-2024")</f>
        <v/>
      </c>
      <c r="Y160">
        <f>HYPERLINK("https://klasma.github.io/Logging_2481/kartor_geotiff/A 41793-2024 georefererad karta.tif", "A 41793-2024")</f>
        <v/>
      </c>
      <c r="AA160">
        <f>HYPERLINK("https://klasma.github.io/Logging_2481/klagomål/A 41793-2024 FSC-klagomål.docx", "A 41793-2024")</f>
        <v/>
      </c>
      <c r="AB160">
        <f>HYPERLINK("https://klasma.github.io/Logging_2481/klagomålsmail/A 41793-2024 FSC-klagomål mail.docx", "A 41793-2024")</f>
        <v/>
      </c>
      <c r="AC160">
        <f>HYPERLINK("https://klasma.github.io/Logging_2481/tillsyn/A 41793-2024 tillsynsbegäran.docx", "A 41793-2024")</f>
        <v/>
      </c>
      <c r="AD160">
        <f>HYPERLINK("https://klasma.github.io/Logging_2481/tillsynsmail/A 41793-2024 tillsynsbegäran mail.docx", "A 41793-2024")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46290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46290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25591-2026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46290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15.9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Gränsticka</t>
        </is>
      </c>
      <c r="W163">
        <f>HYPERLINK("https://klasma.github.io/Logging_2481/artfynd/A 25591-2026 artfynd.xlsx", "A 25591-2026")</f>
        <v/>
      </c>
      <c r="X163">
        <f>HYPERLINK("https://klasma.github.io/Logging_2481/kartor/A 25591-2026 karta.png", "A 25591-2026")</f>
        <v/>
      </c>
      <c r="Y163">
        <f>HYPERLINK("https://klasma.github.io/Logging_2481/kartor_geotiff/A 25591-2026 georefererad karta.tif", "A 25591-2026")</f>
        <v/>
      </c>
      <c r="AA163">
        <f>HYPERLINK("https://klasma.github.io/Logging_2481/klagomål/A 25591-2026 FSC-klagomål.docx", "A 25591-2026")</f>
        <v/>
      </c>
      <c r="AB163">
        <f>HYPERLINK("https://klasma.github.io/Logging_2481/klagomålsmail/A 25591-2026 FSC-klagomål mail.docx", "A 25591-2026")</f>
        <v/>
      </c>
      <c r="AC163">
        <f>HYPERLINK("https://klasma.github.io/Logging_2481/tillsyn/A 25591-2026 tillsynsbegäran.docx", "A 25591-2026")</f>
        <v/>
      </c>
      <c r="AD163">
        <f>HYPERLINK("https://klasma.github.io/Logging_2481/tillsynsmail/A 25591-2026 tillsynsbegäran mail.docx", "A 25591-2026")</f>
        <v/>
      </c>
    </row>
    <row r="164" ht="15" customHeight="1">
      <c r="A164" t="inlineStr">
        <is>
          <t>A 25720-2026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46290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Orange taggsvamp</t>
        </is>
      </c>
      <c r="W164">
        <f>HYPERLINK("https://klasma.github.io/Logging_2481/artfynd/A 25720-2026 artfynd.xlsx", "A 25720-2026")</f>
        <v/>
      </c>
      <c r="X164">
        <f>HYPERLINK("https://klasma.github.io/Logging_2481/kartor/A 25720-2026 karta.png", "A 25720-2026")</f>
        <v/>
      </c>
      <c r="Y164">
        <f>HYPERLINK("https://klasma.github.io/Logging_2481/kartor_geotiff/A 25720-2026 georefererad karta.tif", "A 25720-2026")</f>
        <v/>
      </c>
      <c r="AA164">
        <f>HYPERLINK("https://klasma.github.io/Logging_2481/klagomål/A 25720-2026 FSC-klagomål.docx", "A 25720-2026")</f>
        <v/>
      </c>
      <c r="AB164">
        <f>HYPERLINK("https://klasma.github.io/Logging_2481/klagomålsmail/A 25720-2026 FSC-klagomål mail.docx", "A 25720-2026")</f>
        <v/>
      </c>
      <c r="AC164">
        <f>HYPERLINK("https://klasma.github.io/Logging_2481/tillsyn/A 25720-2026 tillsynsbegäran.docx", "A 25720-2026")</f>
        <v/>
      </c>
      <c r="AD164">
        <f>HYPERLINK("https://klasma.github.io/Logging_2481/tillsynsmail/A 25720-2026 tillsynsbegäran mail.docx", "A 25720-2026")</f>
        <v/>
      </c>
    </row>
    <row r="165" ht="15" customHeight="1">
      <c r="A165" t="inlineStr">
        <is>
          <t>A 25706-2026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46290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25706-2026 artfynd.xlsx", "A 25706-2026")</f>
        <v/>
      </c>
      <c r="X165">
        <f>HYPERLINK("https://klasma.github.io/Logging_2481/kartor/A 25706-2026 karta.png", "A 25706-2026")</f>
        <v/>
      </c>
      <c r="Y165">
        <f>HYPERLINK("https://klasma.github.io/Logging_2481/kartor_geotiff/A 25706-2026 georefererad karta.tif", "A 25706-2026")</f>
        <v/>
      </c>
      <c r="AA165">
        <f>HYPERLINK("https://klasma.github.io/Logging_2481/klagomål/A 25706-2026 FSC-klagomål.docx", "A 25706-2026")</f>
        <v/>
      </c>
      <c r="AB165">
        <f>HYPERLINK("https://klasma.github.io/Logging_2481/klagomålsmail/A 25706-2026 FSC-klagomål mail.docx", "A 25706-2026")</f>
        <v/>
      </c>
      <c r="AC165">
        <f>HYPERLINK("https://klasma.github.io/Logging_2481/tillsyn/A 25706-2026 tillsynsbegäran.docx", "A 25706-2026")</f>
        <v/>
      </c>
      <c r="AD165">
        <f>HYPERLINK("https://klasma.github.io/Logging_2481/tillsynsmail/A 25706-2026 tillsynsbegäran mail.docx", "A 25706-2026")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46290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49394-2024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46290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49394-2024 artfynd.xlsx", "A 49394-2024")</f>
        <v/>
      </c>
      <c r="X167">
        <f>HYPERLINK("https://klasma.github.io/Logging_2481/kartor/A 49394-2024 karta.png", "A 49394-2024")</f>
        <v/>
      </c>
      <c r="Y167">
        <f>HYPERLINK("https://klasma.github.io/Logging_2481/kartor_geotiff/A 49394-2024 georefererad karta.tif", "A 49394-2024")</f>
        <v/>
      </c>
      <c r="AA167">
        <f>HYPERLINK("https://klasma.github.io/Logging_2481/klagomål/A 49394-2024 FSC-klagomål.docx", "A 49394-2024")</f>
        <v/>
      </c>
      <c r="AB167">
        <f>HYPERLINK("https://klasma.github.io/Logging_2481/klagomålsmail/A 49394-2024 FSC-klagomål mail.docx", "A 49394-2024")</f>
        <v/>
      </c>
      <c r="AC167">
        <f>HYPERLINK("https://klasma.github.io/Logging_2481/tillsyn/A 49394-2024 tillsynsbegäran.docx", "A 49394-2024")</f>
        <v/>
      </c>
      <c r="AD167">
        <f>HYPERLINK("https://klasma.github.io/Logging_2481/tillsynsmail/A 49394-2024 tillsynsbegäran mail.docx", "A 49394-2024")</f>
        <v/>
      </c>
    </row>
    <row r="168" ht="15" customHeight="1">
      <c r="A168" t="inlineStr">
        <is>
          <t>A 28716-2026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46290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28716-2026 artfynd.xlsx", "A 28716-2026")</f>
        <v/>
      </c>
      <c r="X168">
        <f>HYPERLINK("https://klasma.github.io/Logging_2481/kartor/A 28716-2026 karta.png", "A 28716-2026")</f>
        <v/>
      </c>
      <c r="Y168">
        <f>HYPERLINK("https://klasma.github.io/Logging_2481/kartor_geotiff/A 28716-2026 georefererad karta.tif", "A 28716-2026")</f>
        <v/>
      </c>
      <c r="AA168">
        <f>HYPERLINK("https://klasma.github.io/Logging_2481/klagomål/A 28716-2026 FSC-klagomål.docx", "A 28716-2026")</f>
        <v/>
      </c>
      <c r="AB168">
        <f>HYPERLINK("https://klasma.github.io/Logging_2481/klagomålsmail/A 28716-2026 FSC-klagomål mail.docx", "A 28716-2026")</f>
        <v/>
      </c>
      <c r="AC168">
        <f>HYPERLINK("https://klasma.github.io/Logging_2481/tillsyn/A 28716-2026 tillsynsbegäran.docx", "A 28716-2026")</f>
        <v/>
      </c>
      <c r="AD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28459-2026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46290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HYPERLINK("https://klasma.github.io/Logging_2481/artfynd/A 28459-2026 artfynd.xlsx", "A 28459-2026")</f>
        <v/>
      </c>
      <c r="X169">
        <f>HYPERLINK("https://klasma.github.io/Logging_2481/kartor/A 28459-2026 karta.png", "A 28459-2026")</f>
        <v/>
      </c>
      <c r="Y169">
        <f>HYPERLINK("https://klasma.github.io/Logging_2481/kartor_geotiff/A 28459-2026 georefererad karta.tif", "A 28459-2026")</f>
        <v/>
      </c>
      <c r="AA169">
        <f>HYPERLINK("https://klasma.github.io/Logging_2481/klagomål/A 28459-2026 FSC-klagomål.docx", "A 28459-2026")</f>
        <v/>
      </c>
      <c r="AB169">
        <f>HYPERLINK("https://klasma.github.io/Logging_2481/klagomålsmail/A 28459-2026 FSC-klagomål mail.docx", "A 28459-2026")</f>
        <v/>
      </c>
      <c r="AC169">
        <f>HYPERLINK("https://klasma.github.io/Logging_2481/tillsyn/A 28459-2026 tillsynsbegäran.docx", "A 28459-2026")</f>
        <v/>
      </c>
      <c r="AD169">
        <f>HYPERLINK("https://klasma.github.io/Logging_2481/tillsynsmail/A 28459-2026 tillsynsbegäran mail.docx", "A 28459-2026")</f>
        <v/>
      </c>
    </row>
    <row r="170" ht="15" customHeight="1">
      <c r="A170" t="inlineStr">
        <is>
          <t>A 28806-2026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46290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3.3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Skinnlav</t>
        </is>
      </c>
      <c r="W170">
        <f>HYPERLINK("https://klasma.github.io/Logging_2481/artfynd/A 28806-2026 artfynd.xlsx", "A 28806-2026")</f>
        <v/>
      </c>
      <c r="X170">
        <f>HYPERLINK("https://klasma.github.io/Logging_2481/kartor/A 28806-2026 karta.png", "A 28806-2026")</f>
        <v/>
      </c>
      <c r="Y170">
        <f>HYPERLINK("https://klasma.github.io/Logging_2481/kartor_geotiff/A 28806-2026 georefererad karta.tif", "A 28806-2026")</f>
        <v/>
      </c>
      <c r="AA170">
        <f>HYPERLINK("https://klasma.github.io/Logging_2481/klagomål/A 28806-2026 FSC-klagomål.docx", "A 28806-2026")</f>
        <v/>
      </c>
      <c r="AB170">
        <f>HYPERLINK("https://klasma.github.io/Logging_2481/klagomålsmail/A 28806-2026 FSC-klagomål mail.docx", "A 28806-2026")</f>
        <v/>
      </c>
      <c r="AC170">
        <f>HYPERLINK("https://klasma.github.io/Logging_2481/tillsyn/A 28806-2026 tillsynsbegäran.docx", "A 28806-2026")</f>
        <v/>
      </c>
      <c r="AD170">
        <f>HYPERLINK("https://klasma.github.io/Logging_2481/tillsynsmail/A 28806-2026 tillsynsbegäran mail.docx", "A 28806-2026")</f>
        <v/>
      </c>
    </row>
    <row r="171" ht="15" customHeight="1">
      <c r="A171" t="inlineStr">
        <is>
          <t>A 28408-2023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45101</v>
      </c>
      <c r="E171" s="1" t="n">
        <v>46290</v>
      </c>
      <c r="F171" t="inlineStr">
        <is>
          <t>VÄSTERBOTTENS LÄN</t>
        </is>
      </c>
      <c r="G171" t="inlineStr">
        <is>
          <t>LYCKSELE</t>
        </is>
      </c>
      <c r="I171" t="n">
        <v>5.7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28408-2023 artfynd.xlsx", "A 28408-2023")</f>
        <v/>
      </c>
      <c r="X171">
        <f>HYPERLINK("https://klasma.github.io/Logging_2481/kartor/A 28408-2023 karta.png", "A 28408-2023")</f>
        <v/>
      </c>
      <c r="Y171">
        <f>HYPERLINK("https://klasma.github.io/Logging_2481/kartor_geotiff/A 28408-2023 georefererad karta.tif", "A 28408-2023")</f>
        <v/>
      </c>
      <c r="AA171">
        <f>HYPERLINK("https://klasma.github.io/Logging_2481/klagomål/A 28408-2023 FSC-klagomål.docx", "A 28408-2023")</f>
        <v/>
      </c>
      <c r="AB171">
        <f>HYPERLINK("https://klasma.github.io/Logging_2481/klagomålsmail/A 28408-2023 FSC-klagomål mail.docx", "A 28408-2023")</f>
        <v/>
      </c>
      <c r="AC171">
        <f>HYPERLINK("https://klasma.github.io/Logging_2481/tillsyn/A 28408-2023 tillsynsbegäran.docx", "A 28408-2023")</f>
        <v/>
      </c>
      <c r="AD171">
        <f>HYPERLINK("https://klasma.github.io/Logging_2481/tillsynsmail/A 28408-2023 tillsynsbegäran mail.docx", "A 28408-2023")</f>
        <v/>
      </c>
    </row>
    <row r="172" ht="15" customHeight="1">
      <c r="A172" t="inlineStr">
        <is>
          <t>A 29828-2026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46290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HYPERLINK("https://klasma.github.io/Logging_2481/artfynd/A 29828-2026 artfynd.xlsx", "A 29828-2026")</f>
        <v/>
      </c>
      <c r="X172">
        <f>HYPERLINK("https://klasma.github.io/Logging_2481/kartor/A 29828-2026 karta.png", "A 29828-2026")</f>
        <v/>
      </c>
      <c r="Y172">
        <f>HYPERLINK("https://klasma.github.io/Logging_2481/kartor_geotiff/A 29828-2026 georefererad karta.tif", "A 29828-2026")</f>
        <v/>
      </c>
      <c r="AA172">
        <f>HYPERLINK("https://klasma.github.io/Logging_2481/klagomål/A 29828-2026 FSC-klagomål.docx", "A 29828-2026")</f>
        <v/>
      </c>
      <c r="AB172">
        <f>HYPERLINK("https://klasma.github.io/Logging_2481/klagomålsmail/A 29828-2026 FSC-klagomål mail.docx", "A 29828-2026")</f>
        <v/>
      </c>
      <c r="AC172">
        <f>HYPERLINK("https://klasma.github.io/Logging_2481/tillsyn/A 29828-2026 tillsynsbegäran.docx", "A 29828-2026")</f>
        <v/>
      </c>
      <c r="AD172">
        <f>HYPERLINK("https://klasma.github.io/Logging_2481/tillsynsmail/A 29828-2026 tillsynsbegäran mail.docx", "A 29828-2026")</f>
        <v/>
      </c>
    </row>
    <row r="173" ht="15" customHeight="1">
      <c r="A173" t="inlineStr">
        <is>
          <t>A 50018-2024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45599</v>
      </c>
      <c r="E173" s="1" t="n">
        <v>46290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50018-2024 artfynd.xlsx", "A 50018-2024")</f>
        <v/>
      </c>
      <c r="X173">
        <f>HYPERLINK("https://klasma.github.io/Logging_2481/kartor/A 50018-2024 karta.png", "A 50018-2024")</f>
        <v/>
      </c>
      <c r="Y173">
        <f>HYPERLINK("https://klasma.github.io/Logging_2481/kartor_geotiff/A 50018-2024 georefererad karta.tif", "A 50018-2024")</f>
        <v/>
      </c>
      <c r="AA173">
        <f>HYPERLINK("https://klasma.github.io/Logging_2481/klagomål/A 50018-2024 FSC-klagomål.docx", "A 50018-2024")</f>
        <v/>
      </c>
      <c r="AB173">
        <f>HYPERLINK("https://klasma.github.io/Logging_2481/klagomålsmail/A 50018-2024 FSC-klagomål mail.docx", "A 50018-2024")</f>
        <v/>
      </c>
      <c r="AC173">
        <f>HYPERLINK("https://klasma.github.io/Logging_2481/tillsyn/A 50018-2024 tillsynsbegäran.docx", "A 50018-2024")</f>
        <v/>
      </c>
      <c r="AD173">
        <f>HYPERLINK("https://klasma.github.io/Logging_2481/tillsynsmail/A 50018-2024 tillsynsbegäran mail.docx", "A 50018-2024")</f>
        <v/>
      </c>
    </row>
    <row r="174" ht="15" customHeight="1">
      <c r="A174" t="inlineStr">
        <is>
          <t>A 34789-2026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34789-2026 artfynd.xlsx", "A 34789-2026")</f>
        <v/>
      </c>
      <c r="X174">
        <f>HYPERLINK("https://klasma.github.io/Logging_2481/kartor/A 34789-2026 karta.png", "A 34789-2026")</f>
        <v/>
      </c>
      <c r="Y174">
        <f>HYPERLINK("https://klasma.github.io/Logging_2481/kartor_geotiff/A 34789-2026 georefererad karta.tif", "A 34789-2026")</f>
        <v/>
      </c>
      <c r="Z174">
        <f>HYPERLINK("https://klasma.github.io/Logging_2481/knärot/A 34789-2026 karta knärot.png", "A 34789-2026")</f>
        <v/>
      </c>
      <c r="AA174">
        <f>HYPERLINK("https://klasma.github.io/Logging_2481/klagomål/A 34789-2026 FSC-klagomål.docx", "A 34789-2026")</f>
        <v/>
      </c>
      <c r="AB174">
        <f>HYPERLINK("https://klasma.github.io/Logging_2481/klagomålsmail/A 34789-2026 FSC-klagomål mail.docx", "A 34789-2026")</f>
        <v/>
      </c>
      <c r="AC174">
        <f>HYPERLINK("https://klasma.github.io/Logging_2481/tillsyn/A 34789-2026 tillsynsbegäran.docx", "A 34789-2026")</f>
        <v/>
      </c>
      <c r="AD174">
        <f>HYPERLINK("https://klasma.github.io/Logging_2481/tillsynsmail/A 34789-2026 tillsynsbegäran mail.docx", "A 34789-2026")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46290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30994-2026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46290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Violettgrå tagellav</t>
        </is>
      </c>
      <c r="W176">
        <f>HYPERLINK("https://klasma.github.io/Logging_2481/artfynd/A 30994-2026 artfynd.xlsx", "A 30994-2026")</f>
        <v/>
      </c>
      <c r="X176">
        <f>HYPERLINK("https://klasma.github.io/Logging_2481/kartor/A 30994-2026 karta.png", "A 30994-2026")</f>
        <v/>
      </c>
      <c r="Y176">
        <f>HYPERLINK("https://klasma.github.io/Logging_2481/kartor_geotiff/A 30994-2026 georefererad karta.tif", "A 30994-2026")</f>
        <v/>
      </c>
      <c r="AA176">
        <f>HYPERLINK("https://klasma.github.io/Logging_2481/klagomål/A 30994-2026 FSC-klagomål.docx", "A 30994-2026")</f>
        <v/>
      </c>
      <c r="AB176">
        <f>HYPERLINK("https://klasma.github.io/Logging_2481/klagomålsmail/A 30994-2026 FSC-klagomål mail.docx", "A 30994-2026")</f>
        <v/>
      </c>
      <c r="AC176">
        <f>HYPERLINK("https://klasma.github.io/Logging_2481/tillsyn/A 30994-2026 tillsynsbegäran.docx", "A 30994-2026")</f>
        <v/>
      </c>
      <c r="AD176">
        <f>HYPERLINK("https://klasma.github.io/Logging_2481/tillsynsmail/A 30994-2026 tillsynsbegäran mail.docx", "A 30994-2026")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46290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31290-2026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46218</v>
      </c>
      <c r="E178" s="1" t="n">
        <v>46290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31290-2026 artfynd.xlsx", "A 31290-2026")</f>
        <v/>
      </c>
      <c r="X178">
        <f>HYPERLINK("https://klasma.github.io/Logging_2481/kartor/A 31290-2026 karta.png", "A 31290-2026")</f>
        <v/>
      </c>
      <c r="Y178">
        <f>HYPERLINK("https://klasma.github.io/Logging_2481/kartor_geotiff/A 31290-2026 georefererad karta.tif", "A 31290-2026")</f>
        <v/>
      </c>
      <c r="AA178">
        <f>HYPERLINK("https://klasma.github.io/Logging_2481/klagomål/A 31290-2026 FSC-klagomål.docx", "A 31290-2026")</f>
        <v/>
      </c>
      <c r="AB178">
        <f>HYPERLINK("https://klasma.github.io/Logging_2481/klagomålsmail/A 31290-2026 FSC-klagomål mail.docx", "A 31290-2026")</f>
        <v/>
      </c>
      <c r="AC178">
        <f>HYPERLINK("https://klasma.github.io/Logging_2481/tillsyn/A 31290-2026 tillsynsbegäran.docx", "A 31290-2026")</f>
        <v/>
      </c>
      <c r="AD178">
        <f>HYPERLINK("https://klasma.github.io/Logging_2481/tillsynsmail/A 31290-2026 tillsynsbegäran mail.docx", "A 31290-2026")</f>
        <v/>
      </c>
    </row>
    <row r="179" ht="15" customHeight="1">
      <c r="A179" t="inlineStr">
        <is>
          <t>A 35509-2026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46262</v>
      </c>
      <c r="E179" s="1" t="n">
        <v>46290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19.1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Orange taggsvamp</t>
        </is>
      </c>
      <c r="W179">
        <f>HYPERLINK("https://klasma.github.io/Logging_2481/artfynd/A 35509-2026 artfynd.xlsx", "A 35509-2026")</f>
        <v/>
      </c>
      <c r="X179">
        <f>HYPERLINK("https://klasma.github.io/Logging_2481/kartor/A 35509-2026 karta.png", "A 35509-2026")</f>
        <v/>
      </c>
      <c r="Y179">
        <f>HYPERLINK("https://klasma.github.io/Logging_2481/kartor_geotiff/A 35509-2026 georefererad karta.tif", "A 35509-2026")</f>
        <v/>
      </c>
      <c r="AA179">
        <f>HYPERLINK("https://klasma.github.io/Logging_2481/klagomål/A 35509-2026 FSC-klagomål.docx", "A 35509-2026")</f>
        <v/>
      </c>
      <c r="AB179">
        <f>HYPERLINK("https://klasma.github.io/Logging_2481/klagomålsmail/A 35509-2026 FSC-klagomål mail.docx", "A 35509-2026")</f>
        <v/>
      </c>
      <c r="AC179">
        <f>HYPERLINK("https://klasma.github.io/Logging_2481/tillsyn/A 35509-2026 tillsynsbegäran.docx", "A 35509-2026")</f>
        <v/>
      </c>
      <c r="AD179">
        <f>HYPERLINK("https://klasma.github.io/Logging_2481/tillsynsmail/A 35509-2026 tillsynsbegäran mail.docx", "A 35509-2026")</f>
        <v/>
      </c>
    </row>
    <row r="180" ht="15" customHeight="1">
      <c r="A180" t="inlineStr">
        <is>
          <t>A 35751-2026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46290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Skarp dropptaggsvamp</t>
        </is>
      </c>
      <c r="W180">
        <f>HYPERLINK("https://klasma.github.io/Logging_2481/artfynd/A 35751-2026 artfynd.xlsx", "A 35751-2026")</f>
        <v/>
      </c>
      <c r="X180">
        <f>HYPERLINK("https://klasma.github.io/Logging_2481/kartor/A 35751-2026 karta.png", "A 35751-2026")</f>
        <v/>
      </c>
      <c r="Y180">
        <f>HYPERLINK("https://klasma.github.io/Logging_2481/kartor_geotiff/A 35751-2026 georefererad karta.tif", "A 35751-2026")</f>
        <v/>
      </c>
      <c r="AA180">
        <f>HYPERLINK("https://klasma.github.io/Logging_2481/klagomål/A 35751-2026 FSC-klagomål.docx", "A 35751-2026")</f>
        <v/>
      </c>
      <c r="AB180">
        <f>HYPERLINK("https://klasma.github.io/Logging_2481/klagomålsmail/A 35751-2026 FSC-klagomål mail.docx", "A 35751-2026")</f>
        <v/>
      </c>
      <c r="AC180">
        <f>HYPERLINK("https://klasma.github.io/Logging_2481/tillsyn/A 35751-2026 tillsynsbegäran.docx", "A 35751-2026")</f>
        <v/>
      </c>
      <c r="AD180">
        <f>HYPERLINK("https://klasma.github.io/Logging_2481/tillsynsmail/A 35751-2026 tillsynsbegäran mail.docx", "A 35751-2026")</f>
        <v/>
      </c>
    </row>
    <row r="181" ht="15" customHeight="1">
      <c r="A181" t="inlineStr">
        <is>
          <t>A 28838-2024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45478</v>
      </c>
      <c r="E181" s="1" t="n">
        <v>46290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HYPERLINK("https://klasma.github.io/Logging_2481/artfynd/A 28838-2024 artfynd.xlsx", "A 28838-2024")</f>
        <v/>
      </c>
      <c r="X181">
        <f>HYPERLINK("https://klasma.github.io/Logging_2481/kartor/A 28838-2024 karta.png", "A 28838-2024")</f>
        <v/>
      </c>
      <c r="Y181">
        <f>HYPERLINK("https://klasma.github.io/Logging_2481/kartor_geotiff/A 28838-2024 georefererad karta.tif", "A 28838-2024")</f>
        <v/>
      </c>
      <c r="AA181">
        <f>HYPERLINK("https://klasma.github.io/Logging_2481/klagomål/A 28838-2024 FSC-klagomål.docx", "A 28838-2024")</f>
        <v/>
      </c>
      <c r="AB181">
        <f>HYPERLINK("https://klasma.github.io/Logging_2481/klagomålsmail/A 28838-2024 FSC-klagomål mail.docx", "A 28838-2024")</f>
        <v/>
      </c>
      <c r="AC181">
        <f>HYPERLINK("https://klasma.github.io/Logging_2481/tillsyn/A 28838-2024 tillsynsbegäran.docx", "A 28838-2024")</f>
        <v/>
      </c>
      <c r="AD181">
        <f>HYPERLINK("https://klasma.github.io/Logging_2481/tillsynsmail/A 28838-2024 tillsynsbegäran mail.docx", "A 28838-2024")</f>
        <v/>
      </c>
    </row>
    <row r="182" ht="15" customHeight="1">
      <c r="A182" t="inlineStr">
        <is>
          <t>A 50826-2024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46290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Dropptaggsvamp</t>
        </is>
      </c>
      <c r="W182">
        <f>HYPERLINK("https://klasma.github.io/Logging_2481/artfynd/A 50826-2024 artfynd.xlsx", "A 50826-2024")</f>
        <v/>
      </c>
      <c r="X182">
        <f>HYPERLINK("https://klasma.github.io/Logging_2481/kartor/A 50826-2024 karta.png", "A 50826-2024")</f>
        <v/>
      </c>
      <c r="Y182">
        <f>HYPERLINK("https://klasma.github.io/Logging_2481/kartor_geotiff/A 50826-2024 georefererad karta.tif", "A 50826-2024")</f>
        <v/>
      </c>
      <c r="AA182">
        <f>HYPERLINK("https://klasma.github.io/Logging_2481/klagomål/A 50826-2024 FSC-klagomål.docx", "A 50826-2024")</f>
        <v/>
      </c>
      <c r="AB182">
        <f>HYPERLINK("https://klasma.github.io/Logging_2481/klagomålsmail/A 50826-2024 FSC-klagomål mail.docx", "A 50826-2024")</f>
        <v/>
      </c>
      <c r="AC182">
        <f>HYPERLINK("https://klasma.github.io/Logging_2481/tillsyn/A 50826-2024 tillsynsbegäran.docx", "A 50826-2024")</f>
        <v/>
      </c>
      <c r="AD182">
        <f>HYPERLINK("https://klasma.github.io/Logging_2481/tillsynsmail/A 50826-2024 tillsynsbegäran mail.docx", "A 50826-2024")</f>
        <v/>
      </c>
    </row>
    <row r="183" ht="15" customHeight="1">
      <c r="A183" t="inlineStr">
        <is>
          <t>A 37214-2026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46290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1.6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Utter</t>
        </is>
      </c>
      <c r="W183">
        <f>HYPERLINK("https://klasma.github.io/Logging_2481/artfynd/A 37214-2026 artfynd.xlsx", "A 37214-2026")</f>
        <v/>
      </c>
      <c r="X183">
        <f>HYPERLINK("https://klasma.github.io/Logging_2481/kartor/A 37214-2026 karta.png", "A 37214-2026")</f>
        <v/>
      </c>
      <c r="Y183">
        <f>HYPERLINK("https://klasma.github.io/Logging_2481/kartor_geotiff/A 37214-2026 georefererad karta.tif", "A 37214-2026")</f>
        <v/>
      </c>
      <c r="AA183">
        <f>HYPERLINK("https://klasma.github.io/Logging_2481/klagomål/A 37214-2026 FSC-klagomål.docx", "A 37214-2026")</f>
        <v/>
      </c>
      <c r="AB183">
        <f>HYPERLINK("https://klasma.github.io/Logging_2481/klagomålsmail/A 37214-2026 FSC-klagomål mail.docx", "A 37214-2026")</f>
        <v/>
      </c>
      <c r="AC183">
        <f>HYPERLINK("https://klasma.github.io/Logging_2481/tillsyn/A 37214-2026 tillsynsbegäran.docx", "A 37214-2026")</f>
        <v/>
      </c>
      <c r="AD183">
        <f>HYPERLINK("https://klasma.github.io/Logging_2481/tillsynsmail/A 37214-2026 tillsynsbegäran mail.docx", "A 37214-2026")</f>
        <v/>
      </c>
    </row>
    <row r="184" ht="15" customHeight="1">
      <c r="A184" t="inlineStr">
        <is>
          <t>A 37163-2026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46290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HYPERLINK("https://klasma.github.io/Logging_2481/artfynd/A 37163-2026 artfynd.xlsx", "A 37163-2026")</f>
        <v/>
      </c>
      <c r="X184">
        <f>HYPERLINK("https://klasma.github.io/Logging_2481/kartor/A 37163-2026 karta.png", "A 37163-2026")</f>
        <v/>
      </c>
      <c r="Y184">
        <f>HYPERLINK("https://klasma.github.io/Logging_2481/kartor_geotiff/A 37163-2026 georefererad karta.tif", "A 37163-2026")</f>
        <v/>
      </c>
      <c r="AA184">
        <f>HYPERLINK("https://klasma.github.io/Logging_2481/klagomål/A 37163-2026 FSC-klagomål.docx", "A 37163-2026")</f>
        <v/>
      </c>
      <c r="AB184">
        <f>HYPERLINK("https://klasma.github.io/Logging_2481/klagomålsmail/A 37163-2026 FSC-klagomål mail.docx", "A 37163-2026")</f>
        <v/>
      </c>
      <c r="AC184">
        <f>HYPERLINK("https://klasma.github.io/Logging_2481/tillsyn/A 37163-2026 tillsynsbegäran.docx", "A 37163-2026")</f>
        <v/>
      </c>
      <c r="AD184">
        <f>HYPERLINK("https://klasma.github.io/Logging_2481/tillsynsmail/A 37163-2026 tillsynsbegäran mail.docx", "A 37163-2026")</f>
        <v/>
      </c>
    </row>
    <row r="185" ht="15" customHeight="1">
      <c r="A185" t="inlineStr">
        <is>
          <t>A 38104-2026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46281</v>
      </c>
      <c r="E185" s="1" t="n">
        <v>46290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16.3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Skrovellav</t>
        </is>
      </c>
      <c r="W185">
        <f>HYPERLINK("https://klasma.github.io/Logging_2481/artfynd/A 38104-2026 artfynd.xlsx", "A 38104-2026")</f>
        <v/>
      </c>
      <c r="X185">
        <f>HYPERLINK("https://klasma.github.io/Logging_2481/kartor/A 38104-2026 karta.png", "A 38104-2026")</f>
        <v/>
      </c>
      <c r="Y185">
        <f>HYPERLINK("https://klasma.github.io/Logging_2481/kartor_geotiff/A 38104-2026 georefererad karta.tif", "A 38104-2026")</f>
        <v/>
      </c>
      <c r="AA185">
        <f>HYPERLINK("https://klasma.github.io/Logging_2481/klagomål/A 38104-2026 FSC-klagomål.docx", "A 38104-2026")</f>
        <v/>
      </c>
      <c r="AB185">
        <f>HYPERLINK("https://klasma.github.io/Logging_2481/klagomålsmail/A 38104-2026 FSC-klagomål mail.docx", "A 38104-2026")</f>
        <v/>
      </c>
      <c r="AC185">
        <f>HYPERLINK("https://klasma.github.io/Logging_2481/tillsyn/A 38104-2026 tillsynsbegäran.docx", "A 38104-2026")</f>
        <v/>
      </c>
      <c r="AD185">
        <f>HYPERLINK("https://klasma.github.io/Logging_2481/tillsynsmail/A 38104-2026 tillsynsbegäran mail.docx", "A 38104-2026")</f>
        <v/>
      </c>
    </row>
    <row r="186" ht="15" customHeight="1">
      <c r="A186" t="inlineStr">
        <is>
          <t>A 37951-2026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46290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15.9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37951-2026 artfynd.xlsx", "A 37951-2026")</f>
        <v/>
      </c>
      <c r="X186">
        <f>HYPERLINK("https://klasma.github.io/Logging_2481/kartor/A 37951-2026 karta.png", "A 37951-2026")</f>
        <v/>
      </c>
      <c r="Y186">
        <f>HYPERLINK("https://klasma.github.io/Logging_2481/kartor_geotiff/A 37951-2026 georefererad karta.tif", "A 37951-2026")</f>
        <v/>
      </c>
      <c r="AA186">
        <f>HYPERLINK("https://klasma.github.io/Logging_2481/klagomål/A 37951-2026 FSC-klagomål.docx", "A 37951-2026")</f>
        <v/>
      </c>
      <c r="AB186">
        <f>HYPERLINK("https://klasma.github.io/Logging_2481/klagomålsmail/A 37951-2026 FSC-klagomål mail.docx", "A 37951-2026")</f>
        <v/>
      </c>
      <c r="AC186">
        <f>HYPERLINK("https://klasma.github.io/Logging_2481/tillsyn/A 37951-2026 tillsynsbegäran.docx", "A 37951-2026")</f>
        <v/>
      </c>
      <c r="AD186">
        <f>HYPERLINK("https://klasma.github.io/Logging_2481/tillsynsmail/A 37951-2026 tillsynsbegäran mail.docx", "A 37951-2026")</f>
        <v/>
      </c>
    </row>
    <row r="187" ht="15" customHeight="1">
      <c r="A187" t="inlineStr">
        <is>
          <t>A 38263-2026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46281</v>
      </c>
      <c r="E187" s="1" t="n">
        <v>46290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13.1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HYPERLINK("https://klasma.github.io/Logging_2481/artfynd/A 38263-2026 artfynd.xlsx", "A 38263-2026")</f>
        <v/>
      </c>
      <c r="X187">
        <f>HYPERLINK("https://klasma.github.io/Logging_2481/kartor/A 38263-2026 karta.png", "A 38263-2026")</f>
        <v/>
      </c>
      <c r="Y187">
        <f>HYPERLINK("https://klasma.github.io/Logging_2481/kartor_geotiff/A 38263-2026 georefererad karta.tif", "A 38263-2026")</f>
        <v/>
      </c>
      <c r="AA187">
        <f>HYPERLINK("https://klasma.github.io/Logging_2481/klagomål/A 38263-2026 FSC-klagomål.docx", "A 38263-2026")</f>
        <v/>
      </c>
      <c r="AB187">
        <f>HYPERLINK("https://klasma.github.io/Logging_2481/klagomålsmail/A 38263-2026 FSC-klagomål mail.docx", "A 38263-2026")</f>
        <v/>
      </c>
      <c r="AC187">
        <f>HYPERLINK("https://klasma.github.io/Logging_2481/tillsyn/A 38263-2026 tillsynsbegäran.docx", "A 38263-2026")</f>
        <v/>
      </c>
      <c r="AD187">
        <f>HYPERLINK("https://klasma.github.io/Logging_2481/tillsynsmail/A 38263-2026 tillsynsbegäran mail.docx", "A 38263-2026")</f>
        <v/>
      </c>
    </row>
    <row r="188" ht="15" customHeight="1">
      <c r="A188" t="inlineStr">
        <is>
          <t>A 32246-2026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46237</v>
      </c>
      <c r="E188" s="1" t="n">
        <v>46290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32246-2026 artfynd.xlsx", "A 32246-2026")</f>
        <v/>
      </c>
      <c r="X188">
        <f>HYPERLINK("https://klasma.github.io/Logging_2481/kartor/A 32246-2026 karta.png", "A 32246-2026")</f>
        <v/>
      </c>
      <c r="Y188">
        <f>HYPERLINK("https://klasma.github.io/Logging_2481/kartor_geotiff/A 32246-2026 georefererad karta.tif", "A 32246-2026")</f>
        <v/>
      </c>
      <c r="AA188">
        <f>HYPERLINK("https://klasma.github.io/Logging_2481/klagomål/A 32246-2026 FSC-klagomål.docx", "A 32246-2026")</f>
        <v/>
      </c>
      <c r="AB188">
        <f>HYPERLINK("https://klasma.github.io/Logging_2481/klagomålsmail/A 32246-2026 FSC-klagomål mail.docx", "A 32246-2026")</f>
        <v/>
      </c>
      <c r="AC188">
        <f>HYPERLINK("https://klasma.github.io/Logging_2481/tillsyn/A 32246-2026 tillsynsbegäran.docx", "A 32246-2026")</f>
        <v/>
      </c>
      <c r="AD188">
        <f>HYPERLINK("https://klasma.github.io/Logging_2481/tillsynsmail/A 32246-2026 tillsynsbegäran mail.docx", "A 32246-2026")</f>
        <v/>
      </c>
    </row>
    <row r="189" ht="15" customHeight="1">
      <c r="A189" t="inlineStr">
        <is>
          <t>A 32612-2026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46240</v>
      </c>
      <c r="E189" s="1" t="n">
        <v>46290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32612-2026 artfynd.xlsx", "A 32612-2026")</f>
        <v/>
      </c>
      <c r="X189">
        <f>HYPERLINK("https://klasma.github.io/Logging_2481/kartor/A 32612-2026 karta.png", "A 32612-2026")</f>
        <v/>
      </c>
      <c r="Y189">
        <f>HYPERLINK("https://klasma.github.io/Logging_2481/kartor_geotiff/A 32612-2026 georefererad karta.tif", "A 32612-2026")</f>
        <v/>
      </c>
      <c r="AA189">
        <f>HYPERLINK("https://klasma.github.io/Logging_2481/klagomål/A 32612-2026 FSC-klagomål.docx", "A 32612-2026")</f>
        <v/>
      </c>
      <c r="AB189">
        <f>HYPERLINK("https://klasma.github.io/Logging_2481/klagomålsmail/A 32612-2026 FSC-klagomål mail.docx", "A 32612-2026")</f>
        <v/>
      </c>
      <c r="AC189">
        <f>HYPERLINK("https://klasma.github.io/Logging_2481/tillsyn/A 32612-2026 tillsynsbegäran.docx", "A 32612-2026")</f>
        <v/>
      </c>
      <c r="AD189">
        <f>HYPERLINK("https://klasma.github.io/Logging_2481/tillsynsmail/A 32612-2026 tillsynsbegäran mail.docx", "A 32612-2026")</f>
        <v/>
      </c>
    </row>
    <row r="190" ht="15" customHeight="1">
      <c r="A190" t="inlineStr">
        <is>
          <t>A 32686-2026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46240</v>
      </c>
      <c r="E190" s="1" t="n">
        <v>46290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17.4</v>
      </c>
      <c r="J190" t="n">
        <v>1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Doftticka</t>
        </is>
      </c>
      <c r="W190">
        <f>HYPERLINK("https://klasma.github.io/Logging_2481/artfynd/A 32686-2026 artfynd.xlsx", "A 32686-2026")</f>
        <v/>
      </c>
      <c r="X190">
        <f>HYPERLINK("https://klasma.github.io/Logging_2481/kartor/A 32686-2026 karta.png", "A 32686-2026")</f>
        <v/>
      </c>
      <c r="Y190">
        <f>HYPERLINK("https://klasma.github.io/Logging_2481/kartor_geotiff/A 32686-2026 georefererad karta.tif", "A 32686-2026")</f>
        <v/>
      </c>
      <c r="AA190">
        <f>HYPERLINK("https://klasma.github.io/Logging_2481/klagomål/A 32686-2026 FSC-klagomål.docx", "A 32686-2026")</f>
        <v/>
      </c>
      <c r="AB190">
        <f>HYPERLINK("https://klasma.github.io/Logging_2481/klagomålsmail/A 32686-2026 FSC-klagomål mail.docx", "A 32686-2026")</f>
        <v/>
      </c>
      <c r="AC190">
        <f>HYPERLINK("https://klasma.github.io/Logging_2481/tillsyn/A 32686-2026 tillsynsbegäran.docx", "A 32686-2026")</f>
        <v/>
      </c>
      <c r="AD190">
        <f>HYPERLINK("https://klasma.github.io/Logging_2481/tillsynsmail/A 32686-2026 tillsynsbegäran mail.docx", "A 32686-2026")</f>
        <v/>
      </c>
    </row>
    <row r="191" ht="15" customHeight="1">
      <c r="A191" t="inlineStr">
        <is>
          <t>A 496-2024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46290</v>
      </c>
      <c r="F191" t="inlineStr">
        <is>
          <t>VÄSTERBOTTENS LÄN</t>
        </is>
      </c>
      <c r="G191" t="inlineStr">
        <is>
          <t>LYCKSELE</t>
        </is>
      </c>
      <c r="I191" t="n">
        <v>5.2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7</v>
      </c>
      <c r="U191" t="n">
        <v>7</v>
      </c>
      <c r="V191" s="2" t="inlineStr">
        <is>
          <t>Tretåig hackspett</t>
        </is>
      </c>
      <c r="W191">
        <f>HYPERLINK("https://klasma.github.io/Logging_2481/artfynd/A 496-2024 artfynd.xlsx", "A 496-2024")</f>
        <v/>
      </c>
      <c r="X191">
        <f>HYPERLINK("https://klasma.github.io/Logging_2481/kartor/A 496-2024 karta.png", "A 496-2024")</f>
        <v/>
      </c>
      <c r="Y191">
        <f>HYPERLINK("https://klasma.github.io/Logging_2481/kartor_geotiff/A 496-2024 georefererad karta.tif", "A 496-2024")</f>
        <v/>
      </c>
      <c r="AA191">
        <f>HYPERLINK("https://klasma.github.io/Logging_2481/klagomål/A 496-2024 FSC-klagomål.docx", "A 496-2024")</f>
        <v/>
      </c>
      <c r="AB191">
        <f>HYPERLINK("https://klasma.github.io/Logging_2481/klagomålsmail/A 496-2024 FSC-klagomål mail.docx", "A 496-2024")</f>
        <v/>
      </c>
      <c r="AC191">
        <f>HYPERLINK("https://klasma.github.io/Logging_2481/tillsyn/A 496-2024 tillsynsbegäran.docx", "A 496-2024")</f>
        <v/>
      </c>
      <c r="AD191">
        <f>HYPERLINK("https://klasma.github.io/Logging_2481/tillsynsmail/A 496-2024 tillsynsbegäran mail.docx", "A 496-2024")</f>
        <v/>
      </c>
      <c r="AE191">
        <f>HYPERLINK("https://klasma.github.io/Logging_2481/fåglar/A 496-2024 prioriterade fågelarter.docx", "A 496-2024")</f>
        <v/>
      </c>
    </row>
    <row r="192" ht="15" customHeight="1">
      <c r="A192" t="inlineStr">
        <is>
          <t>A 22373-2025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45786</v>
      </c>
      <c r="E192" s="1" t="n">
        <v>46290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22373-2025 artfynd.xlsx", "A 22373-2025")</f>
        <v/>
      </c>
      <c r="X192">
        <f>HYPERLINK("https://klasma.github.io/Logging_2481/kartor/A 22373-2025 karta.png", "A 22373-2025")</f>
        <v/>
      </c>
      <c r="Y192">
        <f>HYPERLINK("https://klasma.github.io/Logging_2481/kartor_geotiff/A 22373-2025 georefererad karta.tif", "A 22373-2025")</f>
        <v/>
      </c>
      <c r="AA192">
        <f>HYPERLINK("https://klasma.github.io/Logging_2481/klagomål/A 22373-2025 FSC-klagomål.docx", "A 22373-2025")</f>
        <v/>
      </c>
      <c r="AB192">
        <f>HYPERLINK("https://klasma.github.io/Logging_2481/klagomålsmail/A 22373-2025 FSC-klagomål mail.docx", "A 22373-2025")</f>
        <v/>
      </c>
      <c r="AC192">
        <f>HYPERLINK("https://klasma.github.io/Logging_2481/tillsyn/A 22373-2025 tillsynsbegäran.docx", "A 22373-2025")</f>
        <v/>
      </c>
      <c r="AD192">
        <f>HYPERLINK("https://klasma.github.io/Logging_2481/tillsynsmail/A 22373-2025 tillsynsbegäran mail.docx", "A 22373-2025")</f>
        <v/>
      </c>
    </row>
    <row r="193" ht="15" customHeight="1">
      <c r="A193" t="inlineStr">
        <is>
          <t>A 53226-2022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46290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10.5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Ängsmetallvinge</t>
        </is>
      </c>
      <c r="W193">
        <f>HYPERLINK("https://klasma.github.io/Logging_2481/artfynd/A 53226-2022 artfynd.xlsx", "A 53226-2022")</f>
        <v/>
      </c>
      <c r="X193">
        <f>HYPERLINK("https://klasma.github.io/Logging_2481/kartor/A 53226-2022 karta.png", "A 53226-2022")</f>
        <v/>
      </c>
      <c r="Y193">
        <f>HYPERLINK("https://klasma.github.io/Logging_2481/kartor_geotiff/A 53226-2022 georefererad karta.tif", "A 53226-2022")</f>
        <v/>
      </c>
      <c r="AA193">
        <f>HYPERLINK("https://klasma.github.io/Logging_2481/klagomål/A 53226-2022 FSC-klagomål.docx", "A 53226-2022")</f>
        <v/>
      </c>
      <c r="AB193">
        <f>HYPERLINK("https://klasma.github.io/Logging_2481/klagomålsmail/A 53226-2022 FSC-klagomål mail.docx", "A 53226-2022")</f>
        <v/>
      </c>
      <c r="AC193">
        <f>HYPERLINK("https://klasma.github.io/Logging_2481/tillsyn/A 53226-2022 tillsynsbegäran.docx", "A 53226-2022")</f>
        <v/>
      </c>
      <c r="AD193">
        <f>HYPERLINK("https://klasma.github.io/Logging_2481/tillsynsmail/A 53226-2022 tillsynsbegäran mail.docx", "A 53226-2022")</f>
        <v/>
      </c>
    </row>
    <row r="194" ht="15" customHeight="1">
      <c r="A194" t="inlineStr">
        <is>
          <t>A 7768-2023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46290</v>
      </c>
      <c r="F194" t="inlineStr">
        <is>
          <t>VÄSTERBOTTENS LÄN</t>
        </is>
      </c>
      <c r="G194" t="inlineStr">
        <is>
          <t>LYCKSELE</t>
        </is>
      </c>
      <c r="I194" t="n">
        <v>2.3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Knärot</t>
        </is>
      </c>
      <c r="W194">
        <f>HYPERLINK("https://klasma.github.io/Logging_2481/artfynd/A 7768-2023 artfynd.xlsx", "A 7768-2023")</f>
        <v/>
      </c>
      <c r="X194">
        <f>HYPERLINK("https://klasma.github.io/Logging_2481/kartor/A 7768-2023 karta.png", "A 7768-2023")</f>
        <v/>
      </c>
      <c r="Y194">
        <f>HYPERLINK("https://klasma.github.io/Logging_2481/kartor_geotiff/A 7768-2023 georefererad karta.tif", "A 7768-2023")</f>
        <v/>
      </c>
      <c r="Z194">
        <f>HYPERLINK("https://klasma.github.io/Logging_2481/knärot/A 7768-2023 karta knärot.png", "A 7768-2023")</f>
        <v/>
      </c>
      <c r="AA194">
        <f>HYPERLINK("https://klasma.github.io/Logging_2481/klagomål/A 7768-2023 FSC-klagomål.docx", "A 7768-2023")</f>
        <v/>
      </c>
      <c r="AB194">
        <f>HYPERLINK("https://klasma.github.io/Logging_2481/klagomålsmail/A 7768-2023 FSC-klagomål mail.docx", "A 7768-2023")</f>
        <v/>
      </c>
      <c r="AC194">
        <f>HYPERLINK("https://klasma.github.io/Logging_2481/tillsyn/A 7768-2023 tillsynsbegäran.docx", "A 7768-2023")</f>
        <v/>
      </c>
      <c r="AD194">
        <f>HYPERLINK("https://klasma.github.io/Logging_2481/tillsynsmail/A 7768-2023 tillsynsbegäran mail.docx", "A 7768-2023")</f>
        <v/>
      </c>
    </row>
    <row r="195" ht="15" customHeight="1">
      <c r="A195" t="inlineStr">
        <is>
          <t>A 30515-2025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46290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8.1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Ullticka</t>
        </is>
      </c>
      <c r="W195">
        <f>HYPERLINK("https://klasma.github.io/Logging_2481/artfynd/A 30515-2025 artfynd.xlsx", "A 30515-2025")</f>
        <v/>
      </c>
      <c r="X195">
        <f>HYPERLINK("https://klasma.github.io/Logging_2481/kartor/A 30515-2025 karta.png", "A 30515-2025")</f>
        <v/>
      </c>
      <c r="Y195">
        <f>HYPERLINK("https://klasma.github.io/Logging_2481/kartor_geotiff/A 30515-2025 georefererad karta.tif", "A 30515-2025")</f>
        <v/>
      </c>
      <c r="AA195">
        <f>HYPERLINK("https://klasma.github.io/Logging_2481/klagomål/A 30515-2025 FSC-klagomål.docx", "A 30515-2025")</f>
        <v/>
      </c>
      <c r="AB195">
        <f>HYPERLINK("https://klasma.github.io/Logging_2481/klagomålsmail/A 30515-2025 FSC-klagomål mail.docx", "A 30515-2025")</f>
        <v/>
      </c>
      <c r="AC195">
        <f>HYPERLINK("https://klasma.github.io/Logging_2481/tillsyn/A 30515-2025 tillsynsbegäran.docx", "A 30515-2025")</f>
        <v/>
      </c>
      <c r="AD195">
        <f>HYPERLINK("https://klasma.github.io/Logging_2481/tillsynsmail/A 30515-2025 tillsynsbegäran mail.docx", "A 30515-2025")</f>
        <v/>
      </c>
    </row>
    <row r="196" ht="15" customHeight="1">
      <c r="A196" t="inlineStr">
        <is>
          <t>A 33346-2025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46290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Doftskinn</t>
        </is>
      </c>
      <c r="W196">
        <f>HYPERLINK("https://klasma.github.io/Logging_2481/artfynd/A 33346-2025 artfynd.xlsx", "A 33346-2025")</f>
        <v/>
      </c>
      <c r="X196">
        <f>HYPERLINK("https://klasma.github.io/Logging_2481/kartor/A 33346-2025 karta.png", "A 33346-2025")</f>
        <v/>
      </c>
      <c r="Y196">
        <f>HYPERLINK("https://klasma.github.io/Logging_2481/kartor_geotiff/A 33346-2025 georefererad karta.tif", "A 33346-2025")</f>
        <v/>
      </c>
      <c r="AA196">
        <f>HYPERLINK("https://klasma.github.io/Logging_2481/klagomål/A 33346-2025 FSC-klagomål.docx", "A 33346-2025")</f>
        <v/>
      </c>
      <c r="AB196">
        <f>HYPERLINK("https://klasma.github.io/Logging_2481/klagomålsmail/A 33346-2025 FSC-klagomål mail.docx", "A 33346-2025")</f>
        <v/>
      </c>
      <c r="AC196">
        <f>HYPERLINK("https://klasma.github.io/Logging_2481/tillsyn/A 33346-2025 tillsynsbegäran.docx", "A 33346-2025")</f>
        <v/>
      </c>
      <c r="AD196">
        <f>HYPERLINK("https://klasma.github.io/Logging_2481/tillsynsmail/A 33346-2025 tillsynsbegäran mail.docx", "A 33346-2025")</f>
        <v/>
      </c>
    </row>
    <row r="197" ht="15" customHeight="1">
      <c r="A197" t="inlineStr">
        <is>
          <t>A 34958-2025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46290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4.1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Spillkråka</t>
        </is>
      </c>
      <c r="W197">
        <f>HYPERLINK("https://klasma.github.io/Logging_2481/artfynd/A 34958-2025 artfynd.xlsx", "A 34958-2025")</f>
        <v/>
      </c>
      <c r="X197">
        <f>HYPERLINK("https://klasma.github.io/Logging_2481/kartor/A 34958-2025 karta.png", "A 34958-2025")</f>
        <v/>
      </c>
      <c r="Y197">
        <f>HYPERLINK("https://klasma.github.io/Logging_2481/kartor_geotiff/A 34958-2025 georefererad karta.tif", "A 34958-2025")</f>
        <v/>
      </c>
      <c r="AA197">
        <f>HYPERLINK("https://klasma.github.io/Logging_2481/klagomål/A 34958-2025 FSC-klagomål.docx", "A 34958-2025")</f>
        <v/>
      </c>
      <c r="AB197">
        <f>HYPERLINK("https://klasma.github.io/Logging_2481/klagomålsmail/A 34958-2025 FSC-klagomål mail.docx", "A 34958-2025")</f>
        <v/>
      </c>
      <c r="AC197">
        <f>HYPERLINK("https://klasma.github.io/Logging_2481/tillsyn/A 34958-2025 tillsynsbegäran.docx", "A 34958-2025")</f>
        <v/>
      </c>
      <c r="AD197">
        <f>HYPERLINK("https://klasma.github.io/Logging_2481/tillsynsmail/A 34958-2025 tillsynsbegäran mail.docx", "A 34958-2025")</f>
        <v/>
      </c>
      <c r="AE197">
        <f>HYPERLINK("https://klasma.github.io/Logging_2481/fåglar/A 34958-2025 prioriterade fågelarter.docx", "A 34958-2025")</f>
        <v/>
      </c>
    </row>
    <row r="198" ht="15" customHeight="1">
      <c r="A198" t="inlineStr">
        <is>
          <t>A 35239-2025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45853</v>
      </c>
      <c r="E198" s="1" t="n">
        <v>46290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8.699999999999999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Gammelgransskål</t>
        </is>
      </c>
      <c r="W198">
        <f>HYPERLINK("https://klasma.github.io/Logging_2481/artfynd/A 35239-2025 artfynd.xlsx", "A 35239-2025")</f>
        <v/>
      </c>
      <c r="X198">
        <f>HYPERLINK("https://klasma.github.io/Logging_2481/kartor/A 35239-2025 karta.png", "A 35239-2025")</f>
        <v/>
      </c>
      <c r="Y198">
        <f>HYPERLINK("https://klasma.github.io/Logging_2481/kartor_geotiff/A 35239-2025 georefererad karta.tif", "A 35239-2025")</f>
        <v/>
      </c>
      <c r="AA198">
        <f>HYPERLINK("https://klasma.github.io/Logging_2481/klagomål/A 35239-2025 FSC-klagomål.docx", "A 35239-2025")</f>
        <v/>
      </c>
      <c r="AB198">
        <f>HYPERLINK("https://klasma.github.io/Logging_2481/klagomålsmail/A 35239-2025 FSC-klagomål mail.docx", "A 35239-2025")</f>
        <v/>
      </c>
      <c r="AC198">
        <f>HYPERLINK("https://klasma.github.io/Logging_2481/tillsyn/A 35239-2025 tillsynsbegäran.docx", "A 35239-2025")</f>
        <v/>
      </c>
      <c r="AD198">
        <f>HYPERLINK("https://klasma.github.io/Logging_2481/tillsynsmail/A 35239-2025 tillsynsbegäran mail.docx", "A 35239-2025")</f>
        <v/>
      </c>
    </row>
    <row r="199" ht="15" customHeight="1">
      <c r="A199" t="inlineStr">
        <is>
          <t>A 35226-2025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45853</v>
      </c>
      <c r="E199" s="1" t="n">
        <v>46290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14.7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Tretåig hackspett</t>
        </is>
      </c>
      <c r="W199">
        <f>HYPERLINK("https://klasma.github.io/Logging_2481/artfynd/A 35226-2025 artfynd.xlsx", "A 35226-2025")</f>
        <v/>
      </c>
      <c r="X199">
        <f>HYPERLINK("https://klasma.github.io/Logging_2481/kartor/A 35226-2025 karta.png", "A 35226-2025")</f>
        <v/>
      </c>
      <c r="Y199">
        <f>HYPERLINK("https://klasma.github.io/Logging_2481/kartor_geotiff/A 35226-2025 georefererad karta.tif", "A 35226-2025")</f>
        <v/>
      </c>
      <c r="AA199">
        <f>HYPERLINK("https://klasma.github.io/Logging_2481/klagomål/A 35226-2025 FSC-klagomål.docx", "A 35226-2025")</f>
        <v/>
      </c>
      <c r="AB199">
        <f>HYPERLINK("https://klasma.github.io/Logging_2481/klagomålsmail/A 35226-2025 FSC-klagomål mail.docx", "A 35226-2025")</f>
        <v/>
      </c>
      <c r="AC199">
        <f>HYPERLINK("https://klasma.github.io/Logging_2481/tillsyn/A 35226-2025 tillsynsbegäran.docx", "A 35226-2025")</f>
        <v/>
      </c>
      <c r="AD199">
        <f>HYPERLINK("https://klasma.github.io/Logging_2481/tillsynsmail/A 35226-2025 tillsynsbegäran mail.docx", "A 35226-2025")</f>
        <v/>
      </c>
      <c r="AE199">
        <f>HYPERLINK("https://klasma.github.io/Logging_2481/fåglar/A 35226-2025 prioriterade fågelarter.docx", "A 35226-2025")</f>
        <v/>
      </c>
    </row>
    <row r="200" ht="15" customHeight="1">
      <c r="A200" t="inlineStr">
        <is>
          <t>A 7398-2025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46290</v>
      </c>
      <c r="F200" t="inlineStr">
        <is>
          <t>VÄSTERBOTTENS LÄN</t>
        </is>
      </c>
      <c r="G200" t="inlineStr">
        <is>
          <t>LYCKSELE</t>
        </is>
      </c>
      <c r="I200" t="n">
        <v>2.4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Gråspett</t>
        </is>
      </c>
      <c r="W200">
        <f>HYPERLINK("https://klasma.github.io/Logging_2481/artfynd/A 7398-2025 artfynd.xlsx", "A 7398-2025")</f>
        <v/>
      </c>
      <c r="X200">
        <f>HYPERLINK("https://klasma.github.io/Logging_2481/kartor/A 7398-2025 karta.png", "A 7398-2025")</f>
        <v/>
      </c>
      <c r="Y200">
        <f>HYPERLINK("https://klasma.github.io/Logging_2481/kartor_geotiff/A 7398-2025 georefererad karta.tif", "A 7398-2025")</f>
        <v/>
      </c>
      <c r="AA200">
        <f>HYPERLINK("https://klasma.github.io/Logging_2481/klagomål/A 7398-2025 FSC-klagomål.docx", "A 7398-2025")</f>
        <v/>
      </c>
      <c r="AB200">
        <f>HYPERLINK("https://klasma.github.io/Logging_2481/klagomålsmail/A 7398-2025 FSC-klagomål mail.docx", "A 7398-2025")</f>
        <v/>
      </c>
      <c r="AC200">
        <f>HYPERLINK("https://klasma.github.io/Logging_2481/tillsyn/A 7398-2025 tillsynsbegäran.docx", "A 7398-2025")</f>
        <v/>
      </c>
      <c r="AD200">
        <f>HYPERLINK("https://klasma.github.io/Logging_2481/tillsynsmail/A 7398-2025 tillsynsbegäran mail.docx", "A 7398-2025")</f>
        <v/>
      </c>
      <c r="AE200">
        <f>HYPERLINK("https://klasma.github.io/Logging_2481/fåglar/A 7398-2025 prioriterade fågelarter.docx", "A 7398-2025")</f>
        <v/>
      </c>
    </row>
    <row r="201" ht="15" customHeight="1">
      <c r="A201" t="inlineStr">
        <is>
          <t>A 35981-2025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46290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6.1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Dropptaggsvamp</t>
        </is>
      </c>
      <c r="W201">
        <f>HYPERLINK("https://klasma.github.io/Logging_2481/artfynd/A 35981-2025 artfynd.xlsx", "A 35981-2025")</f>
        <v/>
      </c>
      <c r="X201">
        <f>HYPERLINK("https://klasma.github.io/Logging_2481/kartor/A 35981-2025 karta.png", "A 35981-2025")</f>
        <v/>
      </c>
      <c r="Y201">
        <f>HYPERLINK("https://klasma.github.io/Logging_2481/kartor_geotiff/A 35981-2025 georefererad karta.tif", "A 35981-2025")</f>
        <v/>
      </c>
      <c r="AA201">
        <f>HYPERLINK("https://klasma.github.io/Logging_2481/klagomål/A 35981-2025 FSC-klagomål.docx", "A 35981-2025")</f>
        <v/>
      </c>
      <c r="AB201">
        <f>HYPERLINK("https://klasma.github.io/Logging_2481/klagomålsmail/A 35981-2025 FSC-klagomål mail.docx", "A 35981-2025")</f>
        <v/>
      </c>
      <c r="AC201">
        <f>HYPERLINK("https://klasma.github.io/Logging_2481/tillsyn/A 35981-2025 tillsynsbegäran.docx", "A 35981-2025")</f>
        <v/>
      </c>
      <c r="AD201">
        <f>HYPERLINK("https://klasma.github.io/Logging_2481/tillsynsmail/A 35981-2025 tillsynsbegäran mail.docx", "A 35981-2025")</f>
        <v/>
      </c>
    </row>
    <row r="202" ht="15" customHeight="1">
      <c r="A202" t="inlineStr">
        <is>
          <t>S 156-2023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44943</v>
      </c>
      <c r="E202" s="1" t="n">
        <v>46290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356.6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Norrlandslav</t>
        </is>
      </c>
      <c r="W202">
        <f>HYPERLINK("https://klasma.github.io/Logging_2481/artfynd/S 156-2023 artfynd.xlsx", "S 156-2023")</f>
        <v/>
      </c>
      <c r="X202">
        <f>HYPERLINK("https://klasma.github.io/Logging_2481/kartor/S 156-2023 karta.png", "S 156-2023")</f>
        <v/>
      </c>
      <c r="Y202">
        <f>HYPERLINK("https://klasma.github.io/Logging_2481/kartor_geotiff/S 156-2023 georefererad karta.tif", "S 156-2023")</f>
        <v/>
      </c>
      <c r="AA202">
        <f>HYPERLINK("https://klasma.github.io/Logging_2481/klagomål/S 156-2023 FSC-klagomål.docx", "S 156-2023")</f>
        <v/>
      </c>
      <c r="AB202">
        <f>HYPERLINK("https://klasma.github.io/Logging_2481/klagomålsmail/S 156-2023 FSC-klagomål mail.docx", "S 156-2023")</f>
        <v/>
      </c>
      <c r="AC202">
        <f>HYPERLINK("https://klasma.github.io/Logging_2481/tillsyn/S 156-2023 tillsynsbegäran.docx", "S 156-2023")</f>
        <v/>
      </c>
      <c r="AD202">
        <f>HYPERLINK("https://klasma.github.io/Logging_2481/tillsynsmail/S 156-2023 tillsynsbegäran mail.docx", "S 156-2023")</f>
        <v/>
      </c>
    </row>
    <row r="203" ht="15" customHeight="1">
      <c r="A203" t="inlineStr">
        <is>
          <t>S 454-2025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45701</v>
      </c>
      <c r="E203" s="1" t="n">
        <v>46290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74.3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Doftticka</t>
        </is>
      </c>
      <c r="W203">
        <f>HYPERLINK("https://klasma.github.io/Logging_2481/artfynd/S 454-2025 artfynd.xlsx", "S 454-2025")</f>
        <v/>
      </c>
      <c r="X203">
        <f>HYPERLINK("https://klasma.github.io/Logging_2481/kartor/S 454-2025 karta.png", "S 454-2025")</f>
        <v/>
      </c>
      <c r="Y203">
        <f>HYPERLINK("https://klasma.github.io/Logging_2481/kartor_geotiff/S 454-2025 georefererad karta.tif", "S 454-2025")</f>
        <v/>
      </c>
      <c r="AA203">
        <f>HYPERLINK("https://klasma.github.io/Logging_2481/klagomål/S 454-2025 FSC-klagomål.docx", "S 454-2025")</f>
        <v/>
      </c>
      <c r="AB203">
        <f>HYPERLINK("https://klasma.github.io/Logging_2481/klagomålsmail/S 454-2025 FSC-klagomål mail.docx", "S 454-2025")</f>
        <v/>
      </c>
      <c r="AC203">
        <f>HYPERLINK("https://klasma.github.io/Logging_2481/tillsyn/S 454-2025 tillsynsbegäran.docx", "S 454-2025")</f>
        <v/>
      </c>
      <c r="AD203">
        <f>HYPERLINK("https://klasma.github.io/Logging_2481/tillsynsmail/S 454-2025 tillsynsbegäran mail.docx", "S 454-2025")</f>
        <v/>
      </c>
    </row>
    <row r="204" ht="15" customHeight="1">
      <c r="A204" t="inlineStr">
        <is>
          <t>A 36846-2022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46290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44567</v>
      </c>
      <c r="E205" s="1" t="n">
        <v>46290</v>
      </c>
      <c r="F205" t="inlineStr">
        <is>
          <t>VÄSTERBOTTENS LÄN</t>
        </is>
      </c>
      <c r="G205" t="inlineStr">
        <is>
          <t>LYCKSELE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57821-2021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44484</v>
      </c>
      <c r="E206" s="1" t="n">
        <v>46290</v>
      </c>
      <c r="F206" t="inlineStr">
        <is>
          <t>VÄSTERBOTTENS LÄN</t>
        </is>
      </c>
      <c r="G206" t="inlineStr">
        <is>
          <t>LYCKSELE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46290</v>
      </c>
      <c r="F207" t="inlineStr">
        <is>
          <t>VÄSTERBOTTENS LÄN</t>
        </is>
      </c>
      <c r="G207" t="inlineStr">
        <is>
          <t>LYCKSELE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46290</v>
      </c>
      <c r="F208" t="inlineStr">
        <is>
          <t>VÄSTERBOTTENS LÄN</t>
        </is>
      </c>
      <c r="G208" t="inlineStr">
        <is>
          <t>LYCKSELE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70213-2021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44535</v>
      </c>
      <c r="E209" s="1" t="n">
        <v>46290</v>
      </c>
      <c r="F209" t="inlineStr">
        <is>
          <t>VÄSTERBOTTENS LÄN</t>
        </is>
      </c>
      <c r="G209" t="inlineStr">
        <is>
          <t>LYCKSELE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44785</v>
      </c>
      <c r="E210" s="1" t="n">
        <v>46290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46290</v>
      </c>
      <c r="F211" t="inlineStr">
        <is>
          <t>VÄSTERBOTTENS LÄN</t>
        </is>
      </c>
      <c r="G211" t="inlineStr">
        <is>
          <t>LYCKSELE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46290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46290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46290</v>
      </c>
      <c r="F214" t="inlineStr">
        <is>
          <t>VÄSTERBOTTENS LÄN</t>
        </is>
      </c>
      <c r="G214" t="inlineStr">
        <is>
          <t>LYCKSELE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46290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46290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46290</v>
      </c>
      <c r="F217" t="inlineStr">
        <is>
          <t>VÄSTERBOTTENS LÄN</t>
        </is>
      </c>
      <c r="G217" t="inlineStr">
        <is>
          <t>LYCKSELE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46290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46290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46290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44761</v>
      </c>
      <c r="E221" s="1" t="n">
        <v>46290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46290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46290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46290</v>
      </c>
      <c r="F224" t="inlineStr">
        <is>
          <t>VÄSTERBOTTENS LÄN</t>
        </is>
      </c>
      <c r="G224" t="inlineStr">
        <is>
          <t>LYCKSELE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46290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46290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46290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46290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65487-2021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44515</v>
      </c>
      <c r="E229" s="1" t="n">
        <v>46290</v>
      </c>
      <c r="F229" t="inlineStr">
        <is>
          <t>VÄSTERBOTTENS LÄN</t>
        </is>
      </c>
      <c r="G229" t="inlineStr">
        <is>
          <t>LYCKSELE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46290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46290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46290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46290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46290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46290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46290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46290</v>
      </c>
      <c r="F237" t="inlineStr">
        <is>
          <t>VÄSTERBOTTENS LÄN</t>
        </is>
      </c>
      <c r="G237" t="inlineStr">
        <is>
          <t>LYCKSELE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44509</v>
      </c>
      <c r="E238" s="1" t="n">
        <v>46290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46290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46290</v>
      </c>
      <c r="F240" t="inlineStr">
        <is>
          <t>VÄSTERBOTTENS LÄN</t>
        </is>
      </c>
      <c r="G240" t="inlineStr">
        <is>
          <t>LYCKSELE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46290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46290</v>
      </c>
      <c r="F242" t="inlineStr">
        <is>
          <t>VÄSTERBOTTENS LÄN</t>
        </is>
      </c>
      <c r="G242" t="inlineStr">
        <is>
          <t>LYCKSELE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46290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69627-2021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46290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44544</v>
      </c>
      <c r="E245" s="1" t="n">
        <v>46290</v>
      </c>
      <c r="F245" t="inlineStr">
        <is>
          <t>VÄSTERBOTTENS LÄN</t>
        </is>
      </c>
      <c r="G245" t="inlineStr">
        <is>
          <t>LYCKSELE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44749</v>
      </c>
      <c r="E246" s="1" t="n">
        <v>46290</v>
      </c>
      <c r="F246" t="inlineStr">
        <is>
          <t>VÄSTERBOTTENS LÄN</t>
        </is>
      </c>
      <c r="G246" t="inlineStr">
        <is>
          <t>LYCKSELE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44484</v>
      </c>
      <c r="E247" s="1" t="n">
        <v>46290</v>
      </c>
      <c r="F247" t="inlineStr">
        <is>
          <t>VÄSTERBOTTENS LÄN</t>
        </is>
      </c>
      <c r="G247" t="inlineStr">
        <is>
          <t>LYCKSELE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46290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44875</v>
      </c>
      <c r="E249" s="1" t="n">
        <v>46290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69226-2021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44531</v>
      </c>
      <c r="E250" s="1" t="n">
        <v>46290</v>
      </c>
      <c r="F250" t="inlineStr">
        <is>
          <t>VÄSTERBOTTENS LÄN</t>
        </is>
      </c>
      <c r="G250" t="inlineStr">
        <is>
          <t>LYCKSELE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65231-2021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44513</v>
      </c>
      <c r="E251" s="1" t="n">
        <v>46290</v>
      </c>
      <c r="F251" t="inlineStr">
        <is>
          <t>VÄSTERBOTTENS LÄN</t>
        </is>
      </c>
      <c r="G251" t="inlineStr">
        <is>
          <t>LYCKSELE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46290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61554-2021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46290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46290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46290</v>
      </c>
      <c r="F255" t="inlineStr">
        <is>
          <t>VÄSTERBOTTENS LÄN</t>
        </is>
      </c>
      <c r="G255" t="inlineStr">
        <is>
          <t>LYCKSELE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46290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46290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46290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46290</v>
      </c>
      <c r="F259" t="inlineStr">
        <is>
          <t>VÄSTERBOTTENS LÄN</t>
        </is>
      </c>
      <c r="G259" t="inlineStr">
        <is>
          <t>LYCKSELE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46290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46290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46290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46290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46290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46290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Naturvårdsverket</t>
        </is>
      </c>
      <c r="I265" t="n">
        <v>32.1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44670</v>
      </c>
      <c r="E266" s="1" t="n">
        <v>46290</v>
      </c>
      <c r="F266" t="inlineStr">
        <is>
          <t>VÄSTERBOTTENS LÄN</t>
        </is>
      </c>
      <c r="G266" t="inlineStr">
        <is>
          <t>LYCKSELE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46290</v>
      </c>
      <c r="F268" t="inlineStr">
        <is>
          <t>VÄSTERBOTTENS LÄN</t>
        </is>
      </c>
      <c r="G268" t="inlineStr">
        <is>
          <t>LYCKSELE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45455</v>
      </c>
      <c r="E269" s="1" t="n">
        <v>46290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46290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46290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46290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46290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46290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46290</v>
      </c>
      <c r="F275" t="inlineStr">
        <is>
          <t>VÄSTERBOTTENS LÄN</t>
        </is>
      </c>
      <c r="G275" t="inlineStr">
        <is>
          <t>LYCKSELE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46290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46290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46290</v>
      </c>
      <c r="F278" t="inlineStr">
        <is>
          <t>VÄSTERBOTTENS LÄN</t>
        </is>
      </c>
      <c r="G278" t="inlineStr">
        <is>
          <t>LYCKSELE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46290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46290</v>
      </c>
      <c r="F280" t="inlineStr">
        <is>
          <t>VÄSTERBOTTENS LÄN</t>
        </is>
      </c>
      <c r="G280" t="inlineStr">
        <is>
          <t>LYCKSELE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46290</v>
      </c>
      <c r="F281" t="inlineStr">
        <is>
          <t>VÄSTERBOTTENS LÄN</t>
        </is>
      </c>
      <c r="G281" t="inlineStr">
        <is>
          <t>LYCKSELE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46290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46290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38114-2024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45545</v>
      </c>
      <c r="E284" s="1" t="n">
        <v>46290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56401-2021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44477</v>
      </c>
      <c r="E285" s="1" t="n">
        <v>46290</v>
      </c>
      <c r="F285" t="inlineStr">
        <is>
          <t>VÄSTERBOTTENS LÄN</t>
        </is>
      </c>
      <c r="G285" t="inlineStr">
        <is>
          <t>LYCKSELE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45378</v>
      </c>
      <c r="E286" s="1" t="n">
        <v>46290</v>
      </c>
      <c r="F286" t="inlineStr">
        <is>
          <t>VÄSTERBOTTENS LÄN</t>
        </is>
      </c>
      <c r="G286" t="inlineStr">
        <is>
          <t>LYCKSELE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46290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46290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45503</v>
      </c>
      <c r="E289" s="1" t="n">
        <v>46290</v>
      </c>
      <c r="F289" t="inlineStr">
        <is>
          <t>VÄSTERBOTTENS LÄN</t>
        </is>
      </c>
      <c r="G289" t="inlineStr">
        <is>
          <t>LYCKSELE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45462</v>
      </c>
      <c r="E290" s="1" t="n">
        <v>46290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26397-2022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44735</v>
      </c>
      <c r="E291" s="1" t="n">
        <v>46290</v>
      </c>
      <c r="F291" t="inlineStr">
        <is>
          <t>VÄSTERBOTTENS LÄN</t>
        </is>
      </c>
      <c r="G291" t="inlineStr">
        <is>
          <t>LYCKSELE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46290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44571</v>
      </c>
      <c r="E293" s="1" t="n">
        <v>46290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46290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46290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45457</v>
      </c>
      <c r="E296" s="1" t="n">
        <v>46290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46290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46290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46290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46290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46290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41749-2024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46290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45279</v>
      </c>
      <c r="E303" s="1" t="n">
        <v>46290</v>
      </c>
      <c r="F303" t="inlineStr">
        <is>
          <t>VÄSTERBOTTENS LÄN</t>
        </is>
      </c>
      <c r="G303" t="inlineStr">
        <is>
          <t>LYCKSELE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45694</v>
      </c>
      <c r="E304" s="1" t="n">
        <v>46290</v>
      </c>
      <c r="F304" t="inlineStr">
        <is>
          <t>VÄSTERBOTTENS LÄN</t>
        </is>
      </c>
      <c r="G304" t="inlineStr">
        <is>
          <t>LYCKSELE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46290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45586</v>
      </c>
      <c r="E306" s="1" t="n">
        <v>46290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46290</v>
      </c>
      <c r="F307" t="inlineStr">
        <is>
          <t>VÄSTERBOTTENS LÄN</t>
        </is>
      </c>
      <c r="G307" t="inlineStr">
        <is>
          <t>LYCKSELE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46290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46290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44571</v>
      </c>
      <c r="E310" s="1" t="n">
        <v>46290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46290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45751</v>
      </c>
      <c r="E312" s="1" t="n">
        <v>46290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46290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53323-2021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44468</v>
      </c>
      <c r="E314" s="1" t="n">
        <v>46290</v>
      </c>
      <c r="F314" t="inlineStr">
        <is>
          <t>VÄSTERBOTTENS LÄN</t>
        </is>
      </c>
      <c r="G314" t="inlineStr">
        <is>
          <t>LYCKSELE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46290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21660-2023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45063</v>
      </c>
      <c r="E316" s="1" t="n">
        <v>46290</v>
      </c>
      <c r="F316" t="inlineStr">
        <is>
          <t>VÄSTERBOTTENS LÄN</t>
        </is>
      </c>
      <c r="G316" t="inlineStr">
        <is>
          <t>LYCKSELE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45552</v>
      </c>
      <c r="E317" s="1" t="n">
        <v>46290</v>
      </c>
      <c r="F317" t="inlineStr">
        <is>
          <t>VÄSTERBOTTENS LÄN</t>
        </is>
      </c>
      <c r="G317" t="inlineStr">
        <is>
          <t>LYCKSELE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44733</v>
      </c>
      <c r="E318" s="1" t="n">
        <v>46290</v>
      </c>
      <c r="F318" t="inlineStr">
        <is>
          <t>VÄSTERBOTTENS LÄN</t>
        </is>
      </c>
      <c r="G318" t="inlineStr">
        <is>
          <t>LYCKSELE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46290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45208</v>
      </c>
      <c r="E320" s="1" t="n">
        <v>46290</v>
      </c>
      <c r="F320" t="inlineStr">
        <is>
          <t>VÄSTERBOTTENS LÄN</t>
        </is>
      </c>
      <c r="G320" t="inlineStr">
        <is>
          <t>LYCKSELE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46290</v>
      </c>
      <c r="F321" t="inlineStr">
        <is>
          <t>VÄSTERBOTTENS LÄN</t>
        </is>
      </c>
      <c r="G321" t="inlineStr">
        <is>
          <t>LYCKSELE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46290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46290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45652</v>
      </c>
      <c r="E324" s="1" t="n">
        <v>46290</v>
      </c>
      <c r="F324" t="inlineStr">
        <is>
          <t>VÄSTERBOTTENS LÄN</t>
        </is>
      </c>
      <c r="G324" t="inlineStr">
        <is>
          <t>LYCKSELE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46290</v>
      </c>
      <c r="F325" t="inlineStr">
        <is>
          <t>VÄSTERBOTTENS LÄN</t>
        </is>
      </c>
      <c r="G325" t="inlineStr">
        <is>
          <t>LYCKSELE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44566</v>
      </c>
      <c r="E326" s="1" t="n">
        <v>46290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46290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46290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45040</v>
      </c>
      <c r="E329" s="1" t="n">
        <v>46290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22.9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45474</v>
      </c>
      <c r="E330" s="1" t="n">
        <v>46290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Naturvårdsverket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45461</v>
      </c>
      <c r="E331" s="1" t="n">
        <v>46290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46290</v>
      </c>
      <c r="F332" t="inlineStr">
        <is>
          <t>VÄSTERBOTTENS LÄN</t>
        </is>
      </c>
      <c r="G332" t="inlineStr">
        <is>
          <t>LYCKSELE</t>
        </is>
      </c>
      <c r="I332" t="n">
        <v>12.3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46290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26483-2024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46290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45586</v>
      </c>
      <c r="E335" s="1" t="n">
        <v>46290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53369-2022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44874</v>
      </c>
      <c r="E336" s="1" t="n">
        <v>46290</v>
      </c>
      <c r="F336" t="inlineStr">
        <is>
          <t>VÄSTERBOTTENS LÄN</t>
        </is>
      </c>
      <c r="G336" t="inlineStr">
        <is>
          <t>LYCKSELE</t>
        </is>
      </c>
      <c r="I336" t="n">
        <v>9.1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46290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46290</v>
      </c>
      <c r="F338" t="inlineStr">
        <is>
          <t>VÄSTERBOTTENS LÄN</t>
        </is>
      </c>
      <c r="G338" t="inlineStr">
        <is>
          <t>LYCKSELE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46290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46290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46290</v>
      </c>
      <c r="F341" t="inlineStr">
        <is>
          <t>VÄSTERBOTTENS LÄN</t>
        </is>
      </c>
      <c r="G341" t="inlineStr">
        <is>
          <t>LYCKSELE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46290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46290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16.3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26357-2023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45091</v>
      </c>
      <c r="E344" s="1" t="n">
        <v>46290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45041</v>
      </c>
      <c r="E345" s="1" t="n">
        <v>46290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16669-2022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44672</v>
      </c>
      <c r="E346" s="1" t="n">
        <v>46290</v>
      </c>
      <c r="F346" t="inlineStr">
        <is>
          <t>VÄSTERBOTTENS LÄN</t>
        </is>
      </c>
      <c r="G346" t="inlineStr">
        <is>
          <t>LYCKSELE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46290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46290</v>
      </c>
      <c r="F348" t="inlineStr">
        <is>
          <t>VÄSTERBOTTENS LÄN</t>
        </is>
      </c>
      <c r="G348" t="inlineStr">
        <is>
          <t>LYCKSELE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46290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41256-2022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44826</v>
      </c>
      <c r="E350" s="1" t="n">
        <v>46290</v>
      </c>
      <c r="F350" t="inlineStr">
        <is>
          <t>VÄSTERBOTTENS LÄN</t>
        </is>
      </c>
      <c r="G350" t="inlineStr">
        <is>
          <t>LYCKSELE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36542-2025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45869</v>
      </c>
      <c r="E351" s="1" t="n">
        <v>46290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45869</v>
      </c>
      <c r="E352" s="1" t="n">
        <v>46290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45861</v>
      </c>
      <c r="E353" s="1" t="n">
        <v>46290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45873</v>
      </c>
      <c r="E354" s="1" t="n">
        <v>46290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46290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46290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46290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45873</v>
      </c>
      <c r="E358" s="1" t="n">
        <v>46290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45443</v>
      </c>
      <c r="E359" s="1" t="n">
        <v>46290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45875</v>
      </c>
      <c r="E360" s="1" t="n">
        <v>46290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45875</v>
      </c>
      <c r="E361" s="1" t="n">
        <v>46290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16.4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45520</v>
      </c>
      <c r="E362" s="1" t="n">
        <v>46290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46290</v>
      </c>
      <c r="F363" t="inlineStr">
        <is>
          <t>VÄSTERBOTTENS LÄN</t>
        </is>
      </c>
      <c r="G363" t="inlineStr">
        <is>
          <t>LYCKSELE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46290</v>
      </c>
      <c r="F364" t="inlineStr">
        <is>
          <t>VÄSTERBOTTENS LÄN</t>
        </is>
      </c>
      <c r="G364" t="inlineStr">
        <is>
          <t>LYCKSELE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11822-2023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46290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46290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2758-2023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44943</v>
      </c>
      <c r="E367" s="1" t="n">
        <v>46290</v>
      </c>
      <c r="F367" t="inlineStr">
        <is>
          <t>VÄSTERBOTTENS LÄN</t>
        </is>
      </c>
      <c r="G367" t="inlineStr">
        <is>
          <t>LYCKSELE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46290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42208-2022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46290</v>
      </c>
      <c r="F369" t="inlineStr">
        <is>
          <t>VÄSTERBOTTENS LÄN</t>
        </is>
      </c>
      <c r="G369" t="inlineStr">
        <is>
          <t>LYCKSELE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45356</v>
      </c>
      <c r="E370" s="1" t="n">
        <v>46290</v>
      </c>
      <c r="F370" t="inlineStr">
        <is>
          <t>VÄSTERBOTTENS LÄN</t>
        </is>
      </c>
      <c r="G370" t="inlineStr">
        <is>
          <t>LYCKSELE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46290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13.5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45888</v>
      </c>
      <c r="E372" s="1" t="n">
        <v>46290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46290</v>
      </c>
      <c r="F373" t="inlineStr">
        <is>
          <t>VÄSTERBOTTENS LÄN</t>
        </is>
      </c>
      <c r="G373" t="inlineStr">
        <is>
          <t>LYCKSELE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45730</v>
      </c>
      <c r="E374" s="1" t="n">
        <v>46290</v>
      </c>
      <c r="F374" t="inlineStr">
        <is>
          <t>VÄSTERBOTTENS LÄN</t>
        </is>
      </c>
      <c r="G374" t="inlineStr">
        <is>
          <t>LYCKSELE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45881</v>
      </c>
      <c r="E375" s="1" t="n">
        <v>46290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46290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53320-2021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44468</v>
      </c>
      <c r="E377" s="1" t="n">
        <v>46290</v>
      </c>
      <c r="F377" t="inlineStr">
        <is>
          <t>VÄSTERBOTTENS LÄN</t>
        </is>
      </c>
      <c r="G377" t="inlineStr">
        <is>
          <t>LYCKSELE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46290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46290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46290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39562-2025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45890</v>
      </c>
      <c r="E381" s="1" t="n">
        <v>46290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45352</v>
      </c>
      <c r="E382" s="1" t="n">
        <v>46290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46290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46290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46290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39543-2025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46290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45226</v>
      </c>
      <c r="E387" s="1" t="n">
        <v>46290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46290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45894</v>
      </c>
      <c r="E389" s="1" t="n">
        <v>46290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40238-2025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45894</v>
      </c>
      <c r="E390" s="1" t="n">
        <v>46290</v>
      </c>
      <c r="F390" t="inlineStr">
        <is>
          <t>VÄSTERBOTTENS LÄN</t>
        </is>
      </c>
      <c r="G390" t="inlineStr">
        <is>
          <t>LYCKSELE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46290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41992-2022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44830</v>
      </c>
      <c r="E392" s="1" t="n">
        <v>46290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46290</v>
      </c>
      <c r="F393" t="inlineStr">
        <is>
          <t>VÄSTERBOTTENS LÄN</t>
        </is>
      </c>
      <c r="G393" t="inlineStr">
        <is>
          <t>LYCKSELE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41604-2025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46290</v>
      </c>
      <c r="F394" t="inlineStr">
        <is>
          <t>VÄSTERBOTTENS LÄN</t>
        </is>
      </c>
      <c r="G394" t="inlineStr">
        <is>
          <t>LYCKSELE</t>
        </is>
      </c>
      <c r="I394" t="n">
        <v>16.6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45673</v>
      </c>
      <c r="E395" s="1" t="n">
        <v>46290</v>
      </c>
      <c r="F395" t="inlineStr">
        <is>
          <t>VÄSTERBOTTENS LÄN</t>
        </is>
      </c>
      <c r="G395" t="inlineStr">
        <is>
          <t>LYCKSELE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46290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46290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46290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46290</v>
      </c>
      <c r="F399" t="inlineStr">
        <is>
          <t>VÄSTERBOTTENS LÄN</t>
        </is>
      </c>
      <c r="G399" t="inlineStr">
        <is>
          <t>LYCKSELE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46290</v>
      </c>
      <c r="F400" t="inlineStr">
        <is>
          <t>VÄSTERBOTTENS LÄN</t>
        </is>
      </c>
      <c r="G400" t="inlineStr">
        <is>
          <t>LYCKSELE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46290</v>
      </c>
      <c r="F401" t="inlineStr">
        <is>
          <t>VÄSTERBOTTENS LÄN</t>
        </is>
      </c>
      <c r="G401" t="inlineStr">
        <is>
          <t>LYCKSELE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46290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46290</v>
      </c>
      <c r="F403" t="inlineStr">
        <is>
          <t>VÄSTERBOTTENS LÄN</t>
        </is>
      </c>
      <c r="G403" t="inlineStr">
        <is>
          <t>LYCKSELE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42500-2025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45905</v>
      </c>
      <c r="E404" s="1" t="n">
        <v>46290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46290</v>
      </c>
      <c r="F405" t="inlineStr">
        <is>
          <t>VÄSTERBOTTENS LÄN</t>
        </is>
      </c>
      <c r="G405" t="inlineStr">
        <is>
          <t>LYCKSELE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45887</v>
      </c>
      <c r="E406" s="1" t="n">
        <v>46290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46290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46290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23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46290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46290</v>
      </c>
      <c r="F410" t="inlineStr">
        <is>
          <t>VÄSTERBOTTENS LÄN</t>
        </is>
      </c>
      <c r="G410" t="inlineStr">
        <is>
          <t>LYCKSELE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46290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26999-2023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45093</v>
      </c>
      <c r="E412" s="1" t="n">
        <v>46290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71412-2021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44540</v>
      </c>
      <c r="E413" s="1" t="n">
        <v>46290</v>
      </c>
      <c r="F413" t="inlineStr">
        <is>
          <t>VÄSTERBOTTENS LÄN</t>
        </is>
      </c>
      <c r="G413" t="inlineStr">
        <is>
          <t>LYCKSELE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46290</v>
      </c>
      <c r="F414" t="inlineStr">
        <is>
          <t>VÄSTERBOTTENS LÄN</t>
        </is>
      </c>
      <c r="G414" t="inlineStr">
        <is>
          <t>LYCKSELE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45673</v>
      </c>
      <c r="E415" s="1" t="n">
        <v>46290</v>
      </c>
      <c r="F415" t="inlineStr">
        <is>
          <t>VÄSTERBOTTENS LÄN</t>
        </is>
      </c>
      <c r="G415" t="inlineStr">
        <is>
          <t>LYCKSELE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46290</v>
      </c>
      <c r="F416" t="inlineStr">
        <is>
          <t>VÄSTERBOTTENS LÄN</t>
        </is>
      </c>
      <c r="G416" t="inlineStr">
        <is>
          <t>LYCKSELE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46290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52699-2021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46290</v>
      </c>
      <c r="F418" t="inlineStr">
        <is>
          <t>VÄSTERBOTTENS LÄN</t>
        </is>
      </c>
      <c r="G418" t="inlineStr">
        <is>
          <t>LYCKSELE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44637</v>
      </c>
      <c r="E419" s="1" t="n">
        <v>46290</v>
      </c>
      <c r="F419" t="inlineStr">
        <is>
          <t>VÄSTERBOTTENS LÄN</t>
        </is>
      </c>
      <c r="G419" t="inlineStr">
        <is>
          <t>LYCKSELE</t>
        </is>
      </c>
      <c r="I419" t="n">
        <v>30.8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46290</v>
      </c>
      <c r="F420" t="inlineStr">
        <is>
          <t>VÄSTERBOTTENS LÄN</t>
        </is>
      </c>
      <c r="G420" t="inlineStr">
        <is>
          <t>LYCKSELE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46290</v>
      </c>
      <c r="F421" t="inlineStr">
        <is>
          <t>VÄSTERBOTTENS LÄN</t>
        </is>
      </c>
      <c r="G421" t="inlineStr">
        <is>
          <t>LYCKSELE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46290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46290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46290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57618-2022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44897</v>
      </c>
      <c r="E425" s="1" t="n">
        <v>46290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Holmen skog AB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46290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44337-2025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45916</v>
      </c>
      <c r="E427" s="1" t="n">
        <v>46290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46290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62870-2023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45271</v>
      </c>
      <c r="E429" s="1" t="n">
        <v>46290</v>
      </c>
      <c r="F429" t="inlineStr">
        <is>
          <t>VÄSTERBOTTENS LÄN</t>
        </is>
      </c>
      <c r="G429" t="inlineStr">
        <is>
          <t>LYCKSELE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46290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46290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19.6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47096-2023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45201</v>
      </c>
      <c r="E432" s="1" t="n">
        <v>46290</v>
      </c>
      <c r="F432" t="inlineStr">
        <is>
          <t>VÄSTERBOTTENS LÄN</t>
        </is>
      </c>
      <c r="G432" t="inlineStr">
        <is>
          <t>LYCKSELE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46290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44547-2025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45917</v>
      </c>
      <c r="E434" s="1" t="n">
        <v>46290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46290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46290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46290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57898-2021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44486</v>
      </c>
      <c r="E438" s="1" t="n">
        <v>46290</v>
      </c>
      <c r="F438" t="inlineStr">
        <is>
          <t>VÄSTERBOTTENS LÄN</t>
        </is>
      </c>
      <c r="G438" t="inlineStr">
        <is>
          <t>LYCKSELE</t>
        </is>
      </c>
      <c r="I438" t="n">
        <v>14.7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44933</v>
      </c>
      <c r="E439" s="1" t="n">
        <v>46290</v>
      </c>
      <c r="F439" t="inlineStr">
        <is>
          <t>VÄSTERBOTTENS LÄN</t>
        </is>
      </c>
      <c r="G439" t="inlineStr">
        <is>
          <t>LYCKSELE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44107-2025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46290</v>
      </c>
      <c r="F440" t="inlineStr">
        <is>
          <t>VÄSTERBOTTENS LÄN</t>
        </is>
      </c>
      <c r="G440" t="inlineStr">
        <is>
          <t>LYCKSELE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44094-2025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46290</v>
      </c>
      <c r="F441" t="inlineStr">
        <is>
          <t>VÄSTERBOTTENS LÄN</t>
        </is>
      </c>
      <c r="G441" t="inlineStr">
        <is>
          <t>LYCKSELE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62584-2022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44924</v>
      </c>
      <c r="E442" s="1" t="n">
        <v>46290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46290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46290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13566-2023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46290</v>
      </c>
      <c r="F445" t="inlineStr">
        <is>
          <t>VÄSTERBOTTENS LÄN</t>
        </is>
      </c>
      <c r="G445" t="inlineStr">
        <is>
          <t>LYCKSELE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60425-2021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44496</v>
      </c>
      <c r="E446" s="1" t="n">
        <v>46290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46290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46290</v>
      </c>
      <c r="F448" t="inlineStr">
        <is>
          <t>VÄSTERBOTTENS LÄN</t>
        </is>
      </c>
      <c r="G448" t="inlineStr">
        <is>
          <t>LYCKSELE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54428-2024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45617</v>
      </c>
      <c r="E449" s="1" t="n">
        <v>46290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51152-2024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46290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45411</v>
      </c>
      <c r="E451" s="1" t="n">
        <v>46290</v>
      </c>
      <c r="F451" t="inlineStr">
        <is>
          <t>VÄSTERBOTTENS LÄN</t>
        </is>
      </c>
      <c r="G451" t="inlineStr">
        <is>
          <t>LYCKSELE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30306-2024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45490</v>
      </c>
      <c r="E452" s="1" t="n">
        <v>46290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47459-2025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45930</v>
      </c>
      <c r="E453" s="1" t="n">
        <v>46290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46290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44620</v>
      </c>
      <c r="E455" s="1" t="n">
        <v>46290</v>
      </c>
      <c r="F455" t="inlineStr">
        <is>
          <t>VÄSTERBOTTENS LÄN</t>
        </is>
      </c>
      <c r="G455" t="inlineStr">
        <is>
          <t>LYCKSELE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45931</v>
      </c>
      <c r="E456" s="1" t="n">
        <v>46290</v>
      </c>
      <c r="F456" t="inlineStr">
        <is>
          <t>VÄSTERBOTTENS LÄN</t>
        </is>
      </c>
      <c r="G456" t="inlineStr">
        <is>
          <t>LYCKSELE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46290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46290</v>
      </c>
      <c r="F458" t="inlineStr">
        <is>
          <t>VÄSTERBOTTENS LÄN</t>
        </is>
      </c>
      <c r="G458" t="inlineStr">
        <is>
          <t>LYCKSELE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29449-2024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45483</v>
      </c>
      <c r="E459" s="1" t="n">
        <v>46290</v>
      </c>
      <c r="F459" t="inlineStr">
        <is>
          <t>VÄSTERBOTTENS LÄN</t>
        </is>
      </c>
      <c r="G459" t="inlineStr">
        <is>
          <t>LYCKSELE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46290</v>
      </c>
      <c r="F460" t="inlineStr">
        <is>
          <t>VÄSTERBOTTENS LÄN</t>
        </is>
      </c>
      <c r="G460" t="inlineStr">
        <is>
          <t>LYCKSELE</t>
        </is>
      </c>
      <c r="I460" t="n">
        <v>17.8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46290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3632-2024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45320</v>
      </c>
      <c r="E462" s="1" t="n">
        <v>46290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45936</v>
      </c>
      <c r="E463" s="1" t="n">
        <v>46290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46290</v>
      </c>
      <c r="F464" t="inlineStr">
        <is>
          <t>VÄSTERBOTTENS LÄN</t>
        </is>
      </c>
      <c r="G464" t="inlineStr">
        <is>
          <t>LYCKSELE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45982</v>
      </c>
      <c r="E465" s="1" t="n">
        <v>46290</v>
      </c>
      <c r="F465" t="inlineStr">
        <is>
          <t>VÄSTERBOTTENS LÄN</t>
        </is>
      </c>
      <c r="G465" t="inlineStr">
        <is>
          <t>LYCKSELE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50468-2024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45601</v>
      </c>
      <c r="E466" s="1" t="n">
        <v>46290</v>
      </c>
      <c r="F466" t="inlineStr">
        <is>
          <t>VÄSTERBOTTENS LÄN</t>
        </is>
      </c>
      <c r="G466" t="inlineStr">
        <is>
          <t>LYCKSELE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46290</v>
      </c>
      <c r="F467" t="inlineStr">
        <is>
          <t>VÄSTERBOTTENS LÄN</t>
        </is>
      </c>
      <c r="G467" t="inlineStr">
        <is>
          <t>LYCKSELE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49859-2025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45940</v>
      </c>
      <c r="E468" s="1" t="n">
        <v>46290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49977-2025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45942</v>
      </c>
      <c r="E469" s="1" t="n">
        <v>46290</v>
      </c>
      <c r="F469" t="inlineStr">
        <is>
          <t>VÄSTERBOTTENS LÄN</t>
        </is>
      </c>
      <c r="G469" t="inlineStr">
        <is>
          <t>LYCKSELE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50021-2025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45943</v>
      </c>
      <c r="E470" s="1" t="n">
        <v>46290</v>
      </c>
      <c r="F470" t="inlineStr">
        <is>
          <t>VÄSTERBOTTENS LÄN</t>
        </is>
      </c>
      <c r="G470" t="inlineStr">
        <is>
          <t>LYCKSELE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45941</v>
      </c>
      <c r="E471" s="1" t="n">
        <v>46290</v>
      </c>
      <c r="F471" t="inlineStr">
        <is>
          <t>VÄSTERBOTTENS LÄN</t>
        </is>
      </c>
      <c r="G471" t="inlineStr">
        <is>
          <t>LYCKSELE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45635</v>
      </c>
      <c r="E472" s="1" t="n">
        <v>46290</v>
      </c>
      <c r="F472" t="inlineStr">
        <is>
          <t>VÄSTERBOTTENS LÄN</t>
        </is>
      </c>
      <c r="G472" t="inlineStr">
        <is>
          <t>LYCKSELE</t>
        </is>
      </c>
      <c r="I472" t="n">
        <v>25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60117-2022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44909</v>
      </c>
      <c r="E473" s="1" t="n">
        <v>46290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45947</v>
      </c>
      <c r="E474" s="1" t="n">
        <v>46290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45313</v>
      </c>
      <c r="E475" s="1" t="n">
        <v>46290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Naturvårdsverket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45951</v>
      </c>
      <c r="E476" s="1" t="n">
        <v>46290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19.8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16192-2024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45406</v>
      </c>
      <c r="E477" s="1" t="n">
        <v>46290</v>
      </c>
      <c r="F477" t="inlineStr">
        <is>
          <t>VÄSTERBOTTENS LÄN</t>
        </is>
      </c>
      <c r="G477" t="inlineStr">
        <is>
          <t>LYCKSELE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325-2022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44564</v>
      </c>
      <c r="E478" s="1" t="n">
        <v>46290</v>
      </c>
      <c r="F478" t="inlineStr">
        <is>
          <t>VÄSTERBOTTENS LÄN</t>
        </is>
      </c>
      <c r="G478" t="inlineStr">
        <is>
          <t>LYCKSELE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46290</v>
      </c>
      <c r="F479" t="inlineStr">
        <is>
          <t>VÄSTERBOTTENS LÄN</t>
        </is>
      </c>
      <c r="G479" t="inlineStr">
        <is>
          <t>LYCKSELE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45512</v>
      </c>
      <c r="E480" s="1" t="n">
        <v>46290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Naturvårdsverket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46290</v>
      </c>
      <c r="F481" t="inlineStr">
        <is>
          <t>VÄSTERBOTTENS LÄN</t>
        </is>
      </c>
      <c r="G481" t="inlineStr">
        <is>
          <t>LYCKSELE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46290</v>
      </c>
      <c r="F482" t="inlineStr">
        <is>
          <t>VÄSTERBOTTENS LÄN</t>
        </is>
      </c>
      <c r="G482" t="inlineStr">
        <is>
          <t>LYCKSELE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45666</v>
      </c>
      <c r="E483" s="1" t="n">
        <v>46290</v>
      </c>
      <c r="F483" t="inlineStr">
        <is>
          <t>VÄSTERBOTTENS LÄN</t>
        </is>
      </c>
      <c r="G483" t="inlineStr">
        <is>
          <t>LYCKSELE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45821</v>
      </c>
      <c r="E484" s="1" t="n">
        <v>46290</v>
      </c>
      <c r="F484" t="inlineStr">
        <is>
          <t>VÄSTERBOTTENS LÄN</t>
        </is>
      </c>
      <c r="G484" t="inlineStr">
        <is>
          <t>LYCKSELE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57666-2021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44484</v>
      </c>
      <c r="E485" s="1" t="n">
        <v>46290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51859-2025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45952</v>
      </c>
      <c r="E486" s="1" t="n">
        <v>46290</v>
      </c>
      <c r="F486" t="inlineStr">
        <is>
          <t>VÄSTERBOTTENS LÄN</t>
        </is>
      </c>
      <c r="G486" t="inlineStr">
        <is>
          <t>LYCKSELE</t>
        </is>
      </c>
      <c r="I486" t="n">
        <v>13.5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48585-2025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45936</v>
      </c>
      <c r="E487" s="1" t="n">
        <v>46290</v>
      </c>
      <c r="F487" t="inlineStr">
        <is>
          <t>VÄSTERBOTTENS LÄN</t>
        </is>
      </c>
      <c r="G487" t="inlineStr">
        <is>
          <t>LYCKSELE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46290</v>
      </c>
      <c r="F488" t="inlineStr">
        <is>
          <t>VÄSTERBOTTENS LÄN</t>
        </is>
      </c>
      <c r="G488" t="inlineStr">
        <is>
          <t>LYCKSELE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70197-2021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44534</v>
      </c>
      <c r="E489" s="1" t="n">
        <v>46290</v>
      </c>
      <c r="F489" t="inlineStr">
        <is>
          <t>VÄSTERBOTTENS LÄN</t>
        </is>
      </c>
      <c r="G489" t="inlineStr">
        <is>
          <t>LYCKSELE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40342-2025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45895</v>
      </c>
      <c r="E490" s="1" t="n">
        <v>46290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62547-2022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44924</v>
      </c>
      <c r="E491" s="1" t="n">
        <v>46290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46290</v>
      </c>
      <c r="F492" t="inlineStr">
        <is>
          <t>VÄSTERBOTTENS LÄN</t>
        </is>
      </c>
      <c r="G492" t="inlineStr">
        <is>
          <t>LYCKSELE</t>
        </is>
      </c>
      <c r="I492" t="n">
        <v>17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45957</v>
      </c>
      <c r="E493" s="1" t="n">
        <v>46290</v>
      </c>
      <c r="F493" t="inlineStr">
        <is>
          <t>VÄSTERBOTTENS LÄN</t>
        </is>
      </c>
      <c r="G493" t="inlineStr">
        <is>
          <t>LYCKSELE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45145</v>
      </c>
      <c r="E494" s="1" t="n">
        <v>46290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46290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12.1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45709</v>
      </c>
      <c r="E496" s="1" t="n">
        <v>46290</v>
      </c>
      <c r="F496" t="inlineStr">
        <is>
          <t>VÄSTERBOTTENS LÄN</t>
        </is>
      </c>
      <c r="G496" t="inlineStr">
        <is>
          <t>LYCKSELE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46290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10.8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23769-2023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45077</v>
      </c>
      <c r="E498" s="1" t="n">
        <v>46290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45803</v>
      </c>
      <c r="E499" s="1" t="n">
        <v>46290</v>
      </c>
      <c r="F499" t="inlineStr">
        <is>
          <t>VÄSTERBOTTENS LÄN</t>
        </is>
      </c>
      <c r="G499" t="inlineStr">
        <is>
          <t>LYCKSELE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54942-2025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45967</v>
      </c>
      <c r="E500" s="1" t="n">
        <v>46290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45985</v>
      </c>
      <c r="E501" s="1" t="n">
        <v>46290</v>
      </c>
      <c r="F501" t="inlineStr">
        <is>
          <t>VÄSTERBOTTENS LÄN</t>
        </is>
      </c>
      <c r="G501" t="inlineStr">
        <is>
          <t>LYCKSELE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54906-2025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45967</v>
      </c>
      <c r="E502" s="1" t="n">
        <v>46290</v>
      </c>
      <c r="F502" t="inlineStr">
        <is>
          <t>VÄSTERBOTTENS LÄN</t>
        </is>
      </c>
      <c r="G502" t="inlineStr">
        <is>
          <t>LYCKSELE</t>
        </is>
      </c>
      <c r="I502" t="n">
        <v>24.9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54943-2025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45967</v>
      </c>
      <c r="E503" s="1" t="n">
        <v>46290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50365-2024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45600</v>
      </c>
      <c r="E504" s="1" t="n">
        <v>46290</v>
      </c>
      <c r="F504" t="inlineStr">
        <is>
          <t>VÄSTERBOTTENS LÄN</t>
        </is>
      </c>
      <c r="G504" t="inlineStr">
        <is>
          <t>LYCKSELE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45576</v>
      </c>
      <c r="E505" s="1" t="n">
        <v>46290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Naturvårdsverket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55187-2025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45968</v>
      </c>
      <c r="E506" s="1" t="n">
        <v>46290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46290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Naturvårdsverket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55333-2025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46290</v>
      </c>
      <c r="F508" t="inlineStr">
        <is>
          <t>VÄSTERBOTTENS LÄN</t>
        </is>
      </c>
      <c r="G508" t="inlineStr">
        <is>
          <t>LYCKSELE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55627-2025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45972</v>
      </c>
      <c r="E509" s="1" t="n">
        <v>46290</v>
      </c>
      <c r="F509" t="inlineStr">
        <is>
          <t>VÄSTERBOTTENS LÄN</t>
        </is>
      </c>
      <c r="G509" t="inlineStr">
        <is>
          <t>LYCKSELE</t>
        </is>
      </c>
      <c r="I509" t="n">
        <v>14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58961-2022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44903</v>
      </c>
      <c r="E510" s="1" t="n">
        <v>46290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55666-2025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45972</v>
      </c>
      <c r="E511" s="1" t="n">
        <v>46290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45048</v>
      </c>
      <c r="E512" s="1" t="n">
        <v>46290</v>
      </c>
      <c r="F512" t="inlineStr">
        <is>
          <t>VÄSTERBOTTENS LÄN</t>
        </is>
      </c>
      <c r="G512" t="inlineStr">
        <is>
          <t>LYCKSELE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37262-2023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45155</v>
      </c>
      <c r="E513" s="1" t="n">
        <v>46290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56172-2025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45974</v>
      </c>
      <c r="E514" s="1" t="n">
        <v>46290</v>
      </c>
      <c r="F514" t="inlineStr">
        <is>
          <t>VÄSTERBOTTENS LÄN</t>
        </is>
      </c>
      <c r="G514" t="inlineStr">
        <is>
          <t>LYCKSELE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45576</v>
      </c>
      <c r="E515" s="1" t="n">
        <v>46290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Naturvårdsverket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27964-2023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45098</v>
      </c>
      <c r="E516" s="1" t="n">
        <v>46290</v>
      </c>
      <c r="F516" t="inlineStr">
        <is>
          <t>VÄSTERBOTTENS LÄN</t>
        </is>
      </c>
      <c r="G516" t="inlineStr">
        <is>
          <t>LYCKSELE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56744-2025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45978</v>
      </c>
      <c r="E517" s="1" t="n">
        <v>46290</v>
      </c>
      <c r="F517" t="inlineStr">
        <is>
          <t>VÄSTERBOTTENS LÄN</t>
        </is>
      </c>
      <c r="G517" t="inlineStr">
        <is>
          <t>LYCKSELE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46290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45516</v>
      </c>
      <c r="E519" s="1" t="n">
        <v>46290</v>
      </c>
      <c r="F519" t="inlineStr">
        <is>
          <t>VÄSTERBOTTENS LÄN</t>
        </is>
      </c>
      <c r="G519" t="inlineStr">
        <is>
          <t>LYCKSELE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58140-2025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46290</v>
      </c>
      <c r="F520" t="inlineStr">
        <is>
          <t>VÄSTERBOTTENS LÄN</t>
        </is>
      </c>
      <c r="G520" t="inlineStr">
        <is>
          <t>LYCKSELE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57330-2025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45980</v>
      </c>
      <c r="E521" s="1" t="n">
        <v>46290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9.300000000000001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45981</v>
      </c>
      <c r="E522" s="1" t="n">
        <v>46290</v>
      </c>
      <c r="F522" t="inlineStr">
        <is>
          <t>VÄSTERBOTTENS LÄN</t>
        </is>
      </c>
      <c r="G522" t="inlineStr">
        <is>
          <t>LYCKSELE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14343-2025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46290</v>
      </c>
      <c r="F523" t="inlineStr">
        <is>
          <t>VÄSTERBOTTENS LÄN</t>
        </is>
      </c>
      <c r="G523" t="inlineStr">
        <is>
          <t>LYCKSELE</t>
        </is>
      </c>
      <c r="I523" t="n">
        <v>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46290</v>
      </c>
      <c r="F524" t="inlineStr">
        <is>
          <t>VÄSTERBOTTENS LÄN</t>
        </is>
      </c>
      <c r="G524" t="inlineStr">
        <is>
          <t>LYCKSELE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57668-2025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45981</v>
      </c>
      <c r="E525" s="1" t="n">
        <v>46290</v>
      </c>
      <c r="F525" t="inlineStr">
        <is>
          <t>VÄSTERBOTTENS LÄN</t>
        </is>
      </c>
      <c r="G525" t="inlineStr">
        <is>
          <t>LYCKSELE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48379-2024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45590</v>
      </c>
      <c r="E526" s="1" t="n">
        <v>46290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58097-2025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46290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45982</v>
      </c>
      <c r="E528" s="1" t="n">
        <v>46290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23971-2024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46290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45982</v>
      </c>
      <c r="E530" s="1" t="n">
        <v>46290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45475</v>
      </c>
      <c r="E531" s="1" t="n">
        <v>46290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Naturvårdsverket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45475</v>
      </c>
      <c r="E532" s="1" t="n">
        <v>46290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Naturvårdsverket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44952</v>
      </c>
      <c r="E533" s="1" t="n">
        <v>46290</v>
      </c>
      <c r="F533" t="inlineStr">
        <is>
          <t>VÄSTERBOTTENS LÄN</t>
        </is>
      </c>
      <c r="G533" t="inlineStr">
        <is>
          <t>LYCKSELE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62874-2023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45271</v>
      </c>
      <c r="E534" s="1" t="n">
        <v>46290</v>
      </c>
      <c r="F534" t="inlineStr">
        <is>
          <t>VÄSTERBOTTENS LÄN</t>
        </is>
      </c>
      <c r="G534" t="inlineStr">
        <is>
          <t>LYCKSELE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45513</v>
      </c>
      <c r="E535" s="1" t="n">
        <v>46290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41101-2022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44820</v>
      </c>
      <c r="E536" s="1" t="n">
        <v>46290</v>
      </c>
      <c r="F536" t="inlineStr">
        <is>
          <t>VÄSTERBOTTENS LÄN</t>
        </is>
      </c>
      <c r="G536" t="inlineStr">
        <is>
          <t>LYCKSELE</t>
        </is>
      </c>
      <c r="I536" t="n">
        <v>13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46290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45352-2024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45576</v>
      </c>
      <c r="E538" s="1" t="n">
        <v>46290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51466-2024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46290</v>
      </c>
      <c r="F539" t="inlineStr">
        <is>
          <t>VÄSTERBOTTENS LÄN</t>
        </is>
      </c>
      <c r="G539" t="inlineStr">
        <is>
          <t>LYCKSELE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46290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45643</v>
      </c>
      <c r="E541" s="1" t="n">
        <v>46290</v>
      </c>
      <c r="F541" t="inlineStr">
        <is>
          <t>VÄSTERBOTTENS LÄN</t>
        </is>
      </c>
      <c r="G541" t="inlineStr">
        <is>
          <t>LYCKSELE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46290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45798</v>
      </c>
      <c r="E543" s="1" t="n">
        <v>46290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29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45798</v>
      </c>
      <c r="E544" s="1" t="n">
        <v>46290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29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46290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21096-2026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46290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46290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46290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46290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46290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46290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45798</v>
      </c>
      <c r="E552" s="1" t="n">
        <v>46290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29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46290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23679-2025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45793</v>
      </c>
      <c r="E554" s="1" t="n">
        <v>46290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46146</v>
      </c>
      <c r="E555" s="1" t="n">
        <v>46290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46290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21090-2026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46290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22720-2025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46290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29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46290</v>
      </c>
      <c r="F559" t="inlineStr">
        <is>
          <t>VÄSTERBOTTENS LÄN</t>
        </is>
      </c>
      <c r="G559" t="inlineStr">
        <is>
          <t>LYCKSELE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15564-2023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45020</v>
      </c>
      <c r="E560" s="1" t="n">
        <v>46290</v>
      </c>
      <c r="F560" t="inlineStr">
        <is>
          <t>VÄSTERBOTTENS LÄN</t>
        </is>
      </c>
      <c r="G560" t="inlineStr">
        <is>
          <t>LYCKSELE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45992</v>
      </c>
      <c r="E561" s="1" t="n">
        <v>46290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59825-2025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46290</v>
      </c>
      <c r="F562" t="inlineStr">
        <is>
          <t>VÄSTERBOTTENS LÄN</t>
        </is>
      </c>
      <c r="G562" t="inlineStr">
        <is>
          <t>LYCKSELE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46290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46817-2024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45583</v>
      </c>
      <c r="E564" s="1" t="n">
        <v>46290</v>
      </c>
      <c r="F564" t="inlineStr">
        <is>
          <t>VÄSTERBOTTENS LÄN</t>
        </is>
      </c>
      <c r="G564" t="inlineStr">
        <is>
          <t>LYCKSELE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35970-2024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45533</v>
      </c>
      <c r="E565" s="1" t="n">
        <v>46290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46290</v>
      </c>
      <c r="F566" t="inlineStr">
        <is>
          <t>VÄSTERBOTTENS LÄN</t>
        </is>
      </c>
      <c r="G566" t="inlineStr">
        <is>
          <t>LYCKSELE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57571-2025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45980</v>
      </c>
      <c r="E567" s="1" t="n">
        <v>46290</v>
      </c>
      <c r="F567" t="inlineStr">
        <is>
          <t>VÄSTERBOTTENS LÄN</t>
        </is>
      </c>
      <c r="G567" t="inlineStr">
        <is>
          <t>LYCKSELE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46290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8577-2026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46290</v>
      </c>
      <c r="F569" t="inlineStr">
        <is>
          <t>VÄSTERBOTTENS LÄN</t>
        </is>
      </c>
      <c r="G569" t="inlineStr">
        <is>
          <t>LYCKSELE</t>
        </is>
      </c>
      <c r="I569" t="n">
        <v>9.9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15046-2023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45015</v>
      </c>
      <c r="E570" s="1" t="n">
        <v>46290</v>
      </c>
      <c r="F570" t="inlineStr">
        <is>
          <t>VÄSTERBOTTENS LÄN</t>
        </is>
      </c>
      <c r="G570" t="inlineStr">
        <is>
          <t>LYCKSELE</t>
        </is>
      </c>
      <c r="I570" t="n">
        <v>13.4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45361-2024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45576</v>
      </c>
      <c r="E571" s="1" t="n">
        <v>46290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46290</v>
      </c>
      <c r="F572" t="inlineStr">
        <is>
          <t>VÄSTERBOTTENS LÄN</t>
        </is>
      </c>
      <c r="G572" t="inlineStr">
        <is>
          <t>LYCKSELE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59736-2025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45992</v>
      </c>
      <c r="E573" s="1" t="n">
        <v>46290</v>
      </c>
      <c r="F573" t="inlineStr">
        <is>
          <t>VÄSTERBOTTENS LÄN</t>
        </is>
      </c>
      <c r="G573" t="inlineStr">
        <is>
          <t>LYCKSELE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46290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9090-2025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45713</v>
      </c>
      <c r="E575" s="1" t="n">
        <v>46290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41756-2024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45561</v>
      </c>
      <c r="E576" s="1" t="n">
        <v>46290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45994</v>
      </c>
      <c r="E577" s="1" t="n">
        <v>46290</v>
      </c>
      <c r="F577" t="inlineStr">
        <is>
          <t>VÄSTERBOTTENS LÄN</t>
        </is>
      </c>
      <c r="G577" t="inlineStr">
        <is>
          <t>LYCKSELE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22367-2026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46154</v>
      </c>
      <c r="E578" s="1" t="n">
        <v>46290</v>
      </c>
      <c r="F578" t="inlineStr">
        <is>
          <t>VÄSTERBOTTENS LÄN</t>
        </is>
      </c>
      <c r="G578" t="inlineStr">
        <is>
          <t>LYCKSELE</t>
        </is>
      </c>
      <c r="I578" t="n">
        <v>18.8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46290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59272-2022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44904</v>
      </c>
      <c r="E580" s="1" t="n">
        <v>46290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60594-2025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45996</v>
      </c>
      <c r="E581" s="1" t="n">
        <v>46290</v>
      </c>
      <c r="F581" t="inlineStr">
        <is>
          <t>VÄSTERBOTTENS LÄN</t>
        </is>
      </c>
      <c r="G581" t="inlineStr">
        <is>
          <t>LYCKSELE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46290</v>
      </c>
      <c r="F582" t="inlineStr">
        <is>
          <t>VÄSTERBOTTENS LÄN</t>
        </is>
      </c>
      <c r="G582" t="inlineStr">
        <is>
          <t>LYCKSELE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61334-2025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46001</v>
      </c>
      <c r="E583" s="1" t="n">
        <v>46290</v>
      </c>
      <c r="F583" t="inlineStr">
        <is>
          <t>VÄSTERBOTTENS LÄN</t>
        </is>
      </c>
      <c r="G583" t="inlineStr">
        <is>
          <t>LYCKSELE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61088-2025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46000</v>
      </c>
      <c r="E584" s="1" t="n">
        <v>46290</v>
      </c>
      <c r="F584" t="inlineStr">
        <is>
          <t>VÄSTERBOTTENS LÄN</t>
        </is>
      </c>
      <c r="G584" t="inlineStr">
        <is>
          <t>LYCKSELE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45742</v>
      </c>
      <c r="E585" s="1" t="n">
        <v>46290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50.1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61096-2025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46000</v>
      </c>
      <c r="E586" s="1" t="n">
        <v>46290</v>
      </c>
      <c r="F586" t="inlineStr">
        <is>
          <t>VÄSTERBOTTENS LÄN</t>
        </is>
      </c>
      <c r="G586" t="inlineStr">
        <is>
          <t>LYCKSELE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61091-2025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46290</v>
      </c>
      <c r="F587" t="inlineStr">
        <is>
          <t>VÄSTERBOTTENS LÄN</t>
        </is>
      </c>
      <c r="G587" t="inlineStr">
        <is>
          <t>LYCKSELE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68665-2021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44529</v>
      </c>
      <c r="E588" s="1" t="n">
        <v>46290</v>
      </c>
      <c r="F588" t="inlineStr">
        <is>
          <t>VÄSTERBOTTENS LÄN</t>
        </is>
      </c>
      <c r="G588" t="inlineStr">
        <is>
          <t>LYCKSELE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61335-2025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46001</v>
      </c>
      <c r="E589" s="1" t="n">
        <v>46290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46290</v>
      </c>
      <c r="F590" t="inlineStr">
        <is>
          <t>VÄSTERBOTTENS LÄN</t>
        </is>
      </c>
      <c r="G590" t="inlineStr">
        <is>
          <t>LYCKSELE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46001</v>
      </c>
      <c r="E591" s="1" t="n">
        <v>46290</v>
      </c>
      <c r="F591" t="inlineStr">
        <is>
          <t>VÄSTERBOTTENS LÄN</t>
        </is>
      </c>
      <c r="G591" t="inlineStr">
        <is>
          <t>LYCKSELE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46290</v>
      </c>
      <c r="F592" t="inlineStr">
        <is>
          <t>VÄSTERBOTTENS LÄN</t>
        </is>
      </c>
      <c r="G592" t="inlineStr">
        <is>
          <t>LYCKSELE</t>
        </is>
      </c>
      <c r="I592" t="n">
        <v>12.4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61854-2025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46003</v>
      </c>
      <c r="E593" s="1" t="n">
        <v>46290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46290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46290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21289-2025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45779</v>
      </c>
      <c r="E596" s="1" t="n">
        <v>46290</v>
      </c>
      <c r="F596" t="inlineStr">
        <is>
          <t>VÄSTERBOTTENS LÄN</t>
        </is>
      </c>
      <c r="G596" t="inlineStr">
        <is>
          <t>LYCKSELE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45730</v>
      </c>
      <c r="E597" s="1" t="n">
        <v>46290</v>
      </c>
      <c r="F597" t="inlineStr">
        <is>
          <t>VÄSTERBOTTENS LÄN</t>
        </is>
      </c>
      <c r="G597" t="inlineStr">
        <is>
          <t>LYCKSELE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73113-2021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44550</v>
      </c>
      <c r="E598" s="1" t="n">
        <v>46290</v>
      </c>
      <c r="F598" t="inlineStr">
        <is>
          <t>VÄSTERBOTTENS LÄN</t>
        </is>
      </c>
      <c r="G598" t="inlineStr">
        <is>
          <t>LYCKSELE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44973</v>
      </c>
      <c r="E599" s="1" t="n">
        <v>46290</v>
      </c>
      <c r="F599" t="inlineStr">
        <is>
          <t>VÄSTERBOTTENS LÄN</t>
        </is>
      </c>
      <c r="G599" t="inlineStr">
        <is>
          <t>LYCKSELE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45378</v>
      </c>
      <c r="E600" s="1" t="n">
        <v>46290</v>
      </c>
      <c r="F600" t="inlineStr">
        <is>
          <t>VÄSTERBOTTENS LÄN</t>
        </is>
      </c>
      <c r="G600" t="inlineStr">
        <is>
          <t>LYCKSELE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46290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25.2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46154</v>
      </c>
      <c r="E602" s="1" t="n">
        <v>46290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26531-2024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45469</v>
      </c>
      <c r="E603" s="1" t="n">
        <v>46290</v>
      </c>
      <c r="F603" t="inlineStr">
        <is>
          <t>VÄSTERBOTTENS LÄN</t>
        </is>
      </c>
      <c r="G603" t="inlineStr">
        <is>
          <t>LYCKSELE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24377-2024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45457</v>
      </c>
      <c r="E604" s="1" t="n">
        <v>46290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46156</v>
      </c>
      <c r="E605" s="1" t="n">
        <v>46290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46007</v>
      </c>
      <c r="E606" s="1" t="n">
        <v>46290</v>
      </c>
      <c r="F606" t="inlineStr">
        <is>
          <t>VÄSTERBOTTENS LÄN</t>
        </is>
      </c>
      <c r="G606" t="inlineStr">
        <is>
          <t>LYCKSELE</t>
        </is>
      </c>
      <c r="I606" t="n">
        <v>36.8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45498</v>
      </c>
      <c r="E607" s="1" t="n">
        <v>46290</v>
      </c>
      <c r="F607" t="inlineStr">
        <is>
          <t>VÄSTERBOTTENS LÄN</t>
        </is>
      </c>
      <c r="G607" t="inlineStr">
        <is>
          <t>LYCKSELE</t>
        </is>
      </c>
      <c r="I607" t="n">
        <v>14.4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21109-2023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45061</v>
      </c>
      <c r="E608" s="1" t="n">
        <v>46290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63100-2025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46009</v>
      </c>
      <c r="E609" s="1" t="n">
        <v>46290</v>
      </c>
      <c r="F609" t="inlineStr">
        <is>
          <t>VÄSTERBOTTENS LÄN</t>
        </is>
      </c>
      <c r="G609" t="inlineStr">
        <is>
          <t>LYCKSELE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62906-2025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46009</v>
      </c>
      <c r="E610" s="1" t="n">
        <v>46290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63096-2025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46009</v>
      </c>
      <c r="E611" s="1" t="n">
        <v>46290</v>
      </c>
      <c r="F611" t="inlineStr">
        <is>
          <t>VÄSTERBOTTENS LÄN</t>
        </is>
      </c>
      <c r="G611" t="inlineStr">
        <is>
          <t>LYCKSELE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45979</v>
      </c>
      <c r="E612" s="1" t="n">
        <v>46290</v>
      </c>
      <c r="F612" t="inlineStr">
        <is>
          <t>VÄSTERBOTTENS LÄN</t>
        </is>
      </c>
      <c r="G612" t="inlineStr">
        <is>
          <t>LYCKSELE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49631-2023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45211</v>
      </c>
      <c r="E613" s="1" t="n">
        <v>46290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Kommuner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38478-2024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45546</v>
      </c>
      <c r="E614" s="1" t="n">
        <v>46290</v>
      </c>
      <c r="F614" t="inlineStr">
        <is>
          <t>VÄSTERBOTTENS LÄN</t>
        </is>
      </c>
      <c r="G614" t="inlineStr">
        <is>
          <t>LYCKSELE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46176-2023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46290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5.5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45251</v>
      </c>
      <c r="E616" s="1" t="n">
        <v>46290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45618</v>
      </c>
      <c r="E617" s="1" t="n">
        <v>46290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63315-2025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46010</v>
      </c>
      <c r="E618" s="1" t="n">
        <v>46290</v>
      </c>
      <c r="F618" t="inlineStr">
        <is>
          <t>VÄSTERBOTTENS LÄN</t>
        </is>
      </c>
      <c r="G618" t="inlineStr">
        <is>
          <t>LYCKSELE</t>
        </is>
      </c>
      <c r="I618" t="n">
        <v>9.199999999999999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31453-2024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45505</v>
      </c>
      <c r="E619" s="1" t="n">
        <v>46290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63639-2025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46014</v>
      </c>
      <c r="E620" s="1" t="n">
        <v>46290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40912-2024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45558</v>
      </c>
      <c r="E621" s="1" t="n">
        <v>46290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53241-2022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44876</v>
      </c>
      <c r="E622" s="1" t="n">
        <v>46290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26396-2022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44735</v>
      </c>
      <c r="E623" s="1" t="n">
        <v>46290</v>
      </c>
      <c r="F623" t="inlineStr">
        <is>
          <t>VÄSTERBOTTENS LÄN</t>
        </is>
      </c>
      <c r="G623" t="inlineStr">
        <is>
          <t>LYCKSELE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46181-2025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45924</v>
      </c>
      <c r="E624" s="1" t="n">
        <v>46290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9517-2025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45715</v>
      </c>
      <c r="E625" s="1" t="n">
        <v>46290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61281-2022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44909</v>
      </c>
      <c r="E626" s="1" t="n">
        <v>46290</v>
      </c>
      <c r="F626" t="inlineStr">
        <is>
          <t>VÄSTERBOTTENS LÄN</t>
        </is>
      </c>
      <c r="G626" t="inlineStr">
        <is>
          <t>LYCKSELE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49514-2022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44861</v>
      </c>
      <c r="E627" s="1" t="n">
        <v>46290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23356-2026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46290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23391-2026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46162</v>
      </c>
      <c r="E629" s="1" t="n">
        <v>46290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10.2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46290</v>
      </c>
      <c r="F630" t="inlineStr">
        <is>
          <t>VÄSTERBOTTENS LÄN</t>
        </is>
      </c>
      <c r="G630" t="inlineStr">
        <is>
          <t>LYCKSELE</t>
        </is>
      </c>
      <c r="I630" t="n">
        <v>16.3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51842-2025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45952</v>
      </c>
      <c r="E631" s="1" t="n">
        <v>46290</v>
      </c>
      <c r="F631" t="inlineStr">
        <is>
          <t>VÄSTERBOTTENS LÄN</t>
        </is>
      </c>
      <c r="G631" t="inlineStr">
        <is>
          <t>LYCKSELE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46290</v>
      </c>
      <c r="F632" t="inlineStr">
        <is>
          <t>VÄSTERBOTTENS LÄN</t>
        </is>
      </c>
      <c r="G632" t="inlineStr">
        <is>
          <t>LYCKSELE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46290</v>
      </c>
      <c r="F633" t="inlineStr">
        <is>
          <t>VÄSTERBOTTENS LÄN</t>
        </is>
      </c>
      <c r="G633" t="inlineStr">
        <is>
          <t>LYCKSELE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46034</v>
      </c>
      <c r="E634" s="1" t="n">
        <v>46290</v>
      </c>
      <c r="F634" t="inlineStr">
        <is>
          <t>VÄSTERBOTTENS LÄN</t>
        </is>
      </c>
      <c r="G634" t="inlineStr">
        <is>
          <t>LYCKSELE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54234-2023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45232</v>
      </c>
      <c r="E635" s="1" t="n">
        <v>46290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46290</v>
      </c>
      <c r="F636" t="inlineStr">
        <is>
          <t>VÄSTERBOTTENS LÄN</t>
        </is>
      </c>
      <c r="G636" t="inlineStr">
        <is>
          <t>LYCKSELE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28890-2024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45479</v>
      </c>
      <c r="E637" s="1" t="n">
        <v>46290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45479</v>
      </c>
      <c r="E638" s="1" t="n">
        <v>46290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54287-2024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45617</v>
      </c>
      <c r="E639" s="1" t="n">
        <v>46290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46162</v>
      </c>
      <c r="E640" s="1" t="n">
        <v>46290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45429</v>
      </c>
      <c r="E641" s="1" t="n">
        <v>46290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53011-2024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46290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7.1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43134-2023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45182</v>
      </c>
      <c r="E643" s="1" t="n">
        <v>46290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19765-2024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45432</v>
      </c>
      <c r="E644" s="1" t="n">
        <v>46290</v>
      </c>
      <c r="F644" t="inlineStr">
        <is>
          <t>VÄSTERBOTTENS LÄN</t>
        </is>
      </c>
      <c r="G644" t="inlineStr">
        <is>
          <t>LYCKSELE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45475</v>
      </c>
      <c r="E645" s="1" t="n">
        <v>46290</v>
      </c>
      <c r="F645" t="inlineStr">
        <is>
          <t>VÄSTERBOTTENS LÄN</t>
        </is>
      </c>
      <c r="G645" t="inlineStr">
        <is>
          <t>LYCKSELE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44942</v>
      </c>
      <c r="E646" s="1" t="n">
        <v>46290</v>
      </c>
      <c r="F646" t="inlineStr">
        <is>
          <t>VÄSTERBOTTENS LÄN</t>
        </is>
      </c>
      <c r="G646" t="inlineStr">
        <is>
          <t>LYCKSELE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46290</v>
      </c>
      <c r="F647" t="inlineStr">
        <is>
          <t>VÄSTERBOTTENS LÄN</t>
        </is>
      </c>
      <c r="G647" t="inlineStr">
        <is>
          <t>LYCKSELE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42216-2022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44830</v>
      </c>
      <c r="E648" s="1" t="n">
        <v>46290</v>
      </c>
      <c r="F648" t="inlineStr">
        <is>
          <t>VÄSTERBOTTENS LÄN</t>
        </is>
      </c>
      <c r="G648" t="inlineStr">
        <is>
          <t>LYCKSELE</t>
        </is>
      </c>
      <c r="I648" t="n">
        <v>15.9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46044</v>
      </c>
      <c r="E649" s="1" t="n">
        <v>46290</v>
      </c>
      <c r="F649" t="inlineStr">
        <is>
          <t>VÄSTERBOTTENS LÄN</t>
        </is>
      </c>
      <c r="G649" t="inlineStr">
        <is>
          <t>LYCKSELE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46290</v>
      </c>
      <c r="F650" t="inlineStr">
        <is>
          <t>VÄSTERBOTTENS LÄN</t>
        </is>
      </c>
      <c r="G650" t="inlineStr">
        <is>
          <t>LYCKSELE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46290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12839-2022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44642</v>
      </c>
      <c r="E652" s="1" t="n">
        <v>46290</v>
      </c>
      <c r="F652" t="inlineStr">
        <is>
          <t>VÄSTERBOTTENS LÄN</t>
        </is>
      </c>
      <c r="G652" t="inlineStr">
        <is>
          <t>LYCKSELE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46034</v>
      </c>
      <c r="E653" s="1" t="n">
        <v>46290</v>
      </c>
      <c r="F653" t="inlineStr">
        <is>
          <t>VÄSTERBOTTENS LÄN</t>
        </is>
      </c>
      <c r="G653" t="inlineStr">
        <is>
          <t>LYCKSELE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46290</v>
      </c>
      <c r="F654" t="inlineStr">
        <is>
          <t>VÄSTERBOTTENS LÄN</t>
        </is>
      </c>
      <c r="G654" t="inlineStr">
        <is>
          <t>LYCKSELE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58716-2024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45635</v>
      </c>
      <c r="E655" s="1" t="n">
        <v>46290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46290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24.6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14276-2025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45740</v>
      </c>
      <c r="E657" s="1" t="n">
        <v>46290</v>
      </c>
      <c r="F657" t="inlineStr">
        <is>
          <t>VÄSTERBOTTENS LÄN</t>
        </is>
      </c>
      <c r="G657" t="inlineStr">
        <is>
          <t>LYCKSELE</t>
        </is>
      </c>
      <c r="I657" t="n">
        <v>34.9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46050</v>
      </c>
      <c r="E658" s="1" t="n">
        <v>46290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62877-2023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45271</v>
      </c>
      <c r="E659" s="1" t="n">
        <v>46290</v>
      </c>
      <c r="F659" t="inlineStr">
        <is>
          <t>VÄSTERBOTTENS LÄN</t>
        </is>
      </c>
      <c r="G659" t="inlineStr">
        <is>
          <t>LYCKSELE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24175-2026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46290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34567-2023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45140</v>
      </c>
      <c r="E661" s="1" t="n">
        <v>46290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46290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46038</v>
      </c>
      <c r="E663" s="1" t="n">
        <v>46290</v>
      </c>
      <c r="F663" t="inlineStr">
        <is>
          <t>VÄSTERBOTTENS LÄN</t>
        </is>
      </c>
      <c r="G663" t="inlineStr">
        <is>
          <t>LYCKSELE</t>
        </is>
      </c>
      <c r="I663" t="n">
        <v>6.7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66460-2021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44518</v>
      </c>
      <c r="E664" s="1" t="n">
        <v>46290</v>
      </c>
      <c r="F664" t="inlineStr">
        <is>
          <t>VÄSTERBOTTENS LÄN</t>
        </is>
      </c>
      <c r="G664" t="inlineStr">
        <is>
          <t>LYCKSELE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58775-2025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45986</v>
      </c>
      <c r="E665" s="1" t="n">
        <v>46290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52755-2023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46290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22451-2026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46153</v>
      </c>
      <c r="E667" s="1" t="n">
        <v>46290</v>
      </c>
      <c r="F667" t="inlineStr">
        <is>
          <t>VÄSTERBOTTENS LÄN</t>
        </is>
      </c>
      <c r="G667" t="inlineStr">
        <is>
          <t>LYCKSELE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45715</v>
      </c>
      <c r="E668" s="1" t="n">
        <v>46290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20.6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14857-2023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45014</v>
      </c>
      <c r="E669" s="1" t="n">
        <v>46290</v>
      </c>
      <c r="F669" t="inlineStr">
        <is>
          <t>VÄSTERBOTTENS LÄN</t>
        </is>
      </c>
      <c r="G669" t="inlineStr">
        <is>
          <t>LYCKSELE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37391-2024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45540</v>
      </c>
      <c r="E670" s="1" t="n">
        <v>46290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44581</v>
      </c>
      <c r="E671" s="1" t="n">
        <v>46290</v>
      </c>
      <c r="F671" t="inlineStr">
        <is>
          <t>VÄSTERBOTTENS LÄN</t>
        </is>
      </c>
      <c r="G671" t="inlineStr">
        <is>
          <t>LYCKSELE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7829-2026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46062</v>
      </c>
      <c r="E672" s="1" t="n">
        <v>46290</v>
      </c>
      <c r="F672" t="inlineStr">
        <is>
          <t>VÄSTERBOTTENS LÄN</t>
        </is>
      </c>
      <c r="G672" t="inlineStr">
        <is>
          <t>LYCKSELE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7954-2026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46063</v>
      </c>
      <c r="E673" s="1" t="n">
        <v>46290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Naturvårdsverket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44925</v>
      </c>
      <c r="E674" s="1" t="n">
        <v>46290</v>
      </c>
      <c r="F674" t="inlineStr">
        <is>
          <t>VÄSTERBOTTENS LÄN</t>
        </is>
      </c>
      <c r="G674" t="inlineStr">
        <is>
          <t>LYCKSELE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8018-2026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46063</v>
      </c>
      <c r="E675" s="1" t="n">
        <v>46290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Naturvårdsverket</t>
        </is>
      </c>
      <c r="I675" t="n">
        <v>11.4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24205-2026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46290</v>
      </c>
      <c r="F676" t="inlineStr">
        <is>
          <t>VÄSTERBOTTENS LÄN</t>
        </is>
      </c>
      <c r="G676" t="inlineStr">
        <is>
          <t>LYCKSELE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46290</v>
      </c>
      <c r="F677" t="inlineStr">
        <is>
          <t>VÄSTERBOTTENS LÄN</t>
        </is>
      </c>
      <c r="G677" t="inlineStr">
        <is>
          <t>LYCKSELE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46290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46065</v>
      </c>
      <c r="E679" s="1" t="n">
        <v>46290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12.1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44924</v>
      </c>
      <c r="E680" s="1" t="n">
        <v>46290</v>
      </c>
      <c r="F680" t="inlineStr">
        <is>
          <t>VÄSTERBOTTENS LÄN</t>
        </is>
      </c>
      <c r="G680" t="inlineStr">
        <is>
          <t>LYCKSELE</t>
        </is>
      </c>
      <c r="I680" t="n">
        <v>11.9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46290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Naturvårdsverket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8272-2026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46290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Naturvårdsverket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32800-2024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45516</v>
      </c>
      <c r="E683" s="1" t="n">
        <v>46290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64893-2021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44512</v>
      </c>
      <c r="E684" s="1" t="n">
        <v>46290</v>
      </c>
      <c r="F684" t="inlineStr">
        <is>
          <t>VÄSTERBOTTENS LÄN</t>
        </is>
      </c>
      <c r="G684" t="inlineStr">
        <is>
          <t>LYCKSELE</t>
        </is>
      </c>
      <c r="I684" t="n">
        <v>7.3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46290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8467-2026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46065</v>
      </c>
      <c r="E686" s="1" t="n">
        <v>46290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46826-2023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45198</v>
      </c>
      <c r="E687" s="1" t="n">
        <v>46290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46290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46290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38178-2022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44812</v>
      </c>
      <c r="E690" s="1" t="n">
        <v>46290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46290</v>
      </c>
      <c r="F691" t="inlineStr">
        <is>
          <t>VÄSTERBOTTENS LÄN</t>
        </is>
      </c>
      <c r="G691" t="inlineStr">
        <is>
          <t>LYCKSELE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46290</v>
      </c>
      <c r="F692" t="inlineStr">
        <is>
          <t>VÄSTERBOTTENS LÄN</t>
        </is>
      </c>
      <c r="G692" t="inlineStr">
        <is>
          <t>LYCKSELE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46290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45687</v>
      </c>
      <c r="E694" s="1" t="n">
        <v>46290</v>
      </c>
      <c r="F694" t="inlineStr">
        <is>
          <t>VÄSTERBOTTENS LÄN</t>
        </is>
      </c>
      <c r="G694" t="inlineStr">
        <is>
          <t>LYCKSELE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14070-2024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46290</v>
      </c>
      <c r="F695" t="inlineStr">
        <is>
          <t>VÄSTERBOTTENS LÄN</t>
        </is>
      </c>
      <c r="G695" t="inlineStr">
        <is>
          <t>LYCKSELE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46290</v>
      </c>
      <c r="F696" t="inlineStr">
        <is>
          <t>VÄSTERBOTTENS LÄN</t>
        </is>
      </c>
      <c r="G696" t="inlineStr">
        <is>
          <t>LYCKSELE</t>
        </is>
      </c>
      <c r="I696" t="n">
        <v>9.4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46290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10180-2026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46290</v>
      </c>
      <c r="F698" t="inlineStr">
        <is>
          <t>VÄSTERBOTTENS LÄN</t>
        </is>
      </c>
      <c r="G698" t="inlineStr">
        <is>
          <t>LYCKSELE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10230-2026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46290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10478-2026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46077</v>
      </c>
      <c r="E700" s="1" t="n">
        <v>46290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25080-2026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46290</v>
      </c>
      <c r="F701" t="inlineStr">
        <is>
          <t>VÄSTERBOTTENS LÄN</t>
        </is>
      </c>
      <c r="G701" t="inlineStr">
        <is>
          <t>LYCKSELE</t>
        </is>
      </c>
      <c r="I701" t="n">
        <v>13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10174-2026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46076</v>
      </c>
      <c r="E702" s="1" t="n">
        <v>46290</v>
      </c>
      <c r="F702" t="inlineStr">
        <is>
          <t>VÄSTERBOTTENS LÄN</t>
        </is>
      </c>
      <c r="G702" t="inlineStr">
        <is>
          <t>LYCKSELE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46290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40262-2022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44820</v>
      </c>
      <c r="E704" s="1" t="n">
        <v>46290</v>
      </c>
      <c r="F704" t="inlineStr">
        <is>
          <t>VÄSTERBOTTENS LÄN</t>
        </is>
      </c>
      <c r="G704" t="inlineStr">
        <is>
          <t>LYCKSELE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45218</v>
      </c>
      <c r="E705" s="1" t="n">
        <v>46290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24041-2023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45078</v>
      </c>
      <c r="E706" s="1" t="n">
        <v>46290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11743-2023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44994</v>
      </c>
      <c r="E707" s="1" t="n">
        <v>46290</v>
      </c>
      <c r="F707" t="inlineStr">
        <is>
          <t>VÄSTERBOTTENS LÄN</t>
        </is>
      </c>
      <c r="G707" t="inlineStr">
        <is>
          <t>LYCKSELE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24763-2026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46290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12083-2026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46086</v>
      </c>
      <c r="E709" s="1" t="n">
        <v>46290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61367-2024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45646</v>
      </c>
      <c r="E710" s="1" t="n">
        <v>46290</v>
      </c>
      <c r="F710" t="inlineStr">
        <is>
          <t>VÄSTERBOTTENS LÄN</t>
        </is>
      </c>
      <c r="G710" t="inlineStr">
        <is>
          <t>LYCKSELE</t>
        </is>
      </c>
      <c r="I710" t="n">
        <v>10.4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11870-2026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46085</v>
      </c>
      <c r="E711" s="1" t="n">
        <v>46290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51669-2024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45606</v>
      </c>
      <c r="E712" s="1" t="n">
        <v>46290</v>
      </c>
      <c r="F712" t="inlineStr">
        <is>
          <t>VÄSTERBOTTENS LÄN</t>
        </is>
      </c>
      <c r="G712" t="inlineStr">
        <is>
          <t>LYCKSELE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25039-2026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46290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46290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12436-2026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46290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12327-2026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46087</v>
      </c>
      <c r="E716" s="1" t="n">
        <v>46290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25328-2026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46176</v>
      </c>
      <c r="E717" s="1" t="n">
        <v>46290</v>
      </c>
      <c r="F717" t="inlineStr">
        <is>
          <t>VÄSTERBOTTENS LÄN</t>
        </is>
      </c>
      <c r="G717" t="inlineStr">
        <is>
          <t>LYCKSELE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46290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19270-2024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45428</v>
      </c>
      <c r="E719" s="1" t="n">
        <v>46290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11.1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12662-2026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46091</v>
      </c>
      <c r="E720" s="1" t="n">
        <v>46290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46290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12735-2026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46091</v>
      </c>
      <c r="E722" s="1" t="n">
        <v>46290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45526</v>
      </c>
      <c r="E723" s="1" t="n">
        <v>46290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55170-2022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44886</v>
      </c>
      <c r="E724" s="1" t="n">
        <v>46290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13436-2026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46290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46290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46290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13413-2026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46290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46290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46290</v>
      </c>
      <c r="F730" t="inlineStr">
        <is>
          <t>VÄSTERBOTTENS LÄN</t>
        </is>
      </c>
      <c r="G730" t="inlineStr">
        <is>
          <t>LYCKSELE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13518-2026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46290</v>
      </c>
      <c r="F731" t="inlineStr">
        <is>
          <t>VÄSTERBOTTENS LÄN</t>
        </is>
      </c>
      <c r="G731" t="inlineStr">
        <is>
          <t>LYCKSELE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46290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59653-2022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44907</v>
      </c>
      <c r="E733" s="1" t="n">
        <v>46290</v>
      </c>
      <c r="F733" t="inlineStr">
        <is>
          <t>VÄSTERBOTTENS LÄN</t>
        </is>
      </c>
      <c r="G733" t="inlineStr">
        <is>
          <t>LYCKSELE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13921-2026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46098</v>
      </c>
      <c r="E734" s="1" t="n">
        <v>46290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46290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71407-2021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44540</v>
      </c>
      <c r="E736" s="1" t="n">
        <v>46290</v>
      </c>
      <c r="F736" t="inlineStr">
        <is>
          <t>VÄSTERBOTTENS LÄN</t>
        </is>
      </c>
      <c r="G736" t="inlineStr">
        <is>
          <t>LYCKSELE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46290</v>
      </c>
      <c r="F737" t="inlineStr">
        <is>
          <t>VÄSTERBOTTENS LÄN</t>
        </is>
      </c>
      <c r="G737" t="inlineStr">
        <is>
          <t>LYCKSELE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14404-2026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46290</v>
      </c>
      <c r="F738" t="inlineStr">
        <is>
          <t>VÄSTERBOTTENS LÄN</t>
        </is>
      </c>
      <c r="G738" t="inlineStr">
        <is>
          <t>LYCKSELE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14243-2026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46099</v>
      </c>
      <c r="E739" s="1" t="n">
        <v>46290</v>
      </c>
      <c r="F739" t="inlineStr">
        <is>
          <t>VÄSTERBOTTENS LÄN</t>
        </is>
      </c>
      <c r="G739" t="inlineStr">
        <is>
          <t>LYCKSELE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21666-2024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46290</v>
      </c>
      <c r="F740" t="inlineStr">
        <is>
          <t>VÄSTERBOTTENS LÄN</t>
        </is>
      </c>
      <c r="G740" t="inlineStr">
        <is>
          <t>LYCKSELE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14405-2026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46290</v>
      </c>
      <c r="F741" t="inlineStr">
        <is>
          <t>VÄSTERBOTTENS LÄN</t>
        </is>
      </c>
      <c r="G741" t="inlineStr">
        <is>
          <t>LYCKSELE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25453-2026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46290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25746-2026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46290</v>
      </c>
      <c r="F743" t="inlineStr">
        <is>
          <t>VÄSTERBOTTENS LÄN</t>
        </is>
      </c>
      <c r="G743" t="inlineStr">
        <is>
          <t>LYCKSELE</t>
        </is>
      </c>
      <c r="I743" t="n">
        <v>22.3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46290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25718-2026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46290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14675-2026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46101</v>
      </c>
      <c r="E746" s="1" t="n">
        <v>46290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38347-2025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45883</v>
      </c>
      <c r="E747" s="1" t="n">
        <v>46290</v>
      </c>
      <c r="F747" t="inlineStr">
        <is>
          <t>VÄSTERBOTTENS LÄN</t>
        </is>
      </c>
      <c r="G747" t="inlineStr">
        <is>
          <t>LYCKSELE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46290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46290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25709-2026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46290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46290</v>
      </c>
      <c r="F751" t="inlineStr">
        <is>
          <t>VÄSTERBOTTENS LÄN</t>
        </is>
      </c>
      <c r="G751" t="inlineStr">
        <is>
          <t>LYCKSELE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25727-2026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46290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46290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46290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46182</v>
      </c>
      <c r="E755" s="1" t="n">
        <v>46290</v>
      </c>
      <c r="F755" t="inlineStr">
        <is>
          <t>VÄSTERBOTTENS LÄN</t>
        </is>
      </c>
      <c r="G755" t="inlineStr">
        <is>
          <t>LYCKSELE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26246-2026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46182</v>
      </c>
      <c r="E756" s="1" t="n">
        <v>46290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26276-2026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46182</v>
      </c>
      <c r="E757" s="1" t="n">
        <v>46290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14725-2026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46290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6.4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45308</v>
      </c>
      <c r="E759" s="1" t="n">
        <v>46290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9.300000000000001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27219-2026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46290</v>
      </c>
      <c r="F760" t="inlineStr">
        <is>
          <t>VÄSTERBOTTENS LÄN</t>
        </is>
      </c>
      <c r="G760" t="inlineStr">
        <is>
          <t>LYCKSELE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26435-2026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46290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26485-2026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46183</v>
      </c>
      <c r="E762" s="1" t="n">
        <v>46290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26387-2026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46290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9.9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46290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46290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14845-2026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46104</v>
      </c>
      <c r="E766" s="1" t="n">
        <v>46290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12.5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26916-2026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46290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15389-2026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46290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41361-2023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45174</v>
      </c>
      <c r="E769" s="1" t="n">
        <v>46290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33713-2024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45520</v>
      </c>
      <c r="E770" s="1" t="n">
        <v>46290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7.5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27430-2026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46189</v>
      </c>
      <c r="E771" s="1" t="n">
        <v>46290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53614-2021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44469</v>
      </c>
      <c r="E772" s="1" t="n">
        <v>46290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15696-2026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46107</v>
      </c>
      <c r="E773" s="1" t="n">
        <v>46290</v>
      </c>
      <c r="F773" t="inlineStr">
        <is>
          <t>VÄSTERBOTTENS LÄN</t>
        </is>
      </c>
      <c r="G773" t="inlineStr">
        <is>
          <t>LYCKSELE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27427-2026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46290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46189</v>
      </c>
      <c r="E775" s="1" t="n">
        <v>46290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60685-2022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44911</v>
      </c>
      <c r="E776" s="1" t="n">
        <v>46290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16138-2026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46108</v>
      </c>
      <c r="E777" s="1" t="n">
        <v>46290</v>
      </c>
      <c r="F777" t="inlineStr">
        <is>
          <t>VÄSTERBOTTENS LÄN</t>
        </is>
      </c>
      <c r="G777" t="inlineStr">
        <is>
          <t>LYCKSELE</t>
        </is>
      </c>
      <c r="I777" t="n">
        <v>13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18674-2025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45763</v>
      </c>
      <c r="E778" s="1" t="n">
        <v>46290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47807-2024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45588</v>
      </c>
      <c r="E779" s="1" t="n">
        <v>46290</v>
      </c>
      <c r="F779" t="inlineStr">
        <is>
          <t>VÄSTERBOTTENS LÄN</t>
        </is>
      </c>
      <c r="G779" t="inlineStr">
        <is>
          <t>LYCKSELE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46290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46290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42887-2024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45566</v>
      </c>
      <c r="E782" s="1" t="n">
        <v>46290</v>
      </c>
      <c r="F782" t="inlineStr">
        <is>
          <t>VÄSTERBOTTENS LÄN</t>
        </is>
      </c>
      <c r="G782" t="inlineStr">
        <is>
          <t>LYCKSELE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16643-2026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46290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46290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10208-2024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45364</v>
      </c>
      <c r="E785" s="1" t="n">
        <v>46290</v>
      </c>
      <c r="F785" t="inlineStr">
        <is>
          <t>VÄSTERBOTTENS LÄN</t>
        </is>
      </c>
      <c r="G785" t="inlineStr">
        <is>
          <t>LYCKSELE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46290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59174-2024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45637</v>
      </c>
      <c r="E787" s="1" t="n">
        <v>46290</v>
      </c>
      <c r="F787" t="inlineStr">
        <is>
          <t>VÄSTERBOTTENS LÄN</t>
        </is>
      </c>
      <c r="G787" t="inlineStr">
        <is>
          <t>LYCKSELE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37271-2023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45155</v>
      </c>
      <c r="E788" s="1" t="n">
        <v>46290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46290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16731-2026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46113</v>
      </c>
      <c r="E790" s="1" t="n">
        <v>46290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16729-2026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46113</v>
      </c>
      <c r="E791" s="1" t="n">
        <v>46290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19.5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61506-2021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44501</v>
      </c>
      <c r="E792" s="1" t="n">
        <v>46290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6.4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60267-2022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44910</v>
      </c>
      <c r="E793" s="1" t="n">
        <v>46290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46119</v>
      </c>
      <c r="E794" s="1" t="n">
        <v>46290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27495-2024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45474</v>
      </c>
      <c r="E795" s="1" t="n">
        <v>46290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17650-2026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46121</v>
      </c>
      <c r="E796" s="1" t="n">
        <v>46290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46191</v>
      </c>
      <c r="E797" s="1" t="n">
        <v>46290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31689-2023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45117</v>
      </c>
      <c r="E798" s="1" t="n">
        <v>46290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32690-2024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45515</v>
      </c>
      <c r="E799" s="1" t="n">
        <v>46290</v>
      </c>
      <c r="F799" t="inlineStr">
        <is>
          <t>VÄSTERBOTTENS LÄN</t>
        </is>
      </c>
      <c r="G799" t="inlineStr">
        <is>
          <t>LYCKSELE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36875-2023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45154</v>
      </c>
      <c r="E800" s="1" t="n">
        <v>46290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27883-2026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46290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18737-2026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46128</v>
      </c>
      <c r="E802" s="1" t="n">
        <v>46290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10331-2023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44980</v>
      </c>
      <c r="E803" s="1" t="n">
        <v>46290</v>
      </c>
      <c r="F803" t="inlineStr">
        <is>
          <t>VÄSTERBOTTENS LÄN</t>
        </is>
      </c>
      <c r="G803" t="inlineStr">
        <is>
          <t>LYCKSELE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27842-2026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46290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27843-2026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46191</v>
      </c>
      <c r="E805" s="1" t="n">
        <v>46290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51943-2023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45223</v>
      </c>
      <c r="E806" s="1" t="n">
        <v>46290</v>
      </c>
      <c r="F806" t="inlineStr">
        <is>
          <t>VÄSTERBOTTENS LÄN</t>
        </is>
      </c>
      <c r="G806" t="inlineStr">
        <is>
          <t>LYCKSELE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18789-2026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46128</v>
      </c>
      <c r="E807" s="1" t="n">
        <v>46290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5.1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45371</v>
      </c>
      <c r="E808" s="1" t="n">
        <v>46290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55.8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18581-2026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46127</v>
      </c>
      <c r="E809" s="1" t="n">
        <v>46290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49130-2024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45594</v>
      </c>
      <c r="E810" s="1" t="n">
        <v>46290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29314-2026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46197</v>
      </c>
      <c r="E811" s="1" t="n">
        <v>46290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Kommuner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61094-2023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45261</v>
      </c>
      <c r="E812" s="1" t="n">
        <v>46290</v>
      </c>
      <c r="F812" t="inlineStr">
        <is>
          <t>VÄSTERBOTTENS LÄN</t>
        </is>
      </c>
      <c r="G812" t="inlineStr">
        <is>
          <t>LYCKSELE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19062-2026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46132</v>
      </c>
      <c r="E813" s="1" t="n">
        <v>46290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9.699999999999999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19058-2026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46290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1812-2024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45307</v>
      </c>
      <c r="E815" s="1" t="n">
        <v>46290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14.9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21668-2024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45441</v>
      </c>
      <c r="E816" s="1" t="n">
        <v>46290</v>
      </c>
      <c r="F816" t="inlineStr">
        <is>
          <t>VÄSTERBOTTENS LÄN</t>
        </is>
      </c>
      <c r="G816" t="inlineStr">
        <is>
          <t>LYCKSELE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46290</v>
      </c>
      <c r="F817" t="inlineStr">
        <is>
          <t>VÄSTERBOTTENS LÄN</t>
        </is>
      </c>
      <c r="G817" t="inlineStr">
        <is>
          <t>LYCKSELE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12336-2024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45378</v>
      </c>
      <c r="E818" s="1" t="n">
        <v>46290</v>
      </c>
      <c r="F818" t="inlineStr">
        <is>
          <t>VÄSTERBOTTENS LÄN</t>
        </is>
      </c>
      <c r="G818" t="inlineStr">
        <is>
          <t>LYCKSELE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26717-2024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45470</v>
      </c>
      <c r="E819" s="1" t="n">
        <v>46290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46290</v>
      </c>
      <c r="F820" t="inlineStr">
        <is>
          <t>VÄSTERBOTTENS LÄN</t>
        </is>
      </c>
      <c r="G820" t="inlineStr">
        <is>
          <t>LYCKSELE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31251-2024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45503</v>
      </c>
      <c r="E821" s="1" t="n">
        <v>46290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33400-2023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45128</v>
      </c>
      <c r="E822" s="1" t="n">
        <v>46290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55456-2022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44887</v>
      </c>
      <c r="E823" s="1" t="n">
        <v>46290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29675-2023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45107</v>
      </c>
      <c r="E824" s="1" t="n">
        <v>46290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46197</v>
      </c>
      <c r="E825" s="1" t="n">
        <v>46290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41358-2022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44826</v>
      </c>
      <c r="E826" s="1" t="n">
        <v>46290</v>
      </c>
      <c r="F826" t="inlineStr">
        <is>
          <t>VÄSTERBOTTENS LÄN</t>
        </is>
      </c>
      <c r="G826" t="inlineStr">
        <is>
          <t>LYCKSELE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58594-2022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44902</v>
      </c>
      <c r="E827" s="1" t="n">
        <v>46290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28829-2026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46198</v>
      </c>
      <c r="E828" s="1" t="n">
        <v>46290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25.4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38212-2024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45545</v>
      </c>
      <c r="E829" s="1" t="n">
        <v>46290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53839-2023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45231</v>
      </c>
      <c r="E830" s="1" t="n">
        <v>46290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6943-2025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46290</v>
      </c>
      <c r="F831" t="inlineStr">
        <is>
          <t>VÄSTERBOTTENS LÄN</t>
        </is>
      </c>
      <c r="G831" t="inlineStr">
        <is>
          <t>LYCKSELE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28586-2026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46197</v>
      </c>
      <c r="E832" s="1" t="n">
        <v>46290</v>
      </c>
      <c r="F832" t="inlineStr">
        <is>
          <t>VÄSTERBOTTENS LÄN</t>
        </is>
      </c>
      <c r="G832" t="inlineStr">
        <is>
          <t>LYCKSELE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59559-2022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44900</v>
      </c>
      <c r="E833" s="1" t="n">
        <v>46290</v>
      </c>
      <c r="F833" t="inlineStr">
        <is>
          <t>VÄSTERBOTTENS LÄN</t>
        </is>
      </c>
      <c r="G833" t="inlineStr">
        <is>
          <t>LYCKSELE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28939-2026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46199</v>
      </c>
      <c r="E834" s="1" t="n">
        <v>46290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46202</v>
      </c>
      <c r="E835" s="1" t="n">
        <v>46290</v>
      </c>
      <c r="F835" t="inlineStr">
        <is>
          <t>VÄSTERBOTTENS LÄN</t>
        </is>
      </c>
      <c r="G835" t="inlineStr">
        <is>
          <t>LYCKSELE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29151-2026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46202</v>
      </c>
      <c r="E836" s="1" t="n">
        <v>46290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58192-2023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45245</v>
      </c>
      <c r="E837" s="1" t="n">
        <v>46290</v>
      </c>
      <c r="F837" t="inlineStr">
        <is>
          <t>VÄSTERBOTTENS LÄN</t>
        </is>
      </c>
      <c r="G837" t="inlineStr">
        <is>
          <t>LYCKSELE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29149-2026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46290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38.4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29279-2026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46202</v>
      </c>
      <c r="E839" s="1" t="n">
        <v>46290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53037-2023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45226</v>
      </c>
      <c r="E840" s="1" t="n">
        <v>46290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7.4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53335-2024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45614</v>
      </c>
      <c r="E841" s="1" t="n">
        <v>46290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5.5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28907-2026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46199</v>
      </c>
      <c r="E842" s="1" t="n">
        <v>46290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28910-2026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46199</v>
      </c>
      <c r="E843" s="1" t="n">
        <v>46290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29425-2026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46203</v>
      </c>
      <c r="E844" s="1" t="n">
        <v>46290</v>
      </c>
      <c r="F844" t="inlineStr">
        <is>
          <t>VÄSTERBOTTENS LÄN</t>
        </is>
      </c>
      <c r="G844" t="inlineStr">
        <is>
          <t>LYCKSELE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29706-2026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46204</v>
      </c>
      <c r="E845" s="1" t="n">
        <v>46290</v>
      </c>
      <c r="F845" t="inlineStr">
        <is>
          <t>VÄSTERBOTTENS LÄN</t>
        </is>
      </c>
      <c r="G845" t="inlineStr">
        <is>
          <t>LYCKSELE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24810-2024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45460</v>
      </c>
      <c r="E846" s="1" t="n">
        <v>46290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46290</v>
      </c>
      <c r="F847" t="inlineStr">
        <is>
          <t>VÄSTERBOTTENS LÄN</t>
        </is>
      </c>
      <c r="G847" t="inlineStr">
        <is>
          <t>LYCKSELE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29436-2026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46203</v>
      </c>
      <c r="E848" s="1" t="n">
        <v>46290</v>
      </c>
      <c r="F848" t="inlineStr">
        <is>
          <t>VÄSTERBOTTENS LÄN</t>
        </is>
      </c>
      <c r="G848" t="inlineStr">
        <is>
          <t>LYCKSELE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60859-2022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44908</v>
      </c>
      <c r="E849" s="1" t="n">
        <v>46290</v>
      </c>
      <c r="F849" t="inlineStr">
        <is>
          <t>VÄSTERBOTTENS LÄN</t>
        </is>
      </c>
      <c r="G849" t="inlineStr">
        <is>
          <t>LYCKSELE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29730-2026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46204</v>
      </c>
      <c r="E850" s="1" t="n">
        <v>46290</v>
      </c>
      <c r="F850" t="inlineStr">
        <is>
          <t>VÄSTERBOTTENS LÄN</t>
        </is>
      </c>
      <c r="G850" t="inlineStr">
        <is>
          <t>LYCKSELE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29395-2026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46203</v>
      </c>
      <c r="E851" s="1" t="n">
        <v>46290</v>
      </c>
      <c r="F851" t="inlineStr">
        <is>
          <t>VÄSTERBOTTENS LÄN</t>
        </is>
      </c>
      <c r="G851" t="inlineStr">
        <is>
          <t>LYCKSELE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26351-2022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44735</v>
      </c>
      <c r="E852" s="1" t="n">
        <v>46290</v>
      </c>
      <c r="F852" t="inlineStr">
        <is>
          <t>VÄSTERBOTTENS LÄN</t>
        </is>
      </c>
      <c r="G852" t="inlineStr">
        <is>
          <t>LYCKSELE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54446-2023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45233</v>
      </c>
      <c r="E853" s="1" t="n">
        <v>46290</v>
      </c>
      <c r="F853" t="inlineStr">
        <is>
          <t>VÄSTERBOTTENS LÄN</t>
        </is>
      </c>
      <c r="G853" t="inlineStr">
        <is>
          <t>LYCKSELE</t>
        </is>
      </c>
      <c r="I853" t="n">
        <v>21.4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52956-2022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44875</v>
      </c>
      <c r="E854" s="1" t="n">
        <v>46290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6.4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29424-2026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46203</v>
      </c>
      <c r="E855" s="1" t="n">
        <v>46290</v>
      </c>
      <c r="F855" t="inlineStr">
        <is>
          <t>VÄSTERBOTTENS LÄN</t>
        </is>
      </c>
      <c r="G855" t="inlineStr">
        <is>
          <t>LYCKSELE</t>
        </is>
      </c>
      <c r="I855" t="n">
        <v>7.1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33709-2026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46290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38112-2024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45545</v>
      </c>
      <c r="E857" s="1" t="n">
        <v>46290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59516-2021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44491</v>
      </c>
      <c r="E858" s="1" t="n">
        <v>46290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46248</v>
      </c>
      <c r="E859" s="1" t="n">
        <v>46290</v>
      </c>
      <c r="F859" t="inlineStr">
        <is>
          <t>VÄSTERBOTTENS LÄN</t>
        </is>
      </c>
      <c r="G859" t="inlineStr">
        <is>
          <t>LYCKSELE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29852-2026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46205</v>
      </c>
      <c r="E860" s="1" t="n">
        <v>46290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13.4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56343-2022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44890</v>
      </c>
      <c r="E861" s="1" t="n">
        <v>46290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33846-2026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46290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10.1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30290-2026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46206</v>
      </c>
      <c r="E863" s="1" t="n">
        <v>46290</v>
      </c>
      <c r="F863" t="inlineStr">
        <is>
          <t>VÄSTERBOTTENS LÄN</t>
        </is>
      </c>
      <c r="G863" t="inlineStr">
        <is>
          <t>LYCKSELE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30288-2026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46206</v>
      </c>
      <c r="E864" s="1" t="n">
        <v>46290</v>
      </c>
      <c r="F864" t="inlineStr">
        <is>
          <t>VÄSTERBOTTENS LÄN</t>
        </is>
      </c>
      <c r="G864" t="inlineStr">
        <is>
          <t>LYCKSELE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29904-2026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46205</v>
      </c>
      <c r="E865" s="1" t="n">
        <v>46290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46290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33667-2026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46248</v>
      </c>
      <c r="E867" s="1" t="n">
        <v>46290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10.3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29839-2026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46290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4056-2023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44952</v>
      </c>
      <c r="E869" s="1" t="n">
        <v>46290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33879-2026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46251</v>
      </c>
      <c r="E870" s="1" t="n">
        <v>46290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29841-2026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46205</v>
      </c>
      <c r="E871" s="1" t="n">
        <v>46290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29848-2026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46205</v>
      </c>
      <c r="E872" s="1" t="n">
        <v>46290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49175-2023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45210</v>
      </c>
      <c r="E873" s="1" t="n">
        <v>46290</v>
      </c>
      <c r="F873" t="inlineStr">
        <is>
          <t>VÄSTERBOTTENS LÄN</t>
        </is>
      </c>
      <c r="G873" t="inlineStr">
        <is>
          <t>LYCKSELE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29836-2026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46205</v>
      </c>
      <c r="E874" s="1" t="n">
        <v>46290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8.6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46290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67092-2021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44522</v>
      </c>
      <c r="E876" s="1" t="n">
        <v>46290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29823-2026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46205</v>
      </c>
      <c r="E877" s="1" t="n">
        <v>46290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5.8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33547-2026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46248</v>
      </c>
      <c r="E878" s="1" t="n">
        <v>46290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5.4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30425-2024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45491</v>
      </c>
      <c r="E879" s="1" t="n">
        <v>46290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33878-2026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46251</v>
      </c>
      <c r="E880" s="1" t="n">
        <v>46290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33670-2026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46248</v>
      </c>
      <c r="E881" s="1" t="n">
        <v>46290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35284-2023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45145</v>
      </c>
      <c r="E882" s="1" t="n">
        <v>46290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34929-2023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45142</v>
      </c>
      <c r="E883" s="1" t="n">
        <v>46290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33932-2026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46248</v>
      </c>
      <c r="E884" s="1" t="n">
        <v>46290</v>
      </c>
      <c r="F884" t="inlineStr">
        <is>
          <t>VÄSTERBOTTENS LÄN</t>
        </is>
      </c>
      <c r="G884" t="inlineStr">
        <is>
          <t>LYCKSELE</t>
        </is>
      </c>
      <c r="I884" t="n">
        <v>11.5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34007-2026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46252</v>
      </c>
      <c r="E885" s="1" t="n">
        <v>46290</v>
      </c>
      <c r="F885" t="inlineStr">
        <is>
          <t>VÄSTERBOTTENS LÄN</t>
        </is>
      </c>
      <c r="G885" t="inlineStr">
        <is>
          <t>LYCKSELE</t>
        </is>
      </c>
      <c r="I885" t="n">
        <v>17.7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30589-2026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46210</v>
      </c>
      <c r="E886" s="1" t="n">
        <v>46290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6.9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34197-2026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46253</v>
      </c>
      <c r="E887" s="1" t="n">
        <v>46290</v>
      </c>
      <c r="F887" t="inlineStr">
        <is>
          <t>VÄSTERBOTTENS LÄN</t>
        </is>
      </c>
      <c r="G887" t="inlineStr">
        <is>
          <t>LYCKSELE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35569-2024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45531</v>
      </c>
      <c r="E888" s="1" t="n">
        <v>46290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34016-2026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46252</v>
      </c>
      <c r="E889" s="1" t="n">
        <v>46290</v>
      </c>
      <c r="F889" t="inlineStr">
        <is>
          <t>VÄSTERBOTTENS LÄN</t>
        </is>
      </c>
      <c r="G889" t="inlineStr">
        <is>
          <t>LYCKSELE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33975-2026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46252</v>
      </c>
      <c r="E890" s="1" t="n">
        <v>46290</v>
      </c>
      <c r="F890" t="inlineStr">
        <is>
          <t>VÄSTERBOTTENS LÄN</t>
        </is>
      </c>
      <c r="G890" t="inlineStr">
        <is>
          <t>LYCKSELE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30447-2026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46209</v>
      </c>
      <c r="E891" s="1" t="n">
        <v>46290</v>
      </c>
      <c r="F891" t="inlineStr">
        <is>
          <t>VÄSTERBOTTENS LÄN</t>
        </is>
      </c>
      <c r="G891" t="inlineStr">
        <is>
          <t>LYCKSELE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60122-2022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44909</v>
      </c>
      <c r="E892" s="1" t="n">
        <v>46290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30360-2026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46209</v>
      </c>
      <c r="E893" s="1" t="n">
        <v>46290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6.3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57818-2021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44484</v>
      </c>
      <c r="E894" s="1" t="n">
        <v>46290</v>
      </c>
      <c r="F894" t="inlineStr">
        <is>
          <t>VÄSTERBOTTENS LÄN</t>
        </is>
      </c>
      <c r="G894" t="inlineStr">
        <is>
          <t>LYCKSELE</t>
        </is>
      </c>
      <c r="I894" t="n">
        <v>5.4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34857-2024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45527</v>
      </c>
      <c r="E895" s="1" t="n">
        <v>46290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34331-2026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46254</v>
      </c>
      <c r="E896" s="1" t="n">
        <v>46290</v>
      </c>
      <c r="F896" t="inlineStr">
        <is>
          <t>VÄSTERBOTTENS LÄN</t>
        </is>
      </c>
      <c r="G896" t="inlineStr">
        <is>
          <t>LYCKSELE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34326-2026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46254</v>
      </c>
      <c r="E897" s="1" t="n">
        <v>46290</v>
      </c>
      <c r="F897" t="inlineStr">
        <is>
          <t>VÄSTERBOTTENS LÄN</t>
        </is>
      </c>
      <c r="G897" t="inlineStr">
        <is>
          <t>LYCKSELE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34323-2026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46254</v>
      </c>
      <c r="E898" s="1" t="n">
        <v>46290</v>
      </c>
      <c r="F898" t="inlineStr">
        <is>
          <t>VÄSTERBOTTENS LÄN</t>
        </is>
      </c>
      <c r="G898" t="inlineStr">
        <is>
          <t>LYCKSELE</t>
        </is>
      </c>
      <c r="I898" t="n">
        <v>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20344-2025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45775</v>
      </c>
      <c r="E899" s="1" t="n">
        <v>46290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15037-2025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45743</v>
      </c>
      <c r="E900" s="1" t="n">
        <v>46290</v>
      </c>
      <c r="F900" t="inlineStr">
        <is>
          <t>VÄSTERBOTTENS LÄN</t>
        </is>
      </c>
      <c r="G900" t="inlineStr">
        <is>
          <t>LYCKSELE</t>
        </is>
      </c>
      <c r="I900" t="n">
        <v>12.1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36150-2024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45534</v>
      </c>
      <c r="E901" s="1" t="n">
        <v>46290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64656-2023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45281</v>
      </c>
      <c r="E902" s="1" t="n">
        <v>46290</v>
      </c>
      <c r="F902" t="inlineStr">
        <is>
          <t>VÄSTERBOTTENS LÄN</t>
        </is>
      </c>
      <c r="G902" t="inlineStr">
        <is>
          <t>LYCKSELE</t>
        </is>
      </c>
      <c r="I902" t="n">
        <v>12.3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30631-2026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46211</v>
      </c>
      <c r="E903" s="1" t="n">
        <v>46290</v>
      </c>
      <c r="F903" t="inlineStr">
        <is>
          <t>VÄSTERBOTTENS LÄN</t>
        </is>
      </c>
      <c r="G903" t="inlineStr">
        <is>
          <t>LYCKSELE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34508-2026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46255</v>
      </c>
      <c r="E904" s="1" t="n">
        <v>46290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70195-2021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44534</v>
      </c>
      <c r="E905" s="1" t="n">
        <v>46290</v>
      </c>
      <c r="F905" t="inlineStr">
        <is>
          <t>VÄSTERBOTTENS LÄN</t>
        </is>
      </c>
      <c r="G905" t="inlineStr">
        <is>
          <t>LYCKSELE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34111-2025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45845</v>
      </c>
      <c r="E906" s="1" t="n">
        <v>46290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43770-2025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45912</v>
      </c>
      <c r="E907" s="1" t="n">
        <v>46290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29709-2025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45825</v>
      </c>
      <c r="E908" s="1" t="n">
        <v>46290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52.4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40527-2024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45555</v>
      </c>
      <c r="E909" s="1" t="n">
        <v>46290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8.9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24289-2023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45079</v>
      </c>
      <c r="E910" s="1" t="n">
        <v>46290</v>
      </c>
      <c r="F910" t="inlineStr">
        <is>
          <t>VÄSTERBOTTENS LÄN</t>
        </is>
      </c>
      <c r="G910" t="inlineStr">
        <is>
          <t>LYCKSELE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28893-2024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45479</v>
      </c>
      <c r="E911" s="1" t="n">
        <v>46290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34778-2026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46258</v>
      </c>
      <c r="E912" s="1" t="n">
        <v>46290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60482-2024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45643</v>
      </c>
      <c r="E913" s="1" t="n">
        <v>46290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7.8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34640-2026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46255</v>
      </c>
      <c r="E914" s="1" t="n">
        <v>46290</v>
      </c>
      <c r="F914" t="inlineStr">
        <is>
          <t>VÄSTERBOTTENS LÄN</t>
        </is>
      </c>
      <c r="G914" t="inlineStr">
        <is>
          <t>LYCKSELE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34667-2026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46258</v>
      </c>
      <c r="E916" s="1" t="n">
        <v>46290</v>
      </c>
      <c r="F916" t="inlineStr">
        <is>
          <t>VÄSTERBOTTENS LÄN</t>
        </is>
      </c>
      <c r="G916" t="inlineStr">
        <is>
          <t>LYCKSELE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53096-2024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45611</v>
      </c>
      <c r="E917" s="1" t="n">
        <v>46290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8.4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55203-2024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45621</v>
      </c>
      <c r="E918" s="1" t="n">
        <v>46290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46654-2025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46290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30939-2026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46213</v>
      </c>
      <c r="E920" s="1" t="n">
        <v>46290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24.3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34825-2026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46258</v>
      </c>
      <c r="E921" s="1" t="n">
        <v>46290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30945-2026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46213</v>
      </c>
      <c r="E922" s="1" t="n">
        <v>46290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4.9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30962-2026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46213</v>
      </c>
      <c r="E923" s="1" t="n">
        <v>46290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34669-2026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46290</v>
      </c>
      <c r="F924" t="inlineStr">
        <is>
          <t>VÄSTERBOTTENS LÄN</t>
        </is>
      </c>
      <c r="G924" t="inlineStr">
        <is>
          <t>LYCKSELE</t>
        </is>
      </c>
      <c r="I924" t="n">
        <v>9.5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30890-2026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46213</v>
      </c>
      <c r="E925" s="1" t="n">
        <v>46290</v>
      </c>
      <c r="F925" t="inlineStr">
        <is>
          <t>VÄSTERBOTTENS LÄN</t>
        </is>
      </c>
      <c r="G925" t="inlineStr">
        <is>
          <t>LYCKSELE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46562-2025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46290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37491-2023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45156</v>
      </c>
      <c r="E927" s="1" t="n">
        <v>46290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31289-2026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46218</v>
      </c>
      <c r="E928" s="1" t="n">
        <v>46290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35379-2026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46290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11640-2024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45373</v>
      </c>
      <c r="E930" s="1" t="n">
        <v>46290</v>
      </c>
      <c r="F930" t="inlineStr">
        <is>
          <t>VÄSTERBOTTENS LÄN</t>
        </is>
      </c>
      <c r="G930" t="inlineStr">
        <is>
          <t>LYCKSELE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33693-2024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45520</v>
      </c>
      <c r="E931" s="1" t="n">
        <v>46290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957-2023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44934</v>
      </c>
      <c r="E932" s="1" t="n">
        <v>46290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16289-2025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45751</v>
      </c>
      <c r="E933" s="1" t="n">
        <v>46290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5856-2025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45695</v>
      </c>
      <c r="E934" s="1" t="n">
        <v>46290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31288-2026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46218</v>
      </c>
      <c r="E935" s="1" t="n">
        <v>46290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5.6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8915-2025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45713</v>
      </c>
      <c r="E936" s="1" t="n">
        <v>46290</v>
      </c>
      <c r="F936" t="inlineStr">
        <is>
          <t>VÄSTERBOTTENS LÄN</t>
        </is>
      </c>
      <c r="G936" t="inlineStr">
        <is>
          <t>LYCKSELE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33708-2024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46290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33714-2024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45520</v>
      </c>
      <c r="E938" s="1" t="n">
        <v>46290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10.4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34273-2024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45524</v>
      </c>
      <c r="E939" s="1" t="n">
        <v>46290</v>
      </c>
      <c r="F939" t="inlineStr">
        <is>
          <t>VÄSTERBOTTENS LÄN</t>
        </is>
      </c>
      <c r="G939" t="inlineStr">
        <is>
          <t>LYCKSELE</t>
        </is>
      </c>
      <c r="I939" t="n">
        <v>6.7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14249-2025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45740</v>
      </c>
      <c r="E940" s="1" t="n">
        <v>46290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9976-2024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45363</v>
      </c>
      <c r="E941" s="1" t="n">
        <v>46290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11604-2023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44994</v>
      </c>
      <c r="E942" s="1" t="n">
        <v>46290</v>
      </c>
      <c r="F942" t="inlineStr">
        <is>
          <t>VÄSTERBOTTENS LÄN</t>
        </is>
      </c>
      <c r="G942" t="inlineStr">
        <is>
          <t>LYCKSELE</t>
        </is>
      </c>
      <c r="I942" t="n">
        <v>4.3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12585-2025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45732</v>
      </c>
      <c r="E943" s="1" t="n">
        <v>46290</v>
      </c>
      <c r="F943" t="inlineStr">
        <is>
          <t>VÄSTERBOTTENS LÄN</t>
        </is>
      </c>
      <c r="G943" t="inlineStr">
        <is>
          <t>LYCKSELE</t>
        </is>
      </c>
      <c r="I943" t="n">
        <v>15.5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35847-2026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46265</v>
      </c>
      <c r="E944" s="1" t="n">
        <v>46290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5.8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28409-2023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45101</v>
      </c>
      <c r="E945" s="1" t="n">
        <v>46290</v>
      </c>
      <c r="F945" t="inlineStr">
        <is>
          <t>VÄSTERBOTTENS LÄN</t>
        </is>
      </c>
      <c r="G945" t="inlineStr">
        <is>
          <t>LYCKSELE</t>
        </is>
      </c>
      <c r="I945" t="n">
        <v>12.9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31358-2026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46219</v>
      </c>
      <c r="E946" s="1" t="n">
        <v>46290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16.3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20034-2025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45772</v>
      </c>
      <c r="E947" s="1" t="n">
        <v>46290</v>
      </c>
      <c r="F947" t="inlineStr">
        <is>
          <t>VÄSTERBOTTENS LÄN</t>
        </is>
      </c>
      <c r="G947" t="inlineStr">
        <is>
          <t>LYCKSELE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35800-2026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46265</v>
      </c>
      <c r="E948" s="1" t="n">
        <v>46290</v>
      </c>
      <c r="F948" t="inlineStr">
        <is>
          <t>VÄSTERBOTTENS LÄN</t>
        </is>
      </c>
      <c r="G948" t="inlineStr">
        <is>
          <t>LYCKSELE</t>
        </is>
      </c>
      <c r="I948" t="n">
        <v>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35801-2026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46290</v>
      </c>
      <c r="F949" t="inlineStr">
        <is>
          <t>VÄSTERBOTTENS LÄN</t>
        </is>
      </c>
      <c r="G949" t="inlineStr">
        <is>
          <t>LYCKSELE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4858-2025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45688</v>
      </c>
      <c r="E950" s="1" t="n">
        <v>46290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31400-2026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46220</v>
      </c>
      <c r="E951" s="1" t="n">
        <v>46290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4.9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31408-2026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46220</v>
      </c>
      <c r="E952" s="1" t="n">
        <v>46290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35754-2026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46265</v>
      </c>
      <c r="E953" s="1" t="n">
        <v>46290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7.7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35605-2026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46263</v>
      </c>
      <c r="E954" s="1" t="n">
        <v>46290</v>
      </c>
      <c r="F954" t="inlineStr">
        <is>
          <t>VÄSTERBOTTENS LÄN</t>
        </is>
      </c>
      <c r="G954" t="inlineStr">
        <is>
          <t>LYCKSELE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35625-2026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46265</v>
      </c>
      <c r="E955" s="1" t="n">
        <v>46290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8.199999999999999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9892-2022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44620</v>
      </c>
      <c r="E956" s="1" t="n">
        <v>46290</v>
      </c>
      <c r="F956" t="inlineStr">
        <is>
          <t>VÄSTERBOTTENS LÄN</t>
        </is>
      </c>
      <c r="G956" t="inlineStr">
        <is>
          <t>LYCKSELE</t>
        </is>
      </c>
      <c r="I956" t="n">
        <v>14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31371-2026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46219</v>
      </c>
      <c r="E957" s="1" t="n">
        <v>46290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31384-2026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46220</v>
      </c>
      <c r="E958" s="1" t="n">
        <v>46290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3.4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31398-2026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46220</v>
      </c>
      <c r="E959" s="1" t="n">
        <v>46290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24234-2023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45079</v>
      </c>
      <c r="E960" s="1" t="n">
        <v>46290</v>
      </c>
      <c r="F960" t="inlineStr">
        <is>
          <t>VÄSTERBOTTENS LÄN</t>
        </is>
      </c>
      <c r="G960" t="inlineStr">
        <is>
          <t>LYCKSELE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31369-2026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46219</v>
      </c>
      <c r="E961" s="1" t="n">
        <v>46290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35617-2026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46265</v>
      </c>
      <c r="E962" s="1" t="n">
        <v>46290</v>
      </c>
      <c r="F962" t="inlineStr">
        <is>
          <t>VÄSTERBOTTENS LÄN</t>
        </is>
      </c>
      <c r="G962" t="inlineStr">
        <is>
          <t>LYCKSELE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36048-2026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46267</v>
      </c>
      <c r="E963" s="1" t="n">
        <v>46290</v>
      </c>
      <c r="F963" t="inlineStr">
        <is>
          <t>VÄSTERBOTTENS LÄN</t>
        </is>
      </c>
      <c r="G963" t="inlineStr">
        <is>
          <t>LYCKSELE</t>
        </is>
      </c>
      <c r="I963" t="n">
        <v>7.8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36165-2026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46267</v>
      </c>
      <c r="E964" s="1" t="n">
        <v>46290</v>
      </c>
      <c r="F964" t="inlineStr">
        <is>
          <t>VÄSTERBOTTENS LÄN</t>
        </is>
      </c>
      <c r="G964" t="inlineStr">
        <is>
          <t>LYCKSELE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58975-2022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44903</v>
      </c>
      <c r="E965" s="1" t="n">
        <v>46290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2576-2022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44580</v>
      </c>
      <c r="E966" s="1" t="n">
        <v>46290</v>
      </c>
      <c r="F966" t="inlineStr">
        <is>
          <t>VÄSTERBOTTENS LÄN</t>
        </is>
      </c>
      <c r="G966" t="inlineStr">
        <is>
          <t>LYCKSELE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33796-2026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46251</v>
      </c>
      <c r="E967" s="1" t="n">
        <v>46290</v>
      </c>
      <c r="F967" t="inlineStr">
        <is>
          <t>VÄSTERBOTTENS LÄN</t>
        </is>
      </c>
      <c r="G967" t="inlineStr">
        <is>
          <t>LYCKSELE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31653-2026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46225</v>
      </c>
      <c r="E968" s="1" t="n">
        <v>46290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12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36526-2026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46269</v>
      </c>
      <c r="E969" s="1" t="n">
        <v>46290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36569-2026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46269</v>
      </c>
      <c r="E970" s="1" t="n">
        <v>46290</v>
      </c>
      <c r="F970" t="inlineStr">
        <is>
          <t>VÄSTERBOTTENS LÄN</t>
        </is>
      </c>
      <c r="G970" t="inlineStr">
        <is>
          <t>LYCKSELE</t>
        </is>
      </c>
      <c r="I970" t="n">
        <v>6.4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21092-2026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46146</v>
      </c>
      <c r="E971" s="1" t="n">
        <v>46290</v>
      </c>
      <c r="F971" t="inlineStr">
        <is>
          <t>VÄSTERBOTTENS LÄN</t>
        </is>
      </c>
      <c r="G971" t="inlineStr">
        <is>
          <t>LYCKSELE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60272-2022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44910</v>
      </c>
      <c r="E972" s="1" t="n">
        <v>46290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7.4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36254-2026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46268</v>
      </c>
      <c r="E973" s="1" t="n">
        <v>46290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36243-2026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46268</v>
      </c>
      <c r="E974" s="1" t="n">
        <v>46290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15221-2025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45744</v>
      </c>
      <c r="E975" s="1" t="n">
        <v>46290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12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39321-2024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45551</v>
      </c>
      <c r="E976" s="1" t="n">
        <v>46290</v>
      </c>
      <c r="F976" t="inlineStr">
        <is>
          <t>VÄSTERBOTTENS LÄN</t>
        </is>
      </c>
      <c r="G976" t="inlineStr">
        <is>
          <t>LYCKSELE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36799-2026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46272</v>
      </c>
      <c r="E977" s="1" t="n">
        <v>46290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36800-2026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46272</v>
      </c>
      <c r="E978" s="1" t="n">
        <v>46290</v>
      </c>
      <c r="F978" t="inlineStr">
        <is>
          <t>VÄSTERBOTTENS LÄN</t>
        </is>
      </c>
      <c r="G978" t="inlineStr">
        <is>
          <t>LYCKSELE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36708-2026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46272</v>
      </c>
      <c r="E979" s="1" t="n">
        <v>46290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10.5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59569-2024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45638</v>
      </c>
      <c r="E980" s="1" t="n">
        <v>46290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48330-2024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45590</v>
      </c>
      <c r="E981" s="1" t="n">
        <v>46290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36568-2026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46269</v>
      </c>
      <c r="E982" s="1" t="n">
        <v>46290</v>
      </c>
      <c r="F982" t="inlineStr">
        <is>
          <t>VÄSTERBOTTENS LÄN</t>
        </is>
      </c>
      <c r="G982" t="inlineStr">
        <is>
          <t>LYCKSELE</t>
        </is>
      </c>
      <c r="I982" t="n">
        <v>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46541-2022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44847</v>
      </c>
      <c r="E983" s="1" t="n">
        <v>46290</v>
      </c>
      <c r="F983" t="inlineStr">
        <is>
          <t>VÄSTERBOTTENS LÄN</t>
        </is>
      </c>
      <c r="G983" t="inlineStr">
        <is>
          <t>LYCKSELE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52124-2024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45608</v>
      </c>
      <c r="E984" s="1" t="n">
        <v>46290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36977-2026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46273</v>
      </c>
      <c r="E985" s="1" t="n">
        <v>46290</v>
      </c>
      <c r="F985" t="inlineStr">
        <is>
          <t>VÄSTERBOTTENS LÄN</t>
        </is>
      </c>
      <c r="G985" t="inlineStr">
        <is>
          <t>LYCKSELE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36357-2024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45534</v>
      </c>
      <c r="E986" s="1" t="n">
        <v>46290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6800-2025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45700</v>
      </c>
      <c r="E987" s="1" t="n">
        <v>46290</v>
      </c>
      <c r="F987" t="inlineStr">
        <is>
          <t>VÄSTERBOTTENS LÄN</t>
        </is>
      </c>
      <c r="G987" t="inlineStr">
        <is>
          <t>LYCKSELE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31788-2026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46230</v>
      </c>
      <c r="E988" s="1" t="n">
        <v>46290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60143-2022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44909</v>
      </c>
      <c r="E989" s="1" t="n">
        <v>46290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7063-2022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44603</v>
      </c>
      <c r="E990" s="1" t="n">
        <v>46290</v>
      </c>
      <c r="F990" t="inlineStr">
        <is>
          <t>VÄSTERBOTTENS LÄN</t>
        </is>
      </c>
      <c r="G990" t="inlineStr">
        <is>
          <t>LYCKSELE</t>
        </is>
      </c>
      <c r="I990" t="n">
        <v>14.2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41703-2023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45176</v>
      </c>
      <c r="E991" s="1" t="n">
        <v>46290</v>
      </c>
      <c r="F991" t="inlineStr">
        <is>
          <t>VÄSTERBOTTENS LÄN</t>
        </is>
      </c>
      <c r="G991" t="inlineStr">
        <is>
          <t>LYCKSELE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36813-2026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46290</v>
      </c>
      <c r="F992" t="inlineStr">
        <is>
          <t>VÄSTERBOTTENS LÄN</t>
        </is>
      </c>
      <c r="G992" t="inlineStr">
        <is>
          <t>LYCKSELE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36814-2026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46272</v>
      </c>
      <c r="E993" s="1" t="n">
        <v>46290</v>
      </c>
      <c r="F993" t="inlineStr">
        <is>
          <t>VÄSTERBOTTENS LÄN</t>
        </is>
      </c>
      <c r="G993" t="inlineStr">
        <is>
          <t>LYCKSELE</t>
        </is>
      </c>
      <c r="I993" t="n">
        <v>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31819-2026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46230</v>
      </c>
      <c r="E994" s="1" t="n">
        <v>46290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34635-2024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45526</v>
      </c>
      <c r="E995" s="1" t="n">
        <v>46290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54680-2024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45618</v>
      </c>
      <c r="E996" s="1" t="n">
        <v>46290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8917-2023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44979</v>
      </c>
      <c r="E997" s="1" t="n">
        <v>46290</v>
      </c>
      <c r="F997" t="inlineStr">
        <is>
          <t>VÄSTERBOTTENS LÄN</t>
        </is>
      </c>
      <c r="G997" t="inlineStr">
        <is>
          <t>LYCKSELE</t>
        </is>
      </c>
      <c r="I997" t="n">
        <v>12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27595-2023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45097</v>
      </c>
      <c r="E998" s="1" t="n">
        <v>46290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37215-2026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46274</v>
      </c>
      <c r="E999" s="1" t="n">
        <v>46290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37167-2026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46274</v>
      </c>
      <c r="E1000" s="1" t="n">
        <v>46290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37658-2024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45541</v>
      </c>
      <c r="E1001" s="1" t="n">
        <v>46290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23295-2023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45075</v>
      </c>
      <c r="E1002" s="1" t="n">
        <v>46290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7.4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32112-2026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46234</v>
      </c>
      <c r="E1003" s="1" t="n">
        <v>46290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33.3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52370-2022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44874</v>
      </c>
      <c r="E1004" s="1" t="n">
        <v>46290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37775-2026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46279</v>
      </c>
      <c r="E1005" s="1" t="n">
        <v>46290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37776-2026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46279</v>
      </c>
      <c r="E1006" s="1" t="n">
        <v>46290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53788-2024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45615</v>
      </c>
      <c r="E1007" s="1" t="n">
        <v>46290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37801-2026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46279</v>
      </c>
      <c r="E1008" s="1" t="n">
        <v>46290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18.3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37774-2026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46279</v>
      </c>
      <c r="E1009" s="1" t="n">
        <v>46290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48992-2023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45209</v>
      </c>
      <c r="E1010" s="1" t="n">
        <v>46290</v>
      </c>
      <c r="F1010" t="inlineStr">
        <is>
          <t>VÄSTERBOTTENS LÄN</t>
        </is>
      </c>
      <c r="G1010" t="inlineStr">
        <is>
          <t>LYCKSELE</t>
        </is>
      </c>
      <c r="I1010" t="n">
        <v>4.6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32245-2026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46237</v>
      </c>
      <c r="E1011" s="1" t="n">
        <v>46290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32174-2026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46237</v>
      </c>
      <c r="E1012" s="1" t="n">
        <v>46290</v>
      </c>
      <c r="F1012" t="inlineStr">
        <is>
          <t>VÄSTERBOTTENS LÄN</t>
        </is>
      </c>
      <c r="G1012" t="inlineStr">
        <is>
          <t>LYCKSELE</t>
        </is>
      </c>
      <c r="I1012" t="n">
        <v>20.2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28528-2023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45103</v>
      </c>
      <c r="E1013" s="1" t="n">
        <v>46290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38140-2026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46281</v>
      </c>
      <c r="E1014" s="1" t="n">
        <v>46290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37.9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32289-2026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46237</v>
      </c>
      <c r="E1015" s="1" t="n">
        <v>46290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23164-2022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44719</v>
      </c>
      <c r="E1016" s="1" t="n">
        <v>46290</v>
      </c>
      <c r="F1016" t="inlineStr">
        <is>
          <t>VÄSTERBOTTENS LÄN</t>
        </is>
      </c>
      <c r="G1016" t="inlineStr">
        <is>
          <t>LYCKSELE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41728-2023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45176</v>
      </c>
      <c r="E1017" s="1" t="n">
        <v>46290</v>
      </c>
      <c r="F1017" t="inlineStr">
        <is>
          <t>VÄSTERBOTTENS LÄN</t>
        </is>
      </c>
      <c r="G1017" t="inlineStr">
        <is>
          <t>LYCKSELE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32167-2026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46237</v>
      </c>
      <c r="E1018" s="1" t="n">
        <v>46290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8.6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7001-2022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44603</v>
      </c>
      <c r="E1019" s="1" t="n">
        <v>46290</v>
      </c>
      <c r="F1019" t="inlineStr">
        <is>
          <t>VÄSTERBOTTENS LÄN</t>
        </is>
      </c>
      <c r="G1019" t="inlineStr">
        <is>
          <t>LYCKSELE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32214-2026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46237</v>
      </c>
      <c r="E1020" s="1" t="n">
        <v>46290</v>
      </c>
      <c r="F1020" t="inlineStr">
        <is>
          <t>VÄSTERBOTTENS LÄN</t>
        </is>
      </c>
      <c r="G1020" t="inlineStr">
        <is>
          <t>LYCKSELE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20287-2022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44698</v>
      </c>
      <c r="E1021" s="1" t="n">
        <v>46290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43566-2024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45569</v>
      </c>
      <c r="E1022" s="1" t="n">
        <v>46290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3.7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38110-2026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46281</v>
      </c>
      <c r="E1023" s="1" t="n">
        <v>46290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38261-2026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46281</v>
      </c>
      <c r="E1024" s="1" t="n">
        <v>46290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3.3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26358-2023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45091</v>
      </c>
      <c r="E1025" s="1" t="n">
        <v>46290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26071-2024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45468</v>
      </c>
      <c r="E1026" s="1" t="n">
        <v>46290</v>
      </c>
      <c r="F1026" t="inlineStr">
        <is>
          <t>VÄSTERBOTTENS LÄN</t>
        </is>
      </c>
      <c r="G1026" t="inlineStr">
        <is>
          <t>LYCKSELE</t>
        </is>
      </c>
      <c r="I1026" t="n">
        <v>8.1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32201-2026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46237</v>
      </c>
      <c r="E1027" s="1" t="n">
        <v>46290</v>
      </c>
      <c r="F1027" t="inlineStr">
        <is>
          <t>VÄSTERBOTTENS LÄN</t>
        </is>
      </c>
      <c r="G1027" t="inlineStr">
        <is>
          <t>LYCKSELE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61799-2023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45265</v>
      </c>
      <c r="E1028" s="1" t="n">
        <v>46290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38577-2026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46283</v>
      </c>
      <c r="E1029" s="1" t="n">
        <v>46290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6.5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2109-2025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45672</v>
      </c>
      <c r="E1030" s="1" t="n">
        <v>46290</v>
      </c>
      <c r="F1030" t="inlineStr">
        <is>
          <t>VÄSTERBOTTENS LÄN</t>
        </is>
      </c>
      <c r="G1030" t="inlineStr">
        <is>
          <t>LYCKSELE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36274-2024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46290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32619-2026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46240</v>
      </c>
      <c r="E1032" s="1" t="n">
        <v>46290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38469-2026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46282</v>
      </c>
      <c r="E1033" s="1" t="n">
        <v>46290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32608-2026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46240</v>
      </c>
      <c r="E1034" s="1" t="n">
        <v>46290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57108-2024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45629</v>
      </c>
      <c r="E1035" s="1" t="n">
        <v>46290</v>
      </c>
      <c r="F1035" t="inlineStr">
        <is>
          <t>VÄSTERBOTTENS LÄN</t>
        </is>
      </c>
      <c r="G1035" t="inlineStr">
        <is>
          <t>LYCKSELE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57109-2024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45629</v>
      </c>
      <c r="E1036" s="1" t="n">
        <v>46290</v>
      </c>
      <c r="F1036" t="inlineStr">
        <is>
          <t>VÄSTERBOTTENS LÄN</t>
        </is>
      </c>
      <c r="G1036" t="inlineStr">
        <is>
          <t>LYCKSELE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17393-2023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45035</v>
      </c>
      <c r="E1037" s="1" t="n">
        <v>46290</v>
      </c>
      <c r="F1037" t="inlineStr">
        <is>
          <t>VÄSTERBOTTENS LÄN</t>
        </is>
      </c>
      <c r="G1037" t="inlineStr">
        <is>
          <t>LYCKSELE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32644-2026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46240</v>
      </c>
      <c r="E1038" s="1" t="n">
        <v>46290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16563-2024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45408</v>
      </c>
      <c r="E1039" s="1" t="n">
        <v>46290</v>
      </c>
      <c r="F1039" t="inlineStr">
        <is>
          <t>VÄSTERBOTTENS LÄN</t>
        </is>
      </c>
      <c r="G1039" t="inlineStr">
        <is>
          <t>LYCKSELE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32611-2026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46240</v>
      </c>
      <c r="E1040" s="1" t="n">
        <v>46290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34505-2026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46254</v>
      </c>
      <c r="E1041" s="1" t="n">
        <v>46290</v>
      </c>
      <c r="F1041" t="inlineStr">
        <is>
          <t>VÄSTERBOTTENS LÄN</t>
        </is>
      </c>
      <c r="G1041" t="inlineStr">
        <is>
          <t>LYCKSELE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20685-2025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45776</v>
      </c>
      <c r="E1042" s="1" t="n">
        <v>46290</v>
      </c>
      <c r="F1042" t="inlineStr">
        <is>
          <t>VÄSTERBOTTENS LÄN</t>
        </is>
      </c>
      <c r="G1042" t="inlineStr">
        <is>
          <t>LYCKSELE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38429-2026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46282</v>
      </c>
      <c r="E1043" s="1" t="n">
        <v>46290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38459-2026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46282</v>
      </c>
      <c r="E1044" s="1" t="n">
        <v>46290</v>
      </c>
      <c r="F1044" t="inlineStr">
        <is>
          <t>VÄSTERBOTTENS LÄN</t>
        </is>
      </c>
      <c r="G1044" t="inlineStr">
        <is>
          <t>LYCKSELE</t>
        </is>
      </c>
      <c r="I1044" t="n">
        <v>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20979-2025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45777</v>
      </c>
      <c r="E1045" s="1" t="n">
        <v>46290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32614-2026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46240</v>
      </c>
      <c r="E1046" s="1" t="n">
        <v>46290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21266-2025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45779</v>
      </c>
      <c r="E1047" s="1" t="n">
        <v>46290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3.3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39180-2026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46287</v>
      </c>
      <c r="E1048" s="1" t="n">
        <v>46290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61353-2025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46001</v>
      </c>
      <c r="E1049" s="1" t="n">
        <v>46290</v>
      </c>
      <c r="F1049" t="inlineStr">
        <is>
          <t>VÄSTERBOTTENS LÄN</t>
        </is>
      </c>
      <c r="G1049" t="inlineStr">
        <is>
          <t>LYCKSELE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31275-2026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46218</v>
      </c>
      <c r="E1050" s="1" t="n">
        <v>46290</v>
      </c>
      <c r="F1050" t="inlineStr">
        <is>
          <t>VÄSTERBOTTENS LÄN</t>
        </is>
      </c>
      <c r="G1050" t="inlineStr">
        <is>
          <t>LYCKSELE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24954-2026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46174</v>
      </c>
      <c r="E1051" s="1" t="n">
        <v>46290</v>
      </c>
      <c r="F1051" t="inlineStr">
        <is>
          <t>VÄSTERBOTTENS LÄN</t>
        </is>
      </c>
      <c r="G1051" t="inlineStr">
        <is>
          <t>LYCKSELE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21888-2025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45784</v>
      </c>
      <c r="E1052" s="1" t="n">
        <v>46290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4.4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31354-2026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46219</v>
      </c>
      <c r="E1053" s="1" t="n">
        <v>46290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6.7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22127-2025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45785</v>
      </c>
      <c r="E1054" s="1" t="n">
        <v>46290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40115-2024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45554</v>
      </c>
      <c r="E1055" s="1" t="n">
        <v>46290</v>
      </c>
      <c r="F1055" t="inlineStr">
        <is>
          <t>VÄSTERBOTTENS LÄN</t>
        </is>
      </c>
      <c r="G1055" t="inlineStr">
        <is>
          <t>LYCKSELE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21861-2025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45784</v>
      </c>
      <c r="E1056" s="1" t="n">
        <v>46290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10.5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22759-2025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45789</v>
      </c>
      <c r="E1057" s="1" t="n">
        <v>46290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25.5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22452-2025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45786</v>
      </c>
      <c r="E1058" s="1" t="n">
        <v>46290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32474-2024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45513</v>
      </c>
      <c r="E1059" s="1" t="n">
        <v>46290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22309-2025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45786</v>
      </c>
      <c r="E1060" s="1" t="n">
        <v>46290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22344-2025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45786</v>
      </c>
      <c r="E1061" s="1" t="n">
        <v>46290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33147-2026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46244</v>
      </c>
      <c r="E1062" s="1" t="n">
        <v>46290</v>
      </c>
      <c r="F1062" t="inlineStr">
        <is>
          <t>VÄSTERBOTTENS LÄN</t>
        </is>
      </c>
      <c r="G1062" t="inlineStr">
        <is>
          <t>LYCKSELE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64391-2023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45280</v>
      </c>
      <c r="E1063" s="1" t="n">
        <v>46290</v>
      </c>
      <c r="F1063" t="inlineStr">
        <is>
          <t>VÄSTERBOTTENS LÄN</t>
        </is>
      </c>
      <c r="G1063" t="inlineStr">
        <is>
          <t>LYCKSELE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22343-2025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45786</v>
      </c>
      <c r="E1064" s="1" t="n">
        <v>46290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46290</v>
      </c>
      <c r="F1065" t="inlineStr">
        <is>
          <t>VÄSTERBOTTENS LÄN</t>
        </is>
      </c>
      <c r="G1065" t="inlineStr">
        <is>
          <t>LYCKSELE</t>
        </is>
      </c>
      <c r="I1065" t="n">
        <v>16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22453-2025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45786</v>
      </c>
      <c r="E1066" s="1" t="n">
        <v>46290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22456-2025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45786</v>
      </c>
      <c r="E1067" s="1" t="n">
        <v>46290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39183-2026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46287</v>
      </c>
      <c r="E1068" s="1" t="n">
        <v>46290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13.2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38774-2026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46286</v>
      </c>
      <c r="E1069" s="1" t="n">
        <v>46290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28217-2026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46196</v>
      </c>
      <c r="E1070" s="1" t="n">
        <v>46290</v>
      </c>
      <c r="F1070" t="inlineStr">
        <is>
          <t>VÄSTERBOTTENS LÄN</t>
        </is>
      </c>
      <c r="G1070" t="inlineStr">
        <is>
          <t>LYCKSELE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39429-2026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46288</v>
      </c>
      <c r="E1071" s="1" t="n">
        <v>46290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11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23801-2025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45793</v>
      </c>
      <c r="E1072" s="1" t="n">
        <v>46290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34960-2026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46259</v>
      </c>
      <c r="E1073" s="1" t="n">
        <v>46290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38107-2026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46281</v>
      </c>
      <c r="E1074" s="1" t="n">
        <v>46290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17.7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38105-2026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46281</v>
      </c>
      <c r="E1075" s="1" t="n">
        <v>46290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24129-2025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45796</v>
      </c>
      <c r="E1076" s="1" t="n">
        <v>46290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39695-2026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46289</v>
      </c>
      <c r="E1077" s="1" t="n">
        <v>46290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13.8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33467-2026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46247</v>
      </c>
      <c r="E1078" s="1" t="n">
        <v>46290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60226-2022</t>
        </is>
      </c>
      <c r="B1079" t="inlineStr">
        <is>
          <t>avverkningsanmälan</t>
        </is>
      </c>
      <c r="C1079" t="inlineStr">
        <is>
          <t>Avverkning för att bevara och utveckla /försöksver</t>
        </is>
      </c>
      <c r="D1079" s="1" t="n">
        <v>44910</v>
      </c>
      <c r="E1079" s="1" t="n">
        <v>46290</v>
      </c>
      <c r="F1079" t="inlineStr">
        <is>
          <t>VÄSTERBOTTENS LÄN</t>
        </is>
      </c>
      <c r="G1079" t="inlineStr">
        <is>
          <t>LYCKSELE</t>
        </is>
      </c>
      <c r="I1079" t="n">
        <v>5.4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23315-2024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45453</v>
      </c>
      <c r="E1080" s="1" t="n">
        <v>46290</v>
      </c>
      <c r="F1080" t="inlineStr">
        <is>
          <t>VÄSTERBOTTENS LÄN</t>
        </is>
      </c>
      <c r="G1080" t="inlineStr">
        <is>
          <t>LYCKSELE</t>
        </is>
      </c>
      <c r="I1080" t="n">
        <v>7.3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32229-2026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46237</v>
      </c>
      <c r="E1081" s="1" t="n">
        <v>46290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8.6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31848-2024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45509</v>
      </c>
      <c r="E1082" s="1" t="n">
        <v>46290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39697-2026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46289</v>
      </c>
      <c r="E1083" s="1" t="n">
        <v>46290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24514-2025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45798</v>
      </c>
      <c r="E1084" s="1" t="n">
        <v>46290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8.300000000000001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24770-2025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45799</v>
      </c>
      <c r="E1085" s="1" t="n">
        <v>46290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8.5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25061-2025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45799</v>
      </c>
      <c r="E1086" s="1" t="n">
        <v>46290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13.7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24729-2025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45799</v>
      </c>
      <c r="E1087" s="1" t="n">
        <v>46290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4.8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24603-2025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45798</v>
      </c>
      <c r="E1088" s="1" t="n">
        <v>46290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54893-2023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45236</v>
      </c>
      <c r="E1089" s="1" t="n">
        <v>46290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6.5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24906-2025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45799</v>
      </c>
      <c r="E1090" s="1" t="n">
        <v>46290</v>
      </c>
      <c r="F1090" t="inlineStr">
        <is>
          <t>VÄSTERBOTTENS LÄN</t>
        </is>
      </c>
      <c r="G1090" t="inlineStr">
        <is>
          <t>LYCKSELE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34961-2026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46259</v>
      </c>
      <c r="E1091" s="1" t="n">
        <v>46290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25590-2025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45803</v>
      </c>
      <c r="E1092" s="1" t="n">
        <v>46290</v>
      </c>
      <c r="F1092" t="inlineStr">
        <is>
          <t>VÄSTERBOTTENS LÄN</t>
        </is>
      </c>
      <c r="G1092" t="inlineStr">
        <is>
          <t>LYCKSELE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25537-2025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45803</v>
      </c>
      <c r="E1093" s="1" t="n">
        <v>46290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25581-2025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45803</v>
      </c>
      <c r="E1094" s="1" t="n">
        <v>46290</v>
      </c>
      <c r="F1094" t="inlineStr">
        <is>
          <t>VÄSTERBOTTENS LÄN</t>
        </is>
      </c>
      <c r="G1094" t="inlineStr">
        <is>
          <t>LYCKSELE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25655-2025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45803</v>
      </c>
      <c r="E1095" s="1" t="n">
        <v>46290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60714-2022</t>
        </is>
      </c>
      <c r="B1096" t="inlineStr">
        <is>
          <t>avverkningsanmälan</t>
        </is>
      </c>
      <c r="C1096" t="inlineStr">
        <is>
          <t>Avverkning för att bevara och utveckla /försöksver</t>
        </is>
      </c>
      <c r="D1096" s="1" t="n">
        <v>44912</v>
      </c>
      <c r="E1096" s="1" t="n">
        <v>46290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26318-2024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45468</v>
      </c>
      <c r="E1097" s="1" t="n">
        <v>46290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26228-2025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45805</v>
      </c>
      <c r="E1098" s="1" t="n">
        <v>46290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26410-2025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45807</v>
      </c>
      <c r="E1099" s="1" t="n">
        <v>46290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26398-2025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45807</v>
      </c>
      <c r="E1100" s="1" t="n">
        <v>46290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27072-2025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45811</v>
      </c>
      <c r="E1101" s="1" t="n">
        <v>46290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55250-2024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45621</v>
      </c>
      <c r="E1102" s="1" t="n">
        <v>46290</v>
      </c>
      <c r="F1102" t="inlineStr">
        <is>
          <t>VÄSTERBOTTENS LÄN</t>
        </is>
      </c>
      <c r="G1102" t="inlineStr">
        <is>
          <t>LYCKSELE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26622-2025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45810</v>
      </c>
      <c r="E1103" s="1" t="n">
        <v>46290</v>
      </c>
      <c r="F1103" t="inlineStr">
        <is>
          <t>VÄSTERBOTTENS LÄN</t>
        </is>
      </c>
      <c r="G1103" t="inlineStr">
        <is>
          <t>LYCKSELE</t>
        </is>
      </c>
      <c r="I1103" t="n">
        <v>3.6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26951-2025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45811</v>
      </c>
      <c r="E1104" s="1" t="n">
        <v>46290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3.1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52039-2023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45223</v>
      </c>
      <c r="E1105" s="1" t="n">
        <v>46290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3303-2024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45316</v>
      </c>
      <c r="E1106" s="1" t="n">
        <v>46290</v>
      </c>
      <c r="F1106" t="inlineStr">
        <is>
          <t>VÄSTERBOTTENS LÄN</t>
        </is>
      </c>
      <c r="G1106" t="inlineStr">
        <is>
          <t>LYCKSELE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64334-2023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45279</v>
      </c>
      <c r="E1107" s="1" t="n">
        <v>46290</v>
      </c>
      <c r="F1107" t="inlineStr">
        <is>
          <t>VÄSTERBOTTENS LÄN</t>
        </is>
      </c>
      <c r="G1107" t="inlineStr">
        <is>
          <t>LYCKSELE</t>
        </is>
      </c>
      <c r="I1107" t="n">
        <v>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27471-2025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45813</v>
      </c>
      <c r="E1108" s="1" t="n">
        <v>46290</v>
      </c>
      <c r="F1108" t="inlineStr">
        <is>
          <t>VÄSTERBOTTENS LÄN</t>
        </is>
      </c>
      <c r="G1108" t="inlineStr">
        <is>
          <t>LYCKSELE</t>
        </is>
      </c>
      <c r="I1108" t="n">
        <v>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27643-2025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45813</v>
      </c>
      <c r="E1109" s="1" t="n">
        <v>46290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27610-2025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45813</v>
      </c>
      <c r="E1110" s="1" t="n">
        <v>46290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15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13563-2023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45006</v>
      </c>
      <c r="E1111" s="1" t="n">
        <v>46290</v>
      </c>
      <c r="F1111" t="inlineStr">
        <is>
          <t>VÄSTERBOTTENS LÄN</t>
        </is>
      </c>
      <c r="G1111" t="inlineStr">
        <is>
          <t>LYCKSELE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5039-2025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45691</v>
      </c>
      <c r="E1112" s="1" t="n">
        <v>46290</v>
      </c>
      <c r="F1112" t="inlineStr">
        <is>
          <t>VÄSTERBOTTENS LÄN</t>
        </is>
      </c>
      <c r="G1112" t="inlineStr">
        <is>
          <t>LYCKSELE</t>
        </is>
      </c>
      <c r="I1112" t="n">
        <v>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8313-2025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45708</v>
      </c>
      <c r="E1113" s="1" t="n">
        <v>46290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28306-2025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45818</v>
      </c>
      <c r="E1114" s="1" t="n">
        <v>46290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29277-2023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45105</v>
      </c>
      <c r="E1115" s="1" t="n">
        <v>46290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Naturvårdsverket</t>
        </is>
      </c>
      <c r="I1115" t="n">
        <v>6.4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30161-2024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45488</v>
      </c>
      <c r="E1116" s="1" t="n">
        <v>46290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16.1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29088-2025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45821</v>
      </c>
      <c r="E1117" s="1" t="n">
        <v>46290</v>
      </c>
      <c r="F1117" t="inlineStr">
        <is>
          <t>VÄSTERBOTTENS LÄN</t>
        </is>
      </c>
      <c r="G1117" t="inlineStr">
        <is>
          <t>LYCKSELE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28833-2025</t>
        </is>
      </c>
      <c r="B1118" t="inlineStr">
        <is>
          <t>avverkningsanmälan</t>
        </is>
      </c>
      <c r="C1118" t="inlineStr">
        <is>
          <t>Avverkning för att bevara och utveckla /försöksver</t>
        </is>
      </c>
      <c r="D1118" s="1" t="n">
        <v>45820</v>
      </c>
      <c r="E1118" s="1" t="n">
        <v>46290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29123-2025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45821</v>
      </c>
      <c r="E1119" s="1" t="n">
        <v>46290</v>
      </c>
      <c r="F1119" t="inlineStr">
        <is>
          <t>VÄSTERBOTTENS LÄN</t>
        </is>
      </c>
      <c r="G1119" t="inlineStr">
        <is>
          <t>LYCKSELE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29236-2025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45824</v>
      </c>
      <c r="E1120" s="1" t="n">
        <v>46290</v>
      </c>
      <c r="F1120" t="inlineStr">
        <is>
          <t>VÄSTERBOTTENS LÄN</t>
        </is>
      </c>
      <c r="G1120" t="inlineStr">
        <is>
          <t>LYCKSELE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29235-2025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45824</v>
      </c>
      <c r="E1121" s="1" t="n">
        <v>46290</v>
      </c>
      <c r="F1121" t="inlineStr">
        <is>
          <t>VÄSTERBOTTENS LÄN</t>
        </is>
      </c>
      <c r="G1121" t="inlineStr">
        <is>
          <t>LYCKSELE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30258-2025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45827</v>
      </c>
      <c r="E1122" s="1" t="n">
        <v>46290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19.5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30154-2025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45827</v>
      </c>
      <c r="E1123" s="1" t="n">
        <v>46290</v>
      </c>
      <c r="F1123" t="inlineStr">
        <is>
          <t>VÄSTERBOTTENS LÄN</t>
        </is>
      </c>
      <c r="G1123" t="inlineStr">
        <is>
          <t>LYCKSELE</t>
        </is>
      </c>
      <c r="I1123" t="n">
        <v>3.7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29866-2025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45826</v>
      </c>
      <c r="E1124" s="1" t="n">
        <v>46290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6.7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30623-2025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45831</v>
      </c>
      <c r="E1125" s="1" t="n">
        <v>46290</v>
      </c>
      <c r="F1125" t="inlineStr">
        <is>
          <t>VÄSTERBOTTENS LÄN</t>
        </is>
      </c>
      <c r="G1125" t="inlineStr">
        <is>
          <t>LYCKSELE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30632-2025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45831</v>
      </c>
      <c r="E1126" s="1" t="n">
        <v>46290</v>
      </c>
      <c r="F1126" t="inlineStr">
        <is>
          <t>VÄSTERBOTTENS LÄN</t>
        </is>
      </c>
      <c r="G1126" t="inlineStr">
        <is>
          <t>LYCKSELE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31022-2025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45832</v>
      </c>
      <c r="E1127" s="1" t="n">
        <v>46290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31693-2025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45834</v>
      </c>
      <c r="E1128" s="1" t="n">
        <v>46290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18.9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31897-2025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45834</v>
      </c>
      <c r="E1129" s="1" t="n">
        <v>46290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32619-2025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45838</v>
      </c>
      <c r="E1130" s="1" t="n">
        <v>46290</v>
      </c>
      <c r="F1130" t="inlineStr">
        <is>
          <t>VÄSTERBOTTENS LÄN</t>
        </is>
      </c>
      <c r="G1130" t="inlineStr">
        <is>
          <t>LYCKSELE</t>
        </is>
      </c>
      <c r="I1130" t="n">
        <v>4.3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32722-2025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45839</v>
      </c>
      <c r="E1131" s="1" t="n">
        <v>46290</v>
      </c>
      <c r="F1131" t="inlineStr">
        <is>
          <t>VÄSTERBOTTENS LÄN</t>
        </is>
      </c>
      <c r="G1131" t="inlineStr">
        <is>
          <t>LYCKSELE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32783-2025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45839</v>
      </c>
      <c r="E1132" s="1" t="n">
        <v>46290</v>
      </c>
      <c r="F1132" t="inlineStr">
        <is>
          <t>VÄSTERBOTTENS LÄN</t>
        </is>
      </c>
      <c r="G1132" t="inlineStr">
        <is>
          <t>LYCKSELE</t>
        </is>
      </c>
      <c r="I1132" t="n">
        <v>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33527-2025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45841</v>
      </c>
      <c r="E1133" s="1" t="n">
        <v>46290</v>
      </c>
      <c r="F1133" t="inlineStr">
        <is>
          <t>VÄSTERBOTTENS LÄN</t>
        </is>
      </c>
      <c r="G1133" t="inlineStr">
        <is>
          <t>LYCKSELE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33415-2025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45841</v>
      </c>
      <c r="E1134" s="1" t="n">
        <v>46290</v>
      </c>
      <c r="F1134" t="inlineStr">
        <is>
          <t>VÄSTERBOTTENS LÄN</t>
        </is>
      </c>
      <c r="G1134" t="inlineStr">
        <is>
          <t>LYCKSELE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33067-2025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45840</v>
      </c>
      <c r="E1135" s="1" t="n">
        <v>46290</v>
      </c>
      <c r="F1135" t="inlineStr">
        <is>
          <t>VÄSTERBOTTENS LÄN</t>
        </is>
      </c>
      <c r="G1135" t="inlineStr">
        <is>
          <t>LYCKSELE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33431-2025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45841</v>
      </c>
      <c r="E1136" s="1" t="n">
        <v>46290</v>
      </c>
      <c r="F1136" t="inlineStr">
        <is>
          <t>VÄSTERBOTTENS LÄN</t>
        </is>
      </c>
      <c r="G1136" t="inlineStr">
        <is>
          <t>LYCKSELE</t>
        </is>
      </c>
      <c r="I1136" t="n">
        <v>0.1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33423-2025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45841</v>
      </c>
      <c r="E1137" s="1" t="n">
        <v>46290</v>
      </c>
      <c r="F1137" t="inlineStr">
        <is>
          <t>VÄSTERBOTTENS LÄN</t>
        </is>
      </c>
      <c r="G1137" t="inlineStr">
        <is>
          <t>LYCKSELE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33991-2025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45843</v>
      </c>
      <c r="E1138" s="1" t="n">
        <v>46290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33966-2025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45842</v>
      </c>
      <c r="E1139" s="1" t="n">
        <v>46290</v>
      </c>
      <c r="F1139" t="inlineStr">
        <is>
          <t>VÄSTERBOTTENS LÄN</t>
        </is>
      </c>
      <c r="G1139" t="inlineStr">
        <is>
          <t>LYCKSELE</t>
        </is>
      </c>
      <c r="I1139" t="n">
        <v>12.5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33992-2025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45843</v>
      </c>
      <c r="E1140" s="1" t="n">
        <v>46290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34110-2025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45845</v>
      </c>
      <c r="E1141" s="1" t="n">
        <v>46290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2.7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34465-2025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45847</v>
      </c>
      <c r="E1142" s="1" t="n">
        <v>46290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26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34918-2025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45849</v>
      </c>
      <c r="E1143" s="1" t="n">
        <v>46290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9.300000000000001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34940-2025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45849</v>
      </c>
      <c r="E1144" s="1" t="n">
        <v>46290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7.2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34954-2025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45849</v>
      </c>
      <c r="E1145" s="1" t="n">
        <v>46290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34915-2025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45849</v>
      </c>
      <c r="E1146" s="1" t="n">
        <v>46290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6.5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34955-2025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45849</v>
      </c>
      <c r="E1147" s="1" t="n">
        <v>46290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9.4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35192-2025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45853</v>
      </c>
      <c r="E1148" s="1" t="n">
        <v>46290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35237-2025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45853</v>
      </c>
      <c r="E1149" s="1" t="n">
        <v>46290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5.9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35130-2025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45852</v>
      </c>
      <c r="E1150" s="1" t="n">
        <v>46290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6.2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35225-2025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45853</v>
      </c>
      <c r="E1151" s="1" t="n">
        <v>46290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35234-2025</t>
        </is>
      </c>
      <c r="B1152" t="inlineStr">
        <is>
          <t>avverkningsanmälan</t>
        </is>
      </c>
      <c r="C1152" t="inlineStr">
        <is>
          <t>Avverkning för att bevara och utveckla /försöksver</t>
        </is>
      </c>
      <c r="D1152" s="1" t="n">
        <v>45853</v>
      </c>
      <c r="E1152" s="1" t="n">
        <v>46290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35232-2025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45853</v>
      </c>
      <c r="E1153" s="1" t="n">
        <v>46290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35332-2025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45854</v>
      </c>
      <c r="E1154" s="1" t="n">
        <v>46290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35333-2025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45854</v>
      </c>
      <c r="E1155" s="1" t="n">
        <v>46290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35303-2025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45854</v>
      </c>
      <c r="E1156" s="1" t="n">
        <v>46290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35604-2025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45859</v>
      </c>
      <c r="E1157" s="1" t="n">
        <v>46290</v>
      </c>
      <c r="F1157" t="inlineStr">
        <is>
          <t>VÄSTERBOTTENS LÄN</t>
        </is>
      </c>
      <c r="G1157" t="inlineStr">
        <is>
          <t>LYCKSELE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35662-2025</t>
        </is>
      </c>
      <c r="B1158" t="inlineStr">
        <is>
          <t>avverkningsanmälan</t>
        </is>
      </c>
      <c r="C1158" t="inlineStr">
        <is>
          <t>Avverkning för att bevara och utveckla /försöksver</t>
        </is>
      </c>
      <c r="D1158" s="1" t="n">
        <v>45859</v>
      </c>
      <c r="E1158" s="1" t="n">
        <v>46290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20.8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35671-2025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45859</v>
      </c>
      <c r="E1159" s="1" t="n">
        <v>46290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35833-2025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45861</v>
      </c>
      <c r="E1160" s="1" t="n">
        <v>46290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7.9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35606-2025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45859</v>
      </c>
      <c r="E1161" s="1" t="n">
        <v>46290</v>
      </c>
      <c r="F1161" t="inlineStr">
        <is>
          <t>VÄSTERBOTTENS LÄN</t>
        </is>
      </c>
      <c r="G1161" t="inlineStr">
        <is>
          <t>LYCKSELE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35920-2025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45862</v>
      </c>
      <c r="E1162" s="1" t="n">
        <v>46290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4.2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919-2021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44314</v>
      </c>
      <c r="E1163" s="1" t="n">
        <v>46290</v>
      </c>
      <c r="F1163" t="inlineStr">
        <is>
          <t>VÄSTERBOTTENS LÄN</t>
        </is>
      </c>
      <c r="G1163" t="inlineStr">
        <is>
          <t>LYCKSELE</t>
        </is>
      </c>
      <c r="I1163" t="n">
        <v>26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1133-2024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45393</v>
      </c>
      <c r="E1164" s="1" t="n">
        <v>46290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4195-2023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45250</v>
      </c>
      <c r="E1165" s="1" t="n">
        <v>46290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63.8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1398-2023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45040</v>
      </c>
      <c r="E1166" s="1" t="n">
        <v>46290</v>
      </c>
      <c r="F1166" t="inlineStr">
        <is>
          <t>VÄSTERBOTTENS LÄN</t>
        </is>
      </c>
      <c r="G1166" t="inlineStr">
        <is>
          <t>LYCKSELE</t>
        </is>
      </c>
      <c r="I1166" t="n">
        <v>21.5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827-2022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44603</v>
      </c>
      <c r="E1167" s="1" t="n">
        <v>46290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42.7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1378-2023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45040</v>
      </c>
      <c r="E1168" s="1" t="n">
        <v>46290</v>
      </c>
      <c r="F1168" t="inlineStr">
        <is>
          <t>VÄSTERBOTTENS LÄN</t>
        </is>
      </c>
      <c r="G1168" t="inlineStr">
        <is>
          <t>LYCKSELE</t>
        </is>
      </c>
      <c r="I1168" t="n">
        <v>33.1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1656-2024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45426</v>
      </c>
      <c r="E1169" s="1" t="n">
        <v>46290</v>
      </c>
      <c r="F1169" t="inlineStr">
        <is>
          <t>VÄSTERBOTTENS LÄN</t>
        </is>
      </c>
      <c r="G1169" t="inlineStr">
        <is>
          <t>LYCKSELE</t>
        </is>
      </c>
      <c r="I1169" t="n">
        <v>56.6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523-2024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45348</v>
      </c>
      <c r="E1170" s="1" t="n">
        <v>46290</v>
      </c>
      <c r="F1170" t="inlineStr">
        <is>
          <t>VÄSTERBOTTENS LÄN</t>
        </is>
      </c>
      <c r="G1170" t="inlineStr">
        <is>
          <t>LYCKSELE</t>
        </is>
      </c>
      <c r="I1170" t="n">
        <v>19.9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3789-2024</t>
        </is>
      </c>
      <c r="B1171" t="inlineStr">
        <is>
          <t>samrådsanmälan</t>
        </is>
      </c>
      <c r="C1171" t="inlineStr">
        <is>
          <t>Annan skogsbruksåtgärd</t>
        </is>
      </c>
      <c r="D1171" s="1" t="n">
        <v>45558</v>
      </c>
      <c r="E1171" s="1" t="n">
        <v>46290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9.800000000000001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271-2024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45323</v>
      </c>
      <c r="E1172" s="1" t="n">
        <v>46290</v>
      </c>
      <c r="F1172" t="inlineStr">
        <is>
          <t>VÄSTERBOTTENS LÄN</t>
        </is>
      </c>
      <c r="G1172" t="inlineStr">
        <is>
          <t>LYCKSELE</t>
        </is>
      </c>
      <c r="I1172" t="n">
        <v>48.7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165-2022</t>
        </is>
      </c>
      <c r="B1173" t="inlineStr">
        <is>
          <t>samrådsanmälan</t>
        </is>
      </c>
      <c r="C1173" t="inlineStr">
        <is>
          <t>Skogsbilväg</t>
        </is>
      </c>
      <c r="D1173" s="1" t="n">
        <v>44572</v>
      </c>
      <c r="E1173" s="1" t="n">
        <v>46290</v>
      </c>
      <c r="F1173" t="inlineStr">
        <is>
          <t>VÄSTERBOTTENS LÄN</t>
        </is>
      </c>
      <c r="G1173" t="inlineStr">
        <is>
          <t>LYCKSELE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1132-2024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45393</v>
      </c>
      <c r="E1174" s="1" t="n">
        <v>46290</v>
      </c>
      <c r="F1174" t="inlineStr">
        <is>
          <t>VÄSTERBOTTENS LÄN</t>
        </is>
      </c>
      <c r="G1174" t="inlineStr">
        <is>
          <t>LYCKSELE</t>
        </is>
      </c>
      <c r="I1174" t="n">
        <v>19.2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1031-2025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45747</v>
      </c>
      <c r="E1175" s="1" t="n">
        <v>46290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36.8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1037-2025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45747</v>
      </c>
      <c r="E1176" s="1" t="n">
        <v>46290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138.5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1233-2025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45757</v>
      </c>
      <c r="E1177" s="1" t="n">
        <v>46290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5.9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1326-2025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45771</v>
      </c>
      <c r="E1178" s="1" t="n">
        <v>46290</v>
      </c>
      <c r="F1178" t="inlineStr">
        <is>
          <t>VÄSTERBOTTENS LÄN</t>
        </is>
      </c>
      <c r="G1178" t="inlineStr">
        <is>
          <t>LYCKSELE</t>
        </is>
      </c>
      <c r="I1178" t="n">
        <v>6.2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1841-2025</t>
        </is>
      </c>
      <c r="B1179" t="inlineStr">
        <is>
          <t>samrådsanmälan</t>
        </is>
      </c>
      <c r="C1179" t="inlineStr">
        <is>
          <t>Annan skogsbruksåtgärd</t>
        </is>
      </c>
      <c r="D1179" s="1" t="n">
        <v>45820</v>
      </c>
      <c r="E1179" s="1" t="n">
        <v>46290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447-2026</t>
        </is>
      </c>
      <c r="B1180" t="inlineStr">
        <is>
          <t>samrådsanmälan</t>
        </is>
      </c>
      <c r="C1180" t="inlineStr">
        <is>
          <t>Annan skogsbruksåtgärd</t>
        </is>
      </c>
      <c r="D1180" s="1" t="n">
        <v>46071</v>
      </c>
      <c r="E1180" s="1" t="n">
        <v>46290</v>
      </c>
      <c r="F1180" t="inlineStr">
        <is>
          <t>VÄSTERBOTTENS LÄN</t>
        </is>
      </c>
      <c r="G1180" t="inlineStr">
        <is>
          <t>LYCKSELE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727-2026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46093</v>
      </c>
      <c r="E1181" s="1" t="n">
        <v>46290</v>
      </c>
      <c r="F1181" t="inlineStr">
        <is>
          <t>VÄSTERBOTTENS LÄN</t>
        </is>
      </c>
      <c r="G1181" t="inlineStr">
        <is>
          <t>LYCKSELE</t>
        </is>
      </c>
      <c r="I1181" t="n">
        <v>23.5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1148-2026</t>
        </is>
      </c>
      <c r="B1182" t="inlineStr">
        <is>
          <t>samrådsanmälan</t>
        </is>
      </c>
      <c r="C1182" t="inlineStr">
        <is>
          <t>Askåterföring</t>
        </is>
      </c>
      <c r="D1182" s="1" t="n">
        <v>46135</v>
      </c>
      <c r="E1182" s="1" t="n">
        <v>46290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1358-2026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46152</v>
      </c>
      <c r="E1183" s="1" t="n">
        <v>46290</v>
      </c>
      <c r="F1183" t="inlineStr">
        <is>
          <t>VÄSTERBOTTENS LÄN</t>
        </is>
      </c>
      <c r="G1183" t="inlineStr">
        <is>
          <t>LYCKSELE</t>
        </is>
      </c>
      <c r="I1183" t="n">
        <v>20.5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>
      <c r="A1184" t="inlineStr">
        <is>
          <t>S 1524-2026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46164</v>
      </c>
      <c r="E1184" s="1" t="n">
        <v>46290</v>
      </c>
      <c r="F1184" t="inlineStr">
        <is>
          <t>VÄSTERBOTTENS LÄN</t>
        </is>
      </c>
      <c r="G1184" t="inlineStr">
        <is>
          <t>LYCKSELE</t>
        </is>
      </c>
      <c r="I1184" t="n">
        <v>99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2026-09-25T02:06:01Z</dcterms:created>
  <dcterms:modified xmlns:dcterms="http://purl.org/dc/terms/" xmlns:xsi="http://www.w3.org/2001/XMLSchema-instance" xsi:type="dcterms:W3CDTF">2026-09-25T02:06:02Z</dcterms:modified>
</cp:coreProperties>
</file>