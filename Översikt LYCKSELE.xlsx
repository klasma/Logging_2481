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46312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46312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46312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46312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46312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46312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46312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46312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46312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46312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46312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46312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46312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44973</v>
      </c>
      <c r="E24" s="1" t="n">
        <v>46312</v>
      </c>
      <c r="F24" t="inlineStr">
        <is>
          <t>VÄSTERBOTTENS LÄN</t>
        </is>
      </c>
      <c r="G24" t="inlineStr">
        <is>
          <t>LYCKSELE</t>
        </is>
      </c>
      <c r="I24" t="n">
        <v>3.8</v>
      </c>
      <c r="J24" t="n">
        <v>5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0</v>
      </c>
      <c r="V24" s="2" t="inlineStr">
        <is>
          <t>Grönfink
Hussvala
Ladusvala
Vitfläckig guldvinge
Gråspett
Grönsiska</t>
        </is>
      </c>
      <c r="W24">
        <f>HYPERLINK("https://klasma.github.io/Logging_2481/artfynd/A 7818-2023 artfynd.xlsx", "A 7818-2023")</f>
        <v/>
      </c>
      <c r="X24">
        <f>HYPERLINK("https://klasma.github.io/Logging_2481/kartor/A 7818-2023 karta.png", "A 7818-2023")</f>
        <v/>
      </c>
      <c r="Y24">
        <f>HYPERLINK("https://klasma.github.io/Logging_2481/kartor_geotiff/A 7818-2023 georefererad karta.tif", "A 7818-2023")</f>
        <v/>
      </c>
      <c r="AA24">
        <f>HYPERLINK("https://klasma.github.io/Logging_2481/klagomål/A 7818-2023 FSC-klagomål.docx", "A 7818-2023")</f>
        <v/>
      </c>
      <c r="AB24">
        <f>HYPERLINK("https://klasma.github.io/Logging_2481/klagomålsmail/A 7818-2023 FSC-klagomål mail.docx", "A 7818-2023")</f>
        <v/>
      </c>
      <c r="AC24">
        <f>HYPERLINK("https://klasma.github.io/Logging_2481/tillsyn/A 7818-2023 tillsynsbegäran.docx", "A 7818-2023")</f>
        <v/>
      </c>
      <c r="AD24">
        <f>HYPERLINK("https://klasma.github.io/Logging_2481/tillsynsmail/A 7818-2023 tillsynsbegäran mail.docx", "A 7818-2023")</f>
        <v/>
      </c>
      <c r="AE24">
        <f>HYPERLINK("https://klasma.github.io/Logging_2481/fåglar/A 7818-2023 prioriterade fågelarter.docx", "A 7818-2023")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46312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46312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46312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46312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46312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46312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46312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Lavskrika
Rödvingetrast
Talltita
Bergfink
Orre</t>
        </is>
      </c>
      <c r="W32">
        <f>HYPERLINK("https://klasma.github.io/Logging_2481/artfynd/A 31698-2023 artfynd.xlsx", "A 31698-2023")</f>
        <v/>
      </c>
      <c r="X32">
        <f>HYPERLINK("https://klasma.github.io/Logging_2481/kartor/A 31698-2023 karta.png", "A 31698-2023")</f>
        <v/>
      </c>
      <c r="Y32">
        <f>HYPERLINK("https://klasma.github.io/Logging_2481/kartor_geotiff/A 31698-2023 georefererad karta.tif", "A 31698-2023")</f>
        <v/>
      </c>
      <c r="AA32">
        <f>HYPERLINK("https://klasma.github.io/Logging_2481/klagomål/A 31698-2023 FSC-klagomål.docx", "A 31698-2023")</f>
        <v/>
      </c>
      <c r="AB32">
        <f>HYPERLINK("https://klasma.github.io/Logging_2481/klagomålsmail/A 31698-2023 FSC-klagomål mail.docx", "A 31698-2023")</f>
        <v/>
      </c>
      <c r="AC32">
        <f>HYPERLINK("https://klasma.github.io/Logging_2481/tillsyn/A 31698-2023 tillsynsbegäran.docx", "A 31698-2023")</f>
        <v/>
      </c>
      <c r="AD32">
        <f>HYPERLINK("https://klasma.github.io/Logging_2481/tillsynsmail/A 31698-2023 tillsynsbegäran mail.docx", "A 31698-2023")</f>
        <v/>
      </c>
      <c r="AE32">
        <f>HYPERLINK("https://klasma.github.io/Logging_2481/fåglar/A 31698-2023 prioriterade fågelarter.docx", "A 31698-2023")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46312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46312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46312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46312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46312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46312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46312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46312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56566-2025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45974</v>
      </c>
      <c r="E42" s="1" t="n">
        <v>46312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3.4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5</v>
      </c>
      <c r="U42" t="n">
        <v>2</v>
      </c>
      <c r="V42" s="2" t="inlineStr">
        <is>
          <t>Knärot
Källmossa
Fläcknycklar
Lopplummer (aggregat)</t>
        </is>
      </c>
      <c r="W42">
        <f>HYPERLINK("https://klasma.github.io/Logging_2481/artfynd/A 56566-2025 artfynd.xlsx", "A 56566-2025")</f>
        <v/>
      </c>
      <c r="X42">
        <f>HYPERLINK("https://klasma.github.io/Logging_2481/kartor/A 56566-2025 karta.png", "A 56566-2025")</f>
        <v/>
      </c>
      <c r="Y42">
        <f>HYPERLINK("https://klasma.github.io/Logging_2481/kartor_geotiff/A 56566-2025 georefererad karta.tif", "A 56566-2025")</f>
        <v/>
      </c>
      <c r="Z42">
        <f>HYPERLINK("https://klasma.github.io/Logging_2481/knärot/A 56566-2025 karta knärot.png", "A 56566-2025")</f>
        <v/>
      </c>
      <c r="AA42">
        <f>HYPERLINK("https://klasma.github.io/Logging_2481/klagomål/A 56566-2025 FSC-klagomål.docx", "A 56566-2025")</f>
        <v/>
      </c>
      <c r="AB42">
        <f>HYPERLINK("https://klasma.github.io/Logging_2481/klagomålsmail/A 56566-2025 FSC-klagomål mail.docx", "A 56566-2025")</f>
        <v/>
      </c>
      <c r="AC42">
        <f>HYPERLINK("https://klasma.github.io/Logging_2481/tillsyn/A 56566-2025 tillsynsbegäran.docx", "A 56566-2025")</f>
        <v/>
      </c>
      <c r="AD42">
        <f>HYPERLINK("https://klasma.github.io/Logging_2481/tillsynsmail/A 56566-2025 tillsynsbegäran mail.docx", "A 56566-2025")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46312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46312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46312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46312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46312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46312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46312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A 27068-2025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3.3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Kolflarnlav
Motaggsvamp</t>
        </is>
      </c>
      <c r="W51">
        <f>HYPERLINK("https://klasma.github.io/Logging_2481/artfynd/A 27068-2025 artfynd.xlsx", "A 27068-2025")</f>
        <v/>
      </c>
      <c r="X51">
        <f>HYPERLINK("https://klasma.github.io/Logging_2481/kartor/A 27068-2025 karta.png", "A 27068-2025")</f>
        <v/>
      </c>
      <c r="Y51">
        <f>HYPERLINK("https://klasma.github.io/Logging_2481/kartor_geotiff/A 27068-2025 georefererad karta.tif", "A 27068-2025")</f>
        <v/>
      </c>
      <c r="AA51">
        <f>HYPERLINK("https://klasma.github.io/Logging_2481/klagomål/A 27068-2025 FSC-klagomål.docx", "A 27068-2025")</f>
        <v/>
      </c>
      <c r="AB51">
        <f>HYPERLINK("https://klasma.github.io/Logging_2481/klagomålsmail/A 27068-2025 FSC-klagomål mail.docx", "A 27068-2025")</f>
        <v/>
      </c>
      <c r="AC51">
        <f>HYPERLINK("https://klasma.github.io/Logging_2481/tillsyn/A 27068-2025 tillsynsbegäran.docx", "A 27068-2025")</f>
        <v/>
      </c>
      <c r="AD51">
        <f>HYPERLINK("https://klasma.github.io/Logging_2481/tillsynsmail/A 27068-2025 tillsynsbegäran mail.docx", "A 27068-2025")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46312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46312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46312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46312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46312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54802-2024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46312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6.2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Doftticka
Blå taggsvamp
Dropptaggsvamp</t>
        </is>
      </c>
      <c r="W59">
        <f>HYPERLINK("https://klasma.github.io/Logging_2481/artfynd/A 54802-2024 artfynd.xlsx", "A 54802-2024")</f>
        <v/>
      </c>
      <c r="X59">
        <f>HYPERLINK("https://klasma.github.io/Logging_2481/kartor/A 54802-2024 karta.png", "A 54802-2024")</f>
        <v/>
      </c>
      <c r="Y59">
        <f>HYPERLINK("https://klasma.github.io/Logging_2481/kartor_geotiff/A 54802-2024 georefererad karta.tif", "A 54802-2024")</f>
        <v/>
      </c>
      <c r="AA59">
        <f>HYPERLINK("https://klasma.github.io/Logging_2481/klagomål/A 54802-2024 FSC-klagomål.docx", "A 54802-2024")</f>
        <v/>
      </c>
      <c r="AB59">
        <f>HYPERLINK("https://klasma.github.io/Logging_2481/klagomålsmail/A 54802-2024 FSC-klagomål mail.docx", "A 54802-2024")</f>
        <v/>
      </c>
      <c r="AC59">
        <f>HYPERLINK("https://klasma.github.io/Logging_2481/tillsyn/A 54802-2024 tillsynsbegäran.docx", "A 54802-2024")</f>
        <v/>
      </c>
      <c r="AD59">
        <f>HYPERLINK("https://klasma.github.io/Logging_2481/tillsynsmail/A 54802-2024 tillsynsbegäran mail.docx", "A 54802-2024")</f>
        <v/>
      </c>
    </row>
    <row r="60" ht="15" customHeight="1">
      <c r="A60" t="inlineStr">
        <is>
          <t>A 679-2024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46312</v>
      </c>
      <c r="F60" t="inlineStr">
        <is>
          <t>VÄSTERBOTTENS LÄN</t>
        </is>
      </c>
      <c r="G60" t="inlineStr">
        <is>
          <t>LYCKSELE</t>
        </is>
      </c>
      <c r="I60" t="n">
        <v>11.3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Skrovellav
Luddlav</t>
        </is>
      </c>
      <c r="W60">
        <f>HYPERLINK("https://klasma.github.io/Logging_2481/artfynd/A 679-2024 artfynd.xlsx", "A 679-2024")</f>
        <v/>
      </c>
      <c r="X60">
        <f>HYPERLINK("https://klasma.github.io/Logging_2481/kartor/A 679-2024 karta.png", "A 679-2024")</f>
        <v/>
      </c>
      <c r="Y60">
        <f>HYPERLINK("https://klasma.github.io/Logging_2481/kartor_geotiff/A 679-2024 georefererad karta.tif", "A 679-2024")</f>
        <v/>
      </c>
      <c r="AA60">
        <f>HYPERLINK("https://klasma.github.io/Logging_2481/klagomål/A 679-2024 FSC-klagomål.docx", "A 679-2024")</f>
        <v/>
      </c>
      <c r="AB60">
        <f>HYPERLINK("https://klasma.github.io/Logging_2481/klagomålsmail/A 679-2024 FSC-klagomål mail.docx", "A 679-2024")</f>
        <v/>
      </c>
      <c r="AC60">
        <f>HYPERLINK("https://klasma.github.io/Logging_2481/tillsyn/A 679-2024 tillsynsbegäran.docx", "A 679-2024")</f>
        <v/>
      </c>
      <c r="AD60">
        <f>HYPERLINK("https://klasma.github.io/Logging_2481/tillsynsmail/A 679-2024 tillsynsbegäran mail.docx", "A 679-2024")</f>
        <v/>
      </c>
    </row>
    <row r="61" ht="15" customHeight="1">
      <c r="A61" t="inlineStr">
        <is>
          <t>A 59276-2024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46312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59276-2024 artfynd.xlsx", "A 59276-2024")</f>
        <v/>
      </c>
      <c r="X61">
        <f>HYPERLINK("https://klasma.github.io/Logging_2481/kartor/A 59276-2024 karta.png", "A 59276-2024")</f>
        <v/>
      </c>
      <c r="Y61">
        <f>HYPERLINK("https://klasma.github.io/Logging_2481/kartor_geotiff/A 59276-2024 georefererad karta.tif", "A 59276-2024")</f>
        <v/>
      </c>
      <c r="AA61">
        <f>HYPERLINK("https://klasma.github.io/Logging_2481/klagomål/A 59276-2024 FSC-klagomål.docx", "A 59276-2024")</f>
        <v/>
      </c>
      <c r="AB61">
        <f>HYPERLINK("https://klasma.github.io/Logging_2481/klagomålsmail/A 59276-2024 FSC-klagomål mail.docx", "A 59276-2024")</f>
        <v/>
      </c>
      <c r="AC61">
        <f>HYPERLINK("https://klasma.github.io/Logging_2481/tillsyn/A 59276-2024 tillsynsbegäran.docx", "A 59276-2024")</f>
        <v/>
      </c>
      <c r="AD61">
        <f>HYPERLINK("https://klasma.github.io/Logging_2481/tillsynsmail/A 59276-2024 tillsynsbegäran mail.docx", "A 59276-2024")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46312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46312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43726-2025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46312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Doftticka
Kolflarnlav
Lunglav</t>
        </is>
      </c>
      <c r="W64">
        <f>HYPERLINK("https://klasma.github.io/Logging_2481/artfynd/A 43726-2025 artfynd.xlsx", "A 43726-2025")</f>
        <v/>
      </c>
      <c r="X64">
        <f>HYPERLINK("https://klasma.github.io/Logging_2481/kartor/A 43726-2025 karta.png", "A 43726-2025")</f>
        <v/>
      </c>
      <c r="Y64">
        <f>HYPERLINK("https://klasma.github.io/Logging_2481/kartor_geotiff/A 43726-2025 georefererad karta.tif", "A 43726-2025")</f>
        <v/>
      </c>
      <c r="AA64">
        <f>HYPERLINK("https://klasma.github.io/Logging_2481/klagomål/A 43726-2025 FSC-klagomål.docx", "A 43726-2025")</f>
        <v/>
      </c>
      <c r="AB64">
        <f>HYPERLINK("https://klasma.github.io/Logging_2481/klagomålsmail/A 43726-2025 FSC-klagomål mail.docx", "A 43726-2025")</f>
        <v/>
      </c>
      <c r="AC64">
        <f>HYPERLINK("https://klasma.github.io/Logging_2481/tillsyn/A 43726-2025 tillsynsbegäran.docx", "A 43726-2025")</f>
        <v/>
      </c>
      <c r="AD64">
        <f>HYPERLINK("https://klasma.github.io/Logging_2481/tillsynsmail/A 43726-2025 tillsynsbegäran mail.docx", "A 43726-2025")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46312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57179-2025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46312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10.1</v>
      </c>
      <c r="J66" t="n">
        <v>0</v>
      </c>
      <c r="K66" t="n">
        <v>2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Strutbräken
Stuplav</t>
        </is>
      </c>
      <c r="W66">
        <f>HYPERLINK("https://klasma.github.io/Logging_2481/artfynd/A 57179-2025 artfynd.xlsx", "A 57179-2025")</f>
        <v/>
      </c>
      <c r="X66">
        <f>HYPERLINK("https://klasma.github.io/Logging_2481/kartor/A 57179-2025 karta.png", "A 57179-2025")</f>
        <v/>
      </c>
      <c r="Y66">
        <f>HYPERLINK("https://klasma.github.io/Logging_2481/kartor_geotiff/A 57179-2025 georefererad karta.tif", "A 57179-2025")</f>
        <v/>
      </c>
      <c r="AA66">
        <f>HYPERLINK("https://klasma.github.io/Logging_2481/klagomål/A 57179-2025 FSC-klagomål.docx", "A 57179-2025")</f>
        <v/>
      </c>
      <c r="AB66">
        <f>HYPERLINK("https://klasma.github.io/Logging_2481/klagomålsmail/A 57179-2025 FSC-klagomål mail.docx", "A 57179-2025")</f>
        <v/>
      </c>
      <c r="AC66">
        <f>HYPERLINK("https://klasma.github.io/Logging_2481/tillsyn/A 57179-2025 tillsynsbegäran.docx", "A 57179-2025")</f>
        <v/>
      </c>
      <c r="AD66">
        <f>HYPERLINK("https://klasma.github.io/Logging_2481/tillsynsmail/A 57179-2025 tillsynsbegäran mail.docx", "A 57179-2025")</f>
        <v/>
      </c>
    </row>
    <row r="67" ht="15" customHeight="1">
      <c r="A67" t="inlineStr">
        <is>
          <t>A 6684-2023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44963</v>
      </c>
      <c r="E67" s="1" t="n">
        <v>46312</v>
      </c>
      <c r="F67" t="inlineStr">
        <is>
          <t>VÄSTERBOTTENS LÄN</t>
        </is>
      </c>
      <c r="G67" t="inlineStr">
        <is>
          <t>LYCKSELE</t>
        </is>
      </c>
      <c r="I67" t="n">
        <v>2.7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4</v>
      </c>
      <c r="V67" s="2" t="inlineStr">
        <is>
          <t>Garnlav
Lunglav
Stuplav</t>
        </is>
      </c>
      <c r="W67">
        <f>HYPERLINK("https://klasma.github.io/Logging_2481/artfynd/A 6684-2023 artfynd.xlsx", "A 6684-2023")</f>
        <v/>
      </c>
      <c r="X67">
        <f>HYPERLINK("https://klasma.github.io/Logging_2481/kartor/A 6684-2023 karta.png", "A 6684-2023")</f>
        <v/>
      </c>
      <c r="Y67">
        <f>HYPERLINK("https://klasma.github.io/Logging_2481/kartor_geotiff/A 6684-2023 georefererad karta.tif", "A 6684-2023")</f>
        <v/>
      </c>
      <c r="AA67">
        <f>HYPERLINK("https://klasma.github.io/Logging_2481/klagomål/A 6684-2023 FSC-klagomål.docx", "A 6684-2023")</f>
        <v/>
      </c>
      <c r="AB67">
        <f>HYPERLINK("https://klasma.github.io/Logging_2481/klagomålsmail/A 6684-2023 FSC-klagomål mail.docx", "A 6684-2023")</f>
        <v/>
      </c>
      <c r="AC67">
        <f>HYPERLINK("https://klasma.github.io/Logging_2481/tillsyn/A 6684-2023 tillsynsbegäran.docx", "A 6684-2023")</f>
        <v/>
      </c>
      <c r="AD67">
        <f>HYPERLINK("https://klasma.github.io/Logging_2481/tillsynsmail/A 6684-2023 tillsynsbegäran mail.docx", "A 6684-2023")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46312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46312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46312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60422-2024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45643</v>
      </c>
      <c r="E71" s="1" t="n">
        <v>46312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60422-2024 artfynd.xlsx", "A 60422-2024")</f>
        <v/>
      </c>
      <c r="X71">
        <f>HYPERLINK("https://klasma.github.io/Logging_2481/kartor/A 60422-2024 karta.png", "A 60422-2024")</f>
        <v/>
      </c>
      <c r="Y71">
        <f>HYPERLINK("https://klasma.github.io/Logging_2481/kartor_geotiff/A 60422-2024 georefererad karta.tif", "A 60422-2024")</f>
        <v/>
      </c>
      <c r="AA71">
        <f>HYPERLINK("https://klasma.github.io/Logging_2481/klagomål/A 60422-2024 FSC-klagomål.docx", "A 60422-2024")</f>
        <v/>
      </c>
      <c r="AB71">
        <f>HYPERLINK("https://klasma.github.io/Logging_2481/klagomålsmail/A 60422-2024 FSC-klagomål mail.docx", "A 60422-2024")</f>
        <v/>
      </c>
      <c r="AC71">
        <f>HYPERLINK("https://klasma.github.io/Logging_2481/tillsyn/A 60422-2024 tillsynsbegäran.docx", "A 60422-2024")</f>
        <v/>
      </c>
      <c r="AD71">
        <f>HYPERLINK("https://klasma.github.io/Logging_2481/tillsynsmail/A 60422-2024 tillsynsbegäran mail.docx", "A 60422-2024")</f>
        <v/>
      </c>
    </row>
    <row r="72" ht="15" customHeight="1">
      <c r="A72" t="inlineStr">
        <is>
          <t>A 52891-2024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46312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5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7</v>
      </c>
      <c r="U72" t="n">
        <v>7</v>
      </c>
      <c r="V72" s="2" t="inlineStr">
        <is>
          <t>Garnlav
Lunglav
Bårdlav</t>
        </is>
      </c>
      <c r="W72">
        <f>HYPERLINK("https://klasma.github.io/Logging_2481/artfynd/A 52891-2024 artfynd.xlsx", "A 52891-2024")</f>
        <v/>
      </c>
      <c r="X72">
        <f>HYPERLINK("https://klasma.github.io/Logging_2481/kartor/A 52891-2024 karta.png", "A 52891-2024")</f>
        <v/>
      </c>
      <c r="Y72">
        <f>HYPERLINK("https://klasma.github.io/Logging_2481/kartor_geotiff/A 52891-2024 georefererad karta.tif", "A 52891-2024")</f>
        <v/>
      </c>
      <c r="AA72">
        <f>HYPERLINK("https://klasma.github.io/Logging_2481/klagomål/A 52891-2024 FSC-klagomål.docx", "A 52891-2024")</f>
        <v/>
      </c>
      <c r="AB72">
        <f>HYPERLINK("https://klasma.github.io/Logging_2481/klagomålsmail/A 52891-2024 FSC-klagomål mail.docx", "A 52891-2024")</f>
        <v/>
      </c>
      <c r="AC72">
        <f>HYPERLINK("https://klasma.github.io/Logging_2481/tillsyn/A 52891-2024 tillsynsbegäran.docx", "A 52891-2024")</f>
        <v/>
      </c>
      <c r="AD72">
        <f>HYPERLINK("https://klasma.github.io/Logging_2481/tillsynsmail/A 52891-2024 tillsynsbegäran mail.docx", "A 52891-2024")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46312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46312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46312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35622-2026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46312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Blanksvart spiklav
Kolflarnlav
Mörk kolflarnlav</t>
        </is>
      </c>
      <c r="W78">
        <f>HYPERLINK("https://klasma.github.io/Logging_2481/artfynd/A 35622-2026 artfynd.xlsx", "A 35622-2026")</f>
        <v/>
      </c>
      <c r="X78">
        <f>HYPERLINK("https://klasma.github.io/Logging_2481/kartor/A 35622-2026 karta.png", "A 35622-2026")</f>
        <v/>
      </c>
      <c r="Y78">
        <f>HYPERLINK("https://klasma.github.io/Logging_2481/kartor_geotiff/A 35622-2026 georefererad karta.tif", "A 35622-2026")</f>
        <v/>
      </c>
      <c r="AA78">
        <f>HYPERLINK("https://klasma.github.io/Logging_2481/klagomål/A 35622-2026 FSC-klagomål.docx", "A 35622-2026")</f>
        <v/>
      </c>
      <c r="AB78">
        <f>HYPERLINK("https://klasma.github.io/Logging_2481/klagomålsmail/A 35622-2026 FSC-klagomål mail.docx", "A 35622-2026")</f>
        <v/>
      </c>
      <c r="AC78">
        <f>HYPERLINK("https://klasma.github.io/Logging_2481/tillsyn/A 35622-2026 tillsynsbegäran.docx", "A 35622-2026")</f>
        <v/>
      </c>
      <c r="AD78">
        <f>HYPERLINK("https://klasma.github.io/Logging_2481/tillsynsmail/A 35622-2026 tillsynsbegäran mail.docx", "A 35622-2026")</f>
        <v/>
      </c>
    </row>
    <row r="79" ht="15" customHeight="1">
      <c r="A79" t="inlineStr">
        <is>
          <t>A 12980-2026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46092</v>
      </c>
      <c r="E79" s="1" t="n">
        <v>46312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7.2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Sälg
Videsparv</t>
        </is>
      </c>
      <c r="W79">
        <f>HYPERLINK("https://klasma.github.io/Logging_2481/artfynd/A 12980-2026 artfynd.xlsx", "A 12980-2026")</f>
        <v/>
      </c>
      <c r="X79">
        <f>HYPERLINK("https://klasma.github.io/Logging_2481/kartor/A 12980-2026 karta.png", "A 12980-2026")</f>
        <v/>
      </c>
      <c r="Y79">
        <f>HYPERLINK("https://klasma.github.io/Logging_2481/kartor_geotiff/A 12980-2026 georefererad karta.tif", "A 12980-2026")</f>
        <v/>
      </c>
      <c r="AA79">
        <f>HYPERLINK("https://klasma.github.io/Logging_2481/klagomål/A 12980-2026 FSC-klagomål.docx", "A 12980-2026")</f>
        <v/>
      </c>
      <c r="AB79">
        <f>HYPERLINK("https://klasma.github.io/Logging_2481/klagomålsmail/A 12980-2026 FSC-klagomål mail.docx", "A 12980-2026")</f>
        <v/>
      </c>
      <c r="AC79">
        <f>HYPERLINK("https://klasma.github.io/Logging_2481/tillsyn/A 12980-2026 tillsynsbegäran.docx", "A 12980-2026")</f>
        <v/>
      </c>
      <c r="AD79">
        <f>HYPERLINK("https://klasma.github.io/Logging_2481/tillsynsmail/A 12980-2026 tillsynsbegäran mail.docx", "A 12980-2026")</f>
        <v/>
      </c>
      <c r="AE79">
        <f>HYPERLINK("https://klasma.github.io/Logging_2481/fåglar/A 12980-2026 prioriterade fågelarter.docx", "A 12980-2026")</f>
        <v/>
      </c>
    </row>
    <row r="80" ht="15" customHeight="1">
      <c r="A80" t="inlineStr">
        <is>
          <t>A 36175-2026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46267</v>
      </c>
      <c r="E80" s="1" t="n">
        <v>46312</v>
      </c>
      <c r="F80" t="inlineStr">
        <is>
          <t>VÄSTERBOTTENS LÄN</t>
        </is>
      </c>
      <c r="G80" t="inlineStr">
        <is>
          <t>LYCKSELE</t>
        </is>
      </c>
      <c r="I80" t="n">
        <v>13.4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5</v>
      </c>
      <c r="U80" t="n">
        <v>0</v>
      </c>
      <c r="V80" s="2" t="inlineStr">
        <is>
          <t>Dvärgbägarlav
Myskmåra
Vedskivlav</t>
        </is>
      </c>
      <c r="W80">
        <f>HYPERLINK("https://klasma.github.io/Logging_2481/artfynd/A 36175-2026 artfynd.xlsx", "A 36175-2026")</f>
        <v/>
      </c>
      <c r="X80">
        <f>HYPERLINK("https://klasma.github.io/Logging_2481/kartor/A 36175-2026 karta.png", "A 36175-2026")</f>
        <v/>
      </c>
      <c r="Y80">
        <f>HYPERLINK("https://klasma.github.io/Logging_2481/kartor_geotiff/A 36175-2026 georefererad karta.tif", "A 36175-2026")</f>
        <v/>
      </c>
      <c r="AA80">
        <f>HYPERLINK("https://klasma.github.io/Logging_2481/klagomål/A 36175-2026 FSC-klagomål.docx", "A 36175-2026")</f>
        <v/>
      </c>
      <c r="AB80">
        <f>HYPERLINK("https://klasma.github.io/Logging_2481/klagomålsmail/A 36175-2026 FSC-klagomål mail.docx", "A 36175-2026")</f>
        <v/>
      </c>
      <c r="AC80">
        <f>HYPERLINK("https://klasma.github.io/Logging_2481/tillsyn/A 36175-2026 tillsynsbegäran.docx", "A 36175-2026")</f>
        <v/>
      </c>
      <c r="AD80">
        <f>HYPERLINK("https://klasma.github.io/Logging_2481/tillsynsmail/A 36175-2026 tillsynsbegäran mail.docx", "A 36175-2026")</f>
        <v/>
      </c>
    </row>
    <row r="81" ht="15" customHeight="1">
      <c r="A81" t="inlineStr">
        <is>
          <t>A 30608-2025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46312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3.2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Myrstarr
Lunglav
Fläcknycklar</t>
        </is>
      </c>
      <c r="W81">
        <f>HYPERLINK("https://klasma.github.io/Logging_2481/artfynd/A 30608-2025 artfynd.xlsx", "A 30608-2025")</f>
        <v/>
      </c>
      <c r="X81">
        <f>HYPERLINK("https://klasma.github.io/Logging_2481/kartor/A 30608-2025 karta.png", "A 30608-2025")</f>
        <v/>
      </c>
      <c r="Y81">
        <f>HYPERLINK("https://klasma.github.io/Logging_2481/kartor_geotiff/A 30608-2025 georefererad karta.tif", "A 30608-2025")</f>
        <v/>
      </c>
      <c r="AA81">
        <f>HYPERLINK("https://klasma.github.io/Logging_2481/klagomål/A 30608-2025 FSC-klagomål.docx", "A 30608-2025")</f>
        <v/>
      </c>
      <c r="AB81">
        <f>HYPERLINK("https://klasma.github.io/Logging_2481/klagomålsmail/A 30608-2025 FSC-klagomål mail.docx", "A 30608-2025")</f>
        <v/>
      </c>
      <c r="AC81">
        <f>HYPERLINK("https://klasma.github.io/Logging_2481/tillsyn/A 30608-2025 tillsynsbegäran.docx", "A 30608-2025")</f>
        <v/>
      </c>
      <c r="AD81">
        <f>HYPERLINK("https://klasma.github.io/Logging_2481/tillsynsmail/A 30608-2025 tillsynsbegäran mail.docx", "A 30608-2025")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46312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45935-2024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46312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Orange taggsvamp</t>
        </is>
      </c>
      <c r="W84">
        <f>HYPERLINK("https://klasma.github.io/Logging_2481/artfynd/A 45935-2024 artfynd.xlsx", "A 45935-2024")</f>
        <v/>
      </c>
      <c r="X84">
        <f>HYPERLINK("https://klasma.github.io/Logging_2481/kartor/A 45935-2024 karta.png", "A 45935-2024")</f>
        <v/>
      </c>
      <c r="Y84">
        <f>HYPERLINK("https://klasma.github.io/Logging_2481/kartor_geotiff/A 45935-2024 georefererad karta.tif", "A 45935-2024")</f>
        <v/>
      </c>
      <c r="AA84">
        <f>HYPERLINK("https://klasma.github.io/Logging_2481/klagomål/A 45935-2024 FSC-klagomål.docx", "A 45935-2024")</f>
        <v/>
      </c>
      <c r="AB84">
        <f>HYPERLINK("https://klasma.github.io/Logging_2481/klagomålsmail/A 45935-2024 FSC-klagomål mail.docx", "A 45935-2024")</f>
        <v/>
      </c>
      <c r="AC84">
        <f>HYPERLINK("https://klasma.github.io/Logging_2481/tillsyn/A 45935-2024 tillsynsbegäran.docx", "A 45935-2024")</f>
        <v/>
      </c>
      <c r="AD84">
        <f>HYPERLINK("https://klasma.github.io/Logging_2481/tillsynsmail/A 45935-2024 tillsynsbegäran mail.docx", "A 45935-2024")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46312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46312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46312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46312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38776-2025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46312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Dropptaggsvamp
Kolflarnlav</t>
        </is>
      </c>
      <c r="W89">
        <f>HYPERLINK("https://klasma.github.io/Logging_2481/artfynd/A 38776-2025 artfynd.xlsx", "A 38776-2025")</f>
        <v/>
      </c>
      <c r="X89">
        <f>HYPERLINK("https://klasma.github.io/Logging_2481/kartor/A 38776-2025 karta.png", "A 38776-2025")</f>
        <v/>
      </c>
      <c r="Y89">
        <f>HYPERLINK("https://klasma.github.io/Logging_2481/kartor_geotiff/A 38776-2025 georefererad karta.tif", "A 38776-2025")</f>
        <v/>
      </c>
      <c r="AA89">
        <f>HYPERLINK("https://klasma.github.io/Logging_2481/klagomål/A 38776-2025 FSC-klagomål.docx", "A 38776-2025")</f>
        <v/>
      </c>
      <c r="AB89">
        <f>HYPERLINK("https://klasma.github.io/Logging_2481/klagomålsmail/A 38776-2025 FSC-klagomål mail.docx", "A 38776-2025")</f>
        <v/>
      </c>
      <c r="AC89">
        <f>HYPERLINK("https://klasma.github.io/Logging_2481/tillsyn/A 38776-2025 tillsynsbegäran.docx", "A 38776-2025")</f>
        <v/>
      </c>
      <c r="AD89">
        <f>HYPERLINK("https://klasma.github.io/Logging_2481/tillsynsmail/A 38776-2025 tillsynsbegäran mail.docx", "A 38776-2025")</f>
        <v/>
      </c>
    </row>
    <row r="90" ht="15" customHeight="1">
      <c r="A90" t="inlineStr">
        <is>
          <t>A 42159-2025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46312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42159-2025 artfynd.xlsx", "A 42159-2025")</f>
        <v/>
      </c>
      <c r="X90">
        <f>HYPERLINK("https://klasma.github.io/Logging_2481/kartor/A 42159-2025 karta.png", "A 42159-2025")</f>
        <v/>
      </c>
      <c r="Y90">
        <f>HYPERLINK("https://klasma.github.io/Logging_2481/kartor_geotiff/A 42159-2025 georefererad karta.tif", "A 42159-2025")</f>
        <v/>
      </c>
      <c r="AA90">
        <f>HYPERLINK("https://klasma.github.io/Logging_2481/klagomål/A 42159-2025 FSC-klagomål.docx", "A 42159-2025")</f>
        <v/>
      </c>
      <c r="AB90">
        <f>HYPERLINK("https://klasma.github.io/Logging_2481/klagomålsmail/A 42159-2025 FSC-klagomål mail.docx", "A 42159-2025")</f>
        <v/>
      </c>
      <c r="AC90">
        <f>HYPERLINK("https://klasma.github.io/Logging_2481/tillsyn/A 42159-2025 tillsynsbegäran.docx", "A 42159-2025")</f>
        <v/>
      </c>
      <c r="AD90">
        <f>HYPERLINK("https://klasma.github.io/Logging_2481/tillsynsmail/A 42159-2025 tillsynsbegäran mail.docx", "A 42159-2025")</f>
        <v/>
      </c>
    </row>
    <row r="91" ht="15" customHeight="1">
      <c r="A91" t="inlineStr">
        <is>
          <t>A 44351-2025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Tretåig hackspett</t>
        </is>
      </c>
      <c r="W91">
        <f>HYPERLINK("https://klasma.github.io/Logging_2481/artfynd/A 44351-2025 artfynd.xlsx", "A 44351-2025")</f>
        <v/>
      </c>
      <c r="X91">
        <f>HYPERLINK("https://klasma.github.io/Logging_2481/kartor/A 44351-2025 karta.png", "A 44351-2025")</f>
        <v/>
      </c>
      <c r="Y91">
        <f>HYPERLINK("https://klasma.github.io/Logging_2481/kartor_geotiff/A 44351-2025 georefererad karta.tif", "A 44351-2025")</f>
        <v/>
      </c>
      <c r="AA91">
        <f>HYPERLINK("https://klasma.github.io/Logging_2481/klagomål/A 44351-2025 FSC-klagomål.docx", "A 44351-2025")</f>
        <v/>
      </c>
      <c r="AB91">
        <f>HYPERLINK("https://klasma.github.io/Logging_2481/klagomålsmail/A 44351-2025 FSC-klagomål mail.docx", "A 44351-2025")</f>
        <v/>
      </c>
      <c r="AC91">
        <f>HYPERLINK("https://klasma.github.io/Logging_2481/tillsyn/A 44351-2025 tillsynsbegäran.docx", "A 44351-2025")</f>
        <v/>
      </c>
      <c r="AD91">
        <f>HYPERLINK("https://klasma.github.io/Logging_2481/tillsynsmail/A 44351-2025 tillsynsbegäran mail.docx", "A 44351-2025")</f>
        <v/>
      </c>
      <c r="AE91">
        <f>HYPERLINK("https://klasma.github.io/Logging_2481/fåglar/A 44351-2025 prioriterade fågelarter.docx", "A 44351-2025")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46312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46312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47744-2025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45931</v>
      </c>
      <c r="E94" s="1" t="n">
        <v>46312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47744-2025 artfynd.xlsx", "A 47744-2025")</f>
        <v/>
      </c>
      <c r="X94">
        <f>HYPERLINK("https://klasma.github.io/Logging_2481/kartor/A 47744-2025 karta.png", "A 47744-2025")</f>
        <v/>
      </c>
      <c r="Y94">
        <f>HYPERLINK("https://klasma.github.io/Logging_2481/kartor_geotiff/A 47744-2025 georefererad karta.tif", "A 47744-2025")</f>
        <v/>
      </c>
      <c r="AA94">
        <f>HYPERLINK("https://klasma.github.io/Logging_2481/klagomål/A 47744-2025 FSC-klagomål.docx", "A 47744-2025")</f>
        <v/>
      </c>
      <c r="AB94">
        <f>HYPERLINK("https://klasma.github.io/Logging_2481/klagomålsmail/A 47744-2025 FSC-klagomål mail.docx", "A 47744-2025")</f>
        <v/>
      </c>
      <c r="AC94">
        <f>HYPERLINK("https://klasma.github.io/Logging_2481/tillsyn/A 47744-2025 tillsynsbegäran.docx", "A 47744-2025")</f>
        <v/>
      </c>
      <c r="AD94">
        <f>HYPERLINK("https://klasma.github.io/Logging_2481/tillsynsmail/A 47744-2025 tillsynsbegäran mail.docx", "A 47744-2025")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46312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46312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46312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46312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28515-2023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46312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4</v>
      </c>
      <c r="U102" t="n">
        <v>4</v>
      </c>
      <c r="V102" s="2" t="inlineStr">
        <is>
          <t>Lunglav
Tallticka</t>
        </is>
      </c>
      <c r="W102">
        <f>HYPERLINK("https://klasma.github.io/Logging_2481/artfynd/A 28515-2023 artfynd.xlsx", "A 28515-2023")</f>
        <v/>
      </c>
      <c r="X102">
        <f>HYPERLINK("https://klasma.github.io/Logging_2481/kartor/A 28515-2023 karta.png", "A 28515-2023")</f>
        <v/>
      </c>
      <c r="Y102">
        <f>HYPERLINK("https://klasma.github.io/Logging_2481/kartor_geotiff/A 28515-2023 georefererad karta.tif", "A 28515-2023")</f>
        <v/>
      </c>
      <c r="AA102">
        <f>HYPERLINK("https://klasma.github.io/Logging_2481/klagomål/A 28515-2023 FSC-klagomål.docx", "A 28515-2023")</f>
        <v/>
      </c>
      <c r="AB102">
        <f>HYPERLINK("https://klasma.github.io/Logging_2481/klagomålsmail/A 28515-2023 FSC-klagomål mail.docx", "A 28515-2023")</f>
        <v/>
      </c>
      <c r="AC102">
        <f>HYPERLINK("https://klasma.github.io/Logging_2481/tillsyn/A 28515-2023 tillsynsbegäran.docx", "A 28515-2023")</f>
        <v/>
      </c>
      <c r="AD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46312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46312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46312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46312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46312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55566-2024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46312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Harticka
Ullticka</t>
        </is>
      </c>
      <c r="W108">
        <f>HYPERLINK("https://klasma.github.io/Logging_2481/artfynd/A 55566-2024 artfynd.xlsx", "A 55566-2024")</f>
        <v/>
      </c>
      <c r="X108">
        <f>HYPERLINK("https://klasma.github.io/Logging_2481/kartor/A 55566-2024 karta.png", "A 55566-2024")</f>
        <v/>
      </c>
      <c r="Y108">
        <f>HYPERLINK("https://klasma.github.io/Logging_2481/kartor_geotiff/A 55566-2024 georefererad karta.tif", "A 55566-2024")</f>
        <v/>
      </c>
      <c r="AA108">
        <f>HYPERLINK("https://klasma.github.io/Logging_2481/klagomål/A 55566-2024 FSC-klagomål.docx", "A 55566-2024")</f>
        <v/>
      </c>
      <c r="AB108">
        <f>HYPERLINK("https://klasma.github.io/Logging_2481/klagomålsmail/A 55566-2024 FSC-klagomål mail.docx", "A 55566-2024")</f>
        <v/>
      </c>
      <c r="AC108">
        <f>HYPERLINK("https://klasma.github.io/Logging_2481/tillsyn/A 55566-2024 tillsynsbegäran.docx", "A 55566-2024")</f>
        <v/>
      </c>
      <c r="AD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20111-2025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46312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Orange taggsvamp</t>
        </is>
      </c>
      <c r="W109">
        <f>HYPERLINK("https://klasma.github.io/Logging_2481/artfynd/A 20111-2025 artfynd.xlsx", "A 20111-2025")</f>
        <v/>
      </c>
      <c r="X109">
        <f>HYPERLINK("https://klasma.github.io/Logging_2481/kartor/A 20111-2025 karta.png", "A 20111-2025")</f>
        <v/>
      </c>
      <c r="Y109">
        <f>HYPERLINK("https://klasma.github.io/Logging_2481/kartor_geotiff/A 20111-2025 georefererad karta.tif", "A 20111-2025")</f>
        <v/>
      </c>
      <c r="AA109">
        <f>HYPERLINK("https://klasma.github.io/Logging_2481/klagomål/A 20111-2025 FSC-klagomål.docx", "A 20111-2025")</f>
        <v/>
      </c>
      <c r="AB109">
        <f>HYPERLINK("https://klasma.github.io/Logging_2481/klagomålsmail/A 20111-2025 FSC-klagomål mail.docx", "A 20111-2025")</f>
        <v/>
      </c>
      <c r="AC109">
        <f>HYPERLINK("https://klasma.github.io/Logging_2481/tillsyn/A 20111-2025 tillsynsbegäran.docx", "A 20111-2025")</f>
        <v/>
      </c>
      <c r="AD109">
        <f>HYPERLINK("https://klasma.github.io/Logging_2481/tillsynsmail/A 20111-2025 tillsynsbegäran mail.docx", "A 20111-2025")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46312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46312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46312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46312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46312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46312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A 42665-2026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46309</v>
      </c>
      <c r="E119" s="1" t="n">
        <v>46312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3.4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Mindre märgborre</t>
        </is>
      </c>
      <c r="W119">
        <f>HYPERLINK("https://klasma.github.io/Logging_2481/artfynd/A 42665-2026 artfynd.xlsx", "A 42665-2026")</f>
        <v/>
      </c>
      <c r="X119">
        <f>HYPERLINK("https://klasma.github.io/Logging_2481/kartor/A 42665-2026 karta.png", "A 42665-2026")</f>
        <v/>
      </c>
      <c r="Y119">
        <f>HYPERLINK("https://klasma.github.io/Logging_2481/kartor_geotiff/A 42665-2026 georefererad karta.tif", "A 42665-2026")</f>
        <v/>
      </c>
      <c r="AA119">
        <f>HYPERLINK("https://klasma.github.io/Logging_2481/klagomål/A 42665-2026 FSC-klagomål.docx", "A 42665-2026")</f>
        <v/>
      </c>
      <c r="AB119">
        <f>HYPERLINK("https://klasma.github.io/Logging_2481/klagomålsmail/A 42665-2026 FSC-klagomål mail.docx", "A 42665-2026")</f>
        <v/>
      </c>
      <c r="AC119">
        <f>HYPERLINK("https://klasma.github.io/Logging_2481/tillsyn/A 42665-2026 tillsynsbegäran.docx", "A 42665-2026")</f>
        <v/>
      </c>
      <c r="AD119">
        <f>HYPERLINK("https://klasma.github.io/Logging_2481/tillsynsmail/A 42665-2026 tillsynsbegäran mail.docx", "A 42665-2026")</f>
        <v/>
      </c>
    </row>
    <row r="120" ht="15" customHeight="1">
      <c r="A120" t="inlineStr">
        <is>
          <t>A 30691-2025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2</v>
      </c>
      <c r="V120" s="2" t="inlineStr">
        <is>
          <t>Mörk kolflarnlav
Tretåig hackspett</t>
        </is>
      </c>
      <c r="W120">
        <f>HYPERLINK("https://klasma.github.io/Logging_2481/artfynd/A 30691-2025 artfynd.xlsx", "A 30691-2025")</f>
        <v/>
      </c>
      <c r="X120">
        <f>HYPERLINK("https://klasma.github.io/Logging_2481/kartor/A 30691-2025 karta.png", "A 30691-2025")</f>
        <v/>
      </c>
      <c r="Y120">
        <f>HYPERLINK("https://klasma.github.io/Logging_2481/kartor_geotiff/A 30691-2025 georefererad karta.tif", "A 30691-2025")</f>
        <v/>
      </c>
      <c r="AA120">
        <f>HYPERLINK("https://klasma.github.io/Logging_2481/klagomål/A 30691-2025 FSC-klagomål.docx", "A 30691-2025")</f>
        <v/>
      </c>
      <c r="AB120">
        <f>HYPERLINK("https://klasma.github.io/Logging_2481/klagomålsmail/A 30691-2025 FSC-klagomål mail.docx", "A 30691-2025")</f>
        <v/>
      </c>
      <c r="AC120">
        <f>HYPERLINK("https://klasma.github.io/Logging_2481/tillsyn/A 30691-2025 tillsynsbegäran.docx", "A 30691-2025")</f>
        <v/>
      </c>
      <c r="AD120">
        <f>HYPERLINK("https://klasma.github.io/Logging_2481/tillsynsmail/A 30691-2025 tillsynsbegäran mail.docx", "A 30691-2025")</f>
        <v/>
      </c>
      <c r="AE120">
        <f>HYPERLINK("https://klasma.github.io/Logging_2481/fåglar/A 30691-2025 prioriterade fågelarter.docx", "A 30691-2025")</f>
        <v/>
      </c>
    </row>
    <row r="121" ht="15" customHeight="1">
      <c r="A121" t="inlineStr">
        <is>
          <t>A 37458-2025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46312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5.1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Lavskrika</t>
        </is>
      </c>
      <c r="W121">
        <f>HYPERLINK("https://klasma.github.io/Logging_2481/artfynd/A 37458-2025 artfynd.xlsx", "A 37458-2025")</f>
        <v/>
      </c>
      <c r="X121">
        <f>HYPERLINK("https://klasma.github.io/Logging_2481/kartor/A 37458-2025 karta.png", "A 37458-2025")</f>
        <v/>
      </c>
      <c r="Y121">
        <f>HYPERLINK("https://klasma.github.io/Logging_2481/kartor_geotiff/A 37458-2025 georefererad karta.tif", "A 37458-2025")</f>
        <v/>
      </c>
      <c r="AA121">
        <f>HYPERLINK("https://klasma.github.io/Logging_2481/klagomål/A 37458-2025 FSC-klagomål.docx", "A 37458-2025")</f>
        <v/>
      </c>
      <c r="AB121">
        <f>HYPERLINK("https://klasma.github.io/Logging_2481/klagomålsmail/A 37458-2025 FSC-klagomål mail.docx", "A 37458-2025")</f>
        <v/>
      </c>
      <c r="AC121">
        <f>HYPERLINK("https://klasma.github.io/Logging_2481/tillsyn/A 37458-2025 tillsynsbegäran.docx", "A 37458-2025")</f>
        <v/>
      </c>
      <c r="AD121">
        <f>HYPERLINK("https://klasma.github.io/Logging_2481/tillsynsmail/A 37458-2025 tillsynsbegäran mail.docx", "A 37458-2025")</f>
        <v/>
      </c>
      <c r="AE121">
        <f>HYPERLINK("https://klasma.github.io/Logging_2481/fåglar/A 37458-2025 prioriterade fågelarter.docx", "A 37458-2025")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46312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9341-2022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46312</v>
      </c>
      <c r="F127" t="inlineStr">
        <is>
          <t>VÄSTERBOTTENS LÄN</t>
        </is>
      </c>
      <c r="G127" t="inlineStr">
        <is>
          <t>LYCKSELE</t>
        </is>
      </c>
      <c r="I127" t="n">
        <v>6.9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HYPERLINK("https://klasma.github.io/Logging_2481/artfynd/A 9341-2022 artfynd.xlsx", "A 9341-2022")</f>
        <v/>
      </c>
      <c r="X127">
        <f>HYPERLINK("https://klasma.github.io/Logging_2481/kartor/A 9341-2022 karta.png", "A 9341-2022")</f>
        <v/>
      </c>
      <c r="Y127">
        <f>HYPERLINK("https://klasma.github.io/Logging_2481/kartor_geotiff/A 9341-2022 georefererad karta.tif", "A 9341-2022")</f>
        <v/>
      </c>
      <c r="AA127">
        <f>HYPERLINK("https://klasma.github.io/Logging_2481/klagomål/A 9341-2022 FSC-klagomål.docx", "A 9341-2022")</f>
        <v/>
      </c>
      <c r="AB127">
        <f>HYPERLINK("https://klasma.github.io/Logging_2481/klagomålsmail/A 9341-2022 FSC-klagomål mail.docx", "A 9341-2022")</f>
        <v/>
      </c>
      <c r="AC127">
        <f>HYPERLINK("https://klasma.github.io/Logging_2481/tillsyn/A 9341-2022 tillsynsbegäran.docx", "A 9341-2022")</f>
        <v/>
      </c>
      <c r="AD127">
        <f>HYPERLINK("https://klasma.github.io/Logging_2481/tillsynsmail/A 9341-2022 tillsynsbegäran mail.docx", "A 9341-2022")</f>
        <v/>
      </c>
    </row>
    <row r="128" ht="15" customHeight="1">
      <c r="A128" t="inlineStr">
        <is>
          <t>A 34809-2022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46312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Gammelgransskål</t>
        </is>
      </c>
      <c r="W128">
        <f>HYPERLINK("https://klasma.github.io/Logging_2481/artfynd/A 34809-2022 artfynd.xlsx", "A 34809-2022")</f>
        <v/>
      </c>
      <c r="X128">
        <f>HYPERLINK("https://klasma.github.io/Logging_2481/kartor/A 34809-2022 karta.png", "A 34809-2022")</f>
        <v/>
      </c>
      <c r="Y128">
        <f>HYPERLINK("https://klasma.github.io/Logging_2481/kartor_geotiff/A 34809-2022 georefererad karta.tif", "A 34809-2022")</f>
        <v/>
      </c>
      <c r="AA128">
        <f>HYPERLINK("https://klasma.github.io/Logging_2481/klagomål/A 34809-2022 FSC-klagomål.docx", "A 34809-2022")</f>
        <v/>
      </c>
      <c r="AB128">
        <f>HYPERLINK("https://klasma.github.io/Logging_2481/klagomålsmail/A 34809-2022 FSC-klagomål mail.docx", "A 34809-2022")</f>
        <v/>
      </c>
      <c r="AC128">
        <f>HYPERLINK("https://klasma.github.io/Logging_2481/tillsyn/A 34809-2022 tillsynsbegäran.docx", "A 34809-2022")</f>
        <v/>
      </c>
      <c r="AD128">
        <f>HYPERLINK("https://klasma.github.io/Logging_2481/tillsynsmail/A 34809-2022 tillsynsbegäran mail.docx", "A 34809-2022")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46312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46312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24824-2024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45461</v>
      </c>
      <c r="E132" s="1" t="n">
        <v>46312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6.1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Kungsörn</t>
        </is>
      </c>
      <c r="W132">
        <f>HYPERLINK("https://klasma.github.io/Logging_2481/artfynd/A 24824-2024 artfynd.xlsx", "A 24824-2024")</f>
        <v/>
      </c>
      <c r="X132">
        <f>HYPERLINK("https://klasma.github.io/Logging_2481/kartor/A 24824-2024 karta.png", "A 24824-2024")</f>
        <v/>
      </c>
      <c r="Y132">
        <f>HYPERLINK("https://klasma.github.io/Logging_2481/kartor_geotiff/A 24824-2024 georefererad karta.tif", "A 24824-2024")</f>
        <v/>
      </c>
      <c r="AA132">
        <f>HYPERLINK("https://klasma.github.io/Logging_2481/klagomål/A 24824-2024 FSC-klagomål.docx", "A 24824-2024")</f>
        <v/>
      </c>
      <c r="AB132">
        <f>HYPERLINK("https://klasma.github.io/Logging_2481/klagomålsmail/A 24824-2024 FSC-klagomål mail.docx", "A 24824-2024")</f>
        <v/>
      </c>
      <c r="AC132">
        <f>HYPERLINK("https://klasma.github.io/Logging_2481/tillsyn/A 24824-2024 tillsynsbegäran.docx", "A 24824-2024")</f>
        <v/>
      </c>
      <c r="AD132">
        <f>HYPERLINK("https://klasma.github.io/Logging_2481/tillsynsmail/A 24824-2024 tillsynsbegäran mail.docx", "A 24824-2024")</f>
        <v/>
      </c>
      <c r="AE132">
        <f>HYPERLINK("https://klasma.github.io/Logging_2481/fåglar/A 24824-2024 prioriterade fågelarter.docx", "A 24824-2024")</f>
        <v/>
      </c>
    </row>
    <row r="133" ht="15" customHeight="1">
      <c r="A133" t="inlineStr">
        <is>
          <t>A 61910-2024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45653</v>
      </c>
      <c r="E133" s="1" t="n">
        <v>46312</v>
      </c>
      <c r="F133" t="inlineStr">
        <is>
          <t>VÄSTERBOTTENS LÄN</t>
        </is>
      </c>
      <c r="G133" t="inlineStr">
        <is>
          <t>LYCKSELE</t>
        </is>
      </c>
      <c r="I133" t="n">
        <v>5.8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7</v>
      </c>
      <c r="U133" t="n">
        <v>3</v>
      </c>
      <c r="V133" s="2" t="inlineStr">
        <is>
          <t>Norna</t>
        </is>
      </c>
      <c r="W133">
        <f>HYPERLINK("https://klasma.github.io/Logging_2481/artfynd/A 61910-2024 artfynd.xlsx", "A 61910-2024")</f>
        <v/>
      </c>
      <c r="X133">
        <f>HYPERLINK("https://klasma.github.io/Logging_2481/kartor/A 61910-2024 karta.png", "A 61910-2024")</f>
        <v/>
      </c>
      <c r="Y133">
        <f>HYPERLINK("https://klasma.github.io/Logging_2481/kartor_geotiff/A 61910-2024 georefererad karta.tif", "A 61910-2024")</f>
        <v/>
      </c>
      <c r="AA133">
        <f>HYPERLINK("https://klasma.github.io/Logging_2481/klagomål/A 61910-2024 FSC-klagomål.docx", "A 61910-2024")</f>
        <v/>
      </c>
      <c r="AB133">
        <f>HYPERLINK("https://klasma.github.io/Logging_2481/klagomålsmail/A 61910-2024 FSC-klagomål mail.docx", "A 61910-2024")</f>
        <v/>
      </c>
      <c r="AC133">
        <f>HYPERLINK("https://klasma.github.io/Logging_2481/tillsyn/A 61910-2024 tillsynsbegäran.docx", "A 61910-2024")</f>
        <v/>
      </c>
      <c r="AD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59283-2024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46312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59283-2024 artfynd.xlsx", "A 59283-2024")</f>
        <v/>
      </c>
      <c r="X134">
        <f>HYPERLINK("https://klasma.github.io/Logging_2481/kartor/A 59283-2024 karta.png", "A 59283-2024")</f>
        <v/>
      </c>
      <c r="Y134">
        <f>HYPERLINK("https://klasma.github.io/Logging_2481/kartor_geotiff/A 59283-2024 georefererad karta.tif", "A 59283-2024")</f>
        <v/>
      </c>
      <c r="AA134">
        <f>HYPERLINK("https://klasma.github.io/Logging_2481/klagomål/A 59283-2024 FSC-klagomål.docx", "A 59283-2024")</f>
        <v/>
      </c>
      <c r="AB134">
        <f>HYPERLINK("https://klasma.github.io/Logging_2481/klagomålsmail/A 59283-2024 FSC-klagomål mail.docx", "A 59283-2024")</f>
        <v/>
      </c>
      <c r="AC134">
        <f>HYPERLINK("https://klasma.github.io/Logging_2481/tillsyn/A 59283-2024 tillsynsbegäran.docx", "A 59283-2024")</f>
        <v/>
      </c>
      <c r="AD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35559-2023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46312</v>
      </c>
      <c r="F135" t="inlineStr">
        <is>
          <t>VÄSTERBOTTENS LÄN</t>
        </is>
      </c>
      <c r="G135" t="inlineStr">
        <is>
          <t>LYCKSELE</t>
        </is>
      </c>
      <c r="I135" t="n">
        <v>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Stjärntagging</t>
        </is>
      </c>
      <c r="W135">
        <f>HYPERLINK("https://klasma.github.io/Logging_2481/artfynd/A 35559-2023 artfynd.xlsx", "A 35559-2023")</f>
        <v/>
      </c>
      <c r="X135">
        <f>HYPERLINK("https://klasma.github.io/Logging_2481/kartor/A 35559-2023 karta.png", "A 35559-2023")</f>
        <v/>
      </c>
      <c r="Y135">
        <f>HYPERLINK("https://klasma.github.io/Logging_2481/kartor_geotiff/A 35559-2023 georefererad karta.tif", "A 35559-2023")</f>
        <v/>
      </c>
      <c r="AA135">
        <f>HYPERLINK("https://klasma.github.io/Logging_2481/klagomål/A 35559-2023 FSC-klagomål.docx", "A 35559-2023")</f>
        <v/>
      </c>
      <c r="AB135">
        <f>HYPERLINK("https://klasma.github.io/Logging_2481/klagomålsmail/A 35559-2023 FSC-klagomål mail.docx", "A 35559-2023")</f>
        <v/>
      </c>
      <c r="AC135">
        <f>HYPERLINK("https://klasma.github.io/Logging_2481/tillsyn/A 35559-2023 tillsynsbegäran.docx", "A 35559-2023")</f>
        <v/>
      </c>
      <c r="AD135">
        <f>HYPERLINK("https://klasma.github.io/Logging_2481/tillsynsmail/A 35559-2023 tillsynsbegäran mail.docx", "A 35559-2023")</f>
        <v/>
      </c>
    </row>
    <row r="136" ht="15" customHeight="1">
      <c r="A136" t="inlineStr">
        <is>
          <t>A 53869-2023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53869-2023 artfynd.xlsx", "A 53869-2023")</f>
        <v/>
      </c>
      <c r="X136">
        <f>HYPERLINK("https://klasma.github.io/Logging_2481/kartor/A 53869-2023 karta.png", "A 53869-2023")</f>
        <v/>
      </c>
      <c r="Y136">
        <f>HYPERLINK("https://klasma.github.io/Logging_2481/kartor_geotiff/A 53869-2023 georefererad karta.tif", "A 53869-2023")</f>
        <v/>
      </c>
      <c r="AA136">
        <f>HYPERLINK("https://klasma.github.io/Logging_2481/klagomål/A 53869-2023 FSC-klagomål.docx", "A 53869-2023")</f>
        <v/>
      </c>
      <c r="AB136">
        <f>HYPERLINK("https://klasma.github.io/Logging_2481/klagomålsmail/A 53869-2023 FSC-klagomål mail.docx", "A 53869-2023")</f>
        <v/>
      </c>
      <c r="AC136">
        <f>HYPERLINK("https://klasma.github.io/Logging_2481/tillsyn/A 53869-2023 tillsynsbegäran.docx", "A 53869-2023")</f>
        <v/>
      </c>
      <c r="AD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37823-2025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46312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Plattlummer</t>
        </is>
      </c>
      <c r="W137">
        <f>HYPERLINK("https://klasma.github.io/Logging_2481/artfynd/A 37823-2025 artfynd.xlsx", "A 37823-2025")</f>
        <v/>
      </c>
      <c r="X137">
        <f>HYPERLINK("https://klasma.github.io/Logging_2481/kartor/A 37823-2025 karta.png", "A 37823-2025")</f>
        <v/>
      </c>
      <c r="Y137">
        <f>HYPERLINK("https://klasma.github.io/Logging_2481/kartor_geotiff/A 37823-2025 georefererad karta.tif", "A 37823-2025")</f>
        <v/>
      </c>
      <c r="AA137">
        <f>HYPERLINK("https://klasma.github.io/Logging_2481/klagomål/A 37823-2025 FSC-klagomål.docx", "A 37823-2025")</f>
        <v/>
      </c>
      <c r="AB137">
        <f>HYPERLINK("https://klasma.github.io/Logging_2481/klagomålsmail/A 37823-2025 FSC-klagomål mail.docx", "A 37823-2025")</f>
        <v/>
      </c>
      <c r="AC137">
        <f>HYPERLINK("https://klasma.github.io/Logging_2481/tillsyn/A 37823-2025 tillsynsbegäran.docx", "A 37823-2025")</f>
        <v/>
      </c>
      <c r="AD137">
        <f>HYPERLINK("https://klasma.github.io/Logging_2481/tillsynsmail/A 37823-2025 tillsynsbegäran mail.docx", "A 37823-2025")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46312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46312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39231-2025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46312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16.3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Mörk kolflarnlav</t>
        </is>
      </c>
      <c r="W140">
        <f>HYPERLINK("https://klasma.github.io/Logging_2481/artfynd/A 39231-2025 artfynd.xlsx", "A 39231-2025")</f>
        <v/>
      </c>
      <c r="X140">
        <f>HYPERLINK("https://klasma.github.io/Logging_2481/kartor/A 39231-2025 karta.png", "A 39231-2025")</f>
        <v/>
      </c>
      <c r="Y140">
        <f>HYPERLINK("https://klasma.github.io/Logging_2481/kartor_geotiff/A 39231-2025 georefererad karta.tif", "A 39231-2025")</f>
        <v/>
      </c>
      <c r="AA140">
        <f>HYPERLINK("https://klasma.github.io/Logging_2481/klagomål/A 39231-2025 FSC-klagomål.docx", "A 39231-2025")</f>
        <v/>
      </c>
      <c r="AB140">
        <f>HYPERLINK("https://klasma.github.io/Logging_2481/klagomålsmail/A 39231-2025 FSC-klagomål mail.docx", "A 39231-2025")</f>
        <v/>
      </c>
      <c r="AC140">
        <f>HYPERLINK("https://klasma.github.io/Logging_2481/tillsyn/A 39231-2025 tillsynsbegäran.docx", "A 39231-2025")</f>
        <v/>
      </c>
      <c r="AD140">
        <f>HYPERLINK("https://klasma.github.io/Logging_2481/tillsynsmail/A 39231-2025 tillsynsbegäran mail.docx", "A 39231-2025")</f>
        <v/>
      </c>
    </row>
    <row r="141" ht="15" customHeight="1">
      <c r="A141" t="inlineStr">
        <is>
          <t>A 39280-2025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46312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9.199999999999999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39280-2025 artfynd.xlsx", "A 39280-2025")</f>
        <v/>
      </c>
      <c r="X141">
        <f>HYPERLINK("https://klasma.github.io/Logging_2481/kartor/A 39280-2025 karta.png", "A 39280-2025")</f>
        <v/>
      </c>
      <c r="Y141">
        <f>HYPERLINK("https://klasma.github.io/Logging_2481/kartor_geotiff/A 39280-2025 georefererad karta.tif", "A 39280-2025")</f>
        <v/>
      </c>
      <c r="AA141">
        <f>HYPERLINK("https://klasma.github.io/Logging_2481/klagomål/A 39280-2025 FSC-klagomål.docx", "A 39280-2025")</f>
        <v/>
      </c>
      <c r="AB141">
        <f>HYPERLINK("https://klasma.github.io/Logging_2481/klagomålsmail/A 39280-2025 FSC-klagomål mail.docx", "A 39280-2025")</f>
        <v/>
      </c>
      <c r="AC141">
        <f>HYPERLINK("https://klasma.github.io/Logging_2481/tillsyn/A 39280-2025 tillsynsbegäran.docx", "A 39280-2025")</f>
        <v/>
      </c>
      <c r="AD141">
        <f>HYPERLINK("https://klasma.github.io/Logging_2481/tillsynsmail/A 39280-2025 tillsynsbegäran mail.docx", "A 39280-2025")</f>
        <v/>
      </c>
    </row>
    <row r="142" ht="15" customHeight="1">
      <c r="A142" t="inlineStr">
        <is>
          <t>A 55938-2023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46312</v>
      </c>
      <c r="F142" t="inlineStr">
        <is>
          <t>VÄSTERBOTTENS LÄN</t>
        </is>
      </c>
      <c r="G142" t="inlineStr">
        <is>
          <t>LYCKSELE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Järpe</t>
        </is>
      </c>
      <c r="W142">
        <f>HYPERLINK("https://klasma.github.io/Logging_2481/artfynd/A 55938-2023 artfynd.xlsx", "A 55938-2023")</f>
        <v/>
      </c>
      <c r="X142">
        <f>HYPERLINK("https://klasma.github.io/Logging_2481/kartor/A 55938-2023 karta.png", "A 55938-2023")</f>
        <v/>
      </c>
      <c r="Y142">
        <f>HYPERLINK("https://klasma.github.io/Logging_2481/kartor_geotiff/A 55938-2023 georefererad karta.tif", "A 55938-2023")</f>
        <v/>
      </c>
      <c r="AA142">
        <f>HYPERLINK("https://klasma.github.io/Logging_2481/klagomål/A 55938-2023 FSC-klagomål.docx", "A 55938-2023")</f>
        <v/>
      </c>
      <c r="AB142">
        <f>HYPERLINK("https://klasma.github.io/Logging_2481/klagomålsmail/A 55938-2023 FSC-klagomål mail.docx", "A 55938-2023")</f>
        <v/>
      </c>
      <c r="AC142">
        <f>HYPERLINK("https://klasma.github.io/Logging_2481/tillsyn/A 55938-2023 tillsynsbegäran.docx", "A 55938-2023")</f>
        <v/>
      </c>
      <c r="AD142">
        <f>HYPERLINK("https://klasma.github.io/Logging_2481/tillsynsmail/A 55938-2023 tillsynsbegäran mail.docx", "A 55938-2023")</f>
        <v/>
      </c>
      <c r="AE142">
        <f>HYPERLINK("https://klasma.github.io/Logging_2481/fåglar/A 55938-2023 prioriterade fågelarter.docx", "A 55938-2023")</f>
        <v/>
      </c>
    </row>
    <row r="143" ht="15" customHeight="1">
      <c r="A143" t="inlineStr">
        <is>
          <t>A 20404-2026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HYPERLINK("https://klasma.github.io/Logging_2481/artfynd/A 20404-2026 artfynd.xlsx", "A 20404-2026")</f>
        <v/>
      </c>
      <c r="X143">
        <f>HYPERLINK("https://klasma.github.io/Logging_2481/kartor/A 20404-2026 karta.png", "A 20404-2026")</f>
        <v/>
      </c>
      <c r="Y143">
        <f>HYPERLINK("https://klasma.github.io/Logging_2481/kartor_geotiff/A 20404-2026 georefererad karta.tif", "A 20404-2026")</f>
        <v/>
      </c>
      <c r="AA143">
        <f>HYPERLINK("https://klasma.github.io/Logging_2481/klagomål/A 20404-2026 FSC-klagomål.docx", "A 20404-2026")</f>
        <v/>
      </c>
      <c r="AB143">
        <f>HYPERLINK("https://klasma.github.io/Logging_2481/klagomålsmail/A 20404-2026 FSC-klagomål mail.docx", "A 20404-2026")</f>
        <v/>
      </c>
      <c r="AC143">
        <f>HYPERLINK("https://klasma.github.io/Logging_2481/tillsyn/A 20404-2026 tillsynsbegäran.docx", "A 20404-2026")</f>
        <v/>
      </c>
      <c r="AD143">
        <f>HYPERLINK("https://klasma.github.io/Logging_2481/tillsynsmail/A 20404-2026 tillsynsbegäran mail.docx", "A 20404-2026")</f>
        <v/>
      </c>
    </row>
    <row r="144" ht="15" customHeight="1">
      <c r="A144" t="inlineStr">
        <is>
          <t>A 44360-2025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HYPERLINK("https://klasma.github.io/Logging_2481/artfynd/A 44360-2025 artfynd.xlsx", "A 44360-2025")</f>
        <v/>
      </c>
      <c r="X144">
        <f>HYPERLINK("https://klasma.github.io/Logging_2481/kartor/A 44360-2025 karta.png", "A 44360-2025")</f>
        <v/>
      </c>
      <c r="Y144">
        <f>HYPERLINK("https://klasma.github.io/Logging_2481/kartor_geotiff/A 44360-2025 georefererad karta.tif", "A 44360-2025")</f>
        <v/>
      </c>
      <c r="AA144">
        <f>HYPERLINK("https://klasma.github.io/Logging_2481/klagomål/A 44360-2025 FSC-klagomål.docx", "A 44360-2025")</f>
        <v/>
      </c>
      <c r="AB144">
        <f>HYPERLINK("https://klasma.github.io/Logging_2481/klagomålsmail/A 44360-2025 FSC-klagomål mail.docx", "A 44360-2025")</f>
        <v/>
      </c>
      <c r="AC144">
        <f>HYPERLINK("https://klasma.github.io/Logging_2481/tillsyn/A 44360-2025 tillsynsbegäran.docx", "A 44360-2025")</f>
        <v/>
      </c>
      <c r="AD144">
        <f>HYPERLINK("https://klasma.github.io/Logging_2481/tillsynsmail/A 44360-2025 tillsynsbegäran mail.docx", "A 44360-2025")</f>
        <v/>
      </c>
    </row>
    <row r="145" ht="15" customHeight="1">
      <c r="A145" t="inlineStr">
        <is>
          <t>A 44331-2025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46312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44331-2025 artfynd.xlsx", "A 44331-2025")</f>
        <v/>
      </c>
      <c r="X145">
        <f>HYPERLINK("https://klasma.github.io/Logging_2481/kartor/A 44331-2025 karta.png", "A 44331-2025")</f>
        <v/>
      </c>
      <c r="Y145">
        <f>HYPERLINK("https://klasma.github.io/Logging_2481/kartor_geotiff/A 44331-2025 georefererad karta.tif", "A 44331-2025")</f>
        <v/>
      </c>
      <c r="AA145">
        <f>HYPERLINK("https://klasma.github.io/Logging_2481/klagomål/A 44331-2025 FSC-klagomål.docx", "A 44331-2025")</f>
        <v/>
      </c>
      <c r="AB145">
        <f>HYPERLINK("https://klasma.github.io/Logging_2481/klagomålsmail/A 44331-2025 FSC-klagomål mail.docx", "A 44331-2025")</f>
        <v/>
      </c>
      <c r="AC145">
        <f>HYPERLINK("https://klasma.github.io/Logging_2481/tillsyn/A 44331-2025 tillsynsbegäran.docx", "A 44331-2025")</f>
        <v/>
      </c>
      <c r="AD145">
        <f>HYPERLINK("https://klasma.github.io/Logging_2481/tillsynsmail/A 44331-2025 tillsynsbegäran mail.docx", "A 44331-2025")</f>
        <v/>
      </c>
    </row>
    <row r="146" ht="15" customHeight="1">
      <c r="A146" t="inlineStr">
        <is>
          <t>A 45127-2025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46312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45127-2025 artfynd.xlsx", "A 45127-2025")</f>
        <v/>
      </c>
      <c r="X146">
        <f>HYPERLINK("https://klasma.github.io/Logging_2481/kartor/A 45127-2025 karta.png", "A 45127-2025")</f>
        <v/>
      </c>
      <c r="Y146">
        <f>HYPERLINK("https://klasma.github.io/Logging_2481/kartor_geotiff/A 45127-2025 georefererad karta.tif", "A 45127-2025")</f>
        <v/>
      </c>
      <c r="AA146">
        <f>HYPERLINK("https://klasma.github.io/Logging_2481/klagomål/A 45127-2025 FSC-klagomål.docx", "A 45127-2025")</f>
        <v/>
      </c>
      <c r="AB146">
        <f>HYPERLINK("https://klasma.github.io/Logging_2481/klagomålsmail/A 45127-2025 FSC-klagomål mail.docx", "A 45127-2025")</f>
        <v/>
      </c>
      <c r="AC146">
        <f>HYPERLINK("https://klasma.github.io/Logging_2481/tillsyn/A 45127-2025 tillsynsbegäran.docx", "A 45127-2025")</f>
        <v/>
      </c>
      <c r="AD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46312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20929-2025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46312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20929-2025 artfynd.xlsx", "A 20929-2025")</f>
        <v/>
      </c>
      <c r="X148">
        <f>HYPERLINK("https://klasma.github.io/Logging_2481/kartor/A 20929-2025 karta.png", "A 20929-2025")</f>
        <v/>
      </c>
      <c r="Y148">
        <f>HYPERLINK("https://klasma.github.io/Logging_2481/kartor_geotiff/A 20929-2025 georefererad karta.tif", "A 20929-2025")</f>
        <v/>
      </c>
      <c r="AA148">
        <f>HYPERLINK("https://klasma.github.io/Logging_2481/klagomål/A 20929-2025 FSC-klagomål.docx", "A 20929-2025")</f>
        <v/>
      </c>
      <c r="AB148">
        <f>HYPERLINK("https://klasma.github.io/Logging_2481/klagomålsmail/A 20929-2025 FSC-klagomål mail.docx", "A 20929-2025")</f>
        <v/>
      </c>
      <c r="AC148">
        <f>HYPERLINK("https://klasma.github.io/Logging_2481/tillsyn/A 20929-2025 tillsynsbegäran.docx", "A 20929-2025")</f>
        <v/>
      </c>
      <c r="AD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22120-2026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22120-2026 artfynd.xlsx", "A 22120-2026")</f>
        <v/>
      </c>
      <c r="X149">
        <f>HYPERLINK("https://klasma.github.io/Logging_2481/kartor/A 22120-2026 karta.png", "A 22120-2026")</f>
        <v/>
      </c>
      <c r="Y149">
        <f>HYPERLINK("https://klasma.github.io/Logging_2481/kartor_geotiff/A 22120-2026 georefererad karta.tif", "A 22120-2026")</f>
        <v/>
      </c>
      <c r="AA149">
        <f>HYPERLINK("https://klasma.github.io/Logging_2481/klagomål/A 22120-2026 FSC-klagomål.docx", "A 22120-2026")</f>
        <v/>
      </c>
      <c r="AB149">
        <f>HYPERLINK("https://klasma.github.io/Logging_2481/klagomålsmail/A 22120-2026 FSC-klagomål mail.docx", "A 22120-2026")</f>
        <v/>
      </c>
      <c r="AC149">
        <f>HYPERLINK("https://klasma.github.io/Logging_2481/tillsyn/A 22120-2026 tillsynsbegäran.docx", "A 22120-2026")</f>
        <v/>
      </c>
      <c r="AD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57243-2025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46312</v>
      </c>
      <c r="F151" t="inlineStr">
        <is>
          <t>VÄSTERBOTTENS LÄN</t>
        </is>
      </c>
      <c r="G151" t="inlineStr">
        <is>
          <t>LYCKSELE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57243-2025 artfynd.xlsx", "A 57243-2025")</f>
        <v/>
      </c>
      <c r="X151">
        <f>HYPERLINK("https://klasma.github.io/Logging_2481/kartor/A 57243-2025 karta.png", "A 57243-2025")</f>
        <v/>
      </c>
      <c r="Y151">
        <f>HYPERLINK("https://klasma.github.io/Logging_2481/kartor_geotiff/A 57243-2025 georefererad karta.tif", "A 57243-2025")</f>
        <v/>
      </c>
      <c r="AA151">
        <f>HYPERLINK("https://klasma.github.io/Logging_2481/klagomål/A 57243-2025 FSC-klagomål.docx", "A 57243-2025")</f>
        <v/>
      </c>
      <c r="AB151">
        <f>HYPERLINK("https://klasma.github.io/Logging_2481/klagomålsmail/A 57243-2025 FSC-klagomål mail.docx", "A 57243-2025")</f>
        <v/>
      </c>
      <c r="AC151">
        <f>HYPERLINK("https://klasma.github.io/Logging_2481/tillsyn/A 57243-2025 tillsynsbegäran.docx", "A 57243-2025")</f>
        <v/>
      </c>
      <c r="AD151">
        <f>HYPERLINK("https://klasma.github.io/Logging_2481/tillsynsmail/A 57243-2025 tillsynsbegäran mail.docx", "A 57243-2025")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46312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38507-2023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38507-2023 artfynd.xlsx", "A 38507-2023")</f>
        <v/>
      </c>
      <c r="X154">
        <f>HYPERLINK("https://klasma.github.io/Logging_2481/kartor/A 38507-2023 karta.png", "A 38507-2023")</f>
        <v/>
      </c>
      <c r="Y154">
        <f>HYPERLINK("https://klasma.github.io/Logging_2481/kartor_geotiff/A 38507-2023 georefererad karta.tif", "A 38507-2023")</f>
        <v/>
      </c>
      <c r="AA154">
        <f>HYPERLINK("https://klasma.github.io/Logging_2481/klagomål/A 38507-2023 FSC-klagomål.docx", "A 38507-2023")</f>
        <v/>
      </c>
      <c r="AB154">
        <f>HYPERLINK("https://klasma.github.io/Logging_2481/klagomålsmail/A 38507-2023 FSC-klagomål mail.docx", "A 38507-2023")</f>
        <v/>
      </c>
      <c r="AC154">
        <f>HYPERLINK("https://klasma.github.io/Logging_2481/tillsyn/A 38507-2023 tillsynsbegäran.docx", "A 38507-2023")</f>
        <v/>
      </c>
      <c r="AD154">
        <f>HYPERLINK("https://klasma.github.io/Logging_2481/tillsynsmail/A 38507-2023 tillsynsbegäran mail.docx", "A 38507-2023")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46312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58390-2025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46312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58390-2025 artfynd.xlsx", "A 58390-2025")</f>
        <v/>
      </c>
      <c r="X156">
        <f>HYPERLINK("https://klasma.github.io/Logging_2481/kartor/A 58390-2025 karta.png", "A 58390-2025")</f>
        <v/>
      </c>
      <c r="Y156">
        <f>HYPERLINK("https://klasma.github.io/Logging_2481/kartor_geotiff/A 58390-2025 georefererad karta.tif", "A 58390-2025")</f>
        <v/>
      </c>
      <c r="AA156">
        <f>HYPERLINK("https://klasma.github.io/Logging_2481/klagomål/A 58390-2025 FSC-klagomål.docx", "A 58390-2025")</f>
        <v/>
      </c>
      <c r="AB156">
        <f>HYPERLINK("https://klasma.github.io/Logging_2481/klagomålsmail/A 58390-2025 FSC-klagomål mail.docx", "A 58390-2025")</f>
        <v/>
      </c>
      <c r="AC156">
        <f>HYPERLINK("https://klasma.github.io/Logging_2481/tillsyn/A 58390-2025 tillsynsbegäran.docx", "A 58390-2025")</f>
        <v/>
      </c>
      <c r="AD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46312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46312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46312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53011-2024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45611</v>
      </c>
      <c r="E160" s="1" t="n">
        <v>46312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Motaggsvamp</t>
        </is>
      </c>
      <c r="W160">
        <f>HYPERLINK("https://klasma.github.io/Logging_2481/artfynd/A 53011-2024 artfynd.xlsx", "A 53011-2024")</f>
        <v/>
      </c>
      <c r="X160">
        <f>HYPERLINK("https://klasma.github.io/Logging_2481/kartor/A 53011-2024 karta.png", "A 53011-2024")</f>
        <v/>
      </c>
      <c r="Y160">
        <f>HYPERLINK("https://klasma.github.io/Logging_2481/kartor_geotiff/A 53011-2024 georefererad karta.tif", "A 53011-2024")</f>
        <v/>
      </c>
      <c r="AA160">
        <f>HYPERLINK("https://klasma.github.io/Logging_2481/klagomål/A 53011-2024 FSC-klagomål.docx", "A 53011-2024")</f>
        <v/>
      </c>
      <c r="AB160">
        <f>HYPERLINK("https://klasma.github.io/Logging_2481/klagomålsmail/A 53011-2024 FSC-klagomål mail.docx", "A 53011-2024")</f>
        <v/>
      </c>
      <c r="AC160">
        <f>HYPERLINK("https://klasma.github.io/Logging_2481/tillsyn/A 53011-2024 tillsynsbegäran.docx", "A 53011-2024")</f>
        <v/>
      </c>
      <c r="AD160">
        <f>HYPERLINK("https://klasma.github.io/Logging_2481/tillsynsmail/A 53011-2024 tillsynsbegäran mail.docx", "A 53011-2024")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46312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25591-2026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46312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15.9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Gränsticka</t>
        </is>
      </c>
      <c r="W162">
        <f>HYPERLINK("https://klasma.github.io/Logging_2481/artfynd/A 25591-2026 artfynd.xlsx", "A 25591-2026")</f>
        <v/>
      </c>
      <c r="X162">
        <f>HYPERLINK("https://klasma.github.io/Logging_2481/kartor/A 25591-2026 karta.png", "A 25591-2026")</f>
        <v/>
      </c>
      <c r="Y162">
        <f>HYPERLINK("https://klasma.github.io/Logging_2481/kartor_geotiff/A 25591-2026 georefererad karta.tif", "A 25591-2026")</f>
        <v/>
      </c>
      <c r="AA162">
        <f>HYPERLINK("https://klasma.github.io/Logging_2481/klagomål/A 25591-2026 FSC-klagomål.docx", "A 25591-2026")</f>
        <v/>
      </c>
      <c r="AB162">
        <f>HYPERLINK("https://klasma.github.io/Logging_2481/klagomålsmail/A 25591-2026 FSC-klagomål mail.docx", "A 25591-2026")</f>
        <v/>
      </c>
      <c r="AC162">
        <f>HYPERLINK("https://klasma.github.io/Logging_2481/tillsyn/A 25591-2026 tillsynsbegäran.docx", "A 25591-2026")</f>
        <v/>
      </c>
      <c r="AD162">
        <f>HYPERLINK("https://klasma.github.io/Logging_2481/tillsynsmail/A 25591-2026 tillsynsbegäran mail.docx", "A 25591-2026")</f>
        <v/>
      </c>
    </row>
    <row r="163" ht="15" customHeight="1">
      <c r="A163" t="inlineStr">
        <is>
          <t>A 25720-2026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46312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Orange taggsvamp</t>
        </is>
      </c>
      <c r="W163">
        <f>HYPERLINK("https://klasma.github.io/Logging_2481/artfynd/A 25720-2026 artfynd.xlsx", "A 25720-2026")</f>
        <v/>
      </c>
      <c r="X163">
        <f>HYPERLINK("https://klasma.github.io/Logging_2481/kartor/A 25720-2026 karta.png", "A 25720-2026")</f>
        <v/>
      </c>
      <c r="Y163">
        <f>HYPERLINK("https://klasma.github.io/Logging_2481/kartor_geotiff/A 25720-2026 georefererad karta.tif", "A 25720-2026")</f>
        <v/>
      </c>
      <c r="AA163">
        <f>HYPERLINK("https://klasma.github.io/Logging_2481/klagomål/A 25720-2026 FSC-klagomål.docx", "A 25720-2026")</f>
        <v/>
      </c>
      <c r="AB163">
        <f>HYPERLINK("https://klasma.github.io/Logging_2481/klagomålsmail/A 25720-2026 FSC-klagomål mail.docx", "A 25720-2026")</f>
        <v/>
      </c>
      <c r="AC163">
        <f>HYPERLINK("https://klasma.github.io/Logging_2481/tillsyn/A 25720-2026 tillsynsbegäran.docx", "A 25720-2026")</f>
        <v/>
      </c>
      <c r="AD163">
        <f>HYPERLINK("https://klasma.github.io/Logging_2481/tillsynsmail/A 25720-2026 tillsynsbegäran mail.docx", "A 25720-2026")</f>
        <v/>
      </c>
    </row>
    <row r="164" ht="15" customHeight="1">
      <c r="A164" t="inlineStr">
        <is>
          <t>A 2499-2026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46312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19.3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HYPERLINK("https://klasma.github.io/Logging_2481/artfynd/A 2499-2026 artfynd.xlsx", "A 2499-2026")</f>
        <v/>
      </c>
      <c r="X164">
        <f>HYPERLINK("https://klasma.github.io/Logging_2481/kartor/A 2499-2026 karta.png", "A 2499-2026")</f>
        <v/>
      </c>
      <c r="Y164">
        <f>HYPERLINK("https://klasma.github.io/Logging_2481/kartor_geotiff/A 2499-2026 georefererad karta.tif", "A 2499-2026")</f>
        <v/>
      </c>
      <c r="AA164">
        <f>HYPERLINK("https://klasma.github.io/Logging_2481/klagomål/A 2499-2026 FSC-klagomål.docx", "A 2499-2026")</f>
        <v/>
      </c>
      <c r="AB164">
        <f>HYPERLINK("https://klasma.github.io/Logging_2481/klagomålsmail/A 2499-2026 FSC-klagomål mail.docx", "A 2499-2026")</f>
        <v/>
      </c>
      <c r="AC164">
        <f>HYPERLINK("https://klasma.github.io/Logging_2481/tillsyn/A 2499-2026 tillsynsbegäran.docx", "A 2499-2026")</f>
        <v/>
      </c>
      <c r="AD164">
        <f>HYPERLINK("https://klasma.github.io/Logging_2481/tillsynsmail/A 2499-2026 tillsynsbegäran mail.docx", "A 2499-2026")</f>
        <v/>
      </c>
    </row>
    <row r="165" ht="15" customHeight="1">
      <c r="A165" t="inlineStr">
        <is>
          <t>A 8491-2026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46312</v>
      </c>
      <c r="F165" t="inlineStr">
        <is>
          <t>VÄSTERBOTTENS LÄN</t>
        </is>
      </c>
      <c r="G165" t="inlineStr">
        <is>
          <t>LYCKSELE</t>
        </is>
      </c>
      <c r="I165" t="n">
        <v>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8491-2026 artfynd.xlsx", "A 8491-2026")</f>
        <v/>
      </c>
      <c r="X165">
        <f>HYPERLINK("https://klasma.github.io/Logging_2481/kartor/A 8491-2026 karta.png", "A 8491-2026")</f>
        <v/>
      </c>
      <c r="Y165">
        <f>HYPERLINK("https://klasma.github.io/Logging_2481/kartor_geotiff/A 8491-2026 georefererad karta.tif", "A 8491-2026")</f>
        <v/>
      </c>
      <c r="AA165">
        <f>HYPERLINK("https://klasma.github.io/Logging_2481/klagomål/A 8491-2026 FSC-klagomål.docx", "A 8491-2026")</f>
        <v/>
      </c>
      <c r="AB165">
        <f>HYPERLINK("https://klasma.github.io/Logging_2481/klagomålsmail/A 8491-2026 FSC-klagomål mail.docx", "A 8491-2026")</f>
        <v/>
      </c>
      <c r="AC165">
        <f>HYPERLINK("https://klasma.github.io/Logging_2481/tillsyn/A 8491-2026 tillsynsbegäran.docx", "A 8491-2026")</f>
        <v/>
      </c>
      <c r="AD165">
        <f>HYPERLINK("https://klasma.github.io/Logging_2481/tillsynsmail/A 8491-2026 tillsynsbegäran mail.docx", "A 8491-2026")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9722-2026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46312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HYPERLINK("https://klasma.github.io/Logging_2481/artfynd/A 9722-2026 artfynd.xlsx", "A 9722-2026")</f>
        <v/>
      </c>
      <c r="X167">
        <f>HYPERLINK("https://klasma.github.io/Logging_2481/kartor/A 9722-2026 karta.png", "A 9722-2026")</f>
        <v/>
      </c>
      <c r="Y167">
        <f>HYPERLINK("https://klasma.github.io/Logging_2481/kartor_geotiff/A 9722-2026 georefererad karta.tif", "A 9722-2026")</f>
        <v/>
      </c>
      <c r="AA167">
        <f>HYPERLINK("https://klasma.github.io/Logging_2481/klagomål/A 9722-2026 FSC-klagomål.docx", "A 9722-2026")</f>
        <v/>
      </c>
      <c r="AB167">
        <f>HYPERLINK("https://klasma.github.io/Logging_2481/klagomålsmail/A 9722-2026 FSC-klagomål mail.docx", "A 9722-2026")</f>
        <v/>
      </c>
      <c r="AC167">
        <f>HYPERLINK("https://klasma.github.io/Logging_2481/tillsyn/A 9722-2026 tillsynsbegäran.docx", "A 9722-2026")</f>
        <v/>
      </c>
      <c r="AD167">
        <f>HYPERLINK("https://klasma.github.io/Logging_2481/tillsynsmail/A 9722-2026 tillsynsbegäran mail.docx", "A 9722-2026")</f>
        <v/>
      </c>
    </row>
    <row r="168" ht="15" customHeight="1">
      <c r="A168" t="inlineStr">
        <is>
          <t>A 49394-2024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46312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HYPERLINK("https://klasma.github.io/Logging_2481/artfynd/A 49394-2024 artfynd.xlsx", "A 49394-2024")</f>
        <v/>
      </c>
      <c r="X168">
        <f>HYPERLINK("https://klasma.github.io/Logging_2481/kartor/A 49394-2024 karta.png", "A 49394-2024")</f>
        <v/>
      </c>
      <c r="Y168">
        <f>HYPERLINK("https://klasma.github.io/Logging_2481/kartor_geotiff/A 49394-2024 georefererad karta.tif", "A 49394-2024")</f>
        <v/>
      </c>
      <c r="AA168">
        <f>HYPERLINK("https://klasma.github.io/Logging_2481/klagomål/A 49394-2024 FSC-klagomål.docx", "A 49394-2024")</f>
        <v/>
      </c>
      <c r="AB168">
        <f>HYPERLINK("https://klasma.github.io/Logging_2481/klagomålsmail/A 49394-2024 FSC-klagomål mail.docx", "A 49394-2024")</f>
        <v/>
      </c>
      <c r="AC168">
        <f>HYPERLINK("https://klasma.github.io/Logging_2481/tillsyn/A 49394-2024 tillsynsbegäran.docx", "A 49394-2024")</f>
        <v/>
      </c>
      <c r="AD168">
        <f>HYPERLINK("https://klasma.github.io/Logging_2481/tillsynsmail/A 49394-2024 tillsynsbegäran mail.docx", "A 49394-2024")</f>
        <v/>
      </c>
    </row>
    <row r="169" ht="15" customHeight="1">
      <c r="A169" t="inlineStr">
        <is>
          <t>A 28716-2026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28716-2026 artfynd.xlsx", "A 28716-2026")</f>
        <v/>
      </c>
      <c r="X169">
        <f>HYPERLINK("https://klasma.github.io/Logging_2481/kartor/A 28716-2026 karta.png", "A 28716-2026")</f>
        <v/>
      </c>
      <c r="Y169">
        <f>HYPERLINK("https://klasma.github.io/Logging_2481/kartor_geotiff/A 28716-2026 georefererad karta.tif", "A 28716-2026")</f>
        <v/>
      </c>
      <c r="AA169">
        <f>HYPERLINK("https://klasma.github.io/Logging_2481/klagomål/A 28716-2026 FSC-klagomål.docx", "A 28716-2026")</f>
        <v/>
      </c>
      <c r="AB169">
        <f>HYPERLINK("https://klasma.github.io/Logging_2481/klagomålsmail/A 28716-2026 FSC-klagomål mail.docx", "A 28716-2026")</f>
        <v/>
      </c>
      <c r="AC169">
        <f>HYPERLINK("https://klasma.github.io/Logging_2481/tillsyn/A 28716-2026 tillsynsbegäran.docx", "A 28716-2026")</f>
        <v/>
      </c>
      <c r="AD169">
        <f>HYPERLINK("https://klasma.github.io/Logging_2481/tillsynsmail/A 28716-2026 tillsynsbegäran mail.docx", "A 28716-2026")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46312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46312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Holmen skog AB</t>
        </is>
      </c>
      <c r="I171" t="n">
        <v>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Skinnlav</t>
        </is>
      </c>
      <c r="W171">
        <f>HYPERLINK("https://klasma.github.io/Logging_2481/artfynd/A 28806-2026 artfynd.xlsx", "A 28806-2026")</f>
        <v/>
      </c>
      <c r="X171">
        <f>HYPERLINK("https://klasma.github.io/Logging_2481/kartor/A 28806-2026 karta.png", "A 28806-2026")</f>
        <v/>
      </c>
      <c r="Y171">
        <f>HYPERLINK("https://klasma.github.io/Logging_2481/kartor_geotiff/A 28806-2026 georefererad karta.tif", "A 28806-2026")</f>
        <v/>
      </c>
      <c r="AA171">
        <f>HYPERLINK("https://klasma.github.io/Logging_2481/klagomål/A 28806-2026 FSC-klagomål.docx", "A 28806-2026")</f>
        <v/>
      </c>
      <c r="AB171">
        <f>HYPERLINK("https://klasma.github.io/Logging_2481/klagomålsmail/A 28806-2026 FSC-klagomål mail.docx", "A 28806-2026")</f>
        <v/>
      </c>
      <c r="AC171">
        <f>HYPERLINK("https://klasma.github.io/Logging_2481/tillsyn/A 28806-2026 tillsynsbegäran.docx", "A 28806-2026")</f>
        <v/>
      </c>
      <c r="AD171">
        <f>HYPERLINK("https://klasma.github.io/Logging_2481/tillsynsmail/A 28806-2026 tillsynsbegäran mail.docx", "A 28806-2026")</f>
        <v/>
      </c>
    </row>
    <row r="172" ht="15" customHeight="1">
      <c r="A172" t="inlineStr">
        <is>
          <t>A 29828-2026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46312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HYPERLINK("https://klasma.github.io/Logging_2481/artfynd/A 29828-2026 artfynd.xlsx", "A 29828-2026")</f>
        <v/>
      </c>
      <c r="X172">
        <f>HYPERLINK("https://klasma.github.io/Logging_2481/kartor/A 29828-2026 karta.png", "A 29828-2026")</f>
        <v/>
      </c>
      <c r="Y172">
        <f>HYPERLINK("https://klasma.github.io/Logging_2481/kartor_geotiff/A 29828-2026 georefererad karta.tif", "A 29828-2026")</f>
        <v/>
      </c>
      <c r="AA172">
        <f>HYPERLINK("https://klasma.github.io/Logging_2481/klagomål/A 29828-2026 FSC-klagomål.docx", "A 29828-2026")</f>
        <v/>
      </c>
      <c r="AB172">
        <f>HYPERLINK("https://klasma.github.io/Logging_2481/klagomålsmail/A 29828-2026 FSC-klagomål mail.docx", "A 29828-2026")</f>
        <v/>
      </c>
      <c r="AC172">
        <f>HYPERLINK("https://klasma.github.io/Logging_2481/tillsyn/A 29828-2026 tillsynsbegäran.docx", "A 29828-2026")</f>
        <v/>
      </c>
      <c r="AD172">
        <f>HYPERLINK("https://klasma.github.io/Logging_2481/tillsynsmail/A 29828-2026 tillsynsbegäran mail.docx", "A 29828-2026")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46312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31290-2026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46312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31290-2026 artfynd.xlsx", "A 31290-2026")</f>
        <v/>
      </c>
      <c r="X174">
        <f>HYPERLINK("https://klasma.github.io/Logging_2481/kartor/A 31290-2026 karta.png", "A 31290-2026")</f>
        <v/>
      </c>
      <c r="Y174">
        <f>HYPERLINK("https://klasma.github.io/Logging_2481/kartor_geotiff/A 31290-2026 georefererad karta.tif", "A 31290-2026")</f>
        <v/>
      </c>
      <c r="AA174">
        <f>HYPERLINK("https://klasma.github.io/Logging_2481/klagomål/A 31290-2026 FSC-klagomål.docx", "A 31290-2026")</f>
        <v/>
      </c>
      <c r="AB174">
        <f>HYPERLINK("https://klasma.github.io/Logging_2481/klagomålsmail/A 31290-2026 FSC-klagomål mail.docx", "A 31290-2026")</f>
        <v/>
      </c>
      <c r="AC174">
        <f>HYPERLINK("https://klasma.github.io/Logging_2481/tillsyn/A 31290-2026 tillsynsbegäran.docx", "A 31290-2026")</f>
        <v/>
      </c>
      <c r="AD174">
        <f>HYPERLINK("https://klasma.github.io/Logging_2481/tillsynsmail/A 31290-2026 tillsynsbegäran mail.docx", "A 31290-2026")</f>
        <v/>
      </c>
    </row>
    <row r="175" ht="15" customHeight="1">
      <c r="A175" t="inlineStr">
        <is>
          <t>A 28408-2023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45101</v>
      </c>
      <c r="E175" s="1" t="n">
        <v>46312</v>
      </c>
      <c r="F175" t="inlineStr">
        <is>
          <t>VÄSTERBOTTENS LÄN</t>
        </is>
      </c>
      <c r="G175" t="inlineStr">
        <is>
          <t>LYCKSELE</t>
        </is>
      </c>
      <c r="I175" t="n">
        <v>5.7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Blå taggsvamp</t>
        </is>
      </c>
      <c r="W175">
        <f>HYPERLINK("https://klasma.github.io/Logging_2481/artfynd/A 28408-2023 artfynd.xlsx", "A 28408-2023")</f>
        <v/>
      </c>
      <c r="X175">
        <f>HYPERLINK("https://klasma.github.io/Logging_2481/kartor/A 28408-2023 karta.png", "A 28408-2023")</f>
        <v/>
      </c>
      <c r="Y175">
        <f>HYPERLINK("https://klasma.github.io/Logging_2481/kartor_geotiff/A 28408-2023 georefererad karta.tif", "A 28408-2023")</f>
        <v/>
      </c>
      <c r="AA175">
        <f>HYPERLINK("https://klasma.github.io/Logging_2481/klagomål/A 28408-2023 FSC-klagomål.docx", "A 28408-2023")</f>
        <v/>
      </c>
      <c r="AB175">
        <f>HYPERLINK("https://klasma.github.io/Logging_2481/klagomålsmail/A 28408-2023 FSC-klagomål mail.docx", "A 28408-2023")</f>
        <v/>
      </c>
      <c r="AC175">
        <f>HYPERLINK("https://klasma.github.io/Logging_2481/tillsyn/A 28408-2023 tillsynsbegäran.docx", "A 28408-2023")</f>
        <v/>
      </c>
      <c r="AD175">
        <f>HYPERLINK("https://klasma.github.io/Logging_2481/tillsynsmail/A 28408-2023 tillsynsbegäran mail.docx", "A 28408-2023")</f>
        <v/>
      </c>
    </row>
    <row r="176" ht="15" customHeight="1">
      <c r="A176" t="inlineStr">
        <is>
          <t>A 50018-2024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45599</v>
      </c>
      <c r="E176" s="1" t="n">
        <v>46312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50018-2024 artfynd.xlsx", "A 50018-2024")</f>
        <v/>
      </c>
      <c r="X176">
        <f>HYPERLINK("https://klasma.github.io/Logging_2481/kartor/A 50018-2024 karta.png", "A 50018-2024")</f>
        <v/>
      </c>
      <c r="Y176">
        <f>HYPERLINK("https://klasma.github.io/Logging_2481/kartor_geotiff/A 50018-2024 georefererad karta.tif", "A 50018-2024")</f>
        <v/>
      </c>
      <c r="AA176">
        <f>HYPERLINK("https://klasma.github.io/Logging_2481/klagomål/A 50018-2024 FSC-klagomål.docx", "A 50018-2024")</f>
        <v/>
      </c>
      <c r="AB176">
        <f>HYPERLINK("https://klasma.github.io/Logging_2481/klagomålsmail/A 50018-2024 FSC-klagomål mail.docx", "A 50018-2024")</f>
        <v/>
      </c>
      <c r="AC176">
        <f>HYPERLINK("https://klasma.github.io/Logging_2481/tillsyn/A 50018-2024 tillsynsbegäran.docx", "A 50018-2024")</f>
        <v/>
      </c>
      <c r="AD176">
        <f>HYPERLINK("https://klasma.github.io/Logging_2481/tillsynsmail/A 50018-2024 tillsynsbegäran mail.docx", "A 50018-2024")</f>
        <v/>
      </c>
    </row>
    <row r="177" ht="15" customHeight="1">
      <c r="A177" t="inlineStr">
        <is>
          <t>A 37214-2026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Utter</t>
        </is>
      </c>
      <c r="W177">
        <f>HYPERLINK("https://klasma.github.io/Logging_2481/artfynd/A 37214-2026 artfynd.xlsx", "A 37214-2026")</f>
        <v/>
      </c>
      <c r="X177">
        <f>HYPERLINK("https://klasma.github.io/Logging_2481/kartor/A 37214-2026 karta.png", "A 37214-2026")</f>
        <v/>
      </c>
      <c r="Y177">
        <f>HYPERLINK("https://klasma.github.io/Logging_2481/kartor_geotiff/A 37214-2026 georefererad karta.tif", "A 37214-2026")</f>
        <v/>
      </c>
      <c r="AA177">
        <f>HYPERLINK("https://klasma.github.io/Logging_2481/klagomål/A 37214-2026 FSC-klagomål.docx", "A 37214-2026")</f>
        <v/>
      </c>
      <c r="AB177">
        <f>HYPERLINK("https://klasma.github.io/Logging_2481/klagomålsmail/A 37214-2026 FSC-klagomål mail.docx", "A 37214-2026")</f>
        <v/>
      </c>
      <c r="AC177">
        <f>HYPERLINK("https://klasma.github.io/Logging_2481/tillsyn/A 37214-2026 tillsynsbegäran.docx", "A 37214-2026")</f>
        <v/>
      </c>
      <c r="AD177">
        <f>HYPERLINK("https://klasma.github.io/Logging_2481/tillsynsmail/A 37214-2026 tillsynsbegäran mail.docx", "A 37214-2026")</f>
        <v/>
      </c>
    </row>
    <row r="178" ht="15" customHeight="1">
      <c r="A178" t="inlineStr">
        <is>
          <t>A 37163-2026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46312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37163-2026 artfynd.xlsx", "A 37163-2026")</f>
        <v/>
      </c>
      <c r="X178">
        <f>HYPERLINK("https://klasma.github.io/Logging_2481/kartor/A 37163-2026 karta.png", "A 37163-2026")</f>
        <v/>
      </c>
      <c r="Y178">
        <f>HYPERLINK("https://klasma.github.io/Logging_2481/kartor_geotiff/A 37163-2026 georefererad karta.tif", "A 37163-2026")</f>
        <v/>
      </c>
      <c r="AA178">
        <f>HYPERLINK("https://klasma.github.io/Logging_2481/klagomål/A 37163-2026 FSC-klagomål.docx", "A 37163-2026")</f>
        <v/>
      </c>
      <c r="AB178">
        <f>HYPERLINK("https://klasma.github.io/Logging_2481/klagomålsmail/A 37163-2026 FSC-klagomål mail.docx", "A 37163-2026")</f>
        <v/>
      </c>
      <c r="AC178">
        <f>HYPERLINK("https://klasma.github.io/Logging_2481/tillsyn/A 37163-2026 tillsynsbegäran.docx", "A 37163-2026")</f>
        <v/>
      </c>
      <c r="AD178">
        <f>HYPERLINK("https://klasma.github.io/Logging_2481/tillsynsmail/A 37163-2026 tillsynsbegäran mail.docx", "A 37163-2026")</f>
        <v/>
      </c>
    </row>
    <row r="179" ht="15" customHeight="1">
      <c r="A179" t="inlineStr">
        <is>
          <t>A 33726-2022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46312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12.7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Pärluggla</t>
        </is>
      </c>
      <c r="W179">
        <f>HYPERLINK("https://klasma.github.io/Logging_2481/artfynd/A 33726-2022 artfynd.xlsx", "A 33726-2022")</f>
        <v/>
      </c>
      <c r="X179">
        <f>HYPERLINK("https://klasma.github.io/Logging_2481/kartor/A 33726-2022 karta.png", "A 33726-2022")</f>
        <v/>
      </c>
      <c r="Y179">
        <f>HYPERLINK("https://klasma.github.io/Logging_2481/kartor_geotiff/A 33726-2022 georefererad karta.tif", "A 33726-2022")</f>
        <v/>
      </c>
      <c r="AA179">
        <f>HYPERLINK("https://klasma.github.io/Logging_2481/klagomål/A 33726-2022 FSC-klagomål.docx", "A 33726-2022")</f>
        <v/>
      </c>
      <c r="AB179">
        <f>HYPERLINK("https://klasma.github.io/Logging_2481/klagomålsmail/A 33726-2022 FSC-klagomål mail.docx", "A 33726-2022")</f>
        <v/>
      </c>
      <c r="AC179">
        <f>HYPERLINK("https://klasma.github.io/Logging_2481/tillsyn/A 33726-2022 tillsynsbegäran.docx", "A 33726-2022")</f>
        <v/>
      </c>
      <c r="AD179">
        <f>HYPERLINK("https://klasma.github.io/Logging_2481/tillsynsmail/A 33726-2022 tillsynsbegäran mail.docx", "A 33726-2022")</f>
        <v/>
      </c>
      <c r="AE179">
        <f>HYPERLINK("https://klasma.github.io/Logging_2481/fåglar/A 33726-2022 prioriterade fågelarter.docx", "A 33726-2022")</f>
        <v/>
      </c>
    </row>
    <row r="180" ht="15" customHeight="1">
      <c r="A180" t="inlineStr">
        <is>
          <t>A 38104-2026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46312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16.3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Skrovellav</t>
        </is>
      </c>
      <c r="W180">
        <f>HYPERLINK("https://klasma.github.io/Logging_2481/artfynd/A 38104-2026 artfynd.xlsx", "A 38104-2026")</f>
        <v/>
      </c>
      <c r="X180">
        <f>HYPERLINK("https://klasma.github.io/Logging_2481/kartor/A 38104-2026 karta.png", "A 38104-2026")</f>
        <v/>
      </c>
      <c r="Y180">
        <f>HYPERLINK("https://klasma.github.io/Logging_2481/kartor_geotiff/A 38104-2026 georefererad karta.tif", "A 38104-2026")</f>
        <v/>
      </c>
      <c r="AA180">
        <f>HYPERLINK("https://klasma.github.io/Logging_2481/klagomål/A 38104-2026 FSC-klagomål.docx", "A 38104-2026")</f>
        <v/>
      </c>
      <c r="AB180">
        <f>HYPERLINK("https://klasma.github.io/Logging_2481/klagomålsmail/A 38104-2026 FSC-klagomål mail.docx", "A 38104-2026")</f>
        <v/>
      </c>
      <c r="AC180">
        <f>HYPERLINK("https://klasma.github.io/Logging_2481/tillsyn/A 38104-2026 tillsynsbegäran.docx", "A 38104-2026")</f>
        <v/>
      </c>
      <c r="AD180">
        <f>HYPERLINK("https://klasma.github.io/Logging_2481/tillsynsmail/A 38104-2026 tillsynsbegäran mail.docx", "A 38104-2026")</f>
        <v/>
      </c>
    </row>
    <row r="181" ht="15" customHeight="1">
      <c r="A181" t="inlineStr">
        <is>
          <t>A 37951-2026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46312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37951-2026 artfynd.xlsx", "A 37951-2026")</f>
        <v/>
      </c>
      <c r="X181">
        <f>HYPERLINK("https://klasma.github.io/Logging_2481/kartor/A 37951-2026 karta.png", "A 37951-2026")</f>
        <v/>
      </c>
      <c r="Y181">
        <f>HYPERLINK("https://klasma.github.io/Logging_2481/kartor_geotiff/A 37951-2026 georefererad karta.tif", "A 37951-2026")</f>
        <v/>
      </c>
      <c r="AA181">
        <f>HYPERLINK("https://klasma.github.io/Logging_2481/klagomål/A 37951-2026 FSC-klagomål.docx", "A 37951-2026")</f>
        <v/>
      </c>
      <c r="AB181">
        <f>HYPERLINK("https://klasma.github.io/Logging_2481/klagomålsmail/A 37951-2026 FSC-klagomål mail.docx", "A 37951-2026")</f>
        <v/>
      </c>
      <c r="AC181">
        <f>HYPERLINK("https://klasma.github.io/Logging_2481/tillsyn/A 37951-2026 tillsynsbegäran.docx", "A 37951-2026")</f>
        <v/>
      </c>
      <c r="AD181">
        <f>HYPERLINK("https://klasma.github.io/Logging_2481/tillsynsmail/A 37951-2026 tillsynsbegäran mail.docx", "A 37951-2026")</f>
        <v/>
      </c>
    </row>
    <row r="182" ht="15" customHeight="1">
      <c r="A182" t="inlineStr">
        <is>
          <t>A 38263-2026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46281</v>
      </c>
      <c r="E182" s="1" t="n">
        <v>46312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HYPERLINK("https://klasma.github.io/Logging_2481/artfynd/A 38263-2026 artfynd.xlsx", "A 38263-2026")</f>
        <v/>
      </c>
      <c r="X182">
        <f>HYPERLINK("https://klasma.github.io/Logging_2481/kartor/A 38263-2026 karta.png", "A 38263-2026")</f>
        <v/>
      </c>
      <c r="Y182">
        <f>HYPERLINK("https://klasma.github.io/Logging_2481/kartor_geotiff/A 38263-2026 georefererad karta.tif", "A 38263-2026")</f>
        <v/>
      </c>
      <c r="AA182">
        <f>HYPERLINK("https://klasma.github.io/Logging_2481/klagomål/A 38263-2026 FSC-klagomål.docx", "A 38263-2026")</f>
        <v/>
      </c>
      <c r="AB182">
        <f>HYPERLINK("https://klasma.github.io/Logging_2481/klagomålsmail/A 38263-2026 FSC-klagomål mail.docx", "A 38263-2026")</f>
        <v/>
      </c>
      <c r="AC182">
        <f>HYPERLINK("https://klasma.github.io/Logging_2481/tillsyn/A 38263-2026 tillsynsbegäran.docx", "A 38263-2026")</f>
        <v/>
      </c>
      <c r="AD182">
        <f>HYPERLINK("https://klasma.github.io/Logging_2481/tillsynsmail/A 38263-2026 tillsynsbegäran mail.docx", "A 38263-2026")</f>
        <v/>
      </c>
    </row>
    <row r="183" ht="15" customHeight="1">
      <c r="A183" t="inlineStr">
        <is>
          <t>A 32246-2026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46312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Skrovellav</t>
        </is>
      </c>
      <c r="W183">
        <f>HYPERLINK("https://klasma.github.io/Logging_2481/artfynd/A 32246-2026 artfynd.xlsx", "A 32246-2026")</f>
        <v/>
      </c>
      <c r="X183">
        <f>HYPERLINK("https://klasma.github.io/Logging_2481/kartor/A 32246-2026 karta.png", "A 32246-2026")</f>
        <v/>
      </c>
      <c r="Y183">
        <f>HYPERLINK("https://klasma.github.io/Logging_2481/kartor_geotiff/A 32246-2026 georefererad karta.tif", "A 32246-2026")</f>
        <v/>
      </c>
      <c r="AA183">
        <f>HYPERLINK("https://klasma.github.io/Logging_2481/klagomål/A 32246-2026 FSC-klagomål.docx", "A 32246-2026")</f>
        <v/>
      </c>
      <c r="AB183">
        <f>HYPERLINK("https://klasma.github.io/Logging_2481/klagomålsmail/A 32246-2026 FSC-klagomål mail.docx", "A 32246-2026")</f>
        <v/>
      </c>
      <c r="AC183">
        <f>HYPERLINK("https://klasma.github.io/Logging_2481/tillsyn/A 32246-2026 tillsynsbegäran.docx", "A 32246-2026")</f>
        <v/>
      </c>
      <c r="AD183">
        <f>HYPERLINK("https://klasma.github.io/Logging_2481/tillsynsmail/A 32246-2026 tillsynsbegäran mail.docx", "A 32246-2026")</f>
        <v/>
      </c>
    </row>
    <row r="184" ht="15" customHeight="1">
      <c r="A184" t="inlineStr">
        <is>
          <t>A 32612-2026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46240</v>
      </c>
      <c r="E184" s="1" t="n">
        <v>46312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HYPERLINK("https://klasma.github.io/Logging_2481/artfynd/A 32612-2026 artfynd.xlsx", "A 32612-2026")</f>
        <v/>
      </c>
      <c r="X184">
        <f>HYPERLINK("https://klasma.github.io/Logging_2481/kartor/A 32612-2026 karta.png", "A 32612-2026")</f>
        <v/>
      </c>
      <c r="Y184">
        <f>HYPERLINK("https://klasma.github.io/Logging_2481/kartor_geotiff/A 32612-2026 georefererad karta.tif", "A 32612-2026")</f>
        <v/>
      </c>
      <c r="AA184">
        <f>HYPERLINK("https://klasma.github.io/Logging_2481/klagomål/A 32612-2026 FSC-klagomål.docx", "A 32612-2026")</f>
        <v/>
      </c>
      <c r="AB184">
        <f>HYPERLINK("https://klasma.github.io/Logging_2481/klagomålsmail/A 32612-2026 FSC-klagomål mail.docx", "A 32612-2026")</f>
        <v/>
      </c>
      <c r="AC184">
        <f>HYPERLINK("https://klasma.github.io/Logging_2481/tillsyn/A 32612-2026 tillsynsbegäran.docx", "A 32612-2026")</f>
        <v/>
      </c>
      <c r="AD184">
        <f>HYPERLINK("https://klasma.github.io/Logging_2481/tillsynsmail/A 32612-2026 tillsynsbegäran mail.docx", "A 32612-2026")</f>
        <v/>
      </c>
    </row>
    <row r="185" ht="15" customHeight="1">
      <c r="A185" t="inlineStr">
        <is>
          <t>A 219-2025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46312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Dropptaggsvamp</t>
        </is>
      </c>
      <c r="W185">
        <f>HYPERLINK("https://klasma.github.io/Logging_2481/artfynd/A 219-2025 artfynd.xlsx", "A 219-2025")</f>
        <v/>
      </c>
      <c r="X185">
        <f>HYPERLINK("https://klasma.github.io/Logging_2481/kartor/A 219-2025 karta.png", "A 219-2025")</f>
        <v/>
      </c>
      <c r="Y185">
        <f>HYPERLINK("https://klasma.github.io/Logging_2481/kartor_geotiff/A 219-2025 georefererad karta.tif", "A 219-2025")</f>
        <v/>
      </c>
      <c r="AA185">
        <f>HYPERLINK("https://klasma.github.io/Logging_2481/klagomål/A 219-2025 FSC-klagomål.docx", "A 219-2025")</f>
        <v/>
      </c>
      <c r="AB185">
        <f>HYPERLINK("https://klasma.github.io/Logging_2481/klagomålsmail/A 219-2025 FSC-klagomål mail.docx", "A 219-2025")</f>
        <v/>
      </c>
      <c r="AC185">
        <f>HYPERLINK("https://klasma.github.io/Logging_2481/tillsyn/A 219-2025 tillsynsbegäran.docx", "A 219-2025")</f>
        <v/>
      </c>
      <c r="AD185">
        <f>HYPERLINK("https://klasma.github.io/Logging_2481/tillsynsmail/A 219-2025 tillsynsbegäran mail.docx", "A 219-2025")</f>
        <v/>
      </c>
    </row>
    <row r="186" ht="15" customHeight="1">
      <c r="A186" t="inlineStr">
        <is>
          <t>A 32686-2026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46240</v>
      </c>
      <c r="E186" s="1" t="n">
        <v>46312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17.4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Doftticka</t>
        </is>
      </c>
      <c r="W186">
        <f>HYPERLINK("https://klasma.github.io/Logging_2481/artfynd/A 32686-2026 artfynd.xlsx", "A 32686-2026")</f>
        <v/>
      </c>
      <c r="X186">
        <f>HYPERLINK("https://klasma.github.io/Logging_2481/kartor/A 32686-2026 karta.png", "A 32686-2026")</f>
        <v/>
      </c>
      <c r="Y186">
        <f>HYPERLINK("https://klasma.github.io/Logging_2481/kartor_geotiff/A 32686-2026 georefererad karta.tif", "A 32686-2026")</f>
        <v/>
      </c>
      <c r="AA186">
        <f>HYPERLINK("https://klasma.github.io/Logging_2481/klagomål/A 32686-2026 FSC-klagomål.docx", "A 32686-2026")</f>
        <v/>
      </c>
      <c r="AB186">
        <f>HYPERLINK("https://klasma.github.io/Logging_2481/klagomålsmail/A 32686-2026 FSC-klagomål mail.docx", "A 32686-2026")</f>
        <v/>
      </c>
      <c r="AC186">
        <f>HYPERLINK("https://klasma.github.io/Logging_2481/tillsyn/A 32686-2026 tillsynsbegäran.docx", "A 32686-2026")</f>
        <v/>
      </c>
      <c r="AD186">
        <f>HYPERLINK("https://klasma.github.io/Logging_2481/tillsynsmail/A 32686-2026 tillsynsbegäran mail.docx", "A 32686-2026")</f>
        <v/>
      </c>
    </row>
    <row r="187" ht="15" customHeight="1">
      <c r="A187" t="inlineStr">
        <is>
          <t>A 28838-2024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46312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28838-2024 artfynd.xlsx", "A 28838-2024")</f>
        <v/>
      </c>
      <c r="X187">
        <f>HYPERLINK("https://klasma.github.io/Logging_2481/kartor/A 28838-2024 karta.png", "A 28838-2024")</f>
        <v/>
      </c>
      <c r="Y187">
        <f>HYPERLINK("https://klasma.github.io/Logging_2481/kartor_geotiff/A 28838-2024 georefererad karta.tif", "A 28838-2024")</f>
        <v/>
      </c>
      <c r="AA187">
        <f>HYPERLINK("https://klasma.github.io/Logging_2481/klagomål/A 28838-2024 FSC-klagomål.docx", "A 28838-2024")</f>
        <v/>
      </c>
      <c r="AB187">
        <f>HYPERLINK("https://klasma.github.io/Logging_2481/klagomålsmail/A 28838-2024 FSC-klagomål mail.docx", "A 28838-2024")</f>
        <v/>
      </c>
      <c r="AC187">
        <f>HYPERLINK("https://klasma.github.io/Logging_2481/tillsyn/A 28838-2024 tillsynsbegäran.docx", "A 28838-2024")</f>
        <v/>
      </c>
      <c r="AD187">
        <f>HYPERLINK("https://klasma.github.io/Logging_2481/tillsynsmail/A 28838-2024 tillsynsbegäran mail.docx", "A 28838-2024")</f>
        <v/>
      </c>
    </row>
    <row r="188" ht="15" customHeight="1">
      <c r="A188" t="inlineStr">
        <is>
          <t>A 50826-2024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46312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Dropptaggsvamp</t>
        </is>
      </c>
      <c r="W188">
        <f>HYPERLINK("https://klasma.github.io/Logging_2481/artfynd/A 50826-2024 artfynd.xlsx", "A 50826-2024")</f>
        <v/>
      </c>
      <c r="X188">
        <f>HYPERLINK("https://klasma.github.io/Logging_2481/kartor/A 50826-2024 karta.png", "A 50826-2024")</f>
        <v/>
      </c>
      <c r="Y188">
        <f>HYPERLINK("https://klasma.github.io/Logging_2481/kartor_geotiff/A 50826-2024 georefererad karta.tif", "A 50826-2024")</f>
        <v/>
      </c>
      <c r="AA188">
        <f>HYPERLINK("https://klasma.github.io/Logging_2481/klagomål/A 50826-2024 FSC-klagomål.docx", "A 50826-2024")</f>
        <v/>
      </c>
      <c r="AB188">
        <f>HYPERLINK("https://klasma.github.io/Logging_2481/klagomålsmail/A 50826-2024 FSC-klagomål mail.docx", "A 50826-2024")</f>
        <v/>
      </c>
      <c r="AC188">
        <f>HYPERLINK("https://klasma.github.io/Logging_2481/tillsyn/A 50826-2024 tillsynsbegäran.docx", "A 50826-2024")</f>
        <v/>
      </c>
      <c r="AD188">
        <f>HYPERLINK("https://klasma.github.io/Logging_2481/tillsynsmail/A 50826-2024 tillsynsbegäran mail.docx", "A 50826-2024")</f>
        <v/>
      </c>
    </row>
    <row r="189" ht="15" customHeight="1">
      <c r="A189" t="inlineStr">
        <is>
          <t>A 40414-2026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46312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36.9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HYPERLINK("https://klasma.github.io/Logging_2481/artfynd/A 40414-2026 artfynd.xlsx", "A 40414-2026")</f>
        <v/>
      </c>
      <c r="X189">
        <f>HYPERLINK("https://klasma.github.io/Logging_2481/kartor/A 40414-2026 karta.png", "A 40414-2026")</f>
        <v/>
      </c>
      <c r="Y189">
        <f>HYPERLINK("https://klasma.github.io/Logging_2481/kartor_geotiff/A 40414-2026 georefererad karta.tif", "A 40414-2026")</f>
        <v/>
      </c>
      <c r="AA189">
        <f>HYPERLINK("https://klasma.github.io/Logging_2481/klagomål/A 40414-2026 FSC-klagomål.docx", "A 40414-2026")</f>
        <v/>
      </c>
      <c r="AB189">
        <f>HYPERLINK("https://klasma.github.io/Logging_2481/klagomålsmail/A 40414-2026 FSC-klagomål mail.docx", "A 40414-2026")</f>
        <v/>
      </c>
      <c r="AC189">
        <f>HYPERLINK("https://klasma.github.io/Logging_2481/tillsyn/A 40414-2026 tillsynsbegäran.docx", "A 40414-2026")</f>
        <v/>
      </c>
      <c r="AD189">
        <f>HYPERLINK("https://klasma.github.io/Logging_2481/tillsynsmail/A 40414-2026 tillsynsbegäran mail.docx", "A 40414-2026")</f>
        <v/>
      </c>
    </row>
    <row r="190" ht="15" customHeight="1">
      <c r="A190" t="inlineStr">
        <is>
          <t>A 40412-2026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46312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28.5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40412-2026 artfynd.xlsx", "A 40412-2026")</f>
        <v/>
      </c>
      <c r="X190">
        <f>HYPERLINK("https://klasma.github.io/Logging_2481/kartor/A 40412-2026 karta.png", "A 40412-2026")</f>
        <v/>
      </c>
      <c r="Y190">
        <f>HYPERLINK("https://klasma.github.io/Logging_2481/kartor_geotiff/A 40412-2026 georefererad karta.tif", "A 40412-2026")</f>
        <v/>
      </c>
      <c r="AA190">
        <f>HYPERLINK("https://klasma.github.io/Logging_2481/klagomål/A 40412-2026 FSC-klagomål.docx", "A 40412-2026")</f>
        <v/>
      </c>
      <c r="AB190">
        <f>HYPERLINK("https://klasma.github.io/Logging_2481/klagomålsmail/A 40412-2026 FSC-klagomål mail.docx", "A 40412-2026")</f>
        <v/>
      </c>
      <c r="AC190">
        <f>HYPERLINK("https://klasma.github.io/Logging_2481/tillsyn/A 40412-2026 tillsynsbegäran.docx", "A 40412-2026")</f>
        <v/>
      </c>
      <c r="AD190">
        <f>HYPERLINK("https://klasma.github.io/Logging_2481/tillsynsmail/A 40412-2026 tillsynsbegäran mail.docx", "A 40412-2026")</f>
        <v/>
      </c>
    </row>
    <row r="191" ht="15" customHeight="1">
      <c r="A191" t="inlineStr">
        <is>
          <t>A 40599-2026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46312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Lunglav</t>
        </is>
      </c>
      <c r="W191">
        <f>HYPERLINK("https://klasma.github.io/Logging_2481/artfynd/A 40599-2026 artfynd.xlsx", "A 40599-2026")</f>
        <v/>
      </c>
      <c r="X191">
        <f>HYPERLINK("https://klasma.github.io/Logging_2481/kartor/A 40599-2026 karta.png", "A 40599-2026")</f>
        <v/>
      </c>
      <c r="Y191">
        <f>HYPERLINK("https://klasma.github.io/Logging_2481/kartor_geotiff/A 40599-2026 georefererad karta.tif", "A 40599-2026")</f>
        <v/>
      </c>
      <c r="AA191">
        <f>HYPERLINK("https://klasma.github.io/Logging_2481/klagomål/A 40599-2026 FSC-klagomål.docx", "A 40599-2026")</f>
        <v/>
      </c>
      <c r="AB191">
        <f>HYPERLINK("https://klasma.github.io/Logging_2481/klagomålsmail/A 40599-2026 FSC-klagomål mail.docx", "A 40599-2026")</f>
        <v/>
      </c>
      <c r="AC191">
        <f>HYPERLINK("https://klasma.github.io/Logging_2481/tillsyn/A 40599-2026 tillsynsbegäran.docx", "A 40599-2026")</f>
        <v/>
      </c>
      <c r="AD191">
        <f>HYPERLINK("https://klasma.github.io/Logging_2481/tillsynsmail/A 40599-2026 tillsynsbegäran mail.docx", "A 40599-2026")</f>
        <v/>
      </c>
    </row>
    <row r="192" ht="15" customHeight="1">
      <c r="A192" t="inlineStr">
        <is>
          <t>A 40700-2026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46312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40700-2026 artfynd.xlsx", "A 40700-2026")</f>
        <v/>
      </c>
      <c r="X192">
        <f>HYPERLINK("https://klasma.github.io/Logging_2481/kartor/A 40700-2026 karta.png", "A 40700-2026")</f>
        <v/>
      </c>
      <c r="Y192">
        <f>HYPERLINK("https://klasma.github.io/Logging_2481/kartor_geotiff/A 40700-2026 georefererad karta.tif", "A 40700-2026")</f>
        <v/>
      </c>
      <c r="AA192">
        <f>HYPERLINK("https://klasma.github.io/Logging_2481/klagomål/A 40700-2026 FSC-klagomål.docx", "A 40700-2026")</f>
        <v/>
      </c>
      <c r="AB192">
        <f>HYPERLINK("https://klasma.github.io/Logging_2481/klagomålsmail/A 40700-2026 FSC-klagomål mail.docx", "A 40700-2026")</f>
        <v/>
      </c>
      <c r="AC192">
        <f>HYPERLINK("https://klasma.github.io/Logging_2481/tillsyn/A 40700-2026 tillsynsbegäran.docx", "A 40700-2026")</f>
        <v/>
      </c>
      <c r="AD192">
        <f>HYPERLINK("https://klasma.github.io/Logging_2481/tillsynsmail/A 40700-2026 tillsynsbegäran mail.docx", "A 40700-2026")</f>
        <v/>
      </c>
    </row>
    <row r="193" ht="15" customHeight="1">
      <c r="A193" t="inlineStr">
        <is>
          <t>A 40768-2026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7.4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HYPERLINK("https://klasma.github.io/Logging_2481/artfynd/A 40768-2026 artfynd.xlsx", "A 40768-2026")</f>
        <v/>
      </c>
      <c r="X193">
        <f>HYPERLINK("https://klasma.github.io/Logging_2481/kartor/A 40768-2026 karta.png", "A 40768-2026")</f>
        <v/>
      </c>
      <c r="Y193">
        <f>HYPERLINK("https://klasma.github.io/Logging_2481/kartor_geotiff/A 40768-2026 georefererad karta.tif", "A 40768-2026")</f>
        <v/>
      </c>
      <c r="AA193">
        <f>HYPERLINK("https://klasma.github.io/Logging_2481/klagomål/A 40768-2026 FSC-klagomål.docx", "A 40768-2026")</f>
        <v/>
      </c>
      <c r="AB193">
        <f>HYPERLINK("https://klasma.github.io/Logging_2481/klagomålsmail/A 40768-2026 FSC-klagomål mail.docx", "A 40768-2026")</f>
        <v/>
      </c>
      <c r="AC193">
        <f>HYPERLINK("https://klasma.github.io/Logging_2481/tillsyn/A 40768-2026 tillsynsbegäran.docx", "A 40768-2026")</f>
        <v/>
      </c>
      <c r="AD193">
        <f>HYPERLINK("https://klasma.github.io/Logging_2481/tillsynsmail/A 40768-2026 tillsynsbegäran mail.docx", "A 40768-2026")</f>
        <v/>
      </c>
    </row>
    <row r="194" ht="15" customHeight="1">
      <c r="A194" t="inlineStr">
        <is>
          <t>A 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46312</v>
      </c>
      <c r="F194" t="inlineStr">
        <is>
          <t>VÄSTERBOTTENS LÄN</t>
        </is>
      </c>
      <c r="G194" t="inlineStr">
        <is>
          <t>LYCKSELE</t>
        </is>
      </c>
      <c r="I194" t="n">
        <v>5.2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7</v>
      </c>
      <c r="U194" t="n">
        <v>7</v>
      </c>
      <c r="V194" s="2" t="inlineStr">
        <is>
          <t>Tretåig hackspett</t>
        </is>
      </c>
      <c r="W194">
        <f>HYPERLINK("https://klasma.github.io/Logging_2481/artfynd/A 496-2024 artfynd.xlsx", "A 496-2024")</f>
        <v/>
      </c>
      <c r="X194">
        <f>HYPERLINK("https://klasma.github.io/Logging_2481/kartor/A 496-2024 karta.png", "A 496-2024")</f>
        <v/>
      </c>
      <c r="Y194">
        <f>HYPERLINK("https://klasma.github.io/Logging_2481/kartor_geotiff/A 496-2024 georefererad karta.tif", "A 496-2024")</f>
        <v/>
      </c>
      <c r="AA194">
        <f>HYPERLINK("https://klasma.github.io/Logging_2481/klagomål/A 496-2024 FSC-klagomål.docx", "A 496-2024")</f>
        <v/>
      </c>
      <c r="AB194">
        <f>HYPERLINK("https://klasma.github.io/Logging_2481/klagomålsmail/A 496-2024 FSC-klagomål mail.docx", "A 496-2024")</f>
        <v/>
      </c>
      <c r="AC194">
        <f>HYPERLINK("https://klasma.github.io/Logging_2481/tillsyn/A 496-2024 tillsynsbegäran.docx", "A 496-2024")</f>
        <v/>
      </c>
      <c r="AD194">
        <f>HYPERLINK("https://klasma.github.io/Logging_2481/tillsynsmail/A 496-2024 tillsynsbegäran mail.docx", "A 496-2024")</f>
        <v/>
      </c>
      <c r="AE194">
        <f>HYPERLINK("https://klasma.github.io/Logging_2481/fåglar/A 496-2024 prioriterade fågelarter.docx", "A 496-2024")</f>
        <v/>
      </c>
    </row>
    <row r="195" ht="15" customHeight="1">
      <c r="A195" t="inlineStr">
        <is>
          <t>A 34789-2026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46312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7.7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34789-2026 artfynd.xlsx", "A 34789-2026")</f>
        <v/>
      </c>
      <c r="X195">
        <f>HYPERLINK("https://klasma.github.io/Logging_2481/kartor/A 34789-2026 karta.png", "A 34789-2026")</f>
        <v/>
      </c>
      <c r="Y195">
        <f>HYPERLINK("https://klasma.github.io/Logging_2481/kartor_geotiff/A 34789-2026 georefererad karta.tif", "A 34789-2026")</f>
        <v/>
      </c>
      <c r="Z195">
        <f>HYPERLINK("https://klasma.github.io/Logging_2481/knärot/A 34789-2026 karta knärot.png", "A 34789-2026")</f>
        <v/>
      </c>
      <c r="AA195">
        <f>HYPERLINK("https://klasma.github.io/Logging_2481/klagomål/A 34789-2026 FSC-klagomål.docx", "A 34789-2026")</f>
        <v/>
      </c>
      <c r="AB195">
        <f>HYPERLINK("https://klasma.github.io/Logging_2481/klagomålsmail/A 34789-2026 FSC-klagomål mail.docx", "A 34789-2026")</f>
        <v/>
      </c>
      <c r="AC195">
        <f>HYPERLINK("https://klasma.github.io/Logging_2481/tillsyn/A 34789-2026 tillsynsbegäran.docx", "A 34789-2026")</f>
        <v/>
      </c>
      <c r="AD195">
        <f>HYPERLINK("https://klasma.github.io/Logging_2481/tillsynsmail/A 34789-2026 tillsynsbegäran mail.docx", "A 34789-2026")</f>
        <v/>
      </c>
    </row>
    <row r="196" ht="15" customHeight="1">
      <c r="A196" t="inlineStr">
        <is>
          <t>A 22373-2025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22373-2025 artfynd.xlsx", "A 22373-2025")</f>
        <v/>
      </c>
      <c r="X196">
        <f>HYPERLINK("https://klasma.github.io/Logging_2481/kartor/A 22373-2025 karta.png", "A 22373-2025")</f>
        <v/>
      </c>
      <c r="Y196">
        <f>HYPERLINK("https://klasma.github.io/Logging_2481/kartor_geotiff/A 22373-2025 georefererad karta.tif", "A 22373-2025")</f>
        <v/>
      </c>
      <c r="AA196">
        <f>HYPERLINK("https://klasma.github.io/Logging_2481/klagomål/A 22373-2025 FSC-klagomål.docx", "A 22373-2025")</f>
        <v/>
      </c>
      <c r="AB196">
        <f>HYPERLINK("https://klasma.github.io/Logging_2481/klagomålsmail/A 22373-2025 FSC-klagomål mail.docx", "A 22373-2025")</f>
        <v/>
      </c>
      <c r="AC196">
        <f>HYPERLINK("https://klasma.github.io/Logging_2481/tillsyn/A 22373-2025 tillsynsbegäran.docx", "A 22373-2025")</f>
        <v/>
      </c>
      <c r="AD196">
        <f>HYPERLINK("https://klasma.github.io/Logging_2481/tillsynsmail/A 22373-2025 tillsynsbegäran mail.docx", "A 22373-2025")</f>
        <v/>
      </c>
    </row>
    <row r="197" ht="15" customHeight="1">
      <c r="A197" t="inlineStr">
        <is>
          <t>A 53226-2022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46312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10.5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Ängsmetallvinge</t>
        </is>
      </c>
      <c r="W197">
        <f>HYPERLINK("https://klasma.github.io/Logging_2481/artfynd/A 53226-2022 artfynd.xlsx", "A 53226-2022")</f>
        <v/>
      </c>
      <c r="X197">
        <f>HYPERLINK("https://klasma.github.io/Logging_2481/kartor/A 53226-2022 karta.png", "A 53226-2022")</f>
        <v/>
      </c>
      <c r="Y197">
        <f>HYPERLINK("https://klasma.github.io/Logging_2481/kartor_geotiff/A 53226-2022 georefererad karta.tif", "A 53226-2022")</f>
        <v/>
      </c>
      <c r="AA197">
        <f>HYPERLINK("https://klasma.github.io/Logging_2481/klagomål/A 53226-2022 FSC-klagomål.docx", "A 53226-2022")</f>
        <v/>
      </c>
      <c r="AB197">
        <f>HYPERLINK("https://klasma.github.io/Logging_2481/klagomålsmail/A 53226-2022 FSC-klagomål mail.docx", "A 53226-2022")</f>
        <v/>
      </c>
      <c r="AC197">
        <f>HYPERLINK("https://klasma.github.io/Logging_2481/tillsyn/A 53226-2022 tillsynsbegäran.docx", "A 53226-2022")</f>
        <v/>
      </c>
      <c r="AD197">
        <f>HYPERLINK("https://klasma.github.io/Logging_2481/tillsynsmail/A 53226-2022 tillsynsbegäran mail.docx", "A 53226-2022")</f>
        <v/>
      </c>
    </row>
    <row r="198" ht="15" customHeight="1">
      <c r="A198" t="inlineStr">
        <is>
          <t>A 42311-2026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46307</v>
      </c>
      <c r="E198" s="1" t="n">
        <v>46312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42311-2026 artfynd.xlsx", "A 42311-2026")</f>
        <v/>
      </c>
      <c r="X198">
        <f>HYPERLINK("https://klasma.github.io/Logging_2481/kartor/A 42311-2026 karta.png", "A 42311-2026")</f>
        <v/>
      </c>
      <c r="Y198">
        <f>HYPERLINK("https://klasma.github.io/Logging_2481/kartor_geotiff/A 42311-2026 georefererad karta.tif", "A 42311-2026")</f>
        <v/>
      </c>
      <c r="AA198">
        <f>HYPERLINK("https://klasma.github.io/Logging_2481/klagomål/A 42311-2026 FSC-klagomål.docx", "A 42311-2026")</f>
        <v/>
      </c>
      <c r="AB198">
        <f>HYPERLINK("https://klasma.github.io/Logging_2481/klagomålsmail/A 42311-2026 FSC-klagomål mail.docx", "A 42311-2026")</f>
        <v/>
      </c>
      <c r="AC198">
        <f>HYPERLINK("https://klasma.github.io/Logging_2481/tillsyn/A 42311-2026 tillsynsbegäran.docx", "A 42311-2026")</f>
        <v/>
      </c>
      <c r="AD198">
        <f>HYPERLINK("https://klasma.github.io/Logging_2481/tillsynsmail/A 42311-2026 tillsynsbegäran mail.docx", "A 42311-2026")</f>
        <v/>
      </c>
    </row>
    <row r="199" ht="15" customHeight="1">
      <c r="A199" t="inlineStr">
        <is>
          <t>A 35509-2026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46262</v>
      </c>
      <c r="E199" s="1" t="n">
        <v>46312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19.1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Orange taggsvamp</t>
        </is>
      </c>
      <c r="W199">
        <f>HYPERLINK("https://klasma.github.io/Logging_2481/artfynd/A 35509-2026 artfynd.xlsx", "A 35509-2026")</f>
        <v/>
      </c>
      <c r="X199">
        <f>HYPERLINK("https://klasma.github.io/Logging_2481/kartor/A 35509-2026 karta.png", "A 35509-2026")</f>
        <v/>
      </c>
      <c r="Y199">
        <f>HYPERLINK("https://klasma.github.io/Logging_2481/kartor_geotiff/A 35509-2026 georefererad karta.tif", "A 35509-2026")</f>
        <v/>
      </c>
      <c r="AA199">
        <f>HYPERLINK("https://klasma.github.io/Logging_2481/klagomål/A 35509-2026 FSC-klagomål.docx", "A 35509-2026")</f>
        <v/>
      </c>
      <c r="AB199">
        <f>HYPERLINK("https://klasma.github.io/Logging_2481/klagomålsmail/A 35509-2026 FSC-klagomål mail.docx", "A 35509-2026")</f>
        <v/>
      </c>
      <c r="AC199">
        <f>HYPERLINK("https://klasma.github.io/Logging_2481/tillsyn/A 35509-2026 tillsynsbegäran.docx", "A 35509-2026")</f>
        <v/>
      </c>
      <c r="AD199">
        <f>HYPERLINK("https://klasma.github.io/Logging_2481/tillsynsmail/A 35509-2026 tillsynsbegäran mail.docx", "A 35509-2026")</f>
        <v/>
      </c>
    </row>
    <row r="200" ht="15" customHeight="1">
      <c r="A200" t="inlineStr">
        <is>
          <t>A 42315-2026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46307</v>
      </c>
      <c r="E200" s="1" t="n">
        <v>46312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8.6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Skrovellav</t>
        </is>
      </c>
      <c r="W200">
        <f>HYPERLINK("https://klasma.github.io/Logging_2481/artfynd/A 42315-2026 artfynd.xlsx", "A 42315-2026")</f>
        <v/>
      </c>
      <c r="X200">
        <f>HYPERLINK("https://klasma.github.io/Logging_2481/kartor/A 42315-2026 karta.png", "A 42315-2026")</f>
        <v/>
      </c>
      <c r="Y200">
        <f>HYPERLINK("https://klasma.github.io/Logging_2481/kartor_geotiff/A 42315-2026 georefererad karta.tif", "A 42315-2026")</f>
        <v/>
      </c>
      <c r="AA200">
        <f>HYPERLINK("https://klasma.github.io/Logging_2481/klagomål/A 42315-2026 FSC-klagomål.docx", "A 42315-2026")</f>
        <v/>
      </c>
      <c r="AB200">
        <f>HYPERLINK("https://klasma.github.io/Logging_2481/klagomålsmail/A 42315-2026 FSC-klagomål mail.docx", "A 42315-2026")</f>
        <v/>
      </c>
      <c r="AC200">
        <f>HYPERLINK("https://klasma.github.io/Logging_2481/tillsyn/A 42315-2026 tillsynsbegäran.docx", "A 42315-2026")</f>
        <v/>
      </c>
      <c r="AD200">
        <f>HYPERLINK("https://klasma.github.io/Logging_2481/tillsynsmail/A 42315-2026 tillsynsbegäran mail.docx", "A 42315-2026")</f>
        <v/>
      </c>
    </row>
    <row r="201" ht="15" customHeight="1">
      <c r="A201" t="inlineStr">
        <is>
          <t>A 42304-2026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46307</v>
      </c>
      <c r="E201" s="1" t="n">
        <v>46312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Kolflarnlav</t>
        </is>
      </c>
      <c r="W201">
        <f>HYPERLINK("https://klasma.github.io/Logging_2481/artfynd/A 42304-2026 artfynd.xlsx", "A 42304-2026")</f>
        <v/>
      </c>
      <c r="X201">
        <f>HYPERLINK("https://klasma.github.io/Logging_2481/kartor/A 42304-2026 karta.png", "A 42304-2026")</f>
        <v/>
      </c>
      <c r="Y201">
        <f>HYPERLINK("https://klasma.github.io/Logging_2481/kartor_geotiff/A 42304-2026 georefererad karta.tif", "A 42304-2026")</f>
        <v/>
      </c>
      <c r="AA201">
        <f>HYPERLINK("https://klasma.github.io/Logging_2481/klagomål/A 42304-2026 FSC-klagomål.docx", "A 42304-2026")</f>
        <v/>
      </c>
      <c r="AB201">
        <f>HYPERLINK("https://klasma.github.io/Logging_2481/klagomålsmail/A 42304-2026 FSC-klagomål mail.docx", "A 42304-2026")</f>
        <v/>
      </c>
      <c r="AC201">
        <f>HYPERLINK("https://klasma.github.io/Logging_2481/tillsyn/A 42304-2026 tillsynsbegäran.docx", "A 42304-2026")</f>
        <v/>
      </c>
      <c r="AD201">
        <f>HYPERLINK("https://klasma.github.io/Logging_2481/tillsynsmail/A 42304-2026 tillsynsbegäran mail.docx", "A 42304-2026")</f>
        <v/>
      </c>
    </row>
    <row r="202" ht="15" customHeight="1">
      <c r="A202" t="inlineStr">
        <is>
          <t>A 35751-2026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46312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11.7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Skarp dropptaggsvamp</t>
        </is>
      </c>
      <c r="W202">
        <f>HYPERLINK("https://klasma.github.io/Logging_2481/artfynd/A 35751-2026 artfynd.xlsx", "A 35751-2026")</f>
        <v/>
      </c>
      <c r="X202">
        <f>HYPERLINK("https://klasma.github.io/Logging_2481/kartor/A 35751-2026 karta.png", "A 35751-2026")</f>
        <v/>
      </c>
      <c r="Y202">
        <f>HYPERLINK("https://klasma.github.io/Logging_2481/kartor_geotiff/A 35751-2026 georefererad karta.tif", "A 35751-2026")</f>
        <v/>
      </c>
      <c r="AA202">
        <f>HYPERLINK("https://klasma.github.io/Logging_2481/klagomål/A 35751-2026 FSC-klagomål.docx", "A 35751-2026")</f>
        <v/>
      </c>
      <c r="AB202">
        <f>HYPERLINK("https://klasma.github.io/Logging_2481/klagomålsmail/A 35751-2026 FSC-klagomål mail.docx", "A 35751-2026")</f>
        <v/>
      </c>
      <c r="AC202">
        <f>HYPERLINK("https://klasma.github.io/Logging_2481/tillsyn/A 35751-2026 tillsynsbegäran.docx", "A 35751-2026")</f>
        <v/>
      </c>
      <c r="AD202">
        <f>HYPERLINK("https://klasma.github.io/Logging_2481/tillsynsmail/A 35751-2026 tillsynsbegäran mail.docx", "A 35751-2026")</f>
        <v/>
      </c>
    </row>
    <row r="203" ht="15" customHeight="1">
      <c r="A203" t="inlineStr">
        <is>
          <t>A 7768-2023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46312</v>
      </c>
      <c r="F203" t="inlineStr">
        <is>
          <t>VÄSTERBOTTENS LÄN</t>
        </is>
      </c>
      <c r="G203" t="inlineStr">
        <is>
          <t>LYCKSELE</t>
        </is>
      </c>
      <c r="I203" t="n">
        <v>2.3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Knärot</t>
        </is>
      </c>
      <c r="W203">
        <f>HYPERLINK("https://klasma.github.io/Logging_2481/artfynd/A 7768-2023 artfynd.xlsx", "A 7768-2023")</f>
        <v/>
      </c>
      <c r="X203">
        <f>HYPERLINK("https://klasma.github.io/Logging_2481/kartor/A 7768-2023 karta.png", "A 7768-2023")</f>
        <v/>
      </c>
      <c r="Y203">
        <f>HYPERLINK("https://klasma.github.io/Logging_2481/kartor_geotiff/A 7768-2023 georefererad karta.tif", "A 7768-2023")</f>
        <v/>
      </c>
      <c r="Z203">
        <f>HYPERLINK("https://klasma.github.io/Logging_2481/knärot/A 7768-2023 karta knärot.png", "A 7768-2023")</f>
        <v/>
      </c>
      <c r="AA203">
        <f>HYPERLINK("https://klasma.github.io/Logging_2481/klagomål/A 7768-2023 FSC-klagomål.docx", "A 7768-2023")</f>
        <v/>
      </c>
      <c r="AB203">
        <f>HYPERLINK("https://klasma.github.io/Logging_2481/klagomålsmail/A 7768-2023 FSC-klagomål mail.docx", "A 7768-2023")</f>
        <v/>
      </c>
      <c r="AC203">
        <f>HYPERLINK("https://klasma.github.io/Logging_2481/tillsyn/A 7768-2023 tillsynsbegäran.docx", "A 7768-2023")</f>
        <v/>
      </c>
      <c r="AD203">
        <f>HYPERLINK("https://klasma.github.io/Logging_2481/tillsynsmail/A 7768-2023 tillsynsbegäran mail.docx", "A 7768-2023")</f>
        <v/>
      </c>
    </row>
    <row r="204" ht="15" customHeight="1">
      <c r="A204" t="inlineStr">
        <is>
          <t>A 30515-2025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46312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8.1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Ullticka</t>
        </is>
      </c>
      <c r="W204">
        <f>HYPERLINK("https://klasma.github.io/Logging_2481/artfynd/A 30515-2025 artfynd.xlsx", "A 30515-2025")</f>
        <v/>
      </c>
      <c r="X204">
        <f>HYPERLINK("https://klasma.github.io/Logging_2481/kartor/A 30515-2025 karta.png", "A 30515-2025")</f>
        <v/>
      </c>
      <c r="Y204">
        <f>HYPERLINK("https://klasma.github.io/Logging_2481/kartor_geotiff/A 30515-2025 georefererad karta.tif", "A 30515-2025")</f>
        <v/>
      </c>
      <c r="AA204">
        <f>HYPERLINK("https://klasma.github.io/Logging_2481/klagomål/A 30515-2025 FSC-klagomål.docx", "A 30515-2025")</f>
        <v/>
      </c>
      <c r="AB204">
        <f>HYPERLINK("https://klasma.github.io/Logging_2481/klagomålsmail/A 30515-2025 FSC-klagomål mail.docx", "A 30515-2025")</f>
        <v/>
      </c>
      <c r="AC204">
        <f>HYPERLINK("https://klasma.github.io/Logging_2481/tillsyn/A 30515-2025 tillsynsbegäran.docx", "A 30515-2025")</f>
        <v/>
      </c>
      <c r="AD204">
        <f>HYPERLINK("https://klasma.github.io/Logging_2481/tillsynsmail/A 30515-2025 tillsynsbegäran mail.docx", "A 30515-2025")</f>
        <v/>
      </c>
    </row>
    <row r="205" ht="15" customHeight="1">
      <c r="A205" t="inlineStr">
        <is>
          <t>A 33346-2025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46312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7.8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Doftskinn</t>
        </is>
      </c>
      <c r="W205">
        <f>HYPERLINK("https://klasma.github.io/Logging_2481/artfynd/A 33346-2025 artfynd.xlsx", "A 33346-2025")</f>
        <v/>
      </c>
      <c r="X205">
        <f>HYPERLINK("https://klasma.github.io/Logging_2481/kartor/A 33346-2025 karta.png", "A 33346-2025")</f>
        <v/>
      </c>
      <c r="Y205">
        <f>HYPERLINK("https://klasma.github.io/Logging_2481/kartor_geotiff/A 33346-2025 georefererad karta.tif", "A 33346-2025")</f>
        <v/>
      </c>
      <c r="AA205">
        <f>HYPERLINK("https://klasma.github.io/Logging_2481/klagomål/A 33346-2025 FSC-klagomål.docx", "A 33346-2025")</f>
        <v/>
      </c>
      <c r="AB205">
        <f>HYPERLINK("https://klasma.github.io/Logging_2481/klagomålsmail/A 33346-2025 FSC-klagomål mail.docx", "A 33346-2025")</f>
        <v/>
      </c>
      <c r="AC205">
        <f>HYPERLINK("https://klasma.github.io/Logging_2481/tillsyn/A 33346-2025 tillsynsbegäran.docx", "A 33346-2025")</f>
        <v/>
      </c>
      <c r="AD205">
        <f>HYPERLINK("https://klasma.github.io/Logging_2481/tillsynsmail/A 33346-2025 tillsynsbegäran mail.docx", "A 33346-2025")</f>
        <v/>
      </c>
    </row>
    <row r="206" ht="15" customHeight="1">
      <c r="A206" t="inlineStr">
        <is>
          <t>A 34958-2025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46312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4.1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Spillkråka</t>
        </is>
      </c>
      <c r="W206">
        <f>HYPERLINK("https://klasma.github.io/Logging_2481/artfynd/A 34958-2025 artfynd.xlsx", "A 34958-2025")</f>
        <v/>
      </c>
      <c r="X206">
        <f>HYPERLINK("https://klasma.github.io/Logging_2481/kartor/A 34958-2025 karta.png", "A 34958-2025")</f>
        <v/>
      </c>
      <c r="Y206">
        <f>HYPERLINK("https://klasma.github.io/Logging_2481/kartor_geotiff/A 34958-2025 georefererad karta.tif", "A 34958-2025")</f>
        <v/>
      </c>
      <c r="AA206">
        <f>HYPERLINK("https://klasma.github.io/Logging_2481/klagomål/A 34958-2025 FSC-klagomål.docx", "A 34958-2025")</f>
        <v/>
      </c>
      <c r="AB206">
        <f>HYPERLINK("https://klasma.github.io/Logging_2481/klagomålsmail/A 34958-2025 FSC-klagomål mail.docx", "A 34958-2025")</f>
        <v/>
      </c>
      <c r="AC206">
        <f>HYPERLINK("https://klasma.github.io/Logging_2481/tillsyn/A 34958-2025 tillsynsbegäran.docx", "A 34958-2025")</f>
        <v/>
      </c>
      <c r="AD206">
        <f>HYPERLINK("https://klasma.github.io/Logging_2481/tillsynsmail/A 34958-2025 tillsynsbegäran mail.docx", "A 34958-2025")</f>
        <v/>
      </c>
      <c r="AE206">
        <f>HYPERLINK("https://klasma.github.io/Logging_2481/fåglar/A 34958-2025 prioriterade fågelarter.docx", "A 34958-2025")</f>
        <v/>
      </c>
    </row>
    <row r="207" ht="15" customHeight="1">
      <c r="A207" t="inlineStr">
        <is>
          <t>A 35239-2025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45853</v>
      </c>
      <c r="E207" s="1" t="n">
        <v>46312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8.699999999999999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Gammelgransskål</t>
        </is>
      </c>
      <c r="W207">
        <f>HYPERLINK("https://klasma.github.io/Logging_2481/artfynd/A 35239-2025 artfynd.xlsx", "A 35239-2025")</f>
        <v/>
      </c>
      <c r="X207">
        <f>HYPERLINK("https://klasma.github.io/Logging_2481/kartor/A 35239-2025 karta.png", "A 35239-2025")</f>
        <v/>
      </c>
      <c r="Y207">
        <f>HYPERLINK("https://klasma.github.io/Logging_2481/kartor_geotiff/A 35239-2025 georefererad karta.tif", "A 35239-2025")</f>
        <v/>
      </c>
      <c r="AA207">
        <f>HYPERLINK("https://klasma.github.io/Logging_2481/klagomål/A 35239-2025 FSC-klagomål.docx", "A 35239-2025")</f>
        <v/>
      </c>
      <c r="AB207">
        <f>HYPERLINK("https://klasma.github.io/Logging_2481/klagomålsmail/A 35239-2025 FSC-klagomål mail.docx", "A 35239-2025")</f>
        <v/>
      </c>
      <c r="AC207">
        <f>HYPERLINK("https://klasma.github.io/Logging_2481/tillsyn/A 35239-2025 tillsynsbegäran.docx", "A 35239-2025")</f>
        <v/>
      </c>
      <c r="AD207">
        <f>HYPERLINK("https://klasma.github.io/Logging_2481/tillsynsmail/A 35239-2025 tillsynsbegäran mail.docx", "A 35239-2025")</f>
        <v/>
      </c>
    </row>
    <row r="208" ht="15" customHeight="1">
      <c r="A208" t="inlineStr">
        <is>
          <t>A 35226-2025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45853</v>
      </c>
      <c r="E208" s="1" t="n">
        <v>46312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14.7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Tretåig hackspett</t>
        </is>
      </c>
      <c r="W208">
        <f>HYPERLINK("https://klasma.github.io/Logging_2481/artfynd/A 35226-2025 artfynd.xlsx", "A 35226-2025")</f>
        <v/>
      </c>
      <c r="X208">
        <f>HYPERLINK("https://klasma.github.io/Logging_2481/kartor/A 35226-2025 karta.png", "A 35226-2025")</f>
        <v/>
      </c>
      <c r="Y208">
        <f>HYPERLINK("https://klasma.github.io/Logging_2481/kartor_geotiff/A 35226-2025 georefererad karta.tif", "A 35226-2025")</f>
        <v/>
      </c>
      <c r="AA208">
        <f>HYPERLINK("https://klasma.github.io/Logging_2481/klagomål/A 35226-2025 FSC-klagomål.docx", "A 35226-2025")</f>
        <v/>
      </c>
      <c r="AB208">
        <f>HYPERLINK("https://klasma.github.io/Logging_2481/klagomålsmail/A 35226-2025 FSC-klagomål mail.docx", "A 35226-2025")</f>
        <v/>
      </c>
      <c r="AC208">
        <f>HYPERLINK("https://klasma.github.io/Logging_2481/tillsyn/A 35226-2025 tillsynsbegäran.docx", "A 35226-2025")</f>
        <v/>
      </c>
      <c r="AD208">
        <f>HYPERLINK("https://klasma.github.io/Logging_2481/tillsynsmail/A 35226-2025 tillsynsbegäran mail.docx", "A 35226-2025")</f>
        <v/>
      </c>
      <c r="AE208">
        <f>HYPERLINK("https://klasma.github.io/Logging_2481/fåglar/A 35226-2025 prioriterade fågelarter.docx", "A 35226-2025")</f>
        <v/>
      </c>
    </row>
    <row r="209" ht="15" customHeight="1">
      <c r="A209" t="inlineStr">
        <is>
          <t>A 7398-2025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46312</v>
      </c>
      <c r="F209" t="inlineStr">
        <is>
          <t>VÄSTERBOTTENS LÄN</t>
        </is>
      </c>
      <c r="G209" t="inlineStr">
        <is>
          <t>LYCKSELE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Gråspett</t>
        </is>
      </c>
      <c r="W209">
        <f>HYPERLINK("https://klasma.github.io/Logging_2481/artfynd/A 7398-2025 artfynd.xlsx", "A 7398-2025")</f>
        <v/>
      </c>
      <c r="X209">
        <f>HYPERLINK("https://klasma.github.io/Logging_2481/kartor/A 7398-2025 karta.png", "A 7398-2025")</f>
        <v/>
      </c>
      <c r="Y209">
        <f>HYPERLINK("https://klasma.github.io/Logging_2481/kartor_geotiff/A 7398-2025 georefererad karta.tif", "A 7398-2025")</f>
        <v/>
      </c>
      <c r="AA209">
        <f>HYPERLINK("https://klasma.github.io/Logging_2481/klagomål/A 7398-2025 FSC-klagomål.docx", "A 7398-2025")</f>
        <v/>
      </c>
      <c r="AB209">
        <f>HYPERLINK("https://klasma.github.io/Logging_2481/klagomålsmail/A 7398-2025 FSC-klagomål mail.docx", "A 7398-2025")</f>
        <v/>
      </c>
      <c r="AC209">
        <f>HYPERLINK("https://klasma.github.io/Logging_2481/tillsyn/A 7398-2025 tillsynsbegäran.docx", "A 7398-2025")</f>
        <v/>
      </c>
      <c r="AD209">
        <f>HYPERLINK("https://klasma.github.io/Logging_2481/tillsynsmail/A 7398-2025 tillsynsbegäran mail.docx", "A 7398-2025")</f>
        <v/>
      </c>
      <c r="AE209">
        <f>HYPERLINK("https://klasma.github.io/Logging_2481/fåglar/A 7398-2025 prioriterade fågelarter.docx", "A 7398-2025")</f>
        <v/>
      </c>
    </row>
    <row r="210" ht="15" customHeight="1">
      <c r="A210" t="inlineStr">
        <is>
          <t>A 35981-2025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45863</v>
      </c>
      <c r="E210" s="1" t="n">
        <v>46312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35981-2025 artfynd.xlsx", "A 35981-2025")</f>
        <v/>
      </c>
      <c r="X210">
        <f>HYPERLINK("https://klasma.github.io/Logging_2481/kartor/A 35981-2025 karta.png", "A 35981-2025")</f>
        <v/>
      </c>
      <c r="Y210">
        <f>HYPERLINK("https://klasma.github.io/Logging_2481/kartor_geotiff/A 35981-2025 georefererad karta.tif", "A 35981-2025")</f>
        <v/>
      </c>
      <c r="AA210">
        <f>HYPERLINK("https://klasma.github.io/Logging_2481/klagomål/A 35981-2025 FSC-klagomål.docx", "A 35981-2025")</f>
        <v/>
      </c>
      <c r="AB210">
        <f>HYPERLINK("https://klasma.github.io/Logging_2481/klagomålsmail/A 35981-2025 FSC-klagomål mail.docx", "A 35981-2025")</f>
        <v/>
      </c>
      <c r="AC210">
        <f>HYPERLINK("https://klasma.github.io/Logging_2481/tillsyn/A 35981-2025 tillsynsbegäran.docx", "A 35981-2025")</f>
        <v/>
      </c>
      <c r="AD210">
        <f>HYPERLINK("https://klasma.github.io/Logging_2481/tillsynsmail/A 35981-2025 tillsynsbegäran mail.docx", "A 35981-2025")</f>
        <v/>
      </c>
    </row>
    <row r="211" ht="15" customHeight="1">
      <c r="A211" t="inlineStr">
        <is>
          <t>A 36687-2025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46312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Kolflarnlav</t>
        </is>
      </c>
      <c r="W211">
        <f>HYPERLINK("https://klasma.github.io/Logging_2481/artfynd/A 36687-2025 artfynd.xlsx", "A 36687-2025")</f>
        <v/>
      </c>
      <c r="X211">
        <f>HYPERLINK("https://klasma.github.io/Logging_2481/kartor/A 36687-2025 karta.png", "A 36687-2025")</f>
        <v/>
      </c>
      <c r="Y211">
        <f>HYPERLINK("https://klasma.github.io/Logging_2481/kartor_geotiff/A 36687-2025 georefererad karta.tif", "A 36687-2025")</f>
        <v/>
      </c>
      <c r="AA211">
        <f>HYPERLINK("https://klasma.github.io/Logging_2481/klagomål/A 36687-2025 FSC-klagomål.docx", "A 36687-2025")</f>
        <v/>
      </c>
      <c r="AB211">
        <f>HYPERLINK("https://klasma.github.io/Logging_2481/klagomålsmail/A 36687-2025 FSC-klagomål mail.docx", "A 36687-2025")</f>
        <v/>
      </c>
      <c r="AC211">
        <f>HYPERLINK("https://klasma.github.io/Logging_2481/tillsyn/A 36687-2025 tillsynsbegäran.docx", "A 36687-2025")</f>
        <v/>
      </c>
      <c r="AD211">
        <f>HYPERLINK("https://klasma.github.io/Logging_2481/tillsynsmail/A 36687-2025 tillsynsbegäran mail.docx", "A 36687-2025")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46312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46312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46312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46312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46312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46312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46312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46312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46312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46312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46312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46312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61573-2021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46312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46312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46312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46312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46312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46312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46312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46312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46312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46312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46312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46312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46312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46312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46312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46312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46312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70817-2021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44537</v>
      </c>
      <c r="E256" s="1" t="n">
        <v>46312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Naturvårdsverket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46312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46312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46312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46312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44670</v>
      </c>
      <c r="E261" s="1" t="n">
        <v>46312</v>
      </c>
      <c r="F261" t="inlineStr">
        <is>
          <t>VÄSTERBOTTENS LÄN</t>
        </is>
      </c>
      <c r="G261" t="inlineStr">
        <is>
          <t>LYCKSELE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46312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44880</v>
      </c>
      <c r="E263" s="1" t="n">
        <v>46312</v>
      </c>
      <c r="F263" t="inlineStr">
        <is>
          <t>VÄSTERBOTTENS LÄN</t>
        </is>
      </c>
      <c r="G263" t="inlineStr">
        <is>
          <t>LYCKSELE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46312</v>
      </c>
      <c r="F264" t="inlineStr">
        <is>
          <t>VÄSTERBOTTENS LÄN</t>
        </is>
      </c>
      <c r="G264" t="inlineStr">
        <is>
          <t>LYCKSELE</t>
        </is>
      </c>
      <c r="I264" t="n">
        <v>17.8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46312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46312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46312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46312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46312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46312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46312</v>
      </c>
      <c r="F272" t="inlineStr">
        <is>
          <t>VÄSTERBOTTENS LÄN</t>
        </is>
      </c>
      <c r="G272" t="inlineStr">
        <is>
          <t>LYCKSELE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46312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46312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46312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46312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46312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45135</v>
      </c>
      <c r="E278" s="1" t="n">
        <v>46312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46312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46312</v>
      </c>
      <c r="F280" t="inlineStr">
        <is>
          <t>VÄSTERBOTTENS LÄN</t>
        </is>
      </c>
      <c r="G280" t="inlineStr">
        <is>
          <t>LYCKSELE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46312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46312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46312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46312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Naturvårdsverket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45488</v>
      </c>
      <c r="E285" s="1" t="n">
        <v>46312</v>
      </c>
      <c r="F285" t="inlineStr">
        <is>
          <t>VÄSTERBOTTENS LÄN</t>
        </is>
      </c>
      <c r="G285" t="inlineStr">
        <is>
          <t>LYCKSELE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46312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46312</v>
      </c>
      <c r="F287" t="inlineStr">
        <is>
          <t>VÄSTERBOTTENS LÄN</t>
        </is>
      </c>
      <c r="G287" t="inlineStr">
        <is>
          <t>LYCKSELE</t>
        </is>
      </c>
      <c r="I287" t="n">
        <v>11.9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58439-2022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44901</v>
      </c>
      <c r="E288" s="1" t="n">
        <v>46312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46312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46312</v>
      </c>
      <c r="F290" t="inlineStr">
        <is>
          <t>VÄSTERBOTTENS LÄN</t>
        </is>
      </c>
      <c r="G290" t="inlineStr">
        <is>
          <t>LYCKSELE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45545</v>
      </c>
      <c r="E291" s="1" t="n">
        <v>46312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46312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46312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46312</v>
      </c>
      <c r="F294" t="inlineStr">
        <is>
          <t>VÄSTERBOTTENS LÄN</t>
        </is>
      </c>
      <c r="G294" t="inlineStr">
        <is>
          <t>LYCKSELE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45503</v>
      </c>
      <c r="E295" s="1" t="n">
        <v>46312</v>
      </c>
      <c r="F295" t="inlineStr">
        <is>
          <t>VÄSTERBOTTENS LÄN</t>
        </is>
      </c>
      <c r="G295" t="inlineStr">
        <is>
          <t>LYCKSELE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46312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46312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46312</v>
      </c>
      <c r="F298" t="inlineStr">
        <is>
          <t>VÄSTERBOTTENS LÄN</t>
        </is>
      </c>
      <c r="G298" t="inlineStr">
        <is>
          <t>LYCKSELE</t>
        </is>
      </c>
      <c r="I298" t="n">
        <v>20.5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44735</v>
      </c>
      <c r="E299" s="1" t="n">
        <v>46312</v>
      </c>
      <c r="F299" t="inlineStr">
        <is>
          <t>VÄSTERBOTTENS LÄN</t>
        </is>
      </c>
      <c r="G299" t="inlineStr">
        <is>
          <t>LYCKSELE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46312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46312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46312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46312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46312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46312</v>
      </c>
      <c r="F305" t="inlineStr">
        <is>
          <t>VÄSTERBOTTENS LÄN</t>
        </is>
      </c>
      <c r="G305" t="inlineStr">
        <is>
          <t>LYCKSELE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46312</v>
      </c>
      <c r="F306" t="inlineStr">
        <is>
          <t>VÄSTERBOTTENS LÄN</t>
        </is>
      </c>
      <c r="G306" t="inlineStr">
        <is>
          <t>LYCKSELE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46312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46312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46312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46312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46312</v>
      </c>
      <c r="F311" t="inlineStr">
        <is>
          <t>VÄSTERBOTTENS LÄN</t>
        </is>
      </c>
      <c r="G311" t="inlineStr">
        <is>
          <t>LYCKSELE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45677</v>
      </c>
      <c r="E312" s="1" t="n">
        <v>46312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46312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46312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46312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45744</v>
      </c>
      <c r="E316" s="1" t="n">
        <v>46312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46312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46312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44733</v>
      </c>
      <c r="E319" s="1" t="n">
        <v>46312</v>
      </c>
      <c r="F319" t="inlineStr">
        <is>
          <t>VÄSTERBOTTENS LÄN</t>
        </is>
      </c>
      <c r="G319" t="inlineStr">
        <is>
          <t>LYCKSELE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46312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46312</v>
      </c>
      <c r="F321" t="inlineStr">
        <is>
          <t>VÄSTERBOTTENS LÄN</t>
        </is>
      </c>
      <c r="G321" t="inlineStr">
        <is>
          <t>LYCKSELE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46312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46312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45652</v>
      </c>
      <c r="E324" s="1" t="n">
        <v>46312</v>
      </c>
      <c r="F324" t="inlineStr">
        <is>
          <t>VÄSTERBOTTENS LÄN</t>
        </is>
      </c>
      <c r="G324" t="inlineStr">
        <is>
          <t>LYCKSELE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46312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45135</v>
      </c>
      <c r="E326" s="1" t="n">
        <v>46312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64668-2023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45281</v>
      </c>
      <c r="E327" s="1" t="n">
        <v>46312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44566</v>
      </c>
      <c r="E328" s="1" t="n">
        <v>46312</v>
      </c>
      <c r="F328" t="inlineStr">
        <is>
          <t>VÄSTERBOTTENS LÄN</t>
        </is>
      </c>
      <c r="G328" t="inlineStr">
        <is>
          <t>LYCKSELE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46312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46312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22.9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46312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Naturvårdsverket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46312</v>
      </c>
      <c r="F333" t="inlineStr">
        <is>
          <t>VÄSTERBOTTENS LÄN</t>
        </is>
      </c>
      <c r="G333" t="inlineStr">
        <is>
          <t>LYCKSELE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46312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46312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46312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46312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46312</v>
      </c>
      <c r="F338" t="inlineStr">
        <is>
          <t>VÄSTERBOTTENS LÄN</t>
        </is>
      </c>
      <c r="G338" t="inlineStr">
        <is>
          <t>LYCKSELE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46312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46312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46312</v>
      </c>
      <c r="F341" t="inlineStr">
        <is>
          <t>VÄSTERBOTTENS LÄN</t>
        </is>
      </c>
      <c r="G341" t="inlineStr">
        <is>
          <t>LYCKSELE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46312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46312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44672</v>
      </c>
      <c r="E344" s="1" t="n">
        <v>46312</v>
      </c>
      <c r="F344" t="inlineStr">
        <is>
          <t>VÄSTERBOTTENS LÄN</t>
        </is>
      </c>
      <c r="G344" t="inlineStr">
        <is>
          <t>LYCKSELE</t>
        </is>
      </c>
      <c r="I344" t="n">
        <v>12.8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26357-2023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45091</v>
      </c>
      <c r="E345" s="1" t="n">
        <v>46312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46312</v>
      </c>
      <c r="F346" t="inlineStr">
        <is>
          <t>VÄSTERBOTTENS LÄN</t>
        </is>
      </c>
      <c r="G346" t="inlineStr">
        <is>
          <t>LYCKSELE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46312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46312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Naturvårdsverket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46312</v>
      </c>
      <c r="F349" t="inlineStr">
        <is>
          <t>VÄSTERBOTTENS LÄN</t>
        </is>
      </c>
      <c r="G349" t="inlineStr">
        <is>
          <t>LYCKSELE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11822-2023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46312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46312</v>
      </c>
      <c r="F352" t="inlineStr">
        <is>
          <t>VÄSTERBOTTENS LÄN</t>
        </is>
      </c>
      <c r="G352" t="inlineStr">
        <is>
          <t>LYCKSELE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46312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46312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44943</v>
      </c>
      <c r="E355" s="1" t="n">
        <v>46312</v>
      </c>
      <c r="F355" t="inlineStr">
        <is>
          <t>VÄSTERBOTTENS LÄN</t>
        </is>
      </c>
      <c r="G355" t="inlineStr">
        <is>
          <t>LYCKSELE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46312</v>
      </c>
      <c r="F356" t="inlineStr">
        <is>
          <t>VÄSTERBOTTENS LÄN</t>
        </is>
      </c>
      <c r="G356" t="inlineStr">
        <is>
          <t>LYCKSELE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46312</v>
      </c>
      <c r="F357" t="inlineStr">
        <is>
          <t>VÄSTERBOTTENS LÄN</t>
        </is>
      </c>
      <c r="G357" t="inlineStr">
        <is>
          <t>LYCKSELE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46312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46312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31.5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46312</v>
      </c>
      <c r="F360" t="inlineStr">
        <is>
          <t>VÄSTERBOTTENS LÄN</t>
        </is>
      </c>
      <c r="G360" t="inlineStr">
        <is>
          <t>LYCKSELE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46312</v>
      </c>
      <c r="F361" t="inlineStr">
        <is>
          <t>VÄSTERBOTTENS LÄN</t>
        </is>
      </c>
      <c r="G361" t="inlineStr">
        <is>
          <t>LYCKSELE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46312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38960-2025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46312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46312</v>
      </c>
      <c r="F364" t="inlineStr">
        <is>
          <t>VÄSTERBOTTENS LÄN</t>
        </is>
      </c>
      <c r="G364" t="inlineStr">
        <is>
          <t>LYCKSELE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46312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46312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46312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46312</v>
      </c>
      <c r="F368" t="inlineStr">
        <is>
          <t>VÄSTERBOTTENS LÄN</t>
        </is>
      </c>
      <c r="G368" t="inlineStr">
        <is>
          <t>LYCKSELE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46312</v>
      </c>
      <c r="F369" t="inlineStr">
        <is>
          <t>VÄSTERBOTTENS LÄN</t>
        </is>
      </c>
      <c r="G369" t="inlineStr">
        <is>
          <t>LYCKSELE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46312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26999-2023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45093</v>
      </c>
      <c r="E371" s="1" t="n">
        <v>46312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44540</v>
      </c>
      <c r="E372" s="1" t="n">
        <v>46312</v>
      </c>
      <c r="F372" t="inlineStr">
        <is>
          <t>VÄSTERBOTTENS LÄN</t>
        </is>
      </c>
      <c r="G372" t="inlineStr">
        <is>
          <t>LYCKSELE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45888</v>
      </c>
      <c r="E373" s="1" t="n">
        <v>46312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46312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46312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46312</v>
      </c>
      <c r="F376" t="inlineStr">
        <is>
          <t>VÄSTERBOTTENS LÄN</t>
        </is>
      </c>
      <c r="G376" t="inlineStr">
        <is>
          <t>LYCKSELE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46312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46312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46312</v>
      </c>
      <c r="F379" t="inlineStr">
        <is>
          <t>VÄSTERBOTTENS LÄN</t>
        </is>
      </c>
      <c r="G379" t="inlineStr">
        <is>
          <t>LYCKSELE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46312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46312</v>
      </c>
      <c r="F381" t="inlineStr">
        <is>
          <t>VÄSTERBOTTENS LÄN</t>
        </is>
      </c>
      <c r="G381" t="inlineStr">
        <is>
          <t>LYCKSELE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46312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39562-2025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45890</v>
      </c>
      <c r="E384" s="1" t="n">
        <v>46312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46312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46312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46312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46312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46312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46312</v>
      </c>
      <c r="F390" t="inlineStr">
        <is>
          <t>VÄSTERBOTTENS LÄN</t>
        </is>
      </c>
      <c r="G390" t="inlineStr">
        <is>
          <t>LYCKSELE</t>
        </is>
      </c>
      <c r="I390" t="n">
        <v>30.8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46312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46312</v>
      </c>
      <c r="F392" t="inlineStr">
        <is>
          <t>VÄSTERBOTTENS LÄN</t>
        </is>
      </c>
      <c r="G392" t="inlineStr">
        <is>
          <t>LYCKSELE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46312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45313</v>
      </c>
      <c r="E394" s="1" t="n">
        <v>46312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44564</v>
      </c>
      <c r="E395" s="1" t="n">
        <v>46312</v>
      </c>
      <c r="F395" t="inlineStr">
        <is>
          <t>VÄSTERBOTTENS LÄN</t>
        </is>
      </c>
      <c r="G395" t="inlineStr">
        <is>
          <t>LYCKSELE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46312</v>
      </c>
      <c r="F396" t="inlineStr">
        <is>
          <t>VÄSTERBOTTENS LÄN</t>
        </is>
      </c>
      <c r="G396" t="inlineStr">
        <is>
          <t>LYCKSELE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46312</v>
      </c>
      <c r="F397" t="inlineStr">
        <is>
          <t>VÄSTERBOTTENS LÄN</t>
        </is>
      </c>
      <c r="G397" t="inlineStr">
        <is>
          <t>LYCKSELE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46312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45271</v>
      </c>
      <c r="E399" s="1" t="n">
        <v>46312</v>
      </c>
      <c r="F399" t="inlineStr">
        <is>
          <t>VÄSTERBOTTENS LÄN</t>
        </is>
      </c>
      <c r="G399" t="inlineStr">
        <is>
          <t>LYCKSELE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46312</v>
      </c>
      <c r="F400" t="inlineStr">
        <is>
          <t>VÄSTERBOTTENS LÄN</t>
        </is>
      </c>
      <c r="G400" t="inlineStr">
        <is>
          <t>LYCKSELE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46312</v>
      </c>
      <c r="F401" t="inlineStr">
        <is>
          <t>VÄSTERBOTTENS LÄN</t>
        </is>
      </c>
      <c r="G401" t="inlineStr">
        <is>
          <t>LYCKSELE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45895</v>
      </c>
      <c r="E402" s="1" t="n">
        <v>46312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44924</v>
      </c>
      <c r="E403" s="1" t="n">
        <v>46312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46312</v>
      </c>
      <c r="F404" t="inlineStr">
        <is>
          <t>VÄSTERBOTTENS LÄN</t>
        </is>
      </c>
      <c r="G404" t="inlineStr">
        <is>
          <t>LYCKSELE</t>
        </is>
      </c>
      <c r="I404" t="n">
        <v>16.6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46312</v>
      </c>
      <c r="F405" t="inlineStr">
        <is>
          <t>VÄSTERBOTTENS LÄN</t>
        </is>
      </c>
      <c r="G405" t="inlineStr">
        <is>
          <t>LYCKSELE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57898-2021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44486</v>
      </c>
      <c r="E406" s="1" t="n">
        <v>46312</v>
      </c>
      <c r="F406" t="inlineStr">
        <is>
          <t>VÄSTERBOTTENS LÄN</t>
        </is>
      </c>
      <c r="G406" t="inlineStr">
        <is>
          <t>LYCKSELE</t>
        </is>
      </c>
      <c r="I406" t="n">
        <v>14.7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46312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44933</v>
      </c>
      <c r="E408" s="1" t="n">
        <v>46312</v>
      </c>
      <c r="F408" t="inlineStr">
        <is>
          <t>VÄSTERBOTTENS LÄN</t>
        </is>
      </c>
      <c r="G408" t="inlineStr">
        <is>
          <t>LYCKSELE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46312</v>
      </c>
      <c r="F409" t="inlineStr">
        <is>
          <t>VÄSTERBOTTENS LÄN</t>
        </is>
      </c>
      <c r="G409" t="inlineStr">
        <is>
          <t>LYCKSELE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46312</v>
      </c>
      <c r="F410" t="inlineStr">
        <is>
          <t>VÄSTERBOTTENS LÄN</t>
        </is>
      </c>
      <c r="G410" t="inlineStr">
        <is>
          <t>LYCKSELE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46312</v>
      </c>
      <c r="F411" t="inlineStr">
        <is>
          <t>VÄSTERBOTTENS LÄN</t>
        </is>
      </c>
      <c r="G411" t="inlineStr">
        <is>
          <t>LYCKSELE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46312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46312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46312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46312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Naturvårdsverket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46312</v>
      </c>
      <c r="F416" t="inlineStr">
        <is>
          <t>VÄSTERBOTTENS LÄN</t>
        </is>
      </c>
      <c r="G416" t="inlineStr">
        <is>
          <t>LYCKSELE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46312</v>
      </c>
      <c r="F417" t="inlineStr">
        <is>
          <t>VÄSTERBOTTENS LÄN</t>
        </is>
      </c>
      <c r="G417" t="inlineStr">
        <is>
          <t>LYCKSELE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45576</v>
      </c>
      <c r="E418" s="1" t="n">
        <v>46312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Naturvårdsverket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46312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46312</v>
      </c>
      <c r="F420" t="inlineStr">
        <is>
          <t>VÄSTERBOTTENS LÄN</t>
        </is>
      </c>
      <c r="G420" t="inlineStr">
        <is>
          <t>LYCKSELE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46312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46312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45006</v>
      </c>
      <c r="E423" s="1" t="n">
        <v>46312</v>
      </c>
      <c r="F423" t="inlineStr">
        <is>
          <t>VÄSTERBOTTENS LÄN</t>
        </is>
      </c>
      <c r="G423" t="inlineStr">
        <is>
          <t>LYCKSELE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60425-2021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44496</v>
      </c>
      <c r="E424" s="1" t="n">
        <v>46312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46312</v>
      </c>
      <c r="F425" t="inlineStr">
        <is>
          <t>VÄSTERBOTTENS LÄN</t>
        </is>
      </c>
      <c r="G425" t="inlineStr">
        <is>
          <t>LYCKSELE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46312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23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46312</v>
      </c>
      <c r="F427" t="inlineStr">
        <is>
          <t>VÄSTERBOTTENS LÄN</t>
        </is>
      </c>
      <c r="G427" t="inlineStr">
        <is>
          <t>LYCKSELE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46312</v>
      </c>
      <c r="F428" t="inlineStr">
        <is>
          <t>VÄSTERBOTTENS LÄN</t>
        </is>
      </c>
      <c r="G428" t="inlineStr">
        <is>
          <t>LYCKSELE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46312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12.9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46312</v>
      </c>
      <c r="F430" t="inlineStr">
        <is>
          <t>VÄSTERBOTTENS LÄN</t>
        </is>
      </c>
      <c r="G430" t="inlineStr">
        <is>
          <t>LYCKSELE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46312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46312</v>
      </c>
      <c r="F432" t="inlineStr">
        <is>
          <t>VÄSTERBOTTENS LÄN</t>
        </is>
      </c>
      <c r="G432" t="inlineStr">
        <is>
          <t>LYCKSELE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45490</v>
      </c>
      <c r="E433" s="1" t="n">
        <v>46312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46312</v>
      </c>
      <c r="F434" t="inlineStr">
        <is>
          <t>VÄSTERBOTTENS LÄN</t>
        </is>
      </c>
      <c r="G434" t="inlineStr">
        <is>
          <t>LYCKSELE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46312</v>
      </c>
      <c r="F435" t="inlineStr">
        <is>
          <t>VÄSTERBOTTENS LÄN</t>
        </is>
      </c>
      <c r="G435" t="inlineStr">
        <is>
          <t>LYCKSELE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46312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46312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46312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44620</v>
      </c>
      <c r="E439" s="1" t="n">
        <v>46312</v>
      </c>
      <c r="F439" t="inlineStr">
        <is>
          <t>VÄSTERBOTTENS LÄN</t>
        </is>
      </c>
      <c r="G439" t="inlineStr">
        <is>
          <t>LYCKSELE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46312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46312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29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46312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29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46312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46146</v>
      </c>
      <c r="E444" s="1" t="n">
        <v>46312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46312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46312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21150-2026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46312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54167-2022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46312</v>
      </c>
      <c r="F448" t="inlineStr">
        <is>
          <t>VÄSTERBOTTENS LÄN</t>
        </is>
      </c>
      <c r="G448" t="inlineStr">
        <is>
          <t>LYCKSELE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46312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46312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19.6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46312</v>
      </c>
      <c r="F451" t="inlineStr">
        <is>
          <t>VÄSTERBOTTENS LÄN</t>
        </is>
      </c>
      <c r="G451" t="inlineStr">
        <is>
          <t>LYCKSELE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46312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46312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46312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44547-2025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45917</v>
      </c>
      <c r="E455" s="1" t="n">
        <v>46312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46312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46312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18.4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46312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46312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45174-2025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46312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46312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46312</v>
      </c>
      <c r="F462" t="inlineStr">
        <is>
          <t>VÄSTERBOTTENS LÄN</t>
        </is>
      </c>
      <c r="G462" t="inlineStr">
        <is>
          <t>LYCKSELE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46312</v>
      </c>
      <c r="F463" t="inlineStr">
        <is>
          <t>VÄSTERBOTTENS LÄN</t>
        </is>
      </c>
      <c r="G463" t="inlineStr">
        <is>
          <t>LYCKSELE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46312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46312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29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46312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46312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29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46312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46312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46312</v>
      </c>
      <c r="F472" t="inlineStr">
        <is>
          <t>VÄSTERBOTTENS LÄN</t>
        </is>
      </c>
      <c r="G472" t="inlineStr">
        <is>
          <t>LYCKSELE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46312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45601</v>
      </c>
      <c r="E474" s="1" t="n">
        <v>46312</v>
      </c>
      <c r="F474" t="inlineStr">
        <is>
          <t>VÄSTERBOTTENS LÄN</t>
        </is>
      </c>
      <c r="G474" t="inlineStr">
        <is>
          <t>LYCKSELE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58714-2024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45635</v>
      </c>
      <c r="E475" s="1" t="n">
        <v>46312</v>
      </c>
      <c r="F475" t="inlineStr">
        <is>
          <t>VÄSTERBOTTENS LÄN</t>
        </is>
      </c>
      <c r="G475" t="inlineStr">
        <is>
          <t>LYCKSELE</t>
        </is>
      </c>
      <c r="I475" t="n">
        <v>25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46312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46312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46312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46312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46312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46312</v>
      </c>
      <c r="F481" t="inlineStr">
        <is>
          <t>VÄSTERBOTTENS LÄN</t>
        </is>
      </c>
      <c r="G481" t="inlineStr">
        <is>
          <t>LYCKSELE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45932</v>
      </c>
      <c r="E482" s="1" t="n">
        <v>46312</v>
      </c>
      <c r="F482" t="inlineStr">
        <is>
          <t>VÄSTERBOTTENS LÄN</t>
        </is>
      </c>
      <c r="G482" t="inlineStr">
        <is>
          <t>LYCKSELE</t>
        </is>
      </c>
      <c r="I482" t="n">
        <v>17.8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46312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3632-2024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45320</v>
      </c>
      <c r="E484" s="1" t="n">
        <v>46312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46312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45406</v>
      </c>
      <c r="E486" s="1" t="n">
        <v>46312</v>
      </c>
      <c r="F486" t="inlineStr">
        <is>
          <t>VÄSTERBOTTENS LÄN</t>
        </is>
      </c>
      <c r="G486" t="inlineStr">
        <is>
          <t>LYCKSELE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44572</v>
      </c>
      <c r="E487" s="1" t="n">
        <v>46312</v>
      </c>
      <c r="F487" t="inlineStr">
        <is>
          <t>VÄSTERBOTTENS LÄN</t>
        </is>
      </c>
      <c r="G487" t="inlineStr">
        <is>
          <t>LYCKSELE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45512</v>
      </c>
      <c r="E488" s="1" t="n">
        <v>46312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Naturvårdsverket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46312</v>
      </c>
      <c r="F489" t="inlineStr">
        <is>
          <t>VÄSTERBOTTENS LÄN</t>
        </is>
      </c>
      <c r="G489" t="inlineStr">
        <is>
          <t>LYCKSELE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45666</v>
      </c>
      <c r="E490" s="1" t="n">
        <v>46312</v>
      </c>
      <c r="F490" t="inlineStr">
        <is>
          <t>VÄSTERBOTTENS LÄN</t>
        </is>
      </c>
      <c r="G490" t="inlineStr">
        <is>
          <t>LYCKSELE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46312</v>
      </c>
      <c r="F491" t="inlineStr">
        <is>
          <t>VÄSTERBOTTENS LÄN</t>
        </is>
      </c>
      <c r="G491" t="inlineStr">
        <is>
          <t>LYCKSELE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45940</v>
      </c>
      <c r="E492" s="1" t="n">
        <v>46312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45942</v>
      </c>
      <c r="E493" s="1" t="n">
        <v>46312</v>
      </c>
      <c r="F493" t="inlineStr">
        <is>
          <t>VÄSTERBOTTENS LÄN</t>
        </is>
      </c>
      <c r="G493" t="inlineStr">
        <is>
          <t>LYCKSELE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50021-2025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45943</v>
      </c>
      <c r="E494" s="1" t="n">
        <v>46312</v>
      </c>
      <c r="F494" t="inlineStr">
        <is>
          <t>VÄSTERBOTTENS LÄN</t>
        </is>
      </c>
      <c r="G494" t="inlineStr">
        <is>
          <t>LYCKSELE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45941</v>
      </c>
      <c r="E495" s="1" t="n">
        <v>46312</v>
      </c>
      <c r="F495" t="inlineStr">
        <is>
          <t>VÄSTERBOTTENS LÄN</t>
        </is>
      </c>
      <c r="G495" t="inlineStr">
        <is>
          <t>LYCKSELE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70197-2021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44534</v>
      </c>
      <c r="E496" s="1" t="n">
        <v>46312</v>
      </c>
      <c r="F496" t="inlineStr">
        <is>
          <t>VÄSTERBOTTENS LÄN</t>
        </is>
      </c>
      <c r="G496" t="inlineStr">
        <is>
          <t>LYCKSELE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46312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45947</v>
      </c>
      <c r="E498" s="1" t="n">
        <v>46312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45145</v>
      </c>
      <c r="E499" s="1" t="n">
        <v>46312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45951</v>
      </c>
      <c r="E500" s="1" t="n">
        <v>46312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19.8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46312</v>
      </c>
      <c r="F501" t="inlineStr">
        <is>
          <t>VÄSTERBOTTENS LÄN</t>
        </is>
      </c>
      <c r="G501" t="inlineStr">
        <is>
          <t>LYCKSELE</t>
        </is>
      </c>
      <c r="I501" t="n">
        <v>13.5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46312</v>
      </c>
      <c r="F502" t="inlineStr">
        <is>
          <t>VÄSTERBOTTENS LÄN</t>
        </is>
      </c>
      <c r="G502" t="inlineStr">
        <is>
          <t>LYCKSELE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46312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46312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46312</v>
      </c>
      <c r="F505" t="inlineStr">
        <is>
          <t>VÄSTERBOTTENS LÄN</t>
        </is>
      </c>
      <c r="G505" t="inlineStr">
        <is>
          <t>LYCKSELE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46312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45077</v>
      </c>
      <c r="E507" s="1" t="n">
        <v>46312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58961-2022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46312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46156</v>
      </c>
      <c r="E510" s="1" t="n">
        <v>46312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46312</v>
      </c>
      <c r="F511" t="inlineStr">
        <is>
          <t>VÄSTERBOTTENS LÄN</t>
        </is>
      </c>
      <c r="G511" t="inlineStr">
        <is>
          <t>LYCKSELE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45155</v>
      </c>
      <c r="E512" s="1" t="n">
        <v>46312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27964-2023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45098</v>
      </c>
      <c r="E513" s="1" t="n">
        <v>46312</v>
      </c>
      <c r="F513" t="inlineStr">
        <is>
          <t>VÄSTERBOTTENS LÄN</t>
        </is>
      </c>
      <c r="G513" t="inlineStr">
        <is>
          <t>LYCKSELE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54942-2025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45967</v>
      </c>
      <c r="E514" s="1" t="n">
        <v>46312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54906-2025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45967</v>
      </c>
      <c r="E515" s="1" t="n">
        <v>46312</v>
      </c>
      <c r="F515" t="inlineStr">
        <is>
          <t>VÄSTERBOTTENS LÄN</t>
        </is>
      </c>
      <c r="G515" t="inlineStr">
        <is>
          <t>LYCKSELE</t>
        </is>
      </c>
      <c r="I515" t="n">
        <v>24.9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45967</v>
      </c>
      <c r="E516" s="1" t="n">
        <v>46312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46312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45516</v>
      </c>
      <c r="E518" s="1" t="n">
        <v>46312</v>
      </c>
      <c r="F518" t="inlineStr">
        <is>
          <t>VÄSTERBOTTENS LÄN</t>
        </is>
      </c>
      <c r="G518" t="inlineStr">
        <is>
          <t>LYCKSELE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45968</v>
      </c>
      <c r="E519" s="1" t="n">
        <v>46312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Naturvårdsverket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46312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46312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46312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46312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46312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46312</v>
      </c>
      <c r="F525" t="inlineStr">
        <is>
          <t>VÄSTERBOTTENS LÄN</t>
        </is>
      </c>
      <c r="G525" t="inlineStr">
        <is>
          <t>LYCKSELE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48379-2024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45590</v>
      </c>
      <c r="E526" s="1" t="n">
        <v>46312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45455</v>
      </c>
      <c r="E527" s="1" t="n">
        <v>46312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46312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46312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Naturvårdsverket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44952</v>
      </c>
      <c r="E530" s="1" t="n">
        <v>46312</v>
      </c>
      <c r="F530" t="inlineStr">
        <is>
          <t>VÄSTERBOTTENS LÄN</t>
        </is>
      </c>
      <c r="G530" t="inlineStr">
        <is>
          <t>LYCKSELE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45271</v>
      </c>
      <c r="E531" s="1" t="n">
        <v>46312</v>
      </c>
      <c r="F531" t="inlineStr">
        <is>
          <t>VÄSTERBOTTENS LÄN</t>
        </is>
      </c>
      <c r="G531" t="inlineStr">
        <is>
          <t>LYCKSELE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46312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46312</v>
      </c>
      <c r="F533" t="inlineStr">
        <is>
          <t>VÄSTERBOTTENS LÄN</t>
        </is>
      </c>
      <c r="G533" t="inlineStr">
        <is>
          <t>LYCKSELE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45978</v>
      </c>
      <c r="E534" s="1" t="n">
        <v>46312</v>
      </c>
      <c r="F534" t="inlineStr">
        <is>
          <t>VÄSTERBOTTENS LÄN</t>
        </is>
      </c>
      <c r="G534" t="inlineStr">
        <is>
          <t>LYCKSELE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41101-2022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44820</v>
      </c>
      <c r="E535" s="1" t="n">
        <v>46312</v>
      </c>
      <c r="F535" t="inlineStr">
        <is>
          <t>VÄSTERBOTTENS LÄN</t>
        </is>
      </c>
      <c r="G535" t="inlineStr">
        <is>
          <t>LYCKSELE</t>
        </is>
      </c>
      <c r="I535" t="n">
        <v>13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46312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46312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51466-2024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45604</v>
      </c>
      <c r="E538" s="1" t="n">
        <v>46312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46312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46312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45643</v>
      </c>
      <c r="E541" s="1" t="n">
        <v>46312</v>
      </c>
      <c r="F541" t="inlineStr">
        <is>
          <t>VÄSTERBOTTENS LÄN</t>
        </is>
      </c>
      <c r="G541" t="inlineStr">
        <is>
          <t>LYCKSELE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58140-2025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46312</v>
      </c>
      <c r="F542" t="inlineStr">
        <is>
          <t>VÄSTERBOTTENS LÄN</t>
        </is>
      </c>
      <c r="G542" t="inlineStr">
        <is>
          <t>LYCKSELE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46312</v>
      </c>
      <c r="F543" t="inlineStr">
        <is>
          <t>VÄSTERBOTTENS LÄN</t>
        </is>
      </c>
      <c r="G543" t="inlineStr">
        <is>
          <t>LYCKSELE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45020</v>
      </c>
      <c r="E544" s="1" t="n">
        <v>46312</v>
      </c>
      <c r="F544" t="inlineStr">
        <is>
          <t>VÄSTERBOTTENS LÄN</t>
        </is>
      </c>
      <c r="G544" t="inlineStr">
        <is>
          <t>LYCKSELE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46817-2024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45583</v>
      </c>
      <c r="E545" s="1" t="n">
        <v>46312</v>
      </c>
      <c r="F545" t="inlineStr">
        <is>
          <t>VÄSTERBOTTENS LÄN</t>
        </is>
      </c>
      <c r="G545" t="inlineStr">
        <is>
          <t>LYCKSELE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45533</v>
      </c>
      <c r="E546" s="1" t="n">
        <v>46312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46312</v>
      </c>
      <c r="F547" t="inlineStr">
        <is>
          <t>VÄSTERBOTTENS LÄN</t>
        </is>
      </c>
      <c r="G547" t="inlineStr">
        <is>
          <t>LYCKSELE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46312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46312</v>
      </c>
      <c r="F549" t="inlineStr">
        <is>
          <t>VÄSTERBOTTENS LÄN</t>
        </is>
      </c>
      <c r="G549" t="inlineStr">
        <is>
          <t>LYCKSELE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45015</v>
      </c>
      <c r="E550" s="1" t="n">
        <v>46312</v>
      </c>
      <c r="F550" t="inlineStr">
        <is>
          <t>VÄSTERBOTTENS LÄN</t>
        </is>
      </c>
      <c r="G550" t="inlineStr">
        <is>
          <t>LYCKSELE</t>
        </is>
      </c>
      <c r="I550" t="n">
        <v>13.4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45361-2024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45576</v>
      </c>
      <c r="E551" s="1" t="n">
        <v>46312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46312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46312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46312</v>
      </c>
      <c r="F554" t="inlineStr">
        <is>
          <t>VÄSTERBOTTENS LÄN</t>
        </is>
      </c>
      <c r="G554" t="inlineStr">
        <is>
          <t>LYCKSELE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46312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9090-2025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45713</v>
      </c>
      <c r="E556" s="1" t="n">
        <v>46312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46312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59272-2022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44904</v>
      </c>
      <c r="E558" s="1" t="n">
        <v>46312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45742</v>
      </c>
      <c r="E559" s="1" t="n">
        <v>46312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50.1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46312</v>
      </c>
      <c r="F560" t="inlineStr">
        <is>
          <t>VÄSTERBOTTENS LÄN</t>
        </is>
      </c>
      <c r="G560" t="inlineStr">
        <is>
          <t>LYCKSELE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58610-2025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46312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68665-2021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44529</v>
      </c>
      <c r="E562" s="1" t="n">
        <v>46312</v>
      </c>
      <c r="F562" t="inlineStr">
        <is>
          <t>VÄSTERBOTTENS LÄN</t>
        </is>
      </c>
      <c r="G562" t="inlineStr">
        <is>
          <t>LYCKSELE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46312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28525-2023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46312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46312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45730</v>
      </c>
      <c r="E566" s="1" t="n">
        <v>46312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73113-2021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46312</v>
      </c>
      <c r="F567" t="inlineStr">
        <is>
          <t>VÄSTERBOTTENS LÄN</t>
        </is>
      </c>
      <c r="G567" t="inlineStr">
        <is>
          <t>LYCKSELE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44973</v>
      </c>
      <c r="E568" s="1" t="n">
        <v>46312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46312</v>
      </c>
      <c r="F569" t="inlineStr">
        <is>
          <t>VÄSTERBOTTENS LÄN</t>
        </is>
      </c>
      <c r="G569" t="inlineStr">
        <is>
          <t>LYCKSELE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46312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45992</v>
      </c>
      <c r="E571" s="1" t="n">
        <v>46312</v>
      </c>
      <c r="F571" t="inlineStr">
        <is>
          <t>VÄSTERBOTTENS LÄN</t>
        </is>
      </c>
      <c r="G571" t="inlineStr">
        <is>
          <t>LYCKSELE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45992</v>
      </c>
      <c r="E572" s="1" t="n">
        <v>46312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45993</v>
      </c>
      <c r="E573" s="1" t="n">
        <v>46312</v>
      </c>
      <c r="F573" t="inlineStr">
        <is>
          <t>VÄSTERBOTTENS LÄN</t>
        </is>
      </c>
      <c r="G573" t="inlineStr">
        <is>
          <t>LYCKSELE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57571-2025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45980</v>
      </c>
      <c r="E574" s="1" t="n">
        <v>46312</v>
      </c>
      <c r="F574" t="inlineStr">
        <is>
          <t>VÄSTERBOTTENS LÄN</t>
        </is>
      </c>
      <c r="G574" t="inlineStr">
        <is>
          <t>LYCKSELE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46312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24377-2024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46312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46312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46312</v>
      </c>
      <c r="F578" t="inlineStr">
        <is>
          <t>VÄSTERBOTTENS LÄN</t>
        </is>
      </c>
      <c r="G578" t="inlineStr">
        <is>
          <t>LYCKSELE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46312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22451-2026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46153</v>
      </c>
      <c r="E580" s="1" t="n">
        <v>46312</v>
      </c>
      <c r="F580" t="inlineStr">
        <is>
          <t>VÄSTERBOTTENS LÄN</t>
        </is>
      </c>
      <c r="G580" t="inlineStr">
        <is>
          <t>LYCKSELE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45498</v>
      </c>
      <c r="E581" s="1" t="n">
        <v>46312</v>
      </c>
      <c r="F581" t="inlineStr">
        <is>
          <t>VÄSTERBOTTENS LÄN</t>
        </is>
      </c>
      <c r="G581" t="inlineStr">
        <is>
          <t>LYCKSELE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21109-2023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45061</v>
      </c>
      <c r="E582" s="1" t="n">
        <v>46312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46312</v>
      </c>
      <c r="F583" t="inlineStr">
        <is>
          <t>VÄSTERBOTTENS LÄN</t>
        </is>
      </c>
      <c r="G583" t="inlineStr">
        <is>
          <t>LYCKSELE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49631-2023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45211</v>
      </c>
      <c r="E584" s="1" t="n">
        <v>46312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Kommuner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45996</v>
      </c>
      <c r="E585" s="1" t="n">
        <v>46312</v>
      </c>
      <c r="F585" t="inlineStr">
        <is>
          <t>VÄSTERBOTTENS LÄN</t>
        </is>
      </c>
      <c r="G585" t="inlineStr">
        <is>
          <t>LYCKSELE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38478-2024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45546</v>
      </c>
      <c r="E586" s="1" t="n">
        <v>46312</v>
      </c>
      <c r="F586" t="inlineStr">
        <is>
          <t>VÄSTERBOTTENS LÄN</t>
        </is>
      </c>
      <c r="G586" t="inlineStr">
        <is>
          <t>LYCKSELE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46312</v>
      </c>
      <c r="F587" t="inlineStr">
        <is>
          <t>VÄSTERBOTTENS LÄN</t>
        </is>
      </c>
      <c r="G587" t="inlineStr">
        <is>
          <t>LYCKSELE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46312</v>
      </c>
      <c r="F588" t="inlineStr">
        <is>
          <t>VÄSTERBOTTENS LÄN</t>
        </is>
      </c>
      <c r="G588" t="inlineStr">
        <is>
          <t>LYCKSELE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46312</v>
      </c>
      <c r="F589" t="inlineStr">
        <is>
          <t>VÄSTERBOTTENS LÄN</t>
        </is>
      </c>
      <c r="G589" t="inlineStr">
        <is>
          <t>LYCKSELE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45196</v>
      </c>
      <c r="E590" s="1" t="n">
        <v>46312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46312</v>
      </c>
      <c r="F591" t="inlineStr">
        <is>
          <t>VÄSTERBOTTENS LÄN</t>
        </is>
      </c>
      <c r="G591" t="inlineStr">
        <is>
          <t>LYCKSELE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46312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45618</v>
      </c>
      <c r="E593" s="1" t="n">
        <v>46312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46312</v>
      </c>
      <c r="F594" t="inlineStr">
        <is>
          <t>VÄSTERBOTTENS LÄN</t>
        </is>
      </c>
      <c r="G594" t="inlineStr">
        <is>
          <t>LYCKSELE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46312</v>
      </c>
      <c r="F595" t="inlineStr">
        <is>
          <t>VÄSTERBOTTENS LÄN</t>
        </is>
      </c>
      <c r="G595" t="inlineStr">
        <is>
          <t>LYCKSELE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46312</v>
      </c>
      <c r="F596" t="inlineStr">
        <is>
          <t>VÄSTERBOTTENS LÄN</t>
        </is>
      </c>
      <c r="G596" t="inlineStr">
        <is>
          <t>LYCKSELE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45505</v>
      </c>
      <c r="E597" s="1" t="n">
        <v>46312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61351-2025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46001</v>
      </c>
      <c r="E598" s="1" t="n">
        <v>46312</v>
      </c>
      <c r="F598" t="inlineStr">
        <is>
          <t>VÄSTERBOTTENS LÄN</t>
        </is>
      </c>
      <c r="G598" t="inlineStr">
        <is>
          <t>LYCKSELE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46312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46001</v>
      </c>
      <c r="E600" s="1" t="n">
        <v>46312</v>
      </c>
      <c r="F600" t="inlineStr">
        <is>
          <t>VÄSTERBOTTENS LÄN</t>
        </is>
      </c>
      <c r="G600" t="inlineStr">
        <is>
          <t>LYCKSELE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46312</v>
      </c>
      <c r="F601" t="inlineStr">
        <is>
          <t>VÄSTERBOTTENS LÄN</t>
        </is>
      </c>
      <c r="G601" t="inlineStr">
        <is>
          <t>LYCKSELE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46312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46312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61854-2025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46003</v>
      </c>
      <c r="E604" s="1" t="n">
        <v>46312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46312</v>
      </c>
      <c r="F605" t="inlineStr">
        <is>
          <t>VÄSTERBOTTENS LÄN</t>
        </is>
      </c>
      <c r="G605" t="inlineStr">
        <is>
          <t>LYCKSELE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21289-2025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45779</v>
      </c>
      <c r="E606" s="1" t="n">
        <v>46312</v>
      </c>
      <c r="F606" t="inlineStr">
        <is>
          <t>VÄSTERBOTTENS LÄN</t>
        </is>
      </c>
      <c r="G606" t="inlineStr">
        <is>
          <t>LYCKSELE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46002</v>
      </c>
      <c r="E607" s="1" t="n">
        <v>46312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46312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9517-2025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45715</v>
      </c>
      <c r="E609" s="1" t="n">
        <v>46312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46007</v>
      </c>
      <c r="E610" s="1" t="n">
        <v>46312</v>
      </c>
      <c r="F610" t="inlineStr">
        <is>
          <t>VÄSTERBOTTENS LÄN</t>
        </is>
      </c>
      <c r="G610" t="inlineStr">
        <is>
          <t>LYCKSELE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61281-2022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44909</v>
      </c>
      <c r="E611" s="1" t="n">
        <v>46312</v>
      </c>
      <c r="F611" t="inlineStr">
        <is>
          <t>VÄSTERBOTTENS LÄN</t>
        </is>
      </c>
      <c r="G611" t="inlineStr">
        <is>
          <t>LYCKSELE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63100-2025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46312</v>
      </c>
      <c r="F612" t="inlineStr">
        <is>
          <t>VÄSTERBOTTENS LÄN</t>
        </is>
      </c>
      <c r="G612" t="inlineStr">
        <is>
          <t>LYCKSELE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44861</v>
      </c>
      <c r="E613" s="1" t="n">
        <v>46312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62906-2025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46009</v>
      </c>
      <c r="E614" s="1" t="n">
        <v>46312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63096-2025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46312</v>
      </c>
      <c r="F615" t="inlineStr">
        <is>
          <t>VÄSTERBOTTENS LÄN</t>
        </is>
      </c>
      <c r="G615" t="inlineStr">
        <is>
          <t>LYCKSELE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46312</v>
      </c>
      <c r="F616" t="inlineStr">
        <is>
          <t>VÄSTERBOTTENS LÄN</t>
        </is>
      </c>
      <c r="G616" t="inlineStr">
        <is>
          <t>LYCKSELE</t>
        </is>
      </c>
      <c r="I616" t="n">
        <v>13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57298-2025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45979</v>
      </c>
      <c r="E617" s="1" t="n">
        <v>46312</v>
      </c>
      <c r="F617" t="inlineStr">
        <is>
          <t>VÄSTERBOTTENS LÄN</t>
        </is>
      </c>
      <c r="G617" t="inlineStr">
        <is>
          <t>LYCKSELE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46312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46312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63315-2025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46312</v>
      </c>
      <c r="F620" t="inlineStr">
        <is>
          <t>VÄSTERBOTTENS LÄN</t>
        </is>
      </c>
      <c r="G620" t="inlineStr">
        <is>
          <t>LYCKSELE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46312</v>
      </c>
      <c r="F621" t="inlineStr">
        <is>
          <t>VÄSTERBOTTENS LÄN</t>
        </is>
      </c>
      <c r="G621" t="inlineStr">
        <is>
          <t>LYCKSELE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46014</v>
      </c>
      <c r="E622" s="1" t="n">
        <v>46312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45479</v>
      </c>
      <c r="E623" s="1" t="n">
        <v>46312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45479</v>
      </c>
      <c r="E624" s="1" t="n">
        <v>46312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45606</v>
      </c>
      <c r="E625" s="1" t="n">
        <v>46312</v>
      </c>
      <c r="F625" t="inlineStr">
        <is>
          <t>VÄSTERBOTTENS LÄN</t>
        </is>
      </c>
      <c r="G625" t="inlineStr">
        <is>
          <t>LYCKSELE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46312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45429</v>
      </c>
      <c r="E627" s="1" t="n">
        <v>46312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46312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26396-2022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44735</v>
      </c>
      <c r="E629" s="1" t="n">
        <v>46312</v>
      </c>
      <c r="F629" t="inlineStr">
        <is>
          <t>VÄSTERBOTTENS LÄN</t>
        </is>
      </c>
      <c r="G629" t="inlineStr">
        <is>
          <t>LYCKSELE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46181-2025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45924</v>
      </c>
      <c r="E630" s="1" t="n">
        <v>46312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43134-2023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45182</v>
      </c>
      <c r="E631" s="1" t="n">
        <v>46312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45432</v>
      </c>
      <c r="E632" s="1" t="n">
        <v>46312</v>
      </c>
      <c r="F632" t="inlineStr">
        <is>
          <t>VÄSTERBOTTENS LÄN</t>
        </is>
      </c>
      <c r="G632" t="inlineStr">
        <is>
          <t>LYCKSELE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46312</v>
      </c>
      <c r="F633" t="inlineStr">
        <is>
          <t>VÄSTERBOTTENS LÄN</t>
        </is>
      </c>
      <c r="G633" t="inlineStr">
        <is>
          <t>LYCKSELE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44942</v>
      </c>
      <c r="E634" s="1" t="n">
        <v>46312</v>
      </c>
      <c r="F634" t="inlineStr">
        <is>
          <t>VÄSTERBOTTENS LÄN</t>
        </is>
      </c>
      <c r="G634" t="inlineStr">
        <is>
          <t>LYCKSELE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44830</v>
      </c>
      <c r="E635" s="1" t="n">
        <v>46312</v>
      </c>
      <c r="F635" t="inlineStr">
        <is>
          <t>VÄSTERBOTTENS LÄN</t>
        </is>
      </c>
      <c r="G635" t="inlineStr">
        <is>
          <t>LYCKSELE</t>
        </is>
      </c>
      <c r="I635" t="n">
        <v>15.9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46312</v>
      </c>
      <c r="F636" t="inlineStr">
        <is>
          <t>VÄSTERBOTTENS LÄN</t>
        </is>
      </c>
      <c r="G636" t="inlineStr">
        <is>
          <t>LYCKSELE</t>
        </is>
      </c>
      <c r="I636" t="n">
        <v>16.3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46312</v>
      </c>
      <c r="F637" t="inlineStr">
        <is>
          <t>VÄSTERBOTTENS LÄN</t>
        </is>
      </c>
      <c r="G637" t="inlineStr">
        <is>
          <t>LYCKSELE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12839-2022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44642</v>
      </c>
      <c r="E638" s="1" t="n">
        <v>46312</v>
      </c>
      <c r="F638" t="inlineStr">
        <is>
          <t>VÄSTERBOTTENS LÄN</t>
        </is>
      </c>
      <c r="G638" t="inlineStr">
        <is>
          <t>LYCKSELE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46312</v>
      </c>
      <c r="F639" t="inlineStr">
        <is>
          <t>VÄSTERBOTTENS LÄN</t>
        </is>
      </c>
      <c r="G639" t="inlineStr">
        <is>
          <t>LYCKSELE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58716-2024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45635</v>
      </c>
      <c r="E640" s="1" t="n">
        <v>46312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46312</v>
      </c>
      <c r="F641" t="inlineStr">
        <is>
          <t>VÄSTERBOTTENS LÄN</t>
        </is>
      </c>
      <c r="G641" t="inlineStr">
        <is>
          <t>LYCKSELE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46312</v>
      </c>
      <c r="F642" t="inlineStr">
        <is>
          <t>VÄSTERBOTTENS LÄN</t>
        </is>
      </c>
      <c r="G642" t="inlineStr">
        <is>
          <t>LYCKSELE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45441</v>
      </c>
      <c r="E643" s="1" t="n">
        <v>46312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46312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46312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46312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45883</v>
      </c>
      <c r="E647" s="1" t="n">
        <v>46312</v>
      </c>
      <c r="F647" t="inlineStr">
        <is>
          <t>VÄSTERBOTTENS LÄN</t>
        </is>
      </c>
      <c r="G647" t="inlineStr">
        <is>
          <t>LYCKSELE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46312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46312</v>
      </c>
      <c r="F649" t="inlineStr">
        <is>
          <t>VÄSTERBOTTENS LÄN</t>
        </is>
      </c>
      <c r="G649" t="inlineStr">
        <is>
          <t>LYCKSELE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46312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46312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46312</v>
      </c>
      <c r="F652" t="inlineStr">
        <is>
          <t>VÄSTERBOTTENS LÄN</t>
        </is>
      </c>
      <c r="G652" t="inlineStr">
        <is>
          <t>LYCKSELE</t>
        </is>
      </c>
      <c r="I652" t="n">
        <v>34.9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46312</v>
      </c>
      <c r="F653" t="inlineStr">
        <is>
          <t>VÄSTERBOTTENS LÄN</t>
        </is>
      </c>
      <c r="G653" t="inlineStr">
        <is>
          <t>LYCKSELE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46312</v>
      </c>
      <c r="F654" t="inlineStr">
        <is>
          <t>VÄSTERBOTTENS LÄN</t>
        </is>
      </c>
      <c r="G654" t="inlineStr">
        <is>
          <t>LYCKSELE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46312</v>
      </c>
      <c r="F655" t="inlineStr">
        <is>
          <t>VÄSTERBOTTENS LÄN</t>
        </is>
      </c>
      <c r="G655" t="inlineStr">
        <is>
          <t>LYCKSELE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46312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62877-2023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45271</v>
      </c>
      <c r="E657" s="1" t="n">
        <v>46312</v>
      </c>
      <c r="F657" t="inlineStr">
        <is>
          <t>VÄSTERBOTTENS LÄN</t>
        </is>
      </c>
      <c r="G657" t="inlineStr">
        <is>
          <t>LYCKSELE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46312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34567-2023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45140</v>
      </c>
      <c r="E659" s="1" t="n">
        <v>46312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66460-2021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44518</v>
      </c>
      <c r="E660" s="1" t="n">
        <v>46312</v>
      </c>
      <c r="F660" t="inlineStr">
        <is>
          <t>VÄSTERBOTTENS LÄN</t>
        </is>
      </c>
      <c r="G660" t="inlineStr">
        <is>
          <t>LYCKSELE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26175-2026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46312</v>
      </c>
      <c r="F661" t="inlineStr">
        <is>
          <t>VÄSTERBOTTENS LÄN</t>
        </is>
      </c>
      <c r="G661" t="inlineStr">
        <is>
          <t>LYCKSELE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46312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46312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46312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46312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45715</v>
      </c>
      <c r="E666" s="1" t="n">
        <v>46312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45014</v>
      </c>
      <c r="E667" s="1" t="n">
        <v>46312</v>
      </c>
      <c r="F667" t="inlineStr">
        <is>
          <t>VÄSTERBOTTENS LÄN</t>
        </is>
      </c>
      <c r="G667" t="inlineStr">
        <is>
          <t>LYCKSELE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45540</v>
      </c>
      <c r="E668" s="1" t="n">
        <v>46312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44581</v>
      </c>
      <c r="E669" s="1" t="n">
        <v>46312</v>
      </c>
      <c r="F669" t="inlineStr">
        <is>
          <t>VÄSTERBOTTENS LÄN</t>
        </is>
      </c>
      <c r="G669" t="inlineStr">
        <is>
          <t>LYCKSELE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46312</v>
      </c>
      <c r="F670" t="inlineStr">
        <is>
          <t>VÄSTERBOTTENS LÄN</t>
        </is>
      </c>
      <c r="G670" t="inlineStr">
        <is>
          <t>LYCKSELE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46312</v>
      </c>
      <c r="F671" t="inlineStr">
        <is>
          <t>VÄSTERBOTTENS LÄN</t>
        </is>
      </c>
      <c r="G671" t="inlineStr">
        <is>
          <t>LYCKSELE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26435-2026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46312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58775-2025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45986</v>
      </c>
      <c r="E673" s="1" t="n">
        <v>46312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44925</v>
      </c>
      <c r="E674" s="1" t="n">
        <v>46312</v>
      </c>
      <c r="F674" t="inlineStr">
        <is>
          <t>VÄSTERBOTTENS LÄN</t>
        </is>
      </c>
      <c r="G674" t="inlineStr">
        <is>
          <t>LYCKSELE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46312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46312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9.9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29524-2023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46312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44924</v>
      </c>
      <c r="E678" s="1" t="n">
        <v>46312</v>
      </c>
      <c r="F678" t="inlineStr">
        <is>
          <t>VÄSTERBOTTENS LÄN</t>
        </is>
      </c>
      <c r="G678" t="inlineStr">
        <is>
          <t>LYCKSELE</t>
        </is>
      </c>
      <c r="I678" t="n">
        <v>11.9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46312</v>
      </c>
      <c r="F679" t="inlineStr">
        <is>
          <t>VÄSTERBOTTENS LÄN</t>
        </is>
      </c>
      <c r="G679" t="inlineStr">
        <is>
          <t>LYCKSELE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32800-2024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46312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64893-2021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44512</v>
      </c>
      <c r="E681" s="1" t="n">
        <v>46312</v>
      </c>
      <c r="F681" t="inlineStr">
        <is>
          <t>VÄSTERBOTTENS LÄN</t>
        </is>
      </c>
      <c r="G681" t="inlineStr">
        <is>
          <t>LYCKSELE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46312</v>
      </c>
      <c r="F682" t="inlineStr">
        <is>
          <t>VÄSTERBOTTENS LÄN</t>
        </is>
      </c>
      <c r="G682" t="inlineStr">
        <is>
          <t>LYCKSELE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46312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12.1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8273-2026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46312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Naturvårdsverket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46826-2023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45198</v>
      </c>
      <c r="E685" s="1" t="n">
        <v>46312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38178-2022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44812</v>
      </c>
      <c r="E686" s="1" t="n">
        <v>46312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8467-2026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46065</v>
      </c>
      <c r="E687" s="1" t="n">
        <v>46312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26980-2026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46312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46312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46312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46312</v>
      </c>
      <c r="F691" t="inlineStr">
        <is>
          <t>VÄSTERBOTTENS LÄN</t>
        </is>
      </c>
      <c r="G691" t="inlineStr">
        <is>
          <t>LYCKSELE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46312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46312</v>
      </c>
      <c r="F693" t="inlineStr">
        <is>
          <t>VÄSTERBOTTENS LÄN</t>
        </is>
      </c>
      <c r="G693" t="inlineStr">
        <is>
          <t>LYCKSELE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45576</v>
      </c>
      <c r="E694" s="1" t="n">
        <v>46312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45687</v>
      </c>
      <c r="E695" s="1" t="n">
        <v>46312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14070-2024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45392</v>
      </c>
      <c r="E696" s="1" t="n">
        <v>46312</v>
      </c>
      <c r="F696" t="inlineStr">
        <is>
          <t>VÄSTERBOTTENS LÄN</t>
        </is>
      </c>
      <c r="G696" t="inlineStr">
        <is>
          <t>LYCKSELE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46312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19246-2025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45769</v>
      </c>
      <c r="E698" s="1" t="n">
        <v>46312</v>
      </c>
      <c r="F698" t="inlineStr">
        <is>
          <t>VÄSTERBOTTENS LÄN</t>
        </is>
      </c>
      <c r="G698" t="inlineStr">
        <is>
          <t>LYCKSELE</t>
        </is>
      </c>
      <c r="I698" t="n">
        <v>9.4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46312</v>
      </c>
      <c r="F699" t="inlineStr">
        <is>
          <t>VÄSTERBOTTENS LÄN</t>
        </is>
      </c>
      <c r="G699" t="inlineStr">
        <is>
          <t>LYCKSELE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46312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40262-2022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44820</v>
      </c>
      <c r="E701" s="1" t="n">
        <v>46312</v>
      </c>
      <c r="F701" t="inlineStr">
        <is>
          <t>VÄSTERBOTTENS LÄN</t>
        </is>
      </c>
      <c r="G701" t="inlineStr">
        <is>
          <t>LYCKSELE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45218</v>
      </c>
      <c r="E702" s="1" t="n">
        <v>46312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46312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12083-2026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46312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11743-2023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44994</v>
      </c>
      <c r="E705" s="1" t="n">
        <v>46312</v>
      </c>
      <c r="F705" t="inlineStr">
        <is>
          <t>VÄSTERBOTTENS LÄN</t>
        </is>
      </c>
      <c r="G705" t="inlineStr">
        <is>
          <t>LYCKSELE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46085</v>
      </c>
      <c r="E706" s="1" t="n">
        <v>46312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46189</v>
      </c>
      <c r="E707" s="1" t="n">
        <v>46312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46312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45428</v>
      </c>
      <c r="E709" s="1" t="n">
        <v>46312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34810-2024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45526</v>
      </c>
      <c r="E710" s="1" t="n">
        <v>46312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46312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46312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55170-2022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44886</v>
      </c>
      <c r="E713" s="1" t="n">
        <v>46312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46312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46312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46312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46091</v>
      </c>
      <c r="E717" s="1" t="n">
        <v>46312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46312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46312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59653-2022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44907</v>
      </c>
      <c r="E720" s="1" t="n">
        <v>46312</v>
      </c>
      <c r="F720" t="inlineStr">
        <is>
          <t>VÄSTERBOTTENS LÄN</t>
        </is>
      </c>
      <c r="G720" t="inlineStr">
        <is>
          <t>LYCKSELE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13384-2026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46312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10.9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46312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46312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46312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46312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27843-2026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46191</v>
      </c>
      <c r="E726" s="1" t="n">
        <v>46312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46312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46312</v>
      </c>
      <c r="F728" t="inlineStr">
        <is>
          <t>VÄSTERBOTTENS LÄN</t>
        </is>
      </c>
      <c r="G728" t="inlineStr">
        <is>
          <t>LYCKSELE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46312</v>
      </c>
      <c r="F729" t="inlineStr">
        <is>
          <t>VÄSTERBOTTENS LÄN</t>
        </is>
      </c>
      <c r="G729" t="inlineStr">
        <is>
          <t>LYCKSELE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46312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71407-2021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46312</v>
      </c>
      <c r="F731" t="inlineStr">
        <is>
          <t>VÄSTERBOTTENS LÄN</t>
        </is>
      </c>
      <c r="G731" t="inlineStr">
        <is>
          <t>LYCKSELE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46312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46312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46312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46312</v>
      </c>
      <c r="F735" t="inlineStr">
        <is>
          <t>VÄSTERBOTTENS LÄN</t>
        </is>
      </c>
      <c r="G735" t="inlineStr">
        <is>
          <t>LYCKSELE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29314-2026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46197</v>
      </c>
      <c r="E736" s="1" t="n">
        <v>46312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Kommuner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14405-2026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46312</v>
      </c>
      <c r="F737" t="inlineStr">
        <is>
          <t>VÄSTERBOTTENS LÄN</t>
        </is>
      </c>
      <c r="G737" t="inlineStr">
        <is>
          <t>LYCKSELE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46312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9.300000000000001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46312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46312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46312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46312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6.4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33713-2024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45520</v>
      </c>
      <c r="E743" s="1" t="n">
        <v>46312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7.5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46312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46312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60685-2022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44911</v>
      </c>
      <c r="E746" s="1" t="n">
        <v>46312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18674-2025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45763</v>
      </c>
      <c r="E747" s="1" t="n">
        <v>46312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45588</v>
      </c>
      <c r="E748" s="1" t="n">
        <v>46312</v>
      </c>
      <c r="F748" t="inlineStr">
        <is>
          <t>VÄSTERBOTTENS LÄN</t>
        </is>
      </c>
      <c r="G748" t="inlineStr">
        <is>
          <t>LYCKSELE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15696-2026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46107</v>
      </c>
      <c r="E749" s="1" t="n">
        <v>46312</v>
      </c>
      <c r="F749" t="inlineStr">
        <is>
          <t>VÄSTERBOTTENS LÄN</t>
        </is>
      </c>
      <c r="G749" t="inlineStr">
        <is>
          <t>LYCKSELE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42887-2024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46312</v>
      </c>
      <c r="F750" t="inlineStr">
        <is>
          <t>VÄSTERBOTTENS LÄN</t>
        </is>
      </c>
      <c r="G750" t="inlineStr">
        <is>
          <t>LYCKSELE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45364</v>
      </c>
      <c r="E751" s="1" t="n">
        <v>46312</v>
      </c>
      <c r="F751" t="inlineStr">
        <is>
          <t>VÄSTERBOTTENS LÄN</t>
        </is>
      </c>
      <c r="G751" t="inlineStr">
        <is>
          <t>LYCKSELE</t>
        </is>
      </c>
      <c r="I751" t="n">
        <v>9.4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45637</v>
      </c>
      <c r="E752" s="1" t="n">
        <v>46312</v>
      </c>
      <c r="F752" t="inlineStr">
        <is>
          <t>VÄSTERBOTTENS LÄN</t>
        </is>
      </c>
      <c r="G752" t="inlineStr">
        <is>
          <t>LYCKSELE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16138-2026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46108</v>
      </c>
      <c r="E753" s="1" t="n">
        <v>46312</v>
      </c>
      <c r="F753" t="inlineStr">
        <is>
          <t>VÄSTERBOTTENS LÄN</t>
        </is>
      </c>
      <c r="G753" t="inlineStr">
        <is>
          <t>LYCKSELE</t>
        </is>
      </c>
      <c r="I753" t="n">
        <v>13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46312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46312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46312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37271-2023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45155</v>
      </c>
      <c r="E757" s="1" t="n">
        <v>46312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46312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16646-2026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46312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16986-2026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46312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46312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28586-2026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46312</v>
      </c>
      <c r="F762" t="inlineStr">
        <is>
          <t>VÄSTERBOTTENS LÄN</t>
        </is>
      </c>
      <c r="G762" t="inlineStr">
        <is>
          <t>LYCKSELE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46312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46312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61506-2021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44501</v>
      </c>
      <c r="E765" s="1" t="n">
        <v>46312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60267-2022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44910</v>
      </c>
      <c r="E766" s="1" t="n">
        <v>46312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27495-2024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45474</v>
      </c>
      <c r="E767" s="1" t="n">
        <v>46312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17329-2026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46312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28939-2026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46312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17650-2026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46121</v>
      </c>
      <c r="E770" s="1" t="n">
        <v>46312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45117</v>
      </c>
      <c r="E771" s="1" t="n">
        <v>46312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32690-2024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45515</v>
      </c>
      <c r="E772" s="1" t="n">
        <v>46312</v>
      </c>
      <c r="F772" t="inlineStr">
        <is>
          <t>VÄSTERBOTTENS LÄN</t>
        </is>
      </c>
      <c r="G772" t="inlineStr">
        <is>
          <t>LYCKSELE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45154</v>
      </c>
      <c r="E773" s="1" t="n">
        <v>46312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46312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46202</v>
      </c>
      <c r="E775" s="1" t="n">
        <v>46312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38.4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46202</v>
      </c>
      <c r="E776" s="1" t="n">
        <v>46312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44980</v>
      </c>
      <c r="E777" s="1" t="n">
        <v>46312</v>
      </c>
      <c r="F777" t="inlineStr">
        <is>
          <t>VÄSTERBOTTENS LÄN</t>
        </is>
      </c>
      <c r="G777" t="inlineStr">
        <is>
          <t>LYCKSELE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18737-2026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46312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51943-2023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46312</v>
      </c>
      <c r="F779" t="inlineStr">
        <is>
          <t>VÄSTERBOTTENS LÄN</t>
        </is>
      </c>
      <c r="G779" t="inlineStr">
        <is>
          <t>LYCKSELE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18789-2026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46312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46312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18581-2026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46312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28907-2026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46312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46199</v>
      </c>
      <c r="E784" s="1" t="n">
        <v>46312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29425-2026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46203</v>
      </c>
      <c r="E785" s="1" t="n">
        <v>46312</v>
      </c>
      <c r="F785" t="inlineStr">
        <is>
          <t>VÄSTERBOTTENS LÄN</t>
        </is>
      </c>
      <c r="G785" t="inlineStr">
        <is>
          <t>LYCKSELE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49130-2024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46312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61094-2023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45261</v>
      </c>
      <c r="E787" s="1" t="n">
        <v>46312</v>
      </c>
      <c r="F787" t="inlineStr">
        <is>
          <t>VÄSTERBOTTENS LÄN</t>
        </is>
      </c>
      <c r="G787" t="inlineStr">
        <is>
          <t>LYCKSELE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46312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9.699999999999999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46312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29706-2026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46204</v>
      </c>
      <c r="E790" s="1" t="n">
        <v>46312</v>
      </c>
      <c r="F790" t="inlineStr">
        <is>
          <t>VÄSTERBOTTENS LÄN</t>
        </is>
      </c>
      <c r="G790" t="inlineStr">
        <is>
          <t>LYCKSELE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46312</v>
      </c>
      <c r="F791" t="inlineStr">
        <is>
          <t>VÄSTERBOTTENS LÄN</t>
        </is>
      </c>
      <c r="G791" t="inlineStr">
        <is>
          <t>LYCKSELE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46312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14.9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21668-2024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45441</v>
      </c>
      <c r="E793" s="1" t="n">
        <v>46312</v>
      </c>
      <c r="F793" t="inlineStr">
        <is>
          <t>VÄSTERBOTTENS LÄN</t>
        </is>
      </c>
      <c r="G793" t="inlineStr">
        <is>
          <t>LYCKSELE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12336-2024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45378</v>
      </c>
      <c r="E794" s="1" t="n">
        <v>46312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19701-2026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46134</v>
      </c>
      <c r="E795" s="1" t="n">
        <v>46312</v>
      </c>
      <c r="F795" t="inlineStr">
        <is>
          <t>VÄSTERBOTTENS LÄN</t>
        </is>
      </c>
      <c r="G795" t="inlineStr">
        <is>
          <t>LYCKSELE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26717-2024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45470</v>
      </c>
      <c r="E796" s="1" t="n">
        <v>46312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45503</v>
      </c>
      <c r="E797" s="1" t="n">
        <v>46312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45128</v>
      </c>
      <c r="E798" s="1" t="n">
        <v>46312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29719-2026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46312</v>
      </c>
      <c r="F799" t="inlineStr">
        <is>
          <t>VÄSTERBOTTENS LÄN</t>
        </is>
      </c>
      <c r="G799" t="inlineStr">
        <is>
          <t>LYCKSELE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29436-2026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46203</v>
      </c>
      <c r="E800" s="1" t="n">
        <v>46312</v>
      </c>
      <c r="F800" t="inlineStr">
        <is>
          <t>VÄSTERBOTTENS LÄN</t>
        </is>
      </c>
      <c r="G800" t="inlineStr">
        <is>
          <t>LYCKSELE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29730-2026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46312</v>
      </c>
      <c r="F801" t="inlineStr">
        <is>
          <t>VÄSTERBOTTENS LÄN</t>
        </is>
      </c>
      <c r="G801" t="inlineStr">
        <is>
          <t>LYCKSELE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55456-2022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44887</v>
      </c>
      <c r="E802" s="1" t="n">
        <v>46312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45139-2025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45919</v>
      </c>
      <c r="E803" s="1" t="n">
        <v>46312</v>
      </c>
      <c r="F803" t="inlineStr">
        <is>
          <t>VÄSTERBOTTENS LÄN</t>
        </is>
      </c>
      <c r="G803" t="inlineStr">
        <is>
          <t>LYCKSELE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29424-2026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46203</v>
      </c>
      <c r="E804" s="1" t="n">
        <v>46312</v>
      </c>
      <c r="F804" t="inlineStr">
        <is>
          <t>VÄSTERBOTTENS LÄN</t>
        </is>
      </c>
      <c r="G804" t="inlineStr">
        <is>
          <t>LYCKSELE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45107</v>
      </c>
      <c r="E805" s="1" t="n">
        <v>46312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46312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44826</v>
      </c>
      <c r="E807" s="1" t="n">
        <v>46312</v>
      </c>
      <c r="F807" t="inlineStr">
        <is>
          <t>VÄSTERBOTTENS LÄN</t>
        </is>
      </c>
      <c r="G807" t="inlineStr">
        <is>
          <t>LYCKSELE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58594-2022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44902</v>
      </c>
      <c r="E808" s="1" t="n">
        <v>46312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38212-2024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45545</v>
      </c>
      <c r="E809" s="1" t="n">
        <v>46312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46312</v>
      </c>
      <c r="F810" t="inlineStr">
        <is>
          <t>VÄSTERBOTTENS LÄN</t>
        </is>
      </c>
      <c r="G810" t="inlineStr">
        <is>
          <t>LYCKSELE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53839-2023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45231</v>
      </c>
      <c r="E811" s="1" t="n">
        <v>46312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45701</v>
      </c>
      <c r="E812" s="1" t="n">
        <v>46312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59559-2022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44900</v>
      </c>
      <c r="E813" s="1" t="n">
        <v>46312</v>
      </c>
      <c r="F813" t="inlineStr">
        <is>
          <t>VÄSTERBOTTENS LÄN</t>
        </is>
      </c>
      <c r="G813" t="inlineStr">
        <is>
          <t>LYCKSELE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29839-2026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46312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29841-2026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46205</v>
      </c>
      <c r="E815" s="1" t="n">
        <v>46312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29848-2026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46205</v>
      </c>
      <c r="E816" s="1" t="n">
        <v>46312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46205</v>
      </c>
      <c r="E817" s="1" t="n">
        <v>46312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8.6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29844-2026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46205</v>
      </c>
      <c r="E818" s="1" t="n">
        <v>46312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58192-2023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45245</v>
      </c>
      <c r="E819" s="1" t="n">
        <v>46312</v>
      </c>
      <c r="F819" t="inlineStr">
        <is>
          <t>VÄSTERBOTTENS LÄN</t>
        </is>
      </c>
      <c r="G819" t="inlineStr">
        <is>
          <t>LYCKSELE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46312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5.8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53037-2023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45226</v>
      </c>
      <c r="E821" s="1" t="n">
        <v>46312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53335-2024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45614</v>
      </c>
      <c r="E822" s="1" t="n">
        <v>46312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30589-2026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46210</v>
      </c>
      <c r="E823" s="1" t="n">
        <v>46312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24810-2024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46312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30447-2026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46209</v>
      </c>
      <c r="E825" s="1" t="n">
        <v>46312</v>
      </c>
      <c r="F825" t="inlineStr">
        <is>
          <t>VÄSTERBOTTENS LÄN</t>
        </is>
      </c>
      <c r="G825" t="inlineStr">
        <is>
          <t>LYCKSELE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30360-2026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46209</v>
      </c>
      <c r="E826" s="1" t="n">
        <v>46312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6.3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60859-2022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44908</v>
      </c>
      <c r="E827" s="1" t="n">
        <v>46312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26351-2022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44735</v>
      </c>
      <c r="E828" s="1" t="n">
        <v>46312</v>
      </c>
      <c r="F828" t="inlineStr">
        <is>
          <t>VÄSTERBOTTENS LÄN</t>
        </is>
      </c>
      <c r="G828" t="inlineStr">
        <is>
          <t>LYCKSELE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54446-2023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45233</v>
      </c>
      <c r="E829" s="1" t="n">
        <v>46312</v>
      </c>
      <c r="F829" t="inlineStr">
        <is>
          <t>VÄSTERBOTTENS LÄN</t>
        </is>
      </c>
      <c r="G829" t="inlineStr">
        <is>
          <t>LYCKSELE</t>
        </is>
      </c>
      <c r="I829" t="n">
        <v>21.4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52956-2022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44875</v>
      </c>
      <c r="E830" s="1" t="n">
        <v>46312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30631-2026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46211</v>
      </c>
      <c r="E831" s="1" t="n">
        <v>46312</v>
      </c>
      <c r="F831" t="inlineStr">
        <is>
          <t>VÄSTERBOTTENS LÄN</t>
        </is>
      </c>
      <c r="G831" t="inlineStr">
        <is>
          <t>LYCKSELE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38112-2024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45545</v>
      </c>
      <c r="E832" s="1" t="n">
        <v>46312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59516-2021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44491</v>
      </c>
      <c r="E833" s="1" t="n">
        <v>46312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34111-2025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45845</v>
      </c>
      <c r="E834" s="1" t="n">
        <v>46312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8.4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43770-2025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45912</v>
      </c>
      <c r="E835" s="1" t="n">
        <v>46312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46312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52.4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56343-2022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44890</v>
      </c>
      <c r="E837" s="1" t="n">
        <v>46312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46312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46654-2025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46312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46213</v>
      </c>
      <c r="E840" s="1" t="n">
        <v>46312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30945-2026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46213</v>
      </c>
      <c r="E841" s="1" t="n">
        <v>46312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46312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30890-2026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46213</v>
      </c>
      <c r="E843" s="1" t="n">
        <v>46312</v>
      </c>
      <c r="F843" t="inlineStr">
        <is>
          <t>VÄSTERBOTTENS LÄN</t>
        </is>
      </c>
      <c r="G843" t="inlineStr">
        <is>
          <t>LYCKSELE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46562-2025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46312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46218</v>
      </c>
      <c r="E845" s="1" t="n">
        <v>46312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31288-2026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46218</v>
      </c>
      <c r="E846" s="1" t="n">
        <v>46312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46312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31400-2026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46220</v>
      </c>
      <c r="E848" s="1" t="n">
        <v>46312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44952</v>
      </c>
      <c r="E849" s="1" t="n">
        <v>46312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31408-2026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46312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49175-2023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45210</v>
      </c>
      <c r="E851" s="1" t="n">
        <v>46312</v>
      </c>
      <c r="F851" t="inlineStr">
        <is>
          <t>VÄSTERBOTTENS LÄN</t>
        </is>
      </c>
      <c r="G851" t="inlineStr">
        <is>
          <t>LYCKSELE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46219</v>
      </c>
      <c r="E852" s="1" t="n">
        <v>46312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46312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46312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31369-2026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46219</v>
      </c>
      <c r="E855" s="1" t="n">
        <v>46312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67092-2021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44522</v>
      </c>
      <c r="E856" s="1" t="n">
        <v>46312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45491</v>
      </c>
      <c r="E857" s="1" t="n">
        <v>46312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35284-2023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45145</v>
      </c>
      <c r="E858" s="1" t="n">
        <v>46312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31653-2026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46225</v>
      </c>
      <c r="E859" s="1" t="n">
        <v>46312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46312</v>
      </c>
      <c r="F860" t="inlineStr">
        <is>
          <t>VÄSTERBOTTENS LÄN</t>
        </is>
      </c>
      <c r="G860" t="inlineStr">
        <is>
          <t>LYCKSELE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46312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46272</v>
      </c>
      <c r="E862" s="1" t="n">
        <v>46312</v>
      </c>
      <c r="F862" t="inlineStr">
        <is>
          <t>VÄSTERBOTTENS LÄN</t>
        </is>
      </c>
      <c r="G862" t="inlineStr">
        <is>
          <t>LYCKSELE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46312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45142</v>
      </c>
      <c r="E864" s="1" t="n">
        <v>46312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36977-2026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46273</v>
      </c>
      <c r="E865" s="1" t="n">
        <v>46312</v>
      </c>
      <c r="F865" t="inlineStr">
        <is>
          <t>VÄSTERBOTTENS LÄN</t>
        </is>
      </c>
      <c r="G865" t="inlineStr">
        <is>
          <t>LYCKSELE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35569-2024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45531</v>
      </c>
      <c r="E866" s="1" t="n">
        <v>46312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31788-2026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46230</v>
      </c>
      <c r="E867" s="1" t="n">
        <v>46312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60122-2022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44909</v>
      </c>
      <c r="E868" s="1" t="n">
        <v>46312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36813-2026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46312</v>
      </c>
      <c r="F869" t="inlineStr">
        <is>
          <t>VÄSTERBOTTENS LÄN</t>
        </is>
      </c>
      <c r="G869" t="inlineStr">
        <is>
          <t>LYCKSELE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46312</v>
      </c>
      <c r="F870" t="inlineStr">
        <is>
          <t>VÄSTERBOTTENS LÄN</t>
        </is>
      </c>
      <c r="G870" t="inlineStr">
        <is>
          <t>LYCKSELE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46230</v>
      </c>
      <c r="E871" s="1" t="n">
        <v>46312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34857-2024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45527</v>
      </c>
      <c r="E872" s="1" t="n">
        <v>46312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37215-2026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46274</v>
      </c>
      <c r="E873" s="1" t="n">
        <v>46312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46274</v>
      </c>
      <c r="E874" s="1" t="n">
        <v>46312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20344-2025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45775</v>
      </c>
      <c r="E875" s="1" t="n">
        <v>46312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15037-2025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45743</v>
      </c>
      <c r="E876" s="1" t="n">
        <v>46312</v>
      </c>
      <c r="F876" t="inlineStr">
        <is>
          <t>VÄSTERBOTTENS LÄN</t>
        </is>
      </c>
      <c r="G876" t="inlineStr">
        <is>
          <t>LYCKSELE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36150-2024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45534</v>
      </c>
      <c r="E877" s="1" t="n">
        <v>46312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64656-2023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45281</v>
      </c>
      <c r="E878" s="1" t="n">
        <v>46312</v>
      </c>
      <c r="F878" t="inlineStr">
        <is>
          <t>VÄSTERBOTTENS LÄN</t>
        </is>
      </c>
      <c r="G878" t="inlineStr">
        <is>
          <t>LYCKSELE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46234</v>
      </c>
      <c r="E879" s="1" t="n">
        <v>46312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33.3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70195-2021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44534</v>
      </c>
      <c r="E880" s="1" t="n">
        <v>46312</v>
      </c>
      <c r="F880" t="inlineStr">
        <is>
          <t>VÄSTERBOTTENS LÄN</t>
        </is>
      </c>
      <c r="G880" t="inlineStr">
        <is>
          <t>LYCKSELE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37775-2026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46279</v>
      </c>
      <c r="E881" s="1" t="n">
        <v>46312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46279</v>
      </c>
      <c r="E882" s="1" t="n">
        <v>46312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40527-2024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45555</v>
      </c>
      <c r="E883" s="1" t="n">
        <v>46312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24289-2023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45079</v>
      </c>
      <c r="E884" s="1" t="n">
        <v>46312</v>
      </c>
      <c r="F884" t="inlineStr">
        <is>
          <t>VÄSTERBOTTENS LÄN</t>
        </is>
      </c>
      <c r="G884" t="inlineStr">
        <is>
          <t>LYCKSELE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46279</v>
      </c>
      <c r="E885" s="1" t="n">
        <v>46312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18.3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37774-2026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46279</v>
      </c>
      <c r="E886" s="1" t="n">
        <v>46312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28893-2024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45479</v>
      </c>
      <c r="E887" s="1" t="n">
        <v>46312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32245-2026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46237</v>
      </c>
      <c r="E888" s="1" t="n">
        <v>46312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7.3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46312</v>
      </c>
      <c r="F889" t="inlineStr">
        <is>
          <t>VÄSTERBOTTENS LÄN</t>
        </is>
      </c>
      <c r="G889" t="inlineStr">
        <is>
          <t>LYCKSELE</t>
        </is>
      </c>
      <c r="I889" t="n">
        <v>20.2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38140-2026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46281</v>
      </c>
      <c r="E890" s="1" t="n">
        <v>46312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32289-2026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46237</v>
      </c>
      <c r="E891" s="1" t="n">
        <v>46312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60482-2024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45643</v>
      </c>
      <c r="E892" s="1" t="n">
        <v>46312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7.8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53096-2024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46312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55203-2024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45621</v>
      </c>
      <c r="E894" s="1" t="n">
        <v>46312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46312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46312</v>
      </c>
      <c r="F896" t="inlineStr">
        <is>
          <t>VÄSTERBOTTENS LÄN</t>
        </is>
      </c>
      <c r="G896" t="inlineStr">
        <is>
          <t>LYCKSELE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38110-2026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46281</v>
      </c>
      <c r="E897" s="1" t="n">
        <v>46312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38261-2026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46281</v>
      </c>
      <c r="E898" s="1" t="n">
        <v>46312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46237</v>
      </c>
      <c r="E899" s="1" t="n">
        <v>46312</v>
      </c>
      <c r="F899" t="inlineStr">
        <is>
          <t>VÄSTERBOTTENS LÄN</t>
        </is>
      </c>
      <c r="G899" t="inlineStr">
        <is>
          <t>LYCKSELE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37491-2023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45156</v>
      </c>
      <c r="E900" s="1" t="n">
        <v>46312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46312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11640-2024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45373</v>
      </c>
      <c r="E902" s="1" t="n">
        <v>46312</v>
      </c>
      <c r="F902" t="inlineStr">
        <is>
          <t>VÄSTERBOTTENS LÄN</t>
        </is>
      </c>
      <c r="G902" t="inlineStr">
        <is>
          <t>LYCKSELE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33693-2024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45520</v>
      </c>
      <c r="E903" s="1" t="n">
        <v>46312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44934</v>
      </c>
      <c r="E904" s="1" t="n">
        <v>46312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16289-2025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45751</v>
      </c>
      <c r="E905" s="1" t="n">
        <v>46312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45695</v>
      </c>
      <c r="E906" s="1" t="n">
        <v>46312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32619-2026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46240</v>
      </c>
      <c r="E907" s="1" t="n">
        <v>46312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38469-2026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46282</v>
      </c>
      <c r="E908" s="1" t="n">
        <v>46312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8915-2025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45713</v>
      </c>
      <c r="E909" s="1" t="n">
        <v>46312</v>
      </c>
      <c r="F909" t="inlineStr">
        <is>
          <t>VÄSTERBOTTENS LÄN</t>
        </is>
      </c>
      <c r="G909" t="inlineStr">
        <is>
          <t>LYCKSELE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32608-2026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46240</v>
      </c>
      <c r="E910" s="1" t="n">
        <v>46312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33708-2024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45520</v>
      </c>
      <c r="E911" s="1" t="n">
        <v>46312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46312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34273-2024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45524</v>
      </c>
      <c r="E913" s="1" t="n">
        <v>46312</v>
      </c>
      <c r="F913" t="inlineStr">
        <is>
          <t>VÄSTERBOTTENS LÄN</t>
        </is>
      </c>
      <c r="G913" t="inlineStr">
        <is>
          <t>LYCKSELE</t>
        </is>
      </c>
      <c r="I913" t="n">
        <v>6.7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14249-2025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45740</v>
      </c>
      <c r="E914" s="1" t="n">
        <v>46312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9976-2024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45363</v>
      </c>
      <c r="E915" s="1" t="n">
        <v>46312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32644-2026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46240</v>
      </c>
      <c r="E916" s="1" t="n">
        <v>46312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11604-2023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44994</v>
      </c>
      <c r="E917" s="1" t="n">
        <v>46312</v>
      </c>
      <c r="F917" t="inlineStr">
        <is>
          <t>VÄSTERBOTTENS LÄN</t>
        </is>
      </c>
      <c r="G917" t="inlineStr">
        <is>
          <t>LYCKSELE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46312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12585-2025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45732</v>
      </c>
      <c r="E919" s="1" t="n">
        <v>46312</v>
      </c>
      <c r="F919" t="inlineStr">
        <is>
          <t>VÄSTERBOTTENS LÄN</t>
        </is>
      </c>
      <c r="G919" t="inlineStr">
        <is>
          <t>LYCKSELE</t>
        </is>
      </c>
      <c r="I919" t="n">
        <v>15.5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38429-2026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46282</v>
      </c>
      <c r="E920" s="1" t="n">
        <v>46312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28409-2023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45101</v>
      </c>
      <c r="E921" s="1" t="n">
        <v>46312</v>
      </c>
      <c r="F921" t="inlineStr">
        <is>
          <t>VÄSTERBOTTENS LÄN</t>
        </is>
      </c>
      <c r="G921" t="inlineStr">
        <is>
          <t>LYCKSELE</t>
        </is>
      </c>
      <c r="I921" t="n">
        <v>12.9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20034-2025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45772</v>
      </c>
      <c r="E922" s="1" t="n">
        <v>46312</v>
      </c>
      <c r="F922" t="inlineStr">
        <is>
          <t>VÄSTERBOTTENS LÄN</t>
        </is>
      </c>
      <c r="G922" t="inlineStr">
        <is>
          <t>LYCKSELE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38459-2026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46282</v>
      </c>
      <c r="E923" s="1" t="n">
        <v>46312</v>
      </c>
      <c r="F923" t="inlineStr">
        <is>
          <t>VÄSTERBOTTENS LÄN</t>
        </is>
      </c>
      <c r="G923" t="inlineStr">
        <is>
          <t>LYCKSELE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32614-2026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46240</v>
      </c>
      <c r="E924" s="1" t="n">
        <v>46312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4858-2025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45688</v>
      </c>
      <c r="E925" s="1" t="n">
        <v>46312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4.9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39180-2026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46287</v>
      </c>
      <c r="E926" s="1" t="n">
        <v>46312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9892-2022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44620</v>
      </c>
      <c r="E927" s="1" t="n">
        <v>46312</v>
      </c>
      <c r="F927" t="inlineStr">
        <is>
          <t>VÄSTERBOTTENS LÄN</t>
        </is>
      </c>
      <c r="G927" t="inlineStr">
        <is>
          <t>LYCKSELE</t>
        </is>
      </c>
      <c r="I927" t="n">
        <v>14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61353-2025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46001</v>
      </c>
      <c r="E928" s="1" t="n">
        <v>46312</v>
      </c>
      <c r="F928" t="inlineStr">
        <is>
          <t>VÄSTERBOTTENS LÄN</t>
        </is>
      </c>
      <c r="G928" t="inlineStr">
        <is>
          <t>LYCKSELE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31275-2026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46218</v>
      </c>
      <c r="E929" s="1" t="n">
        <v>46312</v>
      </c>
      <c r="F929" t="inlineStr">
        <is>
          <t>VÄSTERBOTTENS LÄN</t>
        </is>
      </c>
      <c r="G929" t="inlineStr">
        <is>
          <t>LYCKSELE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24954-2026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46174</v>
      </c>
      <c r="E930" s="1" t="n">
        <v>46312</v>
      </c>
      <c r="F930" t="inlineStr">
        <is>
          <t>VÄSTERBOTTENS LÄN</t>
        </is>
      </c>
      <c r="G930" t="inlineStr">
        <is>
          <t>LYCKSELE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46312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6.7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40115-2024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46312</v>
      </c>
      <c r="F932" t="inlineStr">
        <is>
          <t>VÄSTERBOTTENS LÄN</t>
        </is>
      </c>
      <c r="G932" t="inlineStr">
        <is>
          <t>LYCKSELE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24234-2023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45079</v>
      </c>
      <c r="E933" s="1" t="n">
        <v>46312</v>
      </c>
      <c r="F933" t="inlineStr">
        <is>
          <t>VÄSTERBOTTENS LÄN</t>
        </is>
      </c>
      <c r="G933" t="inlineStr">
        <is>
          <t>LYCKSELE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58975-2022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44903</v>
      </c>
      <c r="E934" s="1" t="n">
        <v>46312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2576-2022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44580</v>
      </c>
      <c r="E935" s="1" t="n">
        <v>46312</v>
      </c>
      <c r="F935" t="inlineStr">
        <is>
          <t>VÄSTERBOTTENS LÄN</t>
        </is>
      </c>
      <c r="G935" t="inlineStr">
        <is>
          <t>LYCKSELE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33147-2026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46244</v>
      </c>
      <c r="E936" s="1" t="n">
        <v>46312</v>
      </c>
      <c r="F936" t="inlineStr">
        <is>
          <t>VÄSTERBOTTENS LÄN</t>
        </is>
      </c>
      <c r="G936" t="inlineStr">
        <is>
          <t>LYCKSELE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46241</v>
      </c>
      <c r="E937" s="1" t="n">
        <v>46312</v>
      </c>
      <c r="F937" t="inlineStr">
        <is>
          <t>VÄSTERBOTTENS LÄN</t>
        </is>
      </c>
      <c r="G937" t="inlineStr">
        <is>
          <t>LYCKSELE</t>
        </is>
      </c>
      <c r="I937" t="n">
        <v>16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38774-2026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46286</v>
      </c>
      <c r="E938" s="1" t="n">
        <v>46312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60272-2022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46312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28217-2026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46196</v>
      </c>
      <c r="E940" s="1" t="n">
        <v>46312</v>
      </c>
      <c r="F940" t="inlineStr">
        <is>
          <t>VÄSTERBOTTENS LÄN</t>
        </is>
      </c>
      <c r="G940" t="inlineStr">
        <is>
          <t>LYCKSELE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39429-2026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46288</v>
      </c>
      <c r="E941" s="1" t="n">
        <v>46312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15221-2025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45744</v>
      </c>
      <c r="E942" s="1" t="n">
        <v>46312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12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39321-2024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45551</v>
      </c>
      <c r="E943" s="1" t="n">
        <v>46312</v>
      </c>
      <c r="F943" t="inlineStr">
        <is>
          <t>VÄSTERBOTTENS LÄN</t>
        </is>
      </c>
      <c r="G943" t="inlineStr">
        <is>
          <t>LYCKSELE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39695-2026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46289</v>
      </c>
      <c r="E944" s="1" t="n">
        <v>46312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59569-2024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45638</v>
      </c>
      <c r="E945" s="1" t="n">
        <v>46312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48330-2024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45590</v>
      </c>
      <c r="E946" s="1" t="n">
        <v>46312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39697-2026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46289</v>
      </c>
      <c r="E947" s="1" t="n">
        <v>46312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46541-2022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44847</v>
      </c>
      <c r="E948" s="1" t="n">
        <v>46312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52124-2024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45608</v>
      </c>
      <c r="E949" s="1" t="n">
        <v>46312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36357-2024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45534</v>
      </c>
      <c r="E950" s="1" t="n">
        <v>46312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33796-2026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46251</v>
      </c>
      <c r="E951" s="1" t="n">
        <v>46312</v>
      </c>
      <c r="F951" t="inlineStr">
        <is>
          <t>VÄSTERBOTTENS LÄN</t>
        </is>
      </c>
      <c r="G951" t="inlineStr">
        <is>
          <t>LYCKSELE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45700</v>
      </c>
      <c r="E952" s="1" t="n">
        <v>46312</v>
      </c>
      <c r="F952" t="inlineStr">
        <is>
          <t>VÄSTERBOTTENS LÄN</t>
        </is>
      </c>
      <c r="G952" t="inlineStr">
        <is>
          <t>LYCKSELE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60143-2022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44909</v>
      </c>
      <c r="E953" s="1" t="n">
        <v>46312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7063-2022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44603</v>
      </c>
      <c r="E954" s="1" t="n">
        <v>46312</v>
      </c>
      <c r="F954" t="inlineStr">
        <is>
          <t>VÄSTERBOTTENS LÄN</t>
        </is>
      </c>
      <c r="G954" t="inlineStr">
        <is>
          <t>LYCKSELE</t>
        </is>
      </c>
      <c r="I954" t="n">
        <v>14.2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33932-2026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46248</v>
      </c>
      <c r="E955" s="1" t="n">
        <v>46312</v>
      </c>
      <c r="F955" t="inlineStr">
        <is>
          <t>VÄSTERBOTTENS LÄN</t>
        </is>
      </c>
      <c r="G955" t="inlineStr">
        <is>
          <t>LYCKSELE</t>
        </is>
      </c>
      <c r="I955" t="n">
        <v>11.5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41703-2023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45176</v>
      </c>
      <c r="E956" s="1" t="n">
        <v>46312</v>
      </c>
      <c r="F956" t="inlineStr">
        <is>
          <t>VÄSTERBOTTENS LÄN</t>
        </is>
      </c>
      <c r="G956" t="inlineStr">
        <is>
          <t>LYCKSELE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33667-2026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46248</v>
      </c>
      <c r="E957" s="1" t="n">
        <v>46312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33670-2026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46248</v>
      </c>
      <c r="E958" s="1" t="n">
        <v>46312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25.8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22367-2026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46154</v>
      </c>
      <c r="E959" s="1" t="n">
        <v>46312</v>
      </c>
      <c r="F959" t="inlineStr">
        <is>
          <t>VÄSTERBOTTENS LÄN</t>
        </is>
      </c>
      <c r="G959" t="inlineStr">
        <is>
          <t>LYCKSELE</t>
        </is>
      </c>
      <c r="I959" t="n">
        <v>18.8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46289</v>
      </c>
      <c r="E960" s="1" t="n">
        <v>46312</v>
      </c>
      <c r="F960" t="inlineStr">
        <is>
          <t>VÄSTERBOTTENS LÄN</t>
        </is>
      </c>
      <c r="G960" t="inlineStr">
        <is>
          <t>LYCKSELE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34635-2024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45526</v>
      </c>
      <c r="E961" s="1" t="n">
        <v>46312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40179-2026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46293</v>
      </c>
      <c r="E962" s="1" t="n">
        <v>46312</v>
      </c>
      <c r="F962" t="inlineStr">
        <is>
          <t>VÄSTERBOTTENS LÄN</t>
        </is>
      </c>
      <c r="G962" t="inlineStr">
        <is>
          <t>LYCKSELE</t>
        </is>
      </c>
      <c r="I962" t="n">
        <v>6.4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46248</v>
      </c>
      <c r="E963" s="1" t="n">
        <v>46312</v>
      </c>
      <c r="F963" t="inlineStr">
        <is>
          <t>VÄSTERBOTTENS LÄN</t>
        </is>
      </c>
      <c r="G963" t="inlineStr">
        <is>
          <t>LYCKSELE</t>
        </is>
      </c>
      <c r="I963" t="n">
        <v>4.8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54680-2024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45618</v>
      </c>
      <c r="E964" s="1" t="n">
        <v>46312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8917-2023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44979</v>
      </c>
      <c r="E965" s="1" t="n">
        <v>46312</v>
      </c>
      <c r="F965" t="inlineStr">
        <is>
          <t>VÄSTERBOTTENS LÄN</t>
        </is>
      </c>
      <c r="G965" t="inlineStr">
        <is>
          <t>LYCKSELE</t>
        </is>
      </c>
      <c r="I965" t="n">
        <v>12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40066-2026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46293</v>
      </c>
      <c r="E966" s="1" t="n">
        <v>46312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27595-2023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45097</v>
      </c>
      <c r="E967" s="1" t="n">
        <v>46312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29395-2026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46203</v>
      </c>
      <c r="E968" s="1" t="n">
        <v>46312</v>
      </c>
      <c r="F968" t="inlineStr">
        <is>
          <t>VÄSTERBOTTENS LÄN</t>
        </is>
      </c>
      <c r="G968" t="inlineStr">
        <is>
          <t>LYCKSELE</t>
        </is>
      </c>
      <c r="I968" t="n">
        <v>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46248</v>
      </c>
      <c r="E969" s="1" t="n">
        <v>46312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37658-2024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45541</v>
      </c>
      <c r="E970" s="1" t="n">
        <v>46312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23295-2023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45075</v>
      </c>
      <c r="E971" s="1" t="n">
        <v>46312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33467-2026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46247</v>
      </c>
      <c r="E972" s="1" t="n">
        <v>46312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29301-2026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46202</v>
      </c>
      <c r="E973" s="1" t="n">
        <v>46312</v>
      </c>
      <c r="F973" t="inlineStr">
        <is>
          <t>VÄSTERBOTTENS LÄN</t>
        </is>
      </c>
      <c r="G973" t="inlineStr">
        <is>
          <t>LYCKSELE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52370-2022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44874</v>
      </c>
      <c r="E974" s="1" t="n">
        <v>46312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46251</v>
      </c>
      <c r="E975" s="1" t="n">
        <v>46312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40239-2026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46294</v>
      </c>
      <c r="E976" s="1" t="n">
        <v>46312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7.1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40240-2026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46294</v>
      </c>
      <c r="E977" s="1" t="n">
        <v>46312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53788-2024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46312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34007-2026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46252</v>
      </c>
      <c r="E979" s="1" t="n">
        <v>46312</v>
      </c>
      <c r="F979" t="inlineStr">
        <is>
          <t>VÄSTERBOTTENS LÄN</t>
        </is>
      </c>
      <c r="G979" t="inlineStr">
        <is>
          <t>LYCKSELE</t>
        </is>
      </c>
      <c r="I979" t="n">
        <v>17.7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33878-2026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46251</v>
      </c>
      <c r="E980" s="1" t="n">
        <v>46312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48992-2023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45209</v>
      </c>
      <c r="E981" s="1" t="n">
        <v>46312</v>
      </c>
      <c r="F981" t="inlineStr">
        <is>
          <t>VÄSTERBOTTENS LÄN</t>
        </is>
      </c>
      <c r="G981" t="inlineStr">
        <is>
          <t>LYCKSELE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40601-2026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46295</v>
      </c>
      <c r="E982" s="1" t="n">
        <v>46312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28528-2023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45103</v>
      </c>
      <c r="E983" s="1" t="n">
        <v>46312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23164-2022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44719</v>
      </c>
      <c r="E984" s="1" t="n">
        <v>46312</v>
      </c>
      <c r="F984" t="inlineStr">
        <is>
          <t>VÄSTERBOTTENS LÄN</t>
        </is>
      </c>
      <c r="G984" t="inlineStr">
        <is>
          <t>LYCKSELE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33709-2026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46251</v>
      </c>
      <c r="E985" s="1" t="n">
        <v>46312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33975-2026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46312</v>
      </c>
      <c r="F986" t="inlineStr">
        <is>
          <t>VÄSTERBOTTENS LÄN</t>
        </is>
      </c>
      <c r="G986" t="inlineStr">
        <is>
          <t>LYCKSELE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41728-2023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45176</v>
      </c>
      <c r="E987" s="1" t="n">
        <v>46312</v>
      </c>
      <c r="F987" t="inlineStr">
        <is>
          <t>VÄSTERBOTTENS LÄN</t>
        </is>
      </c>
      <c r="G987" t="inlineStr">
        <is>
          <t>LYCKSELE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34016-2026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46252</v>
      </c>
      <c r="E988" s="1" t="n">
        <v>46312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44603</v>
      </c>
      <c r="E989" s="1" t="n">
        <v>46312</v>
      </c>
      <c r="F989" t="inlineStr">
        <is>
          <t>VÄSTERBOTTENS LÄN</t>
        </is>
      </c>
      <c r="G989" t="inlineStr">
        <is>
          <t>LYCKSELE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40415-2026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46294</v>
      </c>
      <c r="E990" s="1" t="n">
        <v>46312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33846-2026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46251</v>
      </c>
      <c r="E991" s="1" t="n">
        <v>46312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10.1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46312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46312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40977-2026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46297</v>
      </c>
      <c r="E994" s="1" t="n">
        <v>46312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40954-2026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46297</v>
      </c>
      <c r="E995" s="1" t="n">
        <v>46312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34323-2026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46254</v>
      </c>
      <c r="E996" s="1" t="n">
        <v>46312</v>
      </c>
      <c r="F996" t="inlineStr">
        <is>
          <t>VÄSTERBOTTENS LÄN</t>
        </is>
      </c>
      <c r="G996" t="inlineStr">
        <is>
          <t>LYCKSELE</t>
        </is>
      </c>
      <c r="I996" t="n">
        <v>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46296</v>
      </c>
      <c r="E997" s="1" t="n">
        <v>46312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20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26358-2023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45091</v>
      </c>
      <c r="E998" s="1" t="n">
        <v>46312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26071-2024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45468</v>
      </c>
      <c r="E999" s="1" t="n">
        <v>46312</v>
      </c>
      <c r="F999" t="inlineStr">
        <is>
          <t>VÄSTERBOTTENS LÄN</t>
        </is>
      </c>
      <c r="G999" t="inlineStr">
        <is>
          <t>LYCKSELE</t>
        </is>
      </c>
      <c r="I999" t="n">
        <v>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40773-2026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46296</v>
      </c>
      <c r="E1000" s="1" t="n">
        <v>46312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61799-2023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45265</v>
      </c>
      <c r="E1001" s="1" t="n">
        <v>46312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34326-2026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46254</v>
      </c>
      <c r="E1002" s="1" t="n">
        <v>46312</v>
      </c>
      <c r="F1002" t="inlineStr">
        <is>
          <t>VÄSTERBOTTENS LÄN</t>
        </is>
      </c>
      <c r="G1002" t="inlineStr">
        <is>
          <t>LYCKSELE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46254</v>
      </c>
      <c r="E1003" s="1" t="n">
        <v>46312</v>
      </c>
      <c r="F1003" t="inlineStr">
        <is>
          <t>VÄSTERBOTTENS LÄN</t>
        </is>
      </c>
      <c r="G1003" t="inlineStr">
        <is>
          <t>LYCKSELE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46312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40950-2026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46297</v>
      </c>
      <c r="E1005" s="1" t="n">
        <v>46312</v>
      </c>
      <c r="F1005" t="inlineStr">
        <is>
          <t>VÄSTERBOTTENS LÄN</t>
        </is>
      </c>
      <c r="G1005" t="inlineStr">
        <is>
          <t>LYCKSELE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40967-2026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46297</v>
      </c>
      <c r="E1006" s="1" t="n">
        <v>46312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40901-2026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46297</v>
      </c>
      <c r="E1007" s="1" t="n">
        <v>46312</v>
      </c>
      <c r="F1007" t="inlineStr">
        <is>
          <t>VÄSTERBOTTENS LÄN</t>
        </is>
      </c>
      <c r="G1007" t="inlineStr">
        <is>
          <t>LYCKSELE</t>
        </is>
      </c>
      <c r="I1007" t="n">
        <v>8.800000000000001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46294</v>
      </c>
      <c r="E1008" s="1" t="n">
        <v>46312</v>
      </c>
      <c r="F1008" t="inlineStr">
        <is>
          <t>VÄSTERBOTTENS LÄN</t>
        </is>
      </c>
      <c r="G1008" t="inlineStr">
        <is>
          <t>LYCKSELE</t>
        </is>
      </c>
      <c r="I1008" t="n">
        <v>14.8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40959-2026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46297</v>
      </c>
      <c r="E1009" s="1" t="n">
        <v>46312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46312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9.1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40747-2026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46296</v>
      </c>
      <c r="E1011" s="1" t="n">
        <v>46312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10321-2026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46312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40891-2026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46297</v>
      </c>
      <c r="E1013" s="1" t="n">
        <v>46312</v>
      </c>
      <c r="F1013" t="inlineStr">
        <is>
          <t>VÄSTERBOTTENS LÄN</t>
        </is>
      </c>
      <c r="G1013" t="inlineStr">
        <is>
          <t>LYCKSELE</t>
        </is>
      </c>
      <c r="I1013" t="n">
        <v>15.2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40703-2026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46296</v>
      </c>
      <c r="E1014" s="1" t="n">
        <v>46312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25490-2026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46177</v>
      </c>
      <c r="E1015" s="1" t="n">
        <v>46312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46312</v>
      </c>
      <c r="F1016" t="inlineStr">
        <is>
          <t>VÄSTERBOTTENS LÄN</t>
        </is>
      </c>
      <c r="G1016" t="inlineStr">
        <is>
          <t>LYCKSELE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40863-2026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46297</v>
      </c>
      <c r="E1017" s="1" t="n">
        <v>46312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40876-2026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46297</v>
      </c>
      <c r="E1018" s="1" t="n">
        <v>46312</v>
      </c>
      <c r="F1018" t="inlineStr">
        <is>
          <t>VÄSTERBOTTENS LÄN</t>
        </is>
      </c>
      <c r="G1018" t="inlineStr">
        <is>
          <t>LYCKSELE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40964-2026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46297</v>
      </c>
      <c r="E1019" s="1" t="n">
        <v>46312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34197-2026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46312</v>
      </c>
      <c r="F1020" t="inlineStr">
        <is>
          <t>VÄSTERBOTTENS LÄN</t>
        </is>
      </c>
      <c r="G1020" t="inlineStr">
        <is>
          <t>LYCKSELE</t>
        </is>
      </c>
      <c r="I1020" t="n">
        <v>4.4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45672</v>
      </c>
      <c r="E1021" s="1" t="n">
        <v>46312</v>
      </c>
      <c r="F1021" t="inlineStr">
        <is>
          <t>VÄSTERBOTTENS LÄN</t>
        </is>
      </c>
      <c r="G1021" t="inlineStr">
        <is>
          <t>LYCKSELE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36274-2024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45534</v>
      </c>
      <c r="E1022" s="1" t="n">
        <v>46312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38107-2026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46281</v>
      </c>
      <c r="E1023" s="1" t="n">
        <v>46312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17.7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57108-2024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45629</v>
      </c>
      <c r="E1024" s="1" t="n">
        <v>46312</v>
      </c>
      <c r="F1024" t="inlineStr">
        <is>
          <t>VÄSTERBOTTENS LÄN</t>
        </is>
      </c>
      <c r="G1024" t="inlineStr">
        <is>
          <t>LYCKSELE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57109-2024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45629</v>
      </c>
      <c r="E1025" s="1" t="n">
        <v>46312</v>
      </c>
      <c r="F1025" t="inlineStr">
        <is>
          <t>VÄSTERBOTTENS LÄN</t>
        </is>
      </c>
      <c r="G1025" t="inlineStr">
        <is>
          <t>LYCKSELE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34667-2026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46258</v>
      </c>
      <c r="E1026" s="1" t="n">
        <v>46312</v>
      </c>
      <c r="F1026" t="inlineStr">
        <is>
          <t>VÄSTERBOTTENS LÄN</t>
        </is>
      </c>
      <c r="G1026" t="inlineStr">
        <is>
          <t>LYCKSELE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17393-2023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45035</v>
      </c>
      <c r="E1027" s="1" t="n">
        <v>46312</v>
      </c>
      <c r="F1027" t="inlineStr">
        <is>
          <t>VÄSTERBOTTENS LÄN</t>
        </is>
      </c>
      <c r="G1027" t="inlineStr">
        <is>
          <t>LYCKSELE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46300</v>
      </c>
      <c r="E1028" s="1" t="n">
        <v>46312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46258</v>
      </c>
      <c r="E1029" s="1" t="n">
        <v>46312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45408</v>
      </c>
      <c r="E1030" s="1" t="n">
        <v>46312</v>
      </c>
      <c r="F1030" t="inlineStr">
        <is>
          <t>VÄSTERBOTTENS LÄN</t>
        </is>
      </c>
      <c r="G1030" t="inlineStr">
        <is>
          <t>LYCKSELE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41357-2026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46301</v>
      </c>
      <c r="E1031" s="1" t="n">
        <v>46312</v>
      </c>
      <c r="F1031" t="inlineStr">
        <is>
          <t>VÄSTERBOTTENS LÄN</t>
        </is>
      </c>
      <c r="G1031" t="inlineStr">
        <is>
          <t>LYCKSELE</t>
        </is>
      </c>
      <c r="I1031" t="n">
        <v>6.1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34778-2026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46258</v>
      </c>
      <c r="E1032" s="1" t="n">
        <v>46312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40754-2026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46296</v>
      </c>
      <c r="E1033" s="1" t="n">
        <v>46312</v>
      </c>
      <c r="F1033" t="inlineStr">
        <is>
          <t>VÄSTERBOTTENS LÄN</t>
        </is>
      </c>
      <c r="G1033" t="inlineStr">
        <is>
          <t>LYCKSELE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20685-2025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45776</v>
      </c>
      <c r="E1034" s="1" t="n">
        <v>46312</v>
      </c>
      <c r="F1034" t="inlineStr">
        <is>
          <t>VÄSTERBOTTENS LÄN</t>
        </is>
      </c>
      <c r="G1034" t="inlineStr">
        <is>
          <t>LYCKSELE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20979-2025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45777</v>
      </c>
      <c r="E1035" s="1" t="n">
        <v>46312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41114-2026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46300</v>
      </c>
      <c r="E1036" s="1" t="n">
        <v>46312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21266-2025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45779</v>
      </c>
      <c r="E1037" s="1" t="n">
        <v>46312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46301</v>
      </c>
      <c r="E1038" s="1" t="n">
        <v>46312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34508-2026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46255</v>
      </c>
      <c r="E1039" s="1" t="n">
        <v>46312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46312</v>
      </c>
      <c r="F1040" t="inlineStr">
        <is>
          <t>VÄSTERBOTTENS LÄN</t>
        </is>
      </c>
      <c r="G1040" t="inlineStr">
        <is>
          <t>LYCKSELE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40756-2026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46312</v>
      </c>
      <c r="F1041" t="inlineStr">
        <is>
          <t>VÄSTERBOTTENS LÄN</t>
        </is>
      </c>
      <c r="G1041" t="inlineStr">
        <is>
          <t>LYCKSELE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22127-2025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45785</v>
      </c>
      <c r="E1042" s="1" t="n">
        <v>46312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41150-2026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46300</v>
      </c>
      <c r="E1043" s="1" t="n">
        <v>46312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21861-2025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45784</v>
      </c>
      <c r="E1044" s="1" t="n">
        <v>46312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34640-2026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46255</v>
      </c>
      <c r="E1045" s="1" t="n">
        <v>46312</v>
      </c>
      <c r="F1045" t="inlineStr">
        <is>
          <t>VÄSTERBOTTENS LÄN</t>
        </is>
      </c>
      <c r="G1045" t="inlineStr">
        <is>
          <t>LYCKSELE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22759-2025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45789</v>
      </c>
      <c r="E1046" s="1" t="n">
        <v>46312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25.5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28829-2026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46198</v>
      </c>
      <c r="E1047" s="1" t="n">
        <v>46312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46312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32474-2024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45513</v>
      </c>
      <c r="E1049" s="1" t="n">
        <v>46312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22309-2025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45786</v>
      </c>
      <c r="E1050" s="1" t="n">
        <v>46312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22344-2025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46312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34960-2026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46259</v>
      </c>
      <c r="E1052" s="1" t="n">
        <v>46312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34961-2026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46312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64391-2023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45280</v>
      </c>
      <c r="E1054" s="1" t="n">
        <v>46312</v>
      </c>
      <c r="F1054" t="inlineStr">
        <is>
          <t>VÄSTERBOTTENS LÄN</t>
        </is>
      </c>
      <c r="G1054" t="inlineStr">
        <is>
          <t>LYCKSELE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41927-2026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46303</v>
      </c>
      <c r="E1055" s="1" t="n">
        <v>46312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22343-2025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45786</v>
      </c>
      <c r="E1056" s="1" t="n">
        <v>46312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22453-2025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45786</v>
      </c>
      <c r="E1057" s="1" t="n">
        <v>46312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22456-2025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45786</v>
      </c>
      <c r="E1058" s="1" t="n">
        <v>46312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46312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23801-2025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45793</v>
      </c>
      <c r="E1060" s="1" t="n">
        <v>46312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42239-2026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46307</v>
      </c>
      <c r="E1061" s="1" t="n">
        <v>46312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40912-2024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45558</v>
      </c>
      <c r="E1062" s="1" t="n">
        <v>46312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42353-2026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46307</v>
      </c>
      <c r="E1063" s="1" t="n">
        <v>46312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24129-2025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45796</v>
      </c>
      <c r="E1064" s="1" t="n">
        <v>46312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42072-2026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46304</v>
      </c>
      <c r="E1065" s="1" t="n">
        <v>46312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42047-2026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46304</v>
      </c>
      <c r="E1066" s="1" t="n">
        <v>46312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60226-2022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44910</v>
      </c>
      <c r="E1067" s="1" t="n">
        <v>46312</v>
      </c>
      <c r="F1067" t="inlineStr">
        <is>
          <t>VÄSTERBOTTENS LÄN</t>
        </is>
      </c>
      <c r="G1067" t="inlineStr">
        <is>
          <t>LYCKSELE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23315-2024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45453</v>
      </c>
      <c r="E1068" s="1" t="n">
        <v>46312</v>
      </c>
      <c r="F1068" t="inlineStr">
        <is>
          <t>VÄSTERBOTTENS LÄN</t>
        </is>
      </c>
      <c r="G1068" t="inlineStr">
        <is>
          <t>LYCKSELE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8018-2026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46312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Naturvårdsverket</t>
        </is>
      </c>
      <c r="I1069" t="n">
        <v>11.4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31848-2024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45509</v>
      </c>
      <c r="E1070" s="1" t="n">
        <v>46312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42319-2026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46307</v>
      </c>
      <c r="E1071" s="1" t="n">
        <v>46312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24514-2025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45798</v>
      </c>
      <c r="E1072" s="1" t="n">
        <v>46312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8577-2026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46312</v>
      </c>
      <c r="F1073" t="inlineStr">
        <is>
          <t>VÄSTERBOTTENS LÄN</t>
        </is>
      </c>
      <c r="G1073" t="inlineStr">
        <is>
          <t>LYCKSELE</t>
        </is>
      </c>
      <c r="I1073" t="n">
        <v>9.9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24770-2025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45799</v>
      </c>
      <c r="E1074" s="1" t="n">
        <v>46312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8.5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25061-2025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45799</v>
      </c>
      <c r="E1075" s="1" t="n">
        <v>46312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24729-2025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46312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35605-2026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46263</v>
      </c>
      <c r="E1077" s="1" t="n">
        <v>46312</v>
      </c>
      <c r="F1077" t="inlineStr">
        <is>
          <t>VÄSTERBOTTENS LÄN</t>
        </is>
      </c>
      <c r="G1077" t="inlineStr">
        <is>
          <t>LYCKSELE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24603-2025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45798</v>
      </c>
      <c r="E1078" s="1" t="n">
        <v>46312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42342-2026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46307</v>
      </c>
      <c r="E1079" s="1" t="n">
        <v>46312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54893-2023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45236</v>
      </c>
      <c r="E1080" s="1" t="n">
        <v>46312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24906-2025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45799</v>
      </c>
      <c r="E1081" s="1" t="n">
        <v>46312</v>
      </c>
      <c r="F1081" t="inlineStr">
        <is>
          <t>VÄSTERBOTTENS LÄN</t>
        </is>
      </c>
      <c r="G1081" t="inlineStr">
        <is>
          <t>LYCKSELE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35379-2026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46261</v>
      </c>
      <c r="E1082" s="1" t="n">
        <v>46312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42317-2026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46307</v>
      </c>
      <c r="E1083" s="1" t="n">
        <v>46312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25590-2025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45803</v>
      </c>
      <c r="E1084" s="1" t="n">
        <v>46312</v>
      </c>
      <c r="F1084" t="inlineStr">
        <is>
          <t>VÄSTERBOTTENS LÄN</t>
        </is>
      </c>
      <c r="G1084" t="inlineStr">
        <is>
          <t>LYCKSELE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25537-2025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45803</v>
      </c>
      <c r="E1085" s="1" t="n">
        <v>46312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25581-2025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46312</v>
      </c>
      <c r="F1086" t="inlineStr">
        <is>
          <t>VÄSTERBOTTENS LÄN</t>
        </is>
      </c>
      <c r="G1086" t="inlineStr">
        <is>
          <t>LYCKSELE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25655-2025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46312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42683-2026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46309</v>
      </c>
      <c r="E1088" s="1" t="n">
        <v>46312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35754-2026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46265</v>
      </c>
      <c r="E1089" s="1" t="n">
        <v>46312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7.7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60714-2022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44912</v>
      </c>
      <c r="E1090" s="1" t="n">
        <v>46312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26318-2024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45468</v>
      </c>
      <c r="E1091" s="1" t="n">
        <v>46312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42516-2026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46308</v>
      </c>
      <c r="E1092" s="1" t="n">
        <v>46312</v>
      </c>
      <c r="F1092" t="inlineStr">
        <is>
          <t>VÄSTERBOTTENS LÄN</t>
        </is>
      </c>
      <c r="G1092" t="inlineStr">
        <is>
          <t>LYCKSELE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26228-2025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45805</v>
      </c>
      <c r="E1093" s="1" t="n">
        <v>46312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35625-2026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46265</v>
      </c>
      <c r="E1094" s="1" t="n">
        <v>46312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8.199999999999999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26410-2025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45807</v>
      </c>
      <c r="E1095" s="1" t="n">
        <v>46312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26398-2025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45807</v>
      </c>
      <c r="E1096" s="1" t="n">
        <v>46312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34505-2026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46254</v>
      </c>
      <c r="E1097" s="1" t="n">
        <v>46312</v>
      </c>
      <c r="F1097" t="inlineStr">
        <is>
          <t>VÄSTERBOTTENS LÄN</t>
        </is>
      </c>
      <c r="G1097" t="inlineStr">
        <is>
          <t>LYCKSELE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42608-2026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46309</v>
      </c>
      <c r="E1098" s="1" t="n">
        <v>46312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27072-2025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45811</v>
      </c>
      <c r="E1099" s="1" t="n">
        <v>46312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35800-2026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46265</v>
      </c>
      <c r="E1100" s="1" t="n">
        <v>46312</v>
      </c>
      <c r="F1100" t="inlineStr">
        <is>
          <t>VÄSTERBOTTENS LÄN</t>
        </is>
      </c>
      <c r="G1100" t="inlineStr">
        <is>
          <t>LYCKSELE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35801-2026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46265</v>
      </c>
      <c r="E1101" s="1" t="n">
        <v>46312</v>
      </c>
      <c r="F1101" t="inlineStr">
        <is>
          <t>VÄSTERBOTTENS LÄN</t>
        </is>
      </c>
      <c r="G1101" t="inlineStr">
        <is>
          <t>LYCKSELE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23773-2026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46164</v>
      </c>
      <c r="E1102" s="1" t="n">
        <v>46312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35847-2026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46265</v>
      </c>
      <c r="E1103" s="1" t="n">
        <v>46312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46265</v>
      </c>
      <c r="E1104" s="1" t="n">
        <v>46312</v>
      </c>
      <c r="F1104" t="inlineStr">
        <is>
          <t>VÄSTERBOTTENS LÄN</t>
        </is>
      </c>
      <c r="G1104" t="inlineStr">
        <is>
          <t>LYCKSELE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55250-2024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45621</v>
      </c>
      <c r="E1105" s="1" t="n">
        <v>46312</v>
      </c>
      <c r="F1105" t="inlineStr">
        <is>
          <t>VÄSTERBOTTENS LÄN</t>
        </is>
      </c>
      <c r="G1105" t="inlineStr">
        <is>
          <t>LYCKSELE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26622-2025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45810</v>
      </c>
      <c r="E1106" s="1" t="n">
        <v>46312</v>
      </c>
      <c r="F1106" t="inlineStr">
        <is>
          <t>VÄSTERBOTTENS LÄN</t>
        </is>
      </c>
      <c r="G1106" t="inlineStr">
        <is>
          <t>LYCKSELE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26951-2025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45811</v>
      </c>
      <c r="E1107" s="1" t="n">
        <v>46312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52039-2023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45223</v>
      </c>
      <c r="E1108" s="1" t="n">
        <v>46312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3303-2024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45316</v>
      </c>
      <c r="E1109" s="1" t="n">
        <v>46312</v>
      </c>
      <c r="F1109" t="inlineStr">
        <is>
          <t>VÄSTERBOTTENS LÄN</t>
        </is>
      </c>
      <c r="G1109" t="inlineStr">
        <is>
          <t>LYCKSELE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64334-2023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45279</v>
      </c>
      <c r="E1110" s="1" t="n">
        <v>46312</v>
      </c>
      <c r="F1110" t="inlineStr">
        <is>
          <t>VÄSTERBOTTENS LÄN</t>
        </is>
      </c>
      <c r="G1110" t="inlineStr">
        <is>
          <t>LYCKSELE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27471-2025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45813</v>
      </c>
      <c r="E1111" s="1" t="n">
        <v>46312</v>
      </c>
      <c r="F1111" t="inlineStr">
        <is>
          <t>VÄSTERBOTTENS LÄN</t>
        </is>
      </c>
      <c r="G1111" t="inlineStr">
        <is>
          <t>LYCKSELE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27643-2025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45813</v>
      </c>
      <c r="E1112" s="1" t="n">
        <v>46312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6.3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46269</v>
      </c>
      <c r="E1113" s="1" t="n">
        <v>46312</v>
      </c>
      <c r="F1113" t="inlineStr">
        <is>
          <t>VÄSTERBOTTENS LÄN</t>
        </is>
      </c>
      <c r="G1113" t="inlineStr">
        <is>
          <t>LYCKSELE</t>
        </is>
      </c>
      <c r="I1113" t="n">
        <v>6.4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45813</v>
      </c>
      <c r="E1114" s="1" t="n">
        <v>46312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36568-2026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46269</v>
      </c>
      <c r="E1115" s="1" t="n">
        <v>46312</v>
      </c>
      <c r="F1115" t="inlineStr">
        <is>
          <t>VÄSTERBOTTENS LÄN</t>
        </is>
      </c>
      <c r="G1115" t="inlineStr">
        <is>
          <t>LYCKSELE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13563-2023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45006</v>
      </c>
      <c r="E1116" s="1" t="n">
        <v>46312</v>
      </c>
      <c r="F1116" t="inlineStr">
        <is>
          <t>VÄSTERBOTTENS LÄN</t>
        </is>
      </c>
      <c r="G1116" t="inlineStr">
        <is>
          <t>LYCKSELE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5039-2025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45691</v>
      </c>
      <c r="E1117" s="1" t="n">
        <v>46312</v>
      </c>
      <c r="F1117" t="inlineStr">
        <is>
          <t>VÄSTERBOTTENS LÄN</t>
        </is>
      </c>
      <c r="G1117" t="inlineStr">
        <is>
          <t>LYCKSELE</t>
        </is>
      </c>
      <c r="I1117" t="n">
        <v>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36048-2026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46267</v>
      </c>
      <c r="E1118" s="1" t="n">
        <v>46312</v>
      </c>
      <c r="F1118" t="inlineStr">
        <is>
          <t>VÄSTERBOTTENS LÄN</t>
        </is>
      </c>
      <c r="G1118" t="inlineStr">
        <is>
          <t>LYCKSELE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36165-2026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46267</v>
      </c>
      <c r="E1119" s="1" t="n">
        <v>46312</v>
      </c>
      <c r="F1119" t="inlineStr">
        <is>
          <t>VÄSTERBOTTENS LÄN</t>
        </is>
      </c>
      <c r="G1119" t="inlineStr">
        <is>
          <t>LYCKSELE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8313-2025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45708</v>
      </c>
      <c r="E1120" s="1" t="n">
        <v>46312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28306-2025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45818</v>
      </c>
      <c r="E1121" s="1" t="n">
        <v>46312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29277-2023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45105</v>
      </c>
      <c r="E1122" s="1" t="n">
        <v>46312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Naturvårdsverket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30161-2024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45488</v>
      </c>
      <c r="E1123" s="1" t="n">
        <v>46312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16.1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29088-2025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45821</v>
      </c>
      <c r="E1124" s="1" t="n">
        <v>46312</v>
      </c>
      <c r="F1124" t="inlineStr">
        <is>
          <t>VÄSTERBOTTENS LÄN</t>
        </is>
      </c>
      <c r="G1124" t="inlineStr">
        <is>
          <t>LYCKSELE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32229-2026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46237</v>
      </c>
      <c r="E1125" s="1" t="n">
        <v>46312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8.6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28833-2025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45820</v>
      </c>
      <c r="E1126" s="1" t="n">
        <v>46312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38105-2026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46281</v>
      </c>
      <c r="E1127" s="1" t="n">
        <v>46312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6.1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29123-2025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45821</v>
      </c>
      <c r="E1128" s="1" t="n">
        <v>46312</v>
      </c>
      <c r="F1128" t="inlineStr">
        <is>
          <t>VÄSTERBOTTENS LÄN</t>
        </is>
      </c>
      <c r="G1128" t="inlineStr">
        <is>
          <t>LYCKSELE</t>
        </is>
      </c>
      <c r="I1128" t="n">
        <v>5.2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42983-2026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46310</v>
      </c>
      <c r="E1129" s="1" t="n">
        <v>46312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36526-2026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46269</v>
      </c>
      <c r="E1130" s="1" t="n">
        <v>46312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29236-2025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45824</v>
      </c>
      <c r="E1131" s="1" t="n">
        <v>46312</v>
      </c>
      <c r="F1131" t="inlineStr">
        <is>
          <t>VÄSTERBOTTENS LÄN</t>
        </is>
      </c>
      <c r="G1131" t="inlineStr">
        <is>
          <t>LYCKSELE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29235-2025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45824</v>
      </c>
      <c r="E1132" s="1" t="n">
        <v>46312</v>
      </c>
      <c r="F1132" t="inlineStr">
        <is>
          <t>VÄSTERBOTTENS LÄN</t>
        </is>
      </c>
      <c r="G1132" t="inlineStr">
        <is>
          <t>LYCKSELE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36243-2026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46268</v>
      </c>
      <c r="E1133" s="1" t="n">
        <v>46312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30258-2025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45827</v>
      </c>
      <c r="E1135" s="1" t="n">
        <v>46312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19.5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30154-2025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45827</v>
      </c>
      <c r="E1136" s="1" t="n">
        <v>46312</v>
      </c>
      <c r="F1136" t="inlineStr">
        <is>
          <t>VÄSTERBOTTENS LÄN</t>
        </is>
      </c>
      <c r="G1136" t="inlineStr">
        <is>
          <t>LYCKSELE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29866-2025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45826</v>
      </c>
      <c r="E1137" s="1" t="n">
        <v>46312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6.7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30623-2025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45831</v>
      </c>
      <c r="E1138" s="1" t="n">
        <v>46312</v>
      </c>
      <c r="F1138" t="inlineStr">
        <is>
          <t>VÄSTERBOTTENS LÄN</t>
        </is>
      </c>
      <c r="G1138" t="inlineStr">
        <is>
          <t>LYCKSELE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30632-2025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45831</v>
      </c>
      <c r="E1139" s="1" t="n">
        <v>46312</v>
      </c>
      <c r="F1139" t="inlineStr">
        <is>
          <t>VÄSTERBOTTENS LÄN</t>
        </is>
      </c>
      <c r="G1139" t="inlineStr">
        <is>
          <t>LYCKSELE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31022-2025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45832</v>
      </c>
      <c r="E1140" s="1" t="n">
        <v>46312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45834</v>
      </c>
      <c r="E1141" s="1" t="n">
        <v>46312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18.9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31897-2025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45834</v>
      </c>
      <c r="E1142" s="1" t="n">
        <v>46312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32619-2025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45838</v>
      </c>
      <c r="E1143" s="1" t="n">
        <v>46312</v>
      </c>
      <c r="F1143" t="inlineStr">
        <is>
          <t>VÄSTERBOTTENS LÄN</t>
        </is>
      </c>
      <c r="G1143" t="inlineStr">
        <is>
          <t>LYCKSELE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32722-2025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45839</v>
      </c>
      <c r="E1144" s="1" t="n">
        <v>46312</v>
      </c>
      <c r="F1144" t="inlineStr">
        <is>
          <t>VÄSTERBOTTENS LÄN</t>
        </is>
      </c>
      <c r="G1144" t="inlineStr">
        <is>
          <t>LYCKSELE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32783-2025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45839</v>
      </c>
      <c r="E1145" s="1" t="n">
        <v>46312</v>
      </c>
      <c r="F1145" t="inlineStr">
        <is>
          <t>VÄSTERBOTTENS LÄN</t>
        </is>
      </c>
      <c r="G1145" t="inlineStr">
        <is>
          <t>LYCKSELE</t>
        </is>
      </c>
      <c r="I1145" t="n">
        <v>4.5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33527-2025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45841</v>
      </c>
      <c r="E1146" s="1" t="n">
        <v>46312</v>
      </c>
      <c r="F1146" t="inlineStr">
        <is>
          <t>VÄSTERBOTTENS LÄN</t>
        </is>
      </c>
      <c r="G1146" t="inlineStr">
        <is>
          <t>LYCKSELE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33415-2025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45841</v>
      </c>
      <c r="E1147" s="1" t="n">
        <v>46312</v>
      </c>
      <c r="F1147" t="inlineStr">
        <is>
          <t>VÄSTERBOTTENS LÄN</t>
        </is>
      </c>
      <c r="G1147" t="inlineStr">
        <is>
          <t>LYCKSELE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33067-2025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45840</v>
      </c>
      <c r="E1148" s="1" t="n">
        <v>46312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33431-2025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45841</v>
      </c>
      <c r="E1149" s="1" t="n">
        <v>46312</v>
      </c>
      <c r="F1149" t="inlineStr">
        <is>
          <t>VÄSTERBOTTENS LÄN</t>
        </is>
      </c>
      <c r="G1149" t="inlineStr">
        <is>
          <t>LYCKSELE</t>
        </is>
      </c>
      <c r="I1149" t="n">
        <v>0.1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33423-2025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45841</v>
      </c>
      <c r="E1150" s="1" t="n">
        <v>46312</v>
      </c>
      <c r="F1150" t="inlineStr">
        <is>
          <t>VÄSTERBOTTENS LÄN</t>
        </is>
      </c>
      <c r="G1150" t="inlineStr">
        <is>
          <t>LYCKSELE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33991-2025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45843</v>
      </c>
      <c r="E1151" s="1" t="n">
        <v>46312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33992-2025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45843</v>
      </c>
      <c r="E1152" s="1" t="n">
        <v>46312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34110-2025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45845</v>
      </c>
      <c r="E1153" s="1" t="n">
        <v>46312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34465-2025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45847</v>
      </c>
      <c r="E1154" s="1" t="n">
        <v>46312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34918-2025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45849</v>
      </c>
      <c r="E1155" s="1" t="n">
        <v>46312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9.300000000000001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34940-2025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45849</v>
      </c>
      <c r="E1156" s="1" t="n">
        <v>46312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7.2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34954-2025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45849</v>
      </c>
      <c r="E1157" s="1" t="n">
        <v>46312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34915-2025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45849</v>
      </c>
      <c r="E1158" s="1" t="n">
        <v>46312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6.5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34955-2025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45849</v>
      </c>
      <c r="E1159" s="1" t="n">
        <v>46312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9.4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35192-2025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45853</v>
      </c>
      <c r="E1160" s="1" t="n">
        <v>46312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35237-2025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45853</v>
      </c>
      <c r="E1161" s="1" t="n">
        <v>46312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35130-2025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45852</v>
      </c>
      <c r="E1162" s="1" t="n">
        <v>46312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6.2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45853</v>
      </c>
      <c r="E1163" s="1" t="n">
        <v>46312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35234-2025</t>
        </is>
      </c>
      <c r="B1164" t="inlineStr">
        <is>
          <t>avverkningsanmälan</t>
        </is>
      </c>
      <c r="C1164" t="inlineStr">
        <is>
          <t>Avverkning för att bevara och utveckla /försöksver</t>
        </is>
      </c>
      <c r="D1164" s="1" t="n">
        <v>45853</v>
      </c>
      <c r="E1164" s="1" t="n">
        <v>46312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35232-2025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45853</v>
      </c>
      <c r="E1165" s="1" t="n">
        <v>46312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35332-2025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45854</v>
      </c>
      <c r="E1166" s="1" t="n">
        <v>46312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5.2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35333-2025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46312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35303-2025</t>
        </is>
      </c>
      <c r="B1168" t="inlineStr">
        <is>
          <t>avverkningsanmälan</t>
        </is>
      </c>
      <c r="C1168" t="inlineStr">
        <is>
          <t>Avverkning för att bevara och utveckla /försöksver</t>
        </is>
      </c>
      <c r="D1168" s="1" t="n">
        <v>45854</v>
      </c>
      <c r="E1168" s="1" t="n">
        <v>46312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35604-2025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45859</v>
      </c>
      <c r="E1169" s="1" t="n">
        <v>46312</v>
      </c>
      <c r="F1169" t="inlineStr">
        <is>
          <t>VÄSTERBOTTENS LÄN</t>
        </is>
      </c>
      <c r="G1169" t="inlineStr">
        <is>
          <t>LYCKSELE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35662-2025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45859</v>
      </c>
      <c r="E1170" s="1" t="n">
        <v>46312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20.8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35671-2025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45859</v>
      </c>
      <c r="E1171" s="1" t="n">
        <v>46312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35833-2025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45861</v>
      </c>
      <c r="E1172" s="1" t="n">
        <v>46312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7.9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35606-2025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46312</v>
      </c>
      <c r="F1173" t="inlineStr">
        <is>
          <t>VÄSTERBOTTENS LÄN</t>
        </is>
      </c>
      <c r="G1173" t="inlineStr">
        <is>
          <t>LYCKSELE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35920-2025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45862</v>
      </c>
      <c r="E1174" s="1" t="n">
        <v>46312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36542-2025</t>
        </is>
      </c>
      <c r="B1175" t="inlineStr">
        <is>
          <t>avverkningsanmälan</t>
        </is>
      </c>
      <c r="C1175" t="inlineStr">
        <is>
          <t>Avverkning för att bevara och utveckla /försöksver</t>
        </is>
      </c>
      <c r="D1175" s="1" t="n">
        <v>45869</v>
      </c>
      <c r="E1175" s="1" t="n">
        <v>46312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36439-2025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45869</v>
      </c>
      <c r="E1176" s="1" t="n">
        <v>46312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14.3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35832-2025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45861</v>
      </c>
      <c r="E1177" s="1" t="n">
        <v>46312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6.5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45873</v>
      </c>
      <c r="E1178" s="1" t="n">
        <v>46312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45873</v>
      </c>
      <c r="E1179" s="1" t="n">
        <v>46312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4.7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36702-2025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45873</v>
      </c>
      <c r="E1180" s="1" t="n">
        <v>46312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36709-2025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45873</v>
      </c>
      <c r="E1181" s="1" t="n">
        <v>46312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Holmen skog AB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37078-2025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45875</v>
      </c>
      <c r="E1182" s="1" t="n">
        <v>46312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37105-2025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45875</v>
      </c>
      <c r="E1183" s="1" t="n">
        <v>46312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Holmen skog AB</t>
        </is>
      </c>
      <c r="I1183" t="n">
        <v>16.4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37970-2025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45881</v>
      </c>
      <c r="E1184" s="1" t="n">
        <v>46312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Holmen skog AB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919-2021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44314</v>
      </c>
      <c r="E1185" s="1" t="n">
        <v>46312</v>
      </c>
      <c r="F1185" t="inlineStr">
        <is>
          <t>VÄSTERBOTTENS LÄN</t>
        </is>
      </c>
      <c r="G1185" t="inlineStr">
        <is>
          <t>LYCKSELE</t>
        </is>
      </c>
      <c r="I1185" t="n">
        <v>26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1133-2024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45393</v>
      </c>
      <c r="E1186" s="1" t="n">
        <v>46312</v>
      </c>
      <c r="F1186" t="inlineStr">
        <is>
          <t>VÄSTERBOTTENS LÄN</t>
        </is>
      </c>
      <c r="G1186" t="inlineStr">
        <is>
          <t>LYCKSELE</t>
        </is>
      </c>
      <c r="I1186" t="n">
        <v>33.1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4195-2023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45250</v>
      </c>
      <c r="E1187" s="1" t="n">
        <v>46312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63.8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1398-2023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45040</v>
      </c>
      <c r="E1188" s="1" t="n">
        <v>46312</v>
      </c>
      <c r="F1188" t="inlineStr">
        <is>
          <t>VÄSTERBOTTENS LÄN</t>
        </is>
      </c>
      <c r="G1188" t="inlineStr">
        <is>
          <t>LYCKSELE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827-2022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44603</v>
      </c>
      <c r="E1189" s="1" t="n">
        <v>46312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SCA</t>
        </is>
      </c>
      <c r="I1189" t="n">
        <v>42.7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1378-2023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45040</v>
      </c>
      <c r="E1190" s="1" t="n">
        <v>46312</v>
      </c>
      <c r="F1190" t="inlineStr">
        <is>
          <t>VÄSTERBOTTENS LÄN</t>
        </is>
      </c>
      <c r="G1190" t="inlineStr">
        <is>
          <t>LYCKSELE</t>
        </is>
      </c>
      <c r="I1190" t="n">
        <v>33.1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1656-2024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45426</v>
      </c>
      <c r="E1191" s="1" t="n">
        <v>46312</v>
      </c>
      <c r="F1191" t="inlineStr">
        <is>
          <t>VÄSTERBOTTENS LÄN</t>
        </is>
      </c>
      <c r="G1191" t="inlineStr">
        <is>
          <t>LYCKSELE</t>
        </is>
      </c>
      <c r="I1191" t="n">
        <v>56.6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523-2024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45348</v>
      </c>
      <c r="E1192" s="1" t="n">
        <v>46312</v>
      </c>
      <c r="F1192" t="inlineStr">
        <is>
          <t>VÄSTERBOTTENS LÄN</t>
        </is>
      </c>
      <c r="G1192" t="inlineStr">
        <is>
          <t>LYCKSELE</t>
        </is>
      </c>
      <c r="I1192" t="n">
        <v>19.9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3789-2024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45558</v>
      </c>
      <c r="E1193" s="1" t="n">
        <v>46312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9.800000000000001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271-2024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45323</v>
      </c>
      <c r="E1194" s="1" t="n">
        <v>46312</v>
      </c>
      <c r="F1194" t="inlineStr">
        <is>
          <t>VÄSTERBOTTENS LÄN</t>
        </is>
      </c>
      <c r="G1194" t="inlineStr">
        <is>
          <t>LYCKSELE</t>
        </is>
      </c>
      <c r="I1194" t="n">
        <v>48.7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165-2022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44572</v>
      </c>
      <c r="E1195" s="1" t="n">
        <v>46312</v>
      </c>
      <c r="F1195" t="inlineStr">
        <is>
          <t>VÄSTERBOTTENS LÄN</t>
        </is>
      </c>
      <c r="G1195" t="inlineStr">
        <is>
          <t>LYCKSELE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1132-2024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45393</v>
      </c>
      <c r="E1196" s="1" t="n">
        <v>46312</v>
      </c>
      <c r="F1196" t="inlineStr">
        <is>
          <t>VÄSTERBOTTENS LÄN</t>
        </is>
      </c>
      <c r="G1196" t="inlineStr">
        <is>
          <t>LYCKSELE</t>
        </is>
      </c>
      <c r="I1196" t="n">
        <v>19.2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1031-2025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45747</v>
      </c>
      <c r="E1197" s="1" t="n">
        <v>46312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36.8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1037-2025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45747</v>
      </c>
      <c r="E1198" s="1" t="n">
        <v>46312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138.5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1233-2025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45757</v>
      </c>
      <c r="E1199" s="1" t="n">
        <v>46312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Holmen skog AB</t>
        </is>
      </c>
      <c r="I1199" t="n">
        <v>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1326-2025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45771</v>
      </c>
      <c r="E1200" s="1" t="n">
        <v>46312</v>
      </c>
      <c r="F1200" t="inlineStr">
        <is>
          <t>VÄSTERBOTTENS LÄN</t>
        </is>
      </c>
      <c r="G1200" t="inlineStr">
        <is>
          <t>LYCKSELE</t>
        </is>
      </c>
      <c r="I1200" t="n">
        <v>6.2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1841-2025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45820</v>
      </c>
      <c r="E1201" s="1" t="n">
        <v>46312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447-2026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46071</v>
      </c>
      <c r="E1202" s="1" t="n">
        <v>46312</v>
      </c>
      <c r="F1202" t="inlineStr">
        <is>
          <t>VÄSTERBOTTENS LÄN</t>
        </is>
      </c>
      <c r="G1202" t="inlineStr">
        <is>
          <t>LYCKSELE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727-2026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46093</v>
      </c>
      <c r="E1203" s="1" t="n">
        <v>46312</v>
      </c>
      <c r="F1203" t="inlineStr">
        <is>
          <t>VÄSTERBOTTENS LÄN</t>
        </is>
      </c>
      <c r="G1203" t="inlineStr">
        <is>
          <t>LYCKSELE</t>
        </is>
      </c>
      <c r="I1203" t="n">
        <v>23.5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1148-2026</t>
        </is>
      </c>
      <c r="B1204" t="inlineStr">
        <is>
          <t>samrådsanmälan</t>
        </is>
      </c>
      <c r="C1204" t="inlineStr">
        <is>
          <t>Askåterföring</t>
        </is>
      </c>
      <c r="D1204" s="1" t="n">
        <v>46135</v>
      </c>
      <c r="E1204" s="1" t="n">
        <v>46312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1358-2026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46152</v>
      </c>
      <c r="E1205" s="1" t="n">
        <v>46312</v>
      </c>
      <c r="F1205" t="inlineStr">
        <is>
          <t>VÄSTERBOTTENS LÄN</t>
        </is>
      </c>
      <c r="G1205" t="inlineStr">
        <is>
          <t>LYCKSELE</t>
        </is>
      </c>
      <c r="I1205" t="n">
        <v>20.5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>
      <c r="A1206" t="inlineStr">
        <is>
          <t>S 1524-2026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46164</v>
      </c>
      <c r="E1206" s="1" t="n">
        <v>46312</v>
      </c>
      <c r="F1206" t="inlineStr">
        <is>
          <t>VÄSTERBOTTENS LÄN</t>
        </is>
      </c>
      <c r="G1206" t="inlineStr">
        <is>
          <t>LYCKSELE</t>
        </is>
      </c>
      <c r="I1206" t="n">
        <v>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2026-10-17T02:05:04Z</dcterms:created>
  <dcterms:modified xmlns:dcterms="http://purl.org/dc/terms/" xmlns:xsi="http://www.w3.org/2001/XMLSchema-instance" xsi:type="dcterms:W3CDTF">2026-10-17T02:05:05Z</dcterms:modified>
</cp:coreProperties>
</file>