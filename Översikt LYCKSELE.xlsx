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45741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45741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45741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45741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45741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45741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45741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45741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45741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45741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45741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45741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45741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45741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45741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45741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45741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45741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45741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45741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45741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45741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45741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45741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45741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45741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45741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45741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45741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45741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45741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45741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45741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45741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45741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45741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45741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45741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45741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45741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45741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45741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45741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45741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45741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45741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45741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45741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45741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45741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45741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45741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45741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45741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45741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45741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45741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45741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45741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45741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45741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45741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45741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45741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45741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45741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45741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45741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45741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45741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45741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45741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45741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45741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45741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45741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45741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45741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45741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45741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45741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45741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45741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45741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45741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45741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45741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45741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45741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45741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45741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45741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45741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45741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45741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45741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45741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45741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45741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45741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45741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45741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45741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45741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45741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45741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45741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45741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45741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45741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45741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45741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45741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45741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45741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45741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45741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45741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45741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45741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45741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45741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45741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45741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45741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45741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45741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45741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45741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45741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45741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45741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45741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45741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45741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13645-2025</t>
        </is>
      </c>
      <c r="B137" s="1" t="n">
        <v>45736</v>
      </c>
      <c r="C137" s="1" t="n">
        <v>45741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19.6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Dropptaggsvamp</t>
        </is>
      </c>
      <c r="S137">
        <f>HYPERLINK("https://klasma.github.io/Logging_2481/artfynd/A 13645-2025 artfynd.xlsx", "A 13645-2025")</f>
        <v/>
      </c>
      <c r="T137">
        <f>HYPERLINK("https://klasma.github.io/Logging_2481/kartor/A 13645-2025 karta.png", "A 13645-2025")</f>
        <v/>
      </c>
      <c r="V137">
        <f>HYPERLINK("https://klasma.github.io/Logging_2481/klagomål/A 13645-2025 FSC-klagomål.docx", "A 13645-2025")</f>
        <v/>
      </c>
      <c r="W137">
        <f>HYPERLINK("https://klasma.github.io/Logging_2481/klagomålsmail/A 13645-2025 FSC-klagomål mail.docx", "A 13645-2025")</f>
        <v/>
      </c>
      <c r="X137">
        <f>HYPERLINK("https://klasma.github.io/Logging_2481/tillsyn/A 13645-2025 tillsynsbegäran.docx", "A 13645-2025")</f>
        <v/>
      </c>
      <c r="Y137">
        <f>HYPERLINK("https://klasma.github.io/Logging_2481/tillsynsmail/A 13645-2025 tillsynsbegäran mail.docx", "A 13645-2025")</f>
        <v/>
      </c>
      <c r="Z137">
        <f>HYPERLINK("https://klasma.github.io/Logging_2481/fåglar/A 13645-2025 prioriterade fågelarter.docx", "A 13645-2025")</f>
        <v/>
      </c>
    </row>
    <row r="138" ht="15" customHeight="1">
      <c r="A138" t="inlineStr">
        <is>
          <t>A 36373-2019</t>
        </is>
      </c>
      <c r="B138" s="1" t="n">
        <v>43670</v>
      </c>
      <c r="C138" s="1" t="n">
        <v>45741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HYPERLINK("https://klasma.github.io/Logging_2481/artfynd/A 36373-2019 artfynd.xlsx", "A 36373-2019")</f>
        <v/>
      </c>
      <c r="T138">
        <f>HYPERLINK("https://klasma.github.io/Logging_2481/kartor/A 36373-2019 karta.png", "A 36373-2019")</f>
        <v/>
      </c>
      <c r="U138">
        <f>HYPERLINK("https://klasma.github.io/Logging_2481/knärot/A 36373-2019 karta knärot.png", "A 36373-2019")</f>
        <v/>
      </c>
      <c r="V138">
        <f>HYPERLINK("https://klasma.github.io/Logging_2481/klagomål/A 36373-2019 FSC-klagomål.docx", "A 36373-2019")</f>
        <v/>
      </c>
      <c r="W138">
        <f>HYPERLINK("https://klasma.github.io/Logging_2481/klagomålsmail/A 36373-2019 FSC-klagomål mail.docx", "A 36373-2019")</f>
        <v/>
      </c>
      <c r="X138">
        <f>HYPERLINK("https://klasma.github.io/Logging_2481/tillsyn/A 36373-2019 tillsynsbegäran.docx", "A 36373-2019")</f>
        <v/>
      </c>
      <c r="Y138">
        <f>HYPERLINK("https://klasma.github.io/Logging_2481/tillsynsmail/A 36373-2019 tillsynsbegäran mail.docx", "A 36373-2019")</f>
        <v/>
      </c>
    </row>
    <row r="139" ht="15" customHeight="1">
      <c r="A139" t="inlineStr">
        <is>
          <t>A 51211-2019</t>
        </is>
      </c>
      <c r="B139" s="1" t="n">
        <v>43739</v>
      </c>
      <c r="C139" s="1" t="n">
        <v>45741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Kyrkan</t>
        </is>
      </c>
      <c r="G139" t="n">
        <v>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HYPERLINK("https://klasma.github.io/Logging_2481/artfynd/A 51211-2019 artfynd.xlsx", "A 51211-2019")</f>
        <v/>
      </c>
      <c r="T139">
        <f>HYPERLINK("https://klasma.github.io/Logging_2481/kartor/A 51211-2019 karta.png", "A 51211-2019")</f>
        <v/>
      </c>
      <c r="V139">
        <f>HYPERLINK("https://klasma.github.io/Logging_2481/klagomål/A 51211-2019 FSC-klagomål.docx", "A 51211-2019")</f>
        <v/>
      </c>
      <c r="W139">
        <f>HYPERLINK("https://klasma.github.io/Logging_2481/klagomålsmail/A 51211-2019 FSC-klagomål mail.docx", "A 51211-2019")</f>
        <v/>
      </c>
      <c r="X139">
        <f>HYPERLINK("https://klasma.github.io/Logging_2481/tillsyn/A 51211-2019 tillsynsbegäran.docx", "A 51211-2019")</f>
        <v/>
      </c>
      <c r="Y139">
        <f>HYPERLINK("https://klasma.github.io/Logging_2481/tillsynsmail/A 51211-2019 tillsynsbegäran mail.docx", "A 51211-2019")</f>
        <v/>
      </c>
    </row>
    <row r="140" ht="15" customHeight="1">
      <c r="A140" t="inlineStr">
        <is>
          <t>A 60563-2019</t>
        </is>
      </c>
      <c r="B140" s="1" t="n">
        <v>43781</v>
      </c>
      <c r="C140" s="1" t="n">
        <v>45741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60563-2019 artfynd.xlsx", "A 60563-2019")</f>
        <v/>
      </c>
      <c r="T140">
        <f>HYPERLINK("https://klasma.github.io/Logging_2481/kartor/A 60563-2019 karta.png", "A 60563-2019")</f>
        <v/>
      </c>
      <c r="V140">
        <f>HYPERLINK("https://klasma.github.io/Logging_2481/klagomål/A 60563-2019 FSC-klagomål.docx", "A 60563-2019")</f>
        <v/>
      </c>
      <c r="W140">
        <f>HYPERLINK("https://klasma.github.io/Logging_2481/klagomålsmail/A 60563-2019 FSC-klagomål mail.docx", "A 60563-2019")</f>
        <v/>
      </c>
      <c r="X140">
        <f>HYPERLINK("https://klasma.github.io/Logging_2481/tillsyn/A 60563-2019 tillsynsbegäran.docx", "A 60563-2019")</f>
        <v/>
      </c>
      <c r="Y140">
        <f>HYPERLINK("https://klasma.github.io/Logging_2481/tillsynsmail/A 60563-2019 tillsynsbegäran mail.docx", "A 60563-2019")</f>
        <v/>
      </c>
    </row>
    <row r="141" ht="15" customHeight="1">
      <c r="A141" t="inlineStr">
        <is>
          <t>A 67975-2019</t>
        </is>
      </c>
      <c r="B141" s="1" t="n">
        <v>43816</v>
      </c>
      <c r="C141" s="1" t="n">
        <v>45741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67975-2019 artfynd.xlsx", "A 67975-2019")</f>
        <v/>
      </c>
      <c r="T141">
        <f>HYPERLINK("https://klasma.github.io/Logging_2481/kartor/A 67975-2019 karta.png", "A 67975-2019")</f>
        <v/>
      </c>
      <c r="V141">
        <f>HYPERLINK("https://klasma.github.io/Logging_2481/klagomål/A 67975-2019 FSC-klagomål.docx", "A 67975-2019")</f>
        <v/>
      </c>
      <c r="W141">
        <f>HYPERLINK("https://klasma.github.io/Logging_2481/klagomålsmail/A 67975-2019 FSC-klagomål mail.docx", "A 67975-2019")</f>
        <v/>
      </c>
      <c r="X141">
        <f>HYPERLINK("https://klasma.github.io/Logging_2481/tillsyn/A 67975-2019 tillsynsbegäran.docx", "A 67975-2019")</f>
        <v/>
      </c>
      <c r="Y141">
        <f>HYPERLINK("https://klasma.github.io/Logging_2481/tillsynsmail/A 67975-2019 tillsynsbegäran mail.docx", "A 67975-2019")</f>
        <v/>
      </c>
    </row>
    <row r="142" ht="15" customHeight="1">
      <c r="A142" t="inlineStr">
        <is>
          <t>A 68098-2019</t>
        </is>
      </c>
      <c r="B142" s="1" t="n">
        <v>43817</v>
      </c>
      <c r="C142" s="1" t="n">
        <v>45741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68098-2019 artfynd.xlsx", "A 68098-2019")</f>
        <v/>
      </c>
      <c r="T142">
        <f>HYPERLINK("https://klasma.github.io/Logging_2481/kartor/A 68098-2019 karta.png", "A 68098-2019")</f>
        <v/>
      </c>
      <c r="V142">
        <f>HYPERLINK("https://klasma.github.io/Logging_2481/klagomål/A 68098-2019 FSC-klagomål.docx", "A 68098-2019")</f>
        <v/>
      </c>
      <c r="W142">
        <f>HYPERLINK("https://klasma.github.io/Logging_2481/klagomålsmail/A 68098-2019 FSC-klagomål mail.docx", "A 68098-2019")</f>
        <v/>
      </c>
      <c r="X142">
        <f>HYPERLINK("https://klasma.github.io/Logging_2481/tillsyn/A 68098-2019 tillsynsbegäran.docx", "A 68098-2019")</f>
        <v/>
      </c>
      <c r="Y142">
        <f>HYPERLINK("https://klasma.github.io/Logging_2481/tillsynsmail/A 68098-2019 tillsynsbegäran mail.docx", "A 68098-2019")</f>
        <v/>
      </c>
    </row>
    <row r="143" ht="15" customHeight="1">
      <c r="A143" t="inlineStr">
        <is>
          <t>A 28098-2020</t>
        </is>
      </c>
      <c r="B143" s="1" t="n">
        <v>43997</v>
      </c>
      <c r="C143" s="1" t="n">
        <v>45741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Kyrkan</t>
        </is>
      </c>
      <c r="G143" t="n">
        <v>6.4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Mindre märgborre</t>
        </is>
      </c>
      <c r="S143">
        <f>HYPERLINK("https://klasma.github.io/Logging_2481/artfynd/A 28098-2020 artfynd.xlsx", "A 28098-2020")</f>
        <v/>
      </c>
      <c r="T143">
        <f>HYPERLINK("https://klasma.github.io/Logging_2481/kartor/A 28098-2020 karta.png", "A 28098-2020")</f>
        <v/>
      </c>
      <c r="V143">
        <f>HYPERLINK("https://klasma.github.io/Logging_2481/klagomål/A 28098-2020 FSC-klagomål.docx", "A 28098-2020")</f>
        <v/>
      </c>
      <c r="W143">
        <f>HYPERLINK("https://klasma.github.io/Logging_2481/klagomålsmail/A 28098-2020 FSC-klagomål mail.docx", "A 28098-2020")</f>
        <v/>
      </c>
      <c r="X143">
        <f>HYPERLINK("https://klasma.github.io/Logging_2481/tillsyn/A 28098-2020 tillsynsbegäran.docx", "A 28098-2020")</f>
        <v/>
      </c>
      <c r="Y143">
        <f>HYPERLINK("https://klasma.github.io/Logging_2481/tillsynsmail/A 28098-2020 tillsynsbegäran mail.docx", "A 28098-2020")</f>
        <v/>
      </c>
    </row>
    <row r="144" ht="15" customHeight="1">
      <c r="A144" t="inlineStr">
        <is>
          <t>A 31460-2021</t>
        </is>
      </c>
      <c r="B144" s="1" t="n">
        <v>44369</v>
      </c>
      <c r="C144" s="1" t="n">
        <v>45741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Nordtagging</t>
        </is>
      </c>
      <c r="S144">
        <f>HYPERLINK("https://klasma.github.io/Logging_2481/artfynd/A 31460-2021 artfynd.xlsx", "A 31460-2021")</f>
        <v/>
      </c>
      <c r="T144">
        <f>HYPERLINK("https://klasma.github.io/Logging_2481/kartor/A 31460-2021 karta.png", "A 31460-2021")</f>
        <v/>
      </c>
      <c r="V144">
        <f>HYPERLINK("https://klasma.github.io/Logging_2481/klagomål/A 31460-2021 FSC-klagomål.docx", "A 31460-2021")</f>
        <v/>
      </c>
      <c r="W144">
        <f>HYPERLINK("https://klasma.github.io/Logging_2481/klagomålsmail/A 31460-2021 FSC-klagomål mail.docx", "A 31460-2021")</f>
        <v/>
      </c>
      <c r="X144">
        <f>HYPERLINK("https://klasma.github.io/Logging_2481/tillsyn/A 31460-2021 tillsynsbegäran.docx", "A 31460-2021")</f>
        <v/>
      </c>
      <c r="Y144">
        <f>HYPERLINK("https://klasma.github.io/Logging_2481/tillsynsmail/A 31460-2021 tillsynsbegäran mail.docx", "A 31460-2021")</f>
        <v/>
      </c>
    </row>
    <row r="145" ht="15" customHeight="1">
      <c r="A145" t="inlineStr">
        <is>
          <t>A 37583-2021</t>
        </is>
      </c>
      <c r="B145" s="1" t="n">
        <v>44399</v>
      </c>
      <c r="C145" s="1" t="n">
        <v>45741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37583-2021 artfynd.xlsx", "A 37583-2021")</f>
        <v/>
      </c>
      <c r="T145">
        <f>HYPERLINK("https://klasma.github.io/Logging_2481/kartor/A 37583-2021 karta.png", "A 37583-2021")</f>
        <v/>
      </c>
      <c r="V145">
        <f>HYPERLINK("https://klasma.github.io/Logging_2481/klagomål/A 37583-2021 FSC-klagomål.docx", "A 37583-2021")</f>
        <v/>
      </c>
      <c r="W145">
        <f>HYPERLINK("https://klasma.github.io/Logging_2481/klagomålsmail/A 37583-2021 FSC-klagomål mail.docx", "A 37583-2021")</f>
        <v/>
      </c>
      <c r="X145">
        <f>HYPERLINK("https://klasma.github.io/Logging_2481/tillsyn/A 37583-2021 tillsynsbegäran.docx", "A 37583-2021")</f>
        <v/>
      </c>
      <c r="Y145">
        <f>HYPERLINK("https://klasma.github.io/Logging_2481/tillsynsmail/A 37583-2021 tillsynsbegäran mail.docx", "A 37583-2021")</f>
        <v/>
      </c>
      <c r="Z145">
        <f>HYPERLINK("https://klasma.github.io/Logging_2481/fåglar/A 37583-2021 prioriterade fågelarter.docx", "A 37583-2021")</f>
        <v/>
      </c>
    </row>
    <row r="146" ht="15" customHeight="1">
      <c r="A146" t="inlineStr">
        <is>
          <t>A 54142-2021</t>
        </is>
      </c>
      <c r="B146" s="1" t="n">
        <v>44470</v>
      </c>
      <c r="C146" s="1" t="n">
        <v>45741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54142-2021 artfynd.xlsx", "A 54142-2021")</f>
        <v/>
      </c>
      <c r="T146">
        <f>HYPERLINK("https://klasma.github.io/Logging_2481/kartor/A 54142-2021 karta.png", "A 54142-2021")</f>
        <v/>
      </c>
      <c r="U146">
        <f>HYPERLINK("https://klasma.github.io/Logging_2481/knärot/A 54142-2021 karta knärot.png", "A 54142-2021")</f>
        <v/>
      </c>
      <c r="V146">
        <f>HYPERLINK("https://klasma.github.io/Logging_2481/klagomål/A 54142-2021 FSC-klagomål.docx", "A 54142-2021")</f>
        <v/>
      </c>
      <c r="W146">
        <f>HYPERLINK("https://klasma.github.io/Logging_2481/klagomålsmail/A 54142-2021 FSC-klagomål mail.docx", "A 54142-2021")</f>
        <v/>
      </c>
      <c r="X146">
        <f>HYPERLINK("https://klasma.github.io/Logging_2481/tillsyn/A 54142-2021 tillsynsbegäran.docx", "A 54142-2021")</f>
        <v/>
      </c>
      <c r="Y146">
        <f>HYPERLINK("https://klasma.github.io/Logging_2481/tillsynsmail/A 54142-2021 tillsynsbegäran mail.docx", "A 54142-2021")</f>
        <v/>
      </c>
    </row>
    <row r="147" ht="15" customHeight="1">
      <c r="A147" t="inlineStr">
        <is>
          <t>A 59780-2021</t>
        </is>
      </c>
      <c r="B147" s="1" t="n">
        <v>44494</v>
      </c>
      <c r="C147" s="1" t="n">
        <v>45741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59780-2021 artfynd.xlsx", "A 59780-2021")</f>
        <v/>
      </c>
      <c r="T147">
        <f>HYPERLINK("https://klasma.github.io/Logging_2481/kartor/A 59780-2021 karta.png", "A 59780-2021")</f>
        <v/>
      </c>
      <c r="V147">
        <f>HYPERLINK("https://klasma.github.io/Logging_2481/klagomål/A 59780-2021 FSC-klagomål.docx", "A 59780-2021")</f>
        <v/>
      </c>
      <c r="W147">
        <f>HYPERLINK("https://klasma.github.io/Logging_2481/klagomålsmail/A 59780-2021 FSC-klagomål mail.docx", "A 59780-2021")</f>
        <v/>
      </c>
      <c r="X147">
        <f>HYPERLINK("https://klasma.github.io/Logging_2481/tillsyn/A 59780-2021 tillsynsbegäran.docx", "A 59780-2021")</f>
        <v/>
      </c>
      <c r="Y147">
        <f>HYPERLINK("https://klasma.github.io/Logging_2481/tillsynsmail/A 59780-2021 tillsynsbegäran mail.docx", "A 59780-2021")</f>
        <v/>
      </c>
    </row>
    <row r="148" ht="15" customHeight="1">
      <c r="A148" t="inlineStr">
        <is>
          <t>A 60045-2021</t>
        </is>
      </c>
      <c r="B148" s="1" t="n">
        <v>44495</v>
      </c>
      <c r="C148" s="1" t="n">
        <v>45741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60045-2021 artfynd.xlsx", "A 60045-2021")</f>
        <v/>
      </c>
      <c r="T148">
        <f>HYPERLINK("https://klasma.github.io/Logging_2481/kartor/A 60045-2021 karta.png", "A 60045-2021")</f>
        <v/>
      </c>
      <c r="V148">
        <f>HYPERLINK("https://klasma.github.io/Logging_2481/klagomål/A 60045-2021 FSC-klagomål.docx", "A 60045-2021")</f>
        <v/>
      </c>
      <c r="W148">
        <f>HYPERLINK("https://klasma.github.io/Logging_2481/klagomålsmail/A 60045-2021 FSC-klagomål mail.docx", "A 60045-2021")</f>
        <v/>
      </c>
      <c r="X148">
        <f>HYPERLINK("https://klasma.github.io/Logging_2481/tillsyn/A 60045-2021 tillsynsbegäran.docx", "A 60045-2021")</f>
        <v/>
      </c>
      <c r="Y148">
        <f>HYPERLINK("https://klasma.github.io/Logging_2481/tillsynsmail/A 60045-2021 tillsynsbegäran mail.docx", "A 60045-2021")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45741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73357-2021</t>
        </is>
      </c>
      <c r="B150" s="1" t="n">
        <v>44551</v>
      </c>
      <c r="C150" s="1" t="n">
        <v>45741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3929-2022</t>
        </is>
      </c>
      <c r="B151" s="1" t="n">
        <v>44587</v>
      </c>
      <c r="C151" s="1" t="n">
        <v>45741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3929-2022 artfynd.xlsx", "A 3929-2022")</f>
        <v/>
      </c>
      <c r="T151">
        <f>HYPERLINK("https://klasma.github.io/Logging_2481/kartor/A 3929-2022 karta.png", "A 3929-2022")</f>
        <v/>
      </c>
      <c r="V151">
        <f>HYPERLINK("https://klasma.github.io/Logging_2481/klagomål/A 3929-2022 FSC-klagomål.docx", "A 3929-2022")</f>
        <v/>
      </c>
      <c r="W151">
        <f>HYPERLINK("https://klasma.github.io/Logging_2481/klagomålsmail/A 3929-2022 FSC-klagomål mail.docx", "A 3929-2022")</f>
        <v/>
      </c>
      <c r="X151">
        <f>HYPERLINK("https://klasma.github.io/Logging_2481/tillsyn/A 3929-2022 tillsynsbegäran.docx", "A 3929-2022")</f>
        <v/>
      </c>
      <c r="Y151">
        <f>HYPERLINK("https://klasma.github.io/Logging_2481/tillsynsmail/A 3929-2022 tillsynsbegäran mail.docx", "A 3929-2022")</f>
        <v/>
      </c>
    </row>
    <row r="152" ht="15" customHeight="1">
      <c r="A152" t="inlineStr">
        <is>
          <t>A 9073-2022</t>
        </is>
      </c>
      <c r="B152" s="1" t="n">
        <v>44615</v>
      </c>
      <c r="C152" s="1" t="n">
        <v>45741</v>
      </c>
      <c r="D152" t="inlineStr">
        <is>
          <t>VÄSTERBOTTENS LÄN</t>
        </is>
      </c>
      <c r="E152" t="inlineStr">
        <is>
          <t>LYCKSELE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HYPERLINK("https://klasma.github.io/Logging_2481/artfynd/A 9073-2022 artfynd.xlsx", "A 9073-2022")</f>
        <v/>
      </c>
      <c r="T152">
        <f>HYPERLINK("https://klasma.github.io/Logging_2481/kartor/A 9073-2022 karta.png", "A 9073-2022")</f>
        <v/>
      </c>
      <c r="V152">
        <f>HYPERLINK("https://klasma.github.io/Logging_2481/klagomål/A 9073-2022 FSC-klagomål.docx", "A 9073-2022")</f>
        <v/>
      </c>
      <c r="W152">
        <f>HYPERLINK("https://klasma.github.io/Logging_2481/klagomålsmail/A 9073-2022 FSC-klagomål mail.docx", "A 9073-2022")</f>
        <v/>
      </c>
      <c r="X152">
        <f>HYPERLINK("https://klasma.github.io/Logging_2481/tillsyn/A 9073-2022 tillsynsbegäran.docx", "A 9073-2022")</f>
        <v/>
      </c>
      <c r="Y152">
        <f>HYPERLINK("https://klasma.github.io/Logging_2481/tillsynsmail/A 9073-2022 tillsynsbegäran mail.docx", "A 9073-2022")</f>
        <v/>
      </c>
    </row>
    <row r="153" ht="15" customHeight="1">
      <c r="A153" t="inlineStr">
        <is>
          <t>A 9341-2022</t>
        </is>
      </c>
      <c r="B153" s="1" t="n">
        <v>44616</v>
      </c>
      <c r="C153" s="1" t="n">
        <v>45741</v>
      </c>
      <c r="D153" t="inlineStr">
        <is>
          <t>VÄSTERBOTTENS LÄN</t>
        </is>
      </c>
      <c r="E153" t="inlineStr">
        <is>
          <t>LYCKSELE</t>
        </is>
      </c>
      <c r="G153" t="n">
        <v>6.9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9341-2022 artfynd.xlsx", "A 9341-2022")</f>
        <v/>
      </c>
      <c r="T153">
        <f>HYPERLINK("https://klasma.github.io/Logging_2481/kartor/A 9341-2022 karta.png", "A 9341-2022")</f>
        <v/>
      </c>
      <c r="V153">
        <f>HYPERLINK("https://klasma.github.io/Logging_2481/klagomål/A 9341-2022 FSC-klagomål.docx", "A 9341-2022")</f>
        <v/>
      </c>
      <c r="W153">
        <f>HYPERLINK("https://klasma.github.io/Logging_2481/klagomålsmail/A 9341-2022 FSC-klagomål mail.docx", "A 9341-2022")</f>
        <v/>
      </c>
      <c r="X153">
        <f>HYPERLINK("https://klasma.github.io/Logging_2481/tillsyn/A 9341-2022 tillsynsbegäran.docx", "A 9341-2022")</f>
        <v/>
      </c>
      <c r="Y153">
        <f>HYPERLINK("https://klasma.github.io/Logging_2481/tillsynsmail/A 9341-2022 tillsynsbegäran mail.docx", "A 9341-2022")</f>
        <v/>
      </c>
    </row>
    <row r="154" ht="15" customHeight="1">
      <c r="A154" t="inlineStr">
        <is>
          <t>A 23308-2022</t>
        </is>
      </c>
      <c r="B154" s="1" t="n">
        <v>44720</v>
      </c>
      <c r="C154" s="1" t="n">
        <v>45741</v>
      </c>
      <c r="D154" t="inlineStr">
        <is>
          <t>VÄSTERBOTTENS LÄN</t>
        </is>
      </c>
      <c r="E154" t="inlineStr">
        <is>
          <t>LYCKSELE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23308-2022 artfynd.xlsx", "A 23308-2022")</f>
        <v/>
      </c>
      <c r="T154">
        <f>HYPERLINK("https://klasma.github.io/Logging_2481/kartor/A 23308-2022 karta.png", "A 23308-2022")</f>
        <v/>
      </c>
      <c r="V154">
        <f>HYPERLINK("https://klasma.github.io/Logging_2481/klagomål/A 23308-2022 FSC-klagomål.docx", "A 23308-2022")</f>
        <v/>
      </c>
      <c r="W154">
        <f>HYPERLINK("https://klasma.github.io/Logging_2481/klagomålsmail/A 23308-2022 FSC-klagomål mail.docx", "A 23308-2022")</f>
        <v/>
      </c>
      <c r="X154">
        <f>HYPERLINK("https://klasma.github.io/Logging_2481/tillsyn/A 23308-2022 tillsynsbegäran.docx", "A 23308-2022")</f>
        <v/>
      </c>
      <c r="Y154">
        <f>HYPERLINK("https://klasma.github.io/Logging_2481/tillsynsmail/A 23308-2022 tillsynsbegäran mail.docx", "A 23308-2022")</f>
        <v/>
      </c>
    </row>
    <row r="155" ht="15" customHeight="1">
      <c r="A155" t="inlineStr">
        <is>
          <t>A 32638-2022</t>
        </is>
      </c>
      <c r="B155" s="1" t="n">
        <v>44783</v>
      </c>
      <c r="C155" s="1" t="n">
        <v>45741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32638-2022 artfynd.xlsx", "A 32638-2022")</f>
        <v/>
      </c>
      <c r="T155">
        <f>HYPERLINK("https://klasma.github.io/Logging_2481/kartor/A 32638-2022 karta.png", "A 32638-2022")</f>
        <v/>
      </c>
      <c r="V155">
        <f>HYPERLINK("https://klasma.github.io/Logging_2481/klagomål/A 32638-2022 FSC-klagomål.docx", "A 32638-2022")</f>
        <v/>
      </c>
      <c r="W155">
        <f>HYPERLINK("https://klasma.github.io/Logging_2481/klagomålsmail/A 32638-2022 FSC-klagomål mail.docx", "A 32638-2022")</f>
        <v/>
      </c>
      <c r="X155">
        <f>HYPERLINK("https://klasma.github.io/Logging_2481/tillsyn/A 32638-2022 tillsynsbegäran.docx", "A 32638-2022")</f>
        <v/>
      </c>
      <c r="Y155">
        <f>HYPERLINK("https://klasma.github.io/Logging_2481/tillsynsmail/A 32638-2022 tillsynsbegäran mail.docx", "A 32638-2022")</f>
        <v/>
      </c>
    </row>
    <row r="156" ht="15" customHeight="1">
      <c r="A156" t="inlineStr">
        <is>
          <t>A 34810-2022</t>
        </is>
      </c>
      <c r="B156" s="1" t="n">
        <v>44795</v>
      </c>
      <c r="C156" s="1" t="n">
        <v>45741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34810-2022 artfynd.xlsx", "A 34810-2022")</f>
        <v/>
      </c>
      <c r="T156">
        <f>HYPERLINK("https://klasma.github.io/Logging_2481/kartor/A 34810-2022 karta.png", "A 34810-2022")</f>
        <v/>
      </c>
      <c r="V156">
        <f>HYPERLINK("https://klasma.github.io/Logging_2481/klagomål/A 34810-2022 FSC-klagomål.docx", "A 34810-2022")</f>
        <v/>
      </c>
      <c r="W156">
        <f>HYPERLINK("https://klasma.github.io/Logging_2481/klagomålsmail/A 34810-2022 FSC-klagomål mail.docx", "A 34810-2022")</f>
        <v/>
      </c>
      <c r="X156">
        <f>HYPERLINK("https://klasma.github.io/Logging_2481/tillsyn/A 34810-2022 tillsynsbegäran.docx", "A 34810-2022")</f>
        <v/>
      </c>
      <c r="Y156">
        <f>HYPERLINK("https://klasma.github.io/Logging_2481/tillsynsmail/A 34810-2022 tillsynsbegäran mail.docx", "A 34810-2022")</f>
        <v/>
      </c>
    </row>
    <row r="157" ht="15" customHeight="1">
      <c r="A157" t="inlineStr">
        <is>
          <t>A 34809-2022</t>
        </is>
      </c>
      <c r="B157" s="1" t="n">
        <v>44795</v>
      </c>
      <c r="C157" s="1" t="n">
        <v>45741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34809-2022 artfynd.xlsx", "A 34809-2022")</f>
        <v/>
      </c>
      <c r="T157">
        <f>HYPERLINK("https://klasma.github.io/Logging_2481/kartor/A 34809-2022 karta.png", "A 34809-2022")</f>
        <v/>
      </c>
      <c r="V157">
        <f>HYPERLINK("https://klasma.github.io/Logging_2481/klagomål/A 34809-2022 FSC-klagomål.docx", "A 34809-2022")</f>
        <v/>
      </c>
      <c r="W157">
        <f>HYPERLINK("https://klasma.github.io/Logging_2481/klagomålsmail/A 34809-2022 FSC-klagomål mail.docx", "A 34809-2022")</f>
        <v/>
      </c>
      <c r="X157">
        <f>HYPERLINK("https://klasma.github.io/Logging_2481/tillsyn/A 34809-2022 tillsynsbegäran.docx", "A 34809-2022")</f>
        <v/>
      </c>
      <c r="Y157">
        <f>HYPERLINK("https://klasma.github.io/Logging_2481/tillsynsmail/A 34809-2022 tillsynsbegäran mail.docx", "A 34809-2022")</f>
        <v/>
      </c>
    </row>
    <row r="158" ht="15" customHeight="1">
      <c r="A158" t="inlineStr">
        <is>
          <t>A 40133-2022</t>
        </is>
      </c>
      <c r="B158" s="1" t="n">
        <v>44820</v>
      </c>
      <c r="C158" s="1" t="n">
        <v>45741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Gräddporing</t>
        </is>
      </c>
      <c r="S158">
        <f>HYPERLINK("https://klasma.github.io/Logging_2481/artfynd/A 40133-2022 artfynd.xlsx", "A 40133-2022")</f>
        <v/>
      </c>
      <c r="T158">
        <f>HYPERLINK("https://klasma.github.io/Logging_2481/kartor/A 40133-2022 karta.png", "A 40133-2022")</f>
        <v/>
      </c>
      <c r="V158">
        <f>HYPERLINK("https://klasma.github.io/Logging_2481/klagomål/A 40133-2022 FSC-klagomål.docx", "A 40133-2022")</f>
        <v/>
      </c>
      <c r="W158">
        <f>HYPERLINK("https://klasma.github.io/Logging_2481/klagomålsmail/A 40133-2022 FSC-klagomål mail.docx", "A 40133-2022")</f>
        <v/>
      </c>
      <c r="X158">
        <f>HYPERLINK("https://klasma.github.io/Logging_2481/tillsyn/A 40133-2022 tillsynsbegäran.docx", "A 40133-2022")</f>
        <v/>
      </c>
      <c r="Y158">
        <f>HYPERLINK("https://klasma.github.io/Logging_2481/tillsynsmail/A 40133-2022 tillsynsbegäran mail.docx", "A 40133-2022")</f>
        <v/>
      </c>
    </row>
    <row r="159" ht="15" customHeight="1">
      <c r="A159" t="inlineStr">
        <is>
          <t>A 43418-2022</t>
        </is>
      </c>
      <c r="B159" s="1" t="n">
        <v>44834</v>
      </c>
      <c r="C159" s="1" t="n">
        <v>45741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8.4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43418-2022 artfynd.xlsx", "A 43418-2022")</f>
        <v/>
      </c>
      <c r="T159">
        <f>HYPERLINK("https://klasma.github.io/Logging_2481/kartor/A 43418-2022 karta.png", "A 43418-2022")</f>
        <v/>
      </c>
      <c r="V159">
        <f>HYPERLINK("https://klasma.github.io/Logging_2481/klagomål/A 43418-2022 FSC-klagomål.docx", "A 43418-2022")</f>
        <v/>
      </c>
      <c r="W159">
        <f>HYPERLINK("https://klasma.github.io/Logging_2481/klagomålsmail/A 43418-2022 FSC-klagomål mail.docx", "A 43418-2022")</f>
        <v/>
      </c>
      <c r="X159">
        <f>HYPERLINK("https://klasma.github.io/Logging_2481/tillsyn/A 43418-2022 tillsynsbegäran.docx", "A 43418-2022")</f>
        <v/>
      </c>
      <c r="Y159">
        <f>HYPERLINK("https://klasma.github.io/Logging_2481/tillsynsmail/A 43418-2022 tillsynsbegäran mail.docx", "A 43418-2022")</f>
        <v/>
      </c>
    </row>
    <row r="160" ht="15" customHeight="1">
      <c r="A160" t="inlineStr">
        <is>
          <t>A 51554-2022</t>
        </is>
      </c>
      <c r="B160" s="1" t="n">
        <v>44869</v>
      </c>
      <c r="C160" s="1" t="n">
        <v>45741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HYPERLINK("https://klasma.github.io/Logging_2481/artfynd/A 51554-2022 artfynd.xlsx", "A 51554-2022")</f>
        <v/>
      </c>
      <c r="T160">
        <f>HYPERLINK("https://klasma.github.io/Logging_2481/kartor/A 51554-2022 karta.png", "A 51554-2022")</f>
        <v/>
      </c>
      <c r="V160">
        <f>HYPERLINK("https://klasma.github.io/Logging_2481/klagomål/A 51554-2022 FSC-klagomål.docx", "A 51554-2022")</f>
        <v/>
      </c>
      <c r="W160">
        <f>HYPERLINK("https://klasma.github.io/Logging_2481/klagomålsmail/A 51554-2022 FSC-klagomål mail.docx", "A 51554-2022")</f>
        <v/>
      </c>
      <c r="X160">
        <f>HYPERLINK("https://klasma.github.io/Logging_2481/tillsyn/A 51554-2022 tillsynsbegäran.docx", "A 51554-2022")</f>
        <v/>
      </c>
      <c r="Y160">
        <f>HYPERLINK("https://klasma.github.io/Logging_2481/tillsynsmail/A 51554-2022 tillsynsbegäran mail.docx", "A 51554-2022")</f>
        <v/>
      </c>
      <c r="Z160">
        <f>HYPERLINK("https://klasma.github.io/Logging_2481/fåglar/A 51554-2022 prioriterade fågelarter.docx", "A 51554-2022")</f>
        <v/>
      </c>
    </row>
    <row r="161" ht="15" customHeight="1">
      <c r="A161" t="inlineStr">
        <is>
          <t>A 54135-2022</t>
        </is>
      </c>
      <c r="B161" s="1" t="n">
        <v>44881</v>
      </c>
      <c r="C161" s="1" t="n">
        <v>45741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HYPERLINK("https://klasma.github.io/Logging_2481/artfynd/A 54135-2022 artfynd.xlsx", "A 54135-2022")</f>
        <v/>
      </c>
      <c r="T161">
        <f>HYPERLINK("https://klasma.github.io/Logging_2481/kartor/A 54135-2022 karta.png", "A 54135-2022")</f>
        <v/>
      </c>
      <c r="U161">
        <f>HYPERLINK("https://klasma.github.io/Logging_2481/knärot/A 54135-2022 karta knärot.png", "A 54135-2022")</f>
        <v/>
      </c>
      <c r="V161">
        <f>HYPERLINK("https://klasma.github.io/Logging_2481/klagomål/A 54135-2022 FSC-klagomål.docx", "A 54135-2022")</f>
        <v/>
      </c>
      <c r="W161">
        <f>HYPERLINK("https://klasma.github.io/Logging_2481/klagomålsmail/A 54135-2022 FSC-klagomål mail.docx", "A 54135-2022")</f>
        <v/>
      </c>
      <c r="X161">
        <f>HYPERLINK("https://klasma.github.io/Logging_2481/tillsyn/A 54135-2022 tillsynsbegäran.docx", "A 54135-2022")</f>
        <v/>
      </c>
      <c r="Y161">
        <f>HYPERLINK("https://klasma.github.io/Logging_2481/tillsynsmail/A 54135-2022 tillsynsbegäran mail.docx", "A 54135-2022")</f>
        <v/>
      </c>
    </row>
    <row r="162" ht="15" customHeight="1">
      <c r="A162" t="inlineStr">
        <is>
          <t>A 55503-2022</t>
        </is>
      </c>
      <c r="B162" s="1" t="n">
        <v>44887</v>
      </c>
      <c r="C162" s="1" t="n">
        <v>45741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55503-2022 artfynd.xlsx", "A 55503-2022")</f>
        <v/>
      </c>
      <c r="T162">
        <f>HYPERLINK("https://klasma.github.io/Logging_2481/kartor/A 55503-2022 karta.png", "A 55503-2022")</f>
        <v/>
      </c>
      <c r="V162">
        <f>HYPERLINK("https://klasma.github.io/Logging_2481/klagomål/A 55503-2022 FSC-klagomål.docx", "A 55503-2022")</f>
        <v/>
      </c>
      <c r="W162">
        <f>HYPERLINK("https://klasma.github.io/Logging_2481/klagomålsmail/A 55503-2022 FSC-klagomål mail.docx", "A 55503-2022")</f>
        <v/>
      </c>
      <c r="X162">
        <f>HYPERLINK("https://klasma.github.io/Logging_2481/tillsyn/A 55503-2022 tillsynsbegäran.docx", "A 55503-2022")</f>
        <v/>
      </c>
      <c r="Y162">
        <f>HYPERLINK("https://klasma.github.io/Logging_2481/tillsynsmail/A 55503-2022 tillsynsbegäran mail.docx", "A 55503-2022")</f>
        <v/>
      </c>
    </row>
    <row r="163" ht="15" customHeight="1">
      <c r="A163" t="inlineStr">
        <is>
          <t>A 57618-2022</t>
        </is>
      </c>
      <c r="B163" s="1" t="n">
        <v>44897</v>
      </c>
      <c r="C163" s="1" t="n">
        <v>45741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HYPERLINK("https://klasma.github.io/Logging_2481/artfynd/A 57618-2022 artfynd.xlsx", "A 57618-2022")</f>
        <v/>
      </c>
      <c r="T163">
        <f>HYPERLINK("https://klasma.github.io/Logging_2481/kartor/A 57618-2022 karta.png", "A 57618-2022")</f>
        <v/>
      </c>
      <c r="V163">
        <f>HYPERLINK("https://klasma.github.io/Logging_2481/klagomål/A 57618-2022 FSC-klagomål.docx", "A 57618-2022")</f>
        <v/>
      </c>
      <c r="W163">
        <f>HYPERLINK("https://klasma.github.io/Logging_2481/klagomålsmail/A 57618-2022 FSC-klagomål mail.docx", "A 57618-2022")</f>
        <v/>
      </c>
      <c r="X163">
        <f>HYPERLINK("https://klasma.github.io/Logging_2481/tillsyn/A 57618-2022 tillsynsbegäran.docx", "A 57618-2022")</f>
        <v/>
      </c>
      <c r="Y163">
        <f>HYPERLINK("https://klasma.github.io/Logging_2481/tillsynsmail/A 57618-2022 tillsynsbegäran mail.docx", "A 57618-2022")</f>
        <v/>
      </c>
    </row>
    <row r="164" ht="15" customHeight="1">
      <c r="A164" t="inlineStr">
        <is>
          <t>A 11552-2023</t>
        </is>
      </c>
      <c r="B164" s="1" t="n">
        <v>44993</v>
      </c>
      <c r="C164" s="1" t="n">
        <v>45741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Tornseglare</t>
        </is>
      </c>
      <c r="S164">
        <f>HYPERLINK("https://klasma.github.io/Logging_2481/artfynd/A 11552-2023 artfynd.xlsx", "A 11552-2023")</f>
        <v/>
      </c>
      <c r="T164">
        <f>HYPERLINK("https://klasma.github.io/Logging_2481/kartor/A 11552-2023 karta.png", "A 11552-2023")</f>
        <v/>
      </c>
      <c r="V164">
        <f>HYPERLINK("https://klasma.github.io/Logging_2481/klagomål/A 11552-2023 FSC-klagomål.docx", "A 11552-2023")</f>
        <v/>
      </c>
      <c r="W164">
        <f>HYPERLINK("https://klasma.github.io/Logging_2481/klagomålsmail/A 11552-2023 FSC-klagomål mail.docx", "A 11552-2023")</f>
        <v/>
      </c>
      <c r="X164">
        <f>HYPERLINK("https://klasma.github.io/Logging_2481/tillsyn/A 11552-2023 tillsynsbegäran.docx", "A 11552-2023")</f>
        <v/>
      </c>
      <c r="Y164">
        <f>HYPERLINK("https://klasma.github.io/Logging_2481/tillsynsmail/A 11552-2023 tillsynsbegäran mail.docx", "A 11552-2023")</f>
        <v/>
      </c>
      <c r="Z164">
        <f>HYPERLINK("https://klasma.github.io/Logging_2481/fåglar/A 11552-2023 prioriterade fågelarter.docx", "A 11552-2023")</f>
        <v/>
      </c>
    </row>
    <row r="165" ht="15" customHeight="1">
      <c r="A165" t="inlineStr">
        <is>
          <t>A 15114-2023</t>
        </is>
      </c>
      <c r="B165" s="1" t="n">
        <v>45015</v>
      </c>
      <c r="C165" s="1" t="n">
        <v>45741</v>
      </c>
      <c r="D165" t="inlineStr">
        <is>
          <t>VÄSTERBOTTENS LÄN</t>
        </is>
      </c>
      <c r="E165" t="inlineStr">
        <is>
          <t>LYCKSELE</t>
        </is>
      </c>
      <c r="G165" t="n">
        <v>8.5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15114-2023 artfynd.xlsx", "A 15114-2023")</f>
        <v/>
      </c>
      <c r="T165">
        <f>HYPERLINK("https://klasma.github.io/Logging_2481/kartor/A 15114-2023 karta.png", "A 15114-2023")</f>
        <v/>
      </c>
      <c r="V165">
        <f>HYPERLINK("https://klasma.github.io/Logging_2481/klagomål/A 15114-2023 FSC-klagomål.docx", "A 15114-2023")</f>
        <v/>
      </c>
      <c r="W165">
        <f>HYPERLINK("https://klasma.github.io/Logging_2481/klagomålsmail/A 15114-2023 FSC-klagomål mail.docx", "A 15114-2023")</f>
        <v/>
      </c>
      <c r="X165">
        <f>HYPERLINK("https://klasma.github.io/Logging_2481/tillsyn/A 15114-2023 tillsynsbegäran.docx", "A 15114-2023")</f>
        <v/>
      </c>
      <c r="Y165">
        <f>HYPERLINK("https://klasma.github.io/Logging_2481/tillsynsmail/A 15114-2023 tillsynsbegäran mail.docx", "A 15114-2023")</f>
        <v/>
      </c>
    </row>
    <row r="166" ht="15" customHeight="1">
      <c r="A166" t="inlineStr">
        <is>
          <t>A 20940-2023</t>
        </is>
      </c>
      <c r="B166" s="1" t="n">
        <v>45061</v>
      </c>
      <c r="C166" s="1" t="n">
        <v>45741</v>
      </c>
      <c r="D166" t="inlineStr">
        <is>
          <t>VÄSTERBOTTENS LÄN</t>
        </is>
      </c>
      <c r="E166" t="inlineStr">
        <is>
          <t>LYCKSELE</t>
        </is>
      </c>
      <c r="G166" t="n">
        <v>4.6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20940-2023 artfynd.xlsx", "A 20940-2023")</f>
        <v/>
      </c>
      <c r="T166">
        <f>HYPERLINK("https://klasma.github.io/Logging_2481/kartor/A 20940-2023 karta.png", "A 20940-2023")</f>
        <v/>
      </c>
      <c r="V166">
        <f>HYPERLINK("https://klasma.github.io/Logging_2481/klagomål/A 20940-2023 FSC-klagomål.docx", "A 20940-2023")</f>
        <v/>
      </c>
      <c r="W166">
        <f>HYPERLINK("https://klasma.github.io/Logging_2481/klagomålsmail/A 20940-2023 FSC-klagomål mail.docx", "A 20940-2023")</f>
        <v/>
      </c>
      <c r="X166">
        <f>HYPERLINK("https://klasma.github.io/Logging_2481/tillsyn/A 20940-2023 tillsynsbegäran.docx", "A 20940-2023")</f>
        <v/>
      </c>
      <c r="Y166">
        <f>HYPERLINK("https://klasma.github.io/Logging_2481/tillsynsmail/A 20940-2023 tillsynsbegäran mail.docx", "A 20940-2023")</f>
        <v/>
      </c>
    </row>
    <row r="167" ht="15" customHeight="1">
      <c r="A167" t="inlineStr">
        <is>
          <t>A 27447-2023</t>
        </is>
      </c>
      <c r="B167" s="1" t="n">
        <v>45097</v>
      </c>
      <c r="C167" s="1" t="n">
        <v>45741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Gräddticka</t>
        </is>
      </c>
      <c r="S167">
        <f>HYPERLINK("https://klasma.github.io/Logging_2481/artfynd/A 27447-2023 artfynd.xlsx", "A 27447-2023")</f>
        <v/>
      </c>
      <c r="T167">
        <f>HYPERLINK("https://klasma.github.io/Logging_2481/kartor/A 27447-2023 karta.png", "A 27447-2023")</f>
        <v/>
      </c>
      <c r="V167">
        <f>HYPERLINK("https://klasma.github.io/Logging_2481/klagomål/A 27447-2023 FSC-klagomål.docx", "A 27447-2023")</f>
        <v/>
      </c>
      <c r="W167">
        <f>HYPERLINK("https://klasma.github.io/Logging_2481/klagomålsmail/A 27447-2023 FSC-klagomål mail.docx", "A 27447-2023")</f>
        <v/>
      </c>
      <c r="X167">
        <f>HYPERLINK("https://klasma.github.io/Logging_2481/tillsyn/A 27447-2023 tillsynsbegäran.docx", "A 27447-2023")</f>
        <v/>
      </c>
      <c r="Y167">
        <f>HYPERLINK("https://klasma.github.io/Logging_2481/tillsynsmail/A 27447-2023 tillsynsbegäran mail.docx", "A 27447-2023")</f>
        <v/>
      </c>
    </row>
    <row r="168" ht="15" customHeight="1">
      <c r="A168" t="inlineStr">
        <is>
          <t>A 29561-2023</t>
        </is>
      </c>
      <c r="B168" s="1" t="n">
        <v>45106</v>
      </c>
      <c r="C168" s="1" t="n">
        <v>45741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26.7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29561-2023 artfynd.xlsx", "A 29561-2023")</f>
        <v/>
      </c>
      <c r="T168">
        <f>HYPERLINK("https://klasma.github.io/Logging_2481/kartor/A 29561-2023 karta.png", "A 29561-2023")</f>
        <v/>
      </c>
      <c r="V168">
        <f>HYPERLINK("https://klasma.github.io/Logging_2481/klagomål/A 29561-2023 FSC-klagomål.docx", "A 29561-2023")</f>
        <v/>
      </c>
      <c r="W168">
        <f>HYPERLINK("https://klasma.github.io/Logging_2481/klagomålsmail/A 29561-2023 FSC-klagomål mail.docx", "A 29561-2023")</f>
        <v/>
      </c>
      <c r="X168">
        <f>HYPERLINK("https://klasma.github.io/Logging_2481/tillsyn/A 29561-2023 tillsynsbegäran.docx", "A 29561-2023")</f>
        <v/>
      </c>
      <c r="Y168">
        <f>HYPERLINK("https://klasma.github.io/Logging_2481/tillsynsmail/A 29561-2023 tillsynsbegäran mail.docx", "A 29561-2023")</f>
        <v/>
      </c>
    </row>
    <row r="169" ht="15" customHeight="1">
      <c r="A169" t="inlineStr">
        <is>
          <t>A 32661-2023</t>
        </is>
      </c>
      <c r="B169" s="1" t="n">
        <v>45121</v>
      </c>
      <c r="C169" s="1" t="n">
        <v>45741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32661-2023 artfynd.xlsx", "A 32661-2023")</f>
        <v/>
      </c>
      <c r="T169">
        <f>HYPERLINK("https://klasma.github.io/Logging_2481/kartor/A 32661-2023 karta.png", "A 32661-2023")</f>
        <v/>
      </c>
      <c r="V169">
        <f>HYPERLINK("https://klasma.github.io/Logging_2481/klagomål/A 32661-2023 FSC-klagomål.docx", "A 32661-2023")</f>
        <v/>
      </c>
      <c r="W169">
        <f>HYPERLINK("https://klasma.github.io/Logging_2481/klagomålsmail/A 32661-2023 FSC-klagomål mail.docx", "A 32661-2023")</f>
        <v/>
      </c>
      <c r="X169">
        <f>HYPERLINK("https://klasma.github.io/Logging_2481/tillsyn/A 32661-2023 tillsynsbegäran.docx", "A 32661-2023")</f>
        <v/>
      </c>
      <c r="Y169">
        <f>HYPERLINK("https://klasma.github.io/Logging_2481/tillsynsmail/A 32661-2023 tillsynsbegäran mail.docx", "A 32661-2023")</f>
        <v/>
      </c>
    </row>
    <row r="170" ht="15" customHeight="1">
      <c r="A170" t="inlineStr">
        <is>
          <t>A 34781-2023</t>
        </is>
      </c>
      <c r="B170" s="1" t="n">
        <v>45141</v>
      </c>
      <c r="C170" s="1" t="n">
        <v>45741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34781-2023 artfynd.xlsx", "A 34781-2023")</f>
        <v/>
      </c>
      <c r="T170">
        <f>HYPERLINK("https://klasma.github.io/Logging_2481/kartor/A 34781-2023 karta.png", "A 34781-2023")</f>
        <v/>
      </c>
      <c r="V170">
        <f>HYPERLINK("https://klasma.github.io/Logging_2481/klagomål/A 34781-2023 FSC-klagomål.docx", "A 34781-2023")</f>
        <v/>
      </c>
      <c r="W170">
        <f>HYPERLINK("https://klasma.github.io/Logging_2481/klagomålsmail/A 34781-2023 FSC-klagomål mail.docx", "A 34781-2023")</f>
        <v/>
      </c>
      <c r="X170">
        <f>HYPERLINK("https://klasma.github.io/Logging_2481/tillsyn/A 34781-2023 tillsynsbegäran.docx", "A 34781-2023")</f>
        <v/>
      </c>
      <c r="Y170">
        <f>HYPERLINK("https://klasma.github.io/Logging_2481/tillsynsmail/A 34781-2023 tillsynsbegäran mail.docx", "A 34781-2023")</f>
        <v/>
      </c>
    </row>
    <row r="171" ht="15" customHeight="1">
      <c r="A171" t="inlineStr">
        <is>
          <t>A 34871-2023</t>
        </is>
      </c>
      <c r="B171" s="1" t="n">
        <v>45142</v>
      </c>
      <c r="C171" s="1" t="n">
        <v>45741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34871-2023 artfynd.xlsx", "A 34871-2023")</f>
        <v/>
      </c>
      <c r="T171">
        <f>HYPERLINK("https://klasma.github.io/Logging_2481/kartor/A 34871-2023 karta.png", "A 34871-2023")</f>
        <v/>
      </c>
      <c r="V171">
        <f>HYPERLINK("https://klasma.github.io/Logging_2481/klagomål/A 34871-2023 FSC-klagomål.docx", "A 34871-2023")</f>
        <v/>
      </c>
      <c r="W171">
        <f>HYPERLINK("https://klasma.github.io/Logging_2481/klagomålsmail/A 34871-2023 FSC-klagomål mail.docx", "A 34871-2023")</f>
        <v/>
      </c>
      <c r="X171">
        <f>HYPERLINK("https://klasma.github.io/Logging_2481/tillsyn/A 34871-2023 tillsynsbegäran.docx", "A 34871-2023")</f>
        <v/>
      </c>
      <c r="Y171">
        <f>HYPERLINK("https://klasma.github.io/Logging_2481/tillsynsmail/A 34871-2023 tillsynsbegäran mail.docx", "A 34871-2023")</f>
        <v/>
      </c>
    </row>
    <row r="172" ht="15" customHeight="1">
      <c r="A172" t="inlineStr">
        <is>
          <t>A 37612-2023</t>
        </is>
      </c>
      <c r="B172" s="1" t="n">
        <v>45159</v>
      </c>
      <c r="C172" s="1" t="n">
        <v>45741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37612-2023 artfynd.xlsx", "A 37612-2023")</f>
        <v/>
      </c>
      <c r="T172">
        <f>HYPERLINK("https://klasma.github.io/Logging_2481/kartor/A 37612-2023 karta.png", "A 37612-2023")</f>
        <v/>
      </c>
      <c r="V172">
        <f>HYPERLINK("https://klasma.github.io/Logging_2481/klagomål/A 37612-2023 FSC-klagomål.docx", "A 37612-2023")</f>
        <v/>
      </c>
      <c r="W172">
        <f>HYPERLINK("https://klasma.github.io/Logging_2481/klagomålsmail/A 37612-2023 FSC-klagomål mail.docx", "A 37612-2023")</f>
        <v/>
      </c>
      <c r="X172">
        <f>HYPERLINK("https://klasma.github.io/Logging_2481/tillsyn/A 37612-2023 tillsynsbegäran.docx", "A 37612-2023")</f>
        <v/>
      </c>
      <c r="Y172">
        <f>HYPERLINK("https://klasma.github.io/Logging_2481/tillsynsmail/A 37612-2023 tillsynsbegäran mail.docx", "A 37612-2023")</f>
        <v/>
      </c>
    </row>
    <row r="173" ht="15" customHeight="1">
      <c r="A173" t="inlineStr">
        <is>
          <t>A 38507-2023</t>
        </is>
      </c>
      <c r="B173" s="1" t="n">
        <v>45162</v>
      </c>
      <c r="C173" s="1" t="n">
        <v>45741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40526-2023</t>
        </is>
      </c>
      <c r="B174" s="1" t="n">
        <v>45170</v>
      </c>
      <c r="C174" s="1" t="n">
        <v>45741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40526-2023 artfynd.xlsx", "A 40526-2023")</f>
        <v/>
      </c>
      <c r="T174">
        <f>HYPERLINK("https://klasma.github.io/Logging_2481/kartor/A 40526-2023 karta.png", "A 40526-2023")</f>
        <v/>
      </c>
      <c r="V174">
        <f>HYPERLINK("https://klasma.github.io/Logging_2481/klagomål/A 40526-2023 FSC-klagomål.docx", "A 40526-2023")</f>
        <v/>
      </c>
      <c r="W174">
        <f>HYPERLINK("https://klasma.github.io/Logging_2481/klagomålsmail/A 40526-2023 FSC-klagomål mail.docx", "A 40526-2023")</f>
        <v/>
      </c>
      <c r="X174">
        <f>HYPERLINK("https://klasma.github.io/Logging_2481/tillsyn/A 40526-2023 tillsynsbegäran.docx", "A 40526-2023")</f>
        <v/>
      </c>
      <c r="Y174">
        <f>HYPERLINK("https://klasma.github.io/Logging_2481/tillsynsmail/A 40526-2023 tillsynsbegäran mail.docx", "A 40526-2023")</f>
        <v/>
      </c>
    </row>
    <row r="175" ht="15" customHeight="1">
      <c r="A175" t="inlineStr">
        <is>
          <t>A 41432-2023</t>
        </is>
      </c>
      <c r="B175" s="1" t="n">
        <v>45175</v>
      </c>
      <c r="C175" s="1" t="n">
        <v>45741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41432-2023 artfynd.xlsx", "A 41432-2023")</f>
        <v/>
      </c>
      <c r="T175">
        <f>HYPERLINK("https://klasma.github.io/Logging_2481/kartor/A 41432-2023 karta.png", "A 41432-2023")</f>
        <v/>
      </c>
      <c r="V175">
        <f>HYPERLINK("https://klasma.github.io/Logging_2481/klagomål/A 41432-2023 FSC-klagomål.docx", "A 41432-2023")</f>
        <v/>
      </c>
      <c r="W175">
        <f>HYPERLINK("https://klasma.github.io/Logging_2481/klagomålsmail/A 41432-2023 FSC-klagomål mail.docx", "A 41432-2023")</f>
        <v/>
      </c>
      <c r="X175">
        <f>HYPERLINK("https://klasma.github.io/Logging_2481/tillsyn/A 41432-2023 tillsynsbegäran.docx", "A 41432-2023")</f>
        <v/>
      </c>
      <c r="Y175">
        <f>HYPERLINK("https://klasma.github.io/Logging_2481/tillsynsmail/A 41432-2023 tillsynsbegäran mail.docx", "A 41432-2023")</f>
        <v/>
      </c>
    </row>
    <row r="176" ht="15" customHeight="1">
      <c r="A176" t="inlineStr">
        <is>
          <t>A 43619-2023</t>
        </is>
      </c>
      <c r="B176" s="1" t="n">
        <v>45184</v>
      </c>
      <c r="C176" s="1" t="n">
        <v>45741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43619-2023 artfynd.xlsx", "A 43619-2023")</f>
        <v/>
      </c>
      <c r="T176">
        <f>HYPERLINK("https://klasma.github.io/Logging_2481/kartor/A 43619-2023 karta.png", "A 43619-2023")</f>
        <v/>
      </c>
      <c r="V176">
        <f>HYPERLINK("https://klasma.github.io/Logging_2481/klagomål/A 43619-2023 FSC-klagomål.docx", "A 43619-2023")</f>
        <v/>
      </c>
      <c r="W176">
        <f>HYPERLINK("https://klasma.github.io/Logging_2481/klagomålsmail/A 43619-2023 FSC-klagomål mail.docx", "A 43619-2023")</f>
        <v/>
      </c>
      <c r="X176">
        <f>HYPERLINK("https://klasma.github.io/Logging_2481/tillsyn/A 43619-2023 tillsynsbegäran.docx", "A 43619-2023")</f>
        <v/>
      </c>
      <c r="Y176">
        <f>HYPERLINK("https://klasma.github.io/Logging_2481/tillsynsmail/A 43619-2023 tillsynsbegäran mail.docx", "A 43619-2023")</f>
        <v/>
      </c>
    </row>
    <row r="177" ht="15" customHeight="1">
      <c r="A177" t="inlineStr">
        <is>
          <t>A 43616-2023</t>
        </is>
      </c>
      <c r="B177" s="1" t="n">
        <v>45184</v>
      </c>
      <c r="C177" s="1" t="n">
        <v>45741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43616-2023 artfynd.xlsx", "A 43616-2023")</f>
        <v/>
      </c>
      <c r="T177">
        <f>HYPERLINK("https://klasma.github.io/Logging_2481/kartor/A 43616-2023 karta.png", "A 43616-2023")</f>
        <v/>
      </c>
      <c r="V177">
        <f>HYPERLINK("https://klasma.github.io/Logging_2481/klagomål/A 43616-2023 FSC-klagomål.docx", "A 43616-2023")</f>
        <v/>
      </c>
      <c r="W177">
        <f>HYPERLINK("https://klasma.github.io/Logging_2481/klagomålsmail/A 43616-2023 FSC-klagomål mail.docx", "A 43616-2023")</f>
        <v/>
      </c>
      <c r="X177">
        <f>HYPERLINK("https://klasma.github.io/Logging_2481/tillsyn/A 43616-2023 tillsynsbegäran.docx", "A 43616-2023")</f>
        <v/>
      </c>
      <c r="Y177">
        <f>HYPERLINK("https://klasma.github.io/Logging_2481/tillsynsmail/A 43616-2023 tillsynsbegäran mail.docx", "A 43616-2023")</f>
        <v/>
      </c>
    </row>
    <row r="178" ht="15" customHeight="1">
      <c r="A178" t="inlineStr">
        <is>
          <t>A 44194-2023</t>
        </is>
      </c>
      <c r="B178" s="1" t="n">
        <v>45188</v>
      </c>
      <c r="C178" s="1" t="n">
        <v>45741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44194-2023 artfynd.xlsx", "A 44194-2023")</f>
        <v/>
      </c>
      <c r="T178">
        <f>HYPERLINK("https://klasma.github.io/Logging_2481/kartor/A 44194-2023 karta.png", "A 44194-2023")</f>
        <v/>
      </c>
      <c r="V178">
        <f>HYPERLINK("https://klasma.github.io/Logging_2481/klagomål/A 44194-2023 FSC-klagomål.docx", "A 44194-2023")</f>
        <v/>
      </c>
      <c r="W178">
        <f>HYPERLINK("https://klasma.github.io/Logging_2481/klagomålsmail/A 44194-2023 FSC-klagomål mail.docx", "A 44194-2023")</f>
        <v/>
      </c>
      <c r="X178">
        <f>HYPERLINK("https://klasma.github.io/Logging_2481/tillsyn/A 44194-2023 tillsynsbegäran.docx", "A 44194-2023")</f>
        <v/>
      </c>
      <c r="Y178">
        <f>HYPERLINK("https://klasma.github.io/Logging_2481/tillsynsmail/A 44194-2023 tillsynsbegäran mail.docx", "A 44194-2023")</f>
        <v/>
      </c>
    </row>
    <row r="179" ht="15" customHeight="1">
      <c r="A179" t="inlineStr">
        <is>
          <t>A 46114-2023</t>
        </is>
      </c>
      <c r="B179" s="1" t="n">
        <v>45196</v>
      </c>
      <c r="C179" s="1" t="n">
        <v>45741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46114-2023 artfynd.xlsx", "A 46114-2023")</f>
        <v/>
      </c>
      <c r="T179">
        <f>HYPERLINK("https://klasma.github.io/Logging_2481/kartor/A 46114-2023 karta.png", "A 46114-2023")</f>
        <v/>
      </c>
      <c r="V179">
        <f>HYPERLINK("https://klasma.github.io/Logging_2481/klagomål/A 46114-2023 FSC-klagomål.docx", "A 46114-2023")</f>
        <v/>
      </c>
      <c r="W179">
        <f>HYPERLINK("https://klasma.github.io/Logging_2481/klagomålsmail/A 46114-2023 FSC-klagomål mail.docx", "A 46114-2023")</f>
        <v/>
      </c>
      <c r="X179">
        <f>HYPERLINK("https://klasma.github.io/Logging_2481/tillsyn/A 46114-2023 tillsynsbegäran.docx", "A 46114-2023")</f>
        <v/>
      </c>
      <c r="Y179">
        <f>HYPERLINK("https://klasma.github.io/Logging_2481/tillsynsmail/A 46114-2023 tillsynsbegäran mail.docx", "A 46114-2023")</f>
        <v/>
      </c>
    </row>
    <row r="180" ht="15" customHeight="1">
      <c r="A180" t="inlineStr">
        <is>
          <t>A 50997-2023</t>
        </is>
      </c>
      <c r="B180" s="1" t="n">
        <v>45218</v>
      </c>
      <c r="C180" s="1" t="n">
        <v>45741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50997-2023 artfynd.xlsx", "A 50997-2023")</f>
        <v/>
      </c>
      <c r="T180">
        <f>HYPERLINK("https://klasma.github.io/Logging_2481/kartor/A 50997-2023 karta.png", "A 50997-2023")</f>
        <v/>
      </c>
      <c r="V180">
        <f>HYPERLINK("https://klasma.github.io/Logging_2481/klagomål/A 50997-2023 FSC-klagomål.docx", "A 50997-2023")</f>
        <v/>
      </c>
      <c r="W180">
        <f>HYPERLINK("https://klasma.github.io/Logging_2481/klagomålsmail/A 50997-2023 FSC-klagomål mail.docx", "A 50997-2023")</f>
        <v/>
      </c>
      <c r="X180">
        <f>HYPERLINK("https://klasma.github.io/Logging_2481/tillsyn/A 50997-2023 tillsynsbegäran.docx", "A 50997-2023")</f>
        <v/>
      </c>
      <c r="Y180">
        <f>HYPERLINK("https://klasma.github.io/Logging_2481/tillsynsmail/A 50997-2023 tillsynsbegäran mail.docx", "A 50997-2023")</f>
        <v/>
      </c>
    </row>
    <row r="181" ht="15" customHeight="1">
      <c r="A181" t="inlineStr">
        <is>
          <t>A 52929-2023</t>
        </is>
      </c>
      <c r="B181" s="1" t="n">
        <v>45226</v>
      </c>
      <c r="C181" s="1" t="n">
        <v>45741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52929-2023 artfynd.xlsx", "A 52929-2023")</f>
        <v/>
      </c>
      <c r="T181">
        <f>HYPERLINK("https://klasma.github.io/Logging_2481/kartor/A 52929-2023 karta.png", "A 52929-2023")</f>
        <v/>
      </c>
      <c r="V181">
        <f>HYPERLINK("https://klasma.github.io/Logging_2481/klagomål/A 52929-2023 FSC-klagomål.docx", "A 52929-2023")</f>
        <v/>
      </c>
      <c r="W181">
        <f>HYPERLINK("https://klasma.github.io/Logging_2481/klagomålsmail/A 52929-2023 FSC-klagomål mail.docx", "A 52929-2023")</f>
        <v/>
      </c>
      <c r="X181">
        <f>HYPERLINK("https://klasma.github.io/Logging_2481/tillsyn/A 52929-2023 tillsynsbegäran.docx", "A 52929-2023")</f>
        <v/>
      </c>
      <c r="Y181">
        <f>HYPERLINK("https://klasma.github.io/Logging_2481/tillsynsmail/A 52929-2023 tillsynsbegäran mail.docx", "A 52929-2023")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45741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57462-2023</t>
        </is>
      </c>
      <c r="B183" s="1" t="n">
        <v>45246</v>
      </c>
      <c r="C183" s="1" t="n">
        <v>45741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Mörk kolflarnlav</t>
        </is>
      </c>
      <c r="S183">
        <f>HYPERLINK("https://klasma.github.io/Logging_2481/artfynd/A 57462-2023 artfynd.xlsx", "A 57462-2023")</f>
        <v/>
      </c>
      <c r="T183">
        <f>HYPERLINK("https://klasma.github.io/Logging_2481/kartor/A 57462-2023 karta.png", "A 57462-2023")</f>
        <v/>
      </c>
      <c r="V183">
        <f>HYPERLINK("https://klasma.github.io/Logging_2481/klagomål/A 57462-2023 FSC-klagomål.docx", "A 57462-2023")</f>
        <v/>
      </c>
      <c r="W183">
        <f>HYPERLINK("https://klasma.github.io/Logging_2481/klagomålsmail/A 57462-2023 FSC-klagomål mail.docx", "A 57462-2023")</f>
        <v/>
      </c>
      <c r="X183">
        <f>HYPERLINK("https://klasma.github.io/Logging_2481/tillsyn/A 57462-2023 tillsynsbegäran.docx", "A 57462-2023")</f>
        <v/>
      </c>
      <c r="Y183">
        <f>HYPERLINK("https://klasma.github.io/Logging_2481/tillsynsmail/A 57462-2023 tillsynsbegäran mail.docx", "A 57462-2023")</f>
        <v/>
      </c>
    </row>
    <row r="184" ht="15" customHeight="1">
      <c r="A184" t="inlineStr">
        <is>
          <t>A 58657-2023</t>
        </is>
      </c>
      <c r="B184" s="1" t="n">
        <v>45251</v>
      </c>
      <c r="C184" s="1" t="n">
        <v>45741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Bollvitmossa</t>
        </is>
      </c>
      <c r="S184">
        <f>HYPERLINK("https://klasma.github.io/Logging_2481/artfynd/A 58657-2023 artfynd.xlsx", "A 58657-2023")</f>
        <v/>
      </c>
      <c r="T184">
        <f>HYPERLINK("https://klasma.github.io/Logging_2481/kartor/A 58657-2023 karta.png", "A 58657-2023")</f>
        <v/>
      </c>
      <c r="V184">
        <f>HYPERLINK("https://klasma.github.io/Logging_2481/klagomål/A 58657-2023 FSC-klagomål.docx", "A 58657-2023")</f>
        <v/>
      </c>
      <c r="W184">
        <f>HYPERLINK("https://klasma.github.io/Logging_2481/klagomålsmail/A 58657-2023 FSC-klagomål mail.docx", "A 58657-2023")</f>
        <v/>
      </c>
      <c r="X184">
        <f>HYPERLINK("https://klasma.github.io/Logging_2481/tillsyn/A 58657-2023 tillsynsbegäran.docx", "A 58657-2023")</f>
        <v/>
      </c>
      <c r="Y184">
        <f>HYPERLINK("https://klasma.github.io/Logging_2481/tillsynsmail/A 58657-2023 tillsynsbegäran mail.docx", "A 58657-2023")</f>
        <v/>
      </c>
    </row>
    <row r="185" ht="15" customHeight="1">
      <c r="A185" t="inlineStr">
        <is>
          <t>A 59300-2023</t>
        </is>
      </c>
      <c r="B185" s="1" t="n">
        <v>45253</v>
      </c>
      <c r="C185" s="1" t="n">
        <v>45741</v>
      </c>
      <c r="D185" t="inlineStr">
        <is>
          <t>VÄSTERBOTTENS LÄN</t>
        </is>
      </c>
      <c r="E185" t="inlineStr">
        <is>
          <t>LYCKSELE</t>
        </is>
      </c>
      <c r="G185" t="n">
        <v>22.1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HYPERLINK("https://klasma.github.io/Logging_2481/artfynd/A 59300-2023 artfynd.xlsx", "A 59300-2023")</f>
        <v/>
      </c>
      <c r="T185">
        <f>HYPERLINK("https://klasma.github.io/Logging_2481/kartor/A 59300-2023 karta.png", "A 59300-2023")</f>
        <v/>
      </c>
      <c r="V185">
        <f>HYPERLINK("https://klasma.github.io/Logging_2481/klagomål/A 59300-2023 FSC-klagomål.docx", "A 59300-2023")</f>
        <v/>
      </c>
      <c r="W185">
        <f>HYPERLINK("https://klasma.github.io/Logging_2481/klagomålsmail/A 59300-2023 FSC-klagomål mail.docx", "A 59300-2023")</f>
        <v/>
      </c>
      <c r="X185">
        <f>HYPERLINK("https://klasma.github.io/Logging_2481/tillsyn/A 59300-2023 tillsynsbegäran.docx", "A 59300-2023")</f>
        <v/>
      </c>
      <c r="Y185">
        <f>HYPERLINK("https://klasma.github.io/Logging_2481/tillsynsmail/A 59300-2023 tillsynsbegäran mail.docx", "A 59300-2023")</f>
        <v/>
      </c>
    </row>
    <row r="186" ht="15" customHeight="1">
      <c r="A186" t="inlineStr">
        <is>
          <t>A 61590-2023</t>
        </is>
      </c>
      <c r="B186" s="1" t="n">
        <v>45265</v>
      </c>
      <c r="C186" s="1" t="n">
        <v>45741</v>
      </c>
      <c r="D186" t="inlineStr">
        <is>
          <t>VÄSTERBOTTENS LÄN</t>
        </is>
      </c>
      <c r="E186" t="inlineStr">
        <is>
          <t>LYCKSELE</t>
        </is>
      </c>
      <c r="G186" t="n">
        <v>8.800000000000001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Plattlummer</t>
        </is>
      </c>
      <c r="S186">
        <f>HYPERLINK("https://klasma.github.io/Logging_2481/artfynd/A 61590-2023 artfynd.xlsx", "A 61590-2023")</f>
        <v/>
      </c>
      <c r="T186">
        <f>HYPERLINK("https://klasma.github.io/Logging_2481/kartor/A 61590-2023 karta.png", "A 61590-2023")</f>
        <v/>
      </c>
      <c r="V186">
        <f>HYPERLINK("https://klasma.github.io/Logging_2481/klagomål/A 61590-2023 FSC-klagomål.docx", "A 61590-2023")</f>
        <v/>
      </c>
      <c r="W186">
        <f>HYPERLINK("https://klasma.github.io/Logging_2481/klagomålsmail/A 61590-2023 FSC-klagomål mail.docx", "A 61590-2023")</f>
        <v/>
      </c>
      <c r="X186">
        <f>HYPERLINK("https://klasma.github.io/Logging_2481/tillsyn/A 61590-2023 tillsynsbegäran.docx", "A 61590-2023")</f>
        <v/>
      </c>
      <c r="Y186">
        <f>HYPERLINK("https://klasma.github.io/Logging_2481/tillsynsmail/A 61590-2023 tillsynsbegäran mail.docx", "A 61590-2023")</f>
        <v/>
      </c>
    </row>
    <row r="187" ht="15" customHeight="1">
      <c r="A187" t="inlineStr">
        <is>
          <t>A 496-2024</t>
        </is>
      </c>
      <c r="B187" s="1" t="n">
        <v>45299</v>
      </c>
      <c r="C187" s="1" t="n">
        <v>45741</v>
      </c>
      <c r="D187" t="inlineStr">
        <is>
          <t>VÄSTERBOTTENS LÄN</t>
        </is>
      </c>
      <c r="E187" t="inlineStr">
        <is>
          <t>LYCKSELE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HYPERLINK("https://klasma.github.io/Logging_2481/artfynd/A 496-2024 artfynd.xlsx", "A 496-2024")</f>
        <v/>
      </c>
      <c r="T187">
        <f>HYPERLINK("https://klasma.github.io/Logging_2481/kartor/A 496-2024 karta.png", "A 496-2024")</f>
        <v/>
      </c>
      <c r="V187">
        <f>HYPERLINK("https://klasma.github.io/Logging_2481/klagomål/A 496-2024 FSC-klagomål.docx", "A 496-2024")</f>
        <v/>
      </c>
      <c r="W187">
        <f>HYPERLINK("https://klasma.github.io/Logging_2481/klagomålsmail/A 496-2024 FSC-klagomål mail.docx", "A 496-2024")</f>
        <v/>
      </c>
      <c r="X187">
        <f>HYPERLINK("https://klasma.github.io/Logging_2481/tillsyn/A 496-2024 tillsynsbegäran.docx", "A 496-2024")</f>
        <v/>
      </c>
      <c r="Y187">
        <f>HYPERLINK("https://klasma.github.io/Logging_2481/tillsynsmail/A 496-2024 tillsynsbegäran mail.docx", "A 496-2024")</f>
        <v/>
      </c>
      <c r="Z187">
        <f>HYPERLINK("https://klasma.github.io/Logging_2481/fåglar/A 496-2024 prioriterade fågelarter.docx", "A 496-2024")</f>
        <v/>
      </c>
    </row>
    <row r="188" ht="15" customHeight="1">
      <c r="A188" t="inlineStr">
        <is>
          <t>A 1778-2024</t>
        </is>
      </c>
      <c r="B188" s="1" t="n">
        <v>45307</v>
      </c>
      <c r="C188" s="1" t="n">
        <v>45741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1778-2024 artfynd.xlsx", "A 1778-2024")</f>
        <v/>
      </c>
      <c r="T188">
        <f>HYPERLINK("https://klasma.github.io/Logging_2481/kartor/A 1778-2024 karta.png", "A 1778-2024")</f>
        <v/>
      </c>
      <c r="V188">
        <f>HYPERLINK("https://klasma.github.io/Logging_2481/klagomål/A 1778-2024 FSC-klagomål.docx", "A 1778-2024")</f>
        <v/>
      </c>
      <c r="W188">
        <f>HYPERLINK("https://klasma.github.io/Logging_2481/klagomålsmail/A 1778-2024 FSC-klagomål mail.docx", "A 1778-2024")</f>
        <v/>
      </c>
      <c r="X188">
        <f>HYPERLINK("https://klasma.github.io/Logging_2481/tillsyn/A 1778-2024 tillsynsbegäran.docx", "A 1778-2024")</f>
        <v/>
      </c>
      <c r="Y188">
        <f>HYPERLINK("https://klasma.github.io/Logging_2481/tillsynsmail/A 1778-2024 tillsynsbegäran mail.docx", "A 1778-2024")</f>
        <v/>
      </c>
    </row>
    <row r="189" ht="15" customHeight="1">
      <c r="A189" t="inlineStr">
        <is>
          <t>A 1973-2024</t>
        </is>
      </c>
      <c r="B189" s="1" t="n">
        <v>45308</v>
      </c>
      <c r="C189" s="1" t="n">
        <v>45741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1973-2024 artfynd.xlsx", "A 1973-2024")</f>
        <v/>
      </c>
      <c r="T189">
        <f>HYPERLINK("https://klasma.github.io/Logging_2481/kartor/A 1973-2024 karta.png", "A 1973-2024")</f>
        <v/>
      </c>
      <c r="V189">
        <f>HYPERLINK("https://klasma.github.io/Logging_2481/klagomål/A 1973-2024 FSC-klagomål.docx", "A 1973-2024")</f>
        <v/>
      </c>
      <c r="W189">
        <f>HYPERLINK("https://klasma.github.io/Logging_2481/klagomålsmail/A 1973-2024 FSC-klagomål mail.docx", "A 1973-2024")</f>
        <v/>
      </c>
      <c r="X189">
        <f>HYPERLINK("https://klasma.github.io/Logging_2481/tillsyn/A 1973-2024 tillsynsbegäran.docx", "A 1973-2024")</f>
        <v/>
      </c>
      <c r="Y189">
        <f>HYPERLINK("https://klasma.github.io/Logging_2481/tillsynsmail/A 1973-2024 tillsynsbegäran mail.docx", "A 1973-2024")</f>
        <v/>
      </c>
    </row>
    <row r="190" ht="15" customHeight="1">
      <c r="A190" t="inlineStr">
        <is>
          <t>A 1936-2024</t>
        </is>
      </c>
      <c r="B190" s="1" t="n">
        <v>45308</v>
      </c>
      <c r="C190" s="1" t="n">
        <v>45741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HYPERLINK("https://klasma.github.io/Logging_2481/artfynd/A 1936-2024 artfynd.xlsx", "A 1936-2024")</f>
        <v/>
      </c>
      <c r="T190">
        <f>HYPERLINK("https://klasma.github.io/Logging_2481/kartor/A 1936-2024 karta.png", "A 1936-2024")</f>
        <v/>
      </c>
      <c r="V190">
        <f>HYPERLINK("https://klasma.github.io/Logging_2481/klagomål/A 1936-2024 FSC-klagomål.docx", "A 1936-2024")</f>
        <v/>
      </c>
      <c r="W190">
        <f>HYPERLINK("https://klasma.github.io/Logging_2481/klagomålsmail/A 1936-2024 FSC-klagomål mail.docx", "A 1936-2024")</f>
        <v/>
      </c>
      <c r="X190">
        <f>HYPERLINK("https://klasma.github.io/Logging_2481/tillsyn/A 1936-2024 tillsynsbegäran.docx", "A 1936-2024")</f>
        <v/>
      </c>
      <c r="Y190">
        <f>HYPERLINK("https://klasma.github.io/Logging_2481/tillsynsmail/A 1936-2024 tillsynsbegäran mail.docx", "A 1936-2024")</f>
        <v/>
      </c>
    </row>
    <row r="191" ht="15" customHeight="1">
      <c r="A191" t="inlineStr">
        <is>
          <t>A 17415-2024</t>
        </is>
      </c>
      <c r="B191" s="1" t="n">
        <v>45414</v>
      </c>
      <c r="C191" s="1" t="n">
        <v>45741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Reliktbock</t>
        </is>
      </c>
      <c r="S191">
        <f>HYPERLINK("https://klasma.github.io/Logging_2481/artfynd/A 17415-2024 artfynd.xlsx", "A 17415-2024")</f>
        <v/>
      </c>
      <c r="T191">
        <f>HYPERLINK("https://klasma.github.io/Logging_2481/kartor/A 17415-2024 karta.png", "A 17415-2024")</f>
        <v/>
      </c>
      <c r="V191">
        <f>HYPERLINK("https://klasma.github.io/Logging_2481/klagomål/A 17415-2024 FSC-klagomål.docx", "A 17415-2024")</f>
        <v/>
      </c>
      <c r="W191">
        <f>HYPERLINK("https://klasma.github.io/Logging_2481/klagomålsmail/A 17415-2024 FSC-klagomål mail.docx", "A 17415-2024")</f>
        <v/>
      </c>
      <c r="X191">
        <f>HYPERLINK("https://klasma.github.io/Logging_2481/tillsyn/A 17415-2024 tillsynsbegäran.docx", "A 17415-2024")</f>
        <v/>
      </c>
      <c r="Y191">
        <f>HYPERLINK("https://klasma.github.io/Logging_2481/tillsynsmail/A 17415-2024 tillsynsbegäran mail.docx", "A 17415-2024")</f>
        <v/>
      </c>
    </row>
    <row r="192" ht="15" customHeight="1">
      <c r="A192" t="inlineStr">
        <is>
          <t>A 24824-2024</t>
        </is>
      </c>
      <c r="B192" s="1" t="n">
        <v>45461</v>
      </c>
      <c r="C192" s="1" t="n">
        <v>45741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Kungsörn</t>
        </is>
      </c>
      <c r="S192">
        <f>HYPERLINK("https://klasma.github.io/Logging_2481/artfynd/A 24824-2024 artfynd.xlsx", "A 24824-2024")</f>
        <v/>
      </c>
      <c r="T192">
        <f>HYPERLINK("https://klasma.github.io/Logging_2481/kartor/A 24824-2024 karta.png", "A 24824-2024")</f>
        <v/>
      </c>
      <c r="V192">
        <f>HYPERLINK("https://klasma.github.io/Logging_2481/klagomål/A 24824-2024 FSC-klagomål.docx", "A 24824-2024")</f>
        <v/>
      </c>
      <c r="W192">
        <f>HYPERLINK("https://klasma.github.io/Logging_2481/klagomålsmail/A 24824-2024 FSC-klagomål mail.docx", "A 24824-2024")</f>
        <v/>
      </c>
      <c r="X192">
        <f>HYPERLINK("https://klasma.github.io/Logging_2481/tillsyn/A 24824-2024 tillsynsbegäran.docx", "A 24824-2024")</f>
        <v/>
      </c>
      <c r="Y192">
        <f>HYPERLINK("https://klasma.github.io/Logging_2481/tillsynsmail/A 24824-2024 tillsynsbegäran mail.docx", "A 24824-2024")</f>
        <v/>
      </c>
      <c r="Z192">
        <f>HYPERLINK("https://klasma.github.io/Logging_2481/fåglar/A 24824-2024 prioriterade fågelarter.docx", "A 24824-2024")</f>
        <v/>
      </c>
    </row>
    <row r="193" ht="15" customHeight="1">
      <c r="A193" t="inlineStr">
        <is>
          <t>A 25667-2024</t>
        </is>
      </c>
      <c r="B193" s="1" t="n">
        <v>45463</v>
      </c>
      <c r="C193" s="1" t="n">
        <v>45741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25667-2024 artfynd.xlsx", "A 25667-2024")</f>
        <v/>
      </c>
      <c r="T193">
        <f>HYPERLINK("https://klasma.github.io/Logging_2481/kartor/A 25667-2024 karta.png", "A 25667-2024")</f>
        <v/>
      </c>
      <c r="V193">
        <f>HYPERLINK("https://klasma.github.io/Logging_2481/klagomål/A 25667-2024 FSC-klagomål.docx", "A 25667-2024")</f>
        <v/>
      </c>
      <c r="W193">
        <f>HYPERLINK("https://klasma.github.io/Logging_2481/klagomålsmail/A 25667-2024 FSC-klagomål mail.docx", "A 25667-2024")</f>
        <v/>
      </c>
      <c r="X193">
        <f>HYPERLINK("https://klasma.github.io/Logging_2481/tillsyn/A 25667-2024 tillsynsbegäran.docx", "A 25667-2024")</f>
        <v/>
      </c>
      <c r="Y193">
        <f>HYPERLINK("https://klasma.github.io/Logging_2481/tillsynsmail/A 25667-2024 tillsynsbegäran mail.docx", "A 25667-2024")</f>
        <v/>
      </c>
    </row>
    <row r="194" ht="15" customHeight="1">
      <c r="A194" t="inlineStr">
        <is>
          <t>A 26539-2024</t>
        </is>
      </c>
      <c r="B194" s="1" t="n">
        <v>45469</v>
      </c>
      <c r="C194" s="1" t="n">
        <v>45741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15.2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26539-2024 artfynd.xlsx", "A 26539-2024")</f>
        <v/>
      </c>
      <c r="T194">
        <f>HYPERLINK("https://klasma.github.io/Logging_2481/kartor/A 26539-2024 karta.png", "A 26539-2024")</f>
        <v/>
      </c>
      <c r="V194">
        <f>HYPERLINK("https://klasma.github.io/Logging_2481/klagomål/A 26539-2024 FSC-klagomål.docx", "A 26539-2024")</f>
        <v/>
      </c>
      <c r="W194">
        <f>HYPERLINK("https://klasma.github.io/Logging_2481/klagomålsmail/A 26539-2024 FSC-klagomål mail.docx", "A 26539-2024")</f>
        <v/>
      </c>
      <c r="X194">
        <f>HYPERLINK("https://klasma.github.io/Logging_2481/tillsyn/A 26539-2024 tillsynsbegäran.docx", "A 26539-2024")</f>
        <v/>
      </c>
      <c r="Y194">
        <f>HYPERLINK("https://klasma.github.io/Logging_2481/tillsynsmail/A 26539-2024 tillsynsbegäran mail.docx", "A 26539-2024")</f>
        <v/>
      </c>
    </row>
    <row r="195" ht="15" customHeight="1">
      <c r="A195" t="inlineStr">
        <is>
          <t>A 26857-2024</t>
        </is>
      </c>
      <c r="B195" s="1" t="n">
        <v>45470</v>
      </c>
      <c r="C195" s="1" t="n">
        <v>45741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26857-2024 artfynd.xlsx", "A 26857-2024")</f>
        <v/>
      </c>
      <c r="T195">
        <f>HYPERLINK("https://klasma.github.io/Logging_2481/kartor/A 26857-2024 karta.png", "A 26857-2024")</f>
        <v/>
      </c>
      <c r="V195">
        <f>HYPERLINK("https://klasma.github.io/Logging_2481/klagomål/A 26857-2024 FSC-klagomål.docx", "A 26857-2024")</f>
        <v/>
      </c>
      <c r="W195">
        <f>HYPERLINK("https://klasma.github.io/Logging_2481/klagomålsmail/A 26857-2024 FSC-klagomål mail.docx", "A 26857-2024")</f>
        <v/>
      </c>
      <c r="X195">
        <f>HYPERLINK("https://klasma.github.io/Logging_2481/tillsyn/A 26857-2024 tillsynsbegäran.docx", "A 26857-2024")</f>
        <v/>
      </c>
      <c r="Y195">
        <f>HYPERLINK("https://klasma.github.io/Logging_2481/tillsynsmail/A 26857-2024 tillsynsbegäran mail.docx", "A 26857-2024")</f>
        <v/>
      </c>
    </row>
    <row r="196" ht="15" customHeight="1">
      <c r="A196" t="inlineStr">
        <is>
          <t>A 27669-2024</t>
        </is>
      </c>
      <c r="B196" s="1" t="n">
        <v>45475</v>
      </c>
      <c r="C196" s="1" t="n">
        <v>45741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Bårdlav</t>
        </is>
      </c>
      <c r="S196">
        <f>HYPERLINK("https://klasma.github.io/Logging_2481/artfynd/A 27669-2024 artfynd.xlsx", "A 27669-2024")</f>
        <v/>
      </c>
      <c r="T196">
        <f>HYPERLINK("https://klasma.github.io/Logging_2481/kartor/A 27669-2024 karta.png", "A 27669-2024")</f>
        <v/>
      </c>
      <c r="V196">
        <f>HYPERLINK("https://klasma.github.io/Logging_2481/klagomål/A 27669-2024 FSC-klagomål.docx", "A 27669-2024")</f>
        <v/>
      </c>
      <c r="W196">
        <f>HYPERLINK("https://klasma.github.io/Logging_2481/klagomålsmail/A 27669-2024 FSC-klagomål mail.docx", "A 27669-2024")</f>
        <v/>
      </c>
      <c r="X196">
        <f>HYPERLINK("https://klasma.github.io/Logging_2481/tillsyn/A 27669-2024 tillsynsbegäran.docx", "A 27669-2024")</f>
        <v/>
      </c>
      <c r="Y196">
        <f>HYPERLINK("https://klasma.github.io/Logging_2481/tillsynsmail/A 27669-2024 tillsynsbegäran mail.docx", "A 27669-2024")</f>
        <v/>
      </c>
    </row>
    <row r="197" ht="15" customHeight="1">
      <c r="A197" t="inlineStr">
        <is>
          <t>A 27930-2024</t>
        </is>
      </c>
      <c r="B197" s="1" t="n">
        <v>45475</v>
      </c>
      <c r="C197" s="1" t="n">
        <v>45741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HYPERLINK("https://klasma.github.io/Logging_2481/artfynd/A 27930-2024 artfynd.xlsx", "A 27930-2024")</f>
        <v/>
      </c>
      <c r="T197">
        <f>HYPERLINK("https://klasma.github.io/Logging_2481/kartor/A 27930-2024 karta.png", "A 27930-2024")</f>
        <v/>
      </c>
      <c r="V197">
        <f>HYPERLINK("https://klasma.github.io/Logging_2481/klagomål/A 27930-2024 FSC-klagomål.docx", "A 27930-2024")</f>
        <v/>
      </c>
      <c r="W197">
        <f>HYPERLINK("https://klasma.github.io/Logging_2481/klagomålsmail/A 27930-2024 FSC-klagomål mail.docx", "A 27930-2024")</f>
        <v/>
      </c>
      <c r="X197">
        <f>HYPERLINK("https://klasma.github.io/Logging_2481/tillsyn/A 27930-2024 tillsynsbegäran.docx", "A 27930-2024")</f>
        <v/>
      </c>
      <c r="Y197">
        <f>HYPERLINK("https://klasma.github.io/Logging_2481/tillsynsmail/A 27930-2024 tillsynsbegäran mail.docx", "A 27930-2024")</f>
        <v/>
      </c>
    </row>
    <row r="198" ht="15" customHeight="1">
      <c r="A198" t="inlineStr">
        <is>
          <t>A 28012-2024</t>
        </is>
      </c>
      <c r="B198" s="1" t="n">
        <v>45476</v>
      </c>
      <c r="C198" s="1" t="n">
        <v>45741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28012-2024 artfynd.xlsx", "A 28012-2024")</f>
        <v/>
      </c>
      <c r="T198">
        <f>HYPERLINK("https://klasma.github.io/Logging_2481/kartor/A 28012-2024 karta.png", "A 28012-2024")</f>
        <v/>
      </c>
      <c r="V198">
        <f>HYPERLINK("https://klasma.github.io/Logging_2481/klagomål/A 28012-2024 FSC-klagomål.docx", "A 28012-2024")</f>
        <v/>
      </c>
      <c r="W198">
        <f>HYPERLINK("https://klasma.github.io/Logging_2481/klagomålsmail/A 28012-2024 FSC-klagomål mail.docx", "A 28012-2024")</f>
        <v/>
      </c>
      <c r="X198">
        <f>HYPERLINK("https://klasma.github.io/Logging_2481/tillsyn/A 28012-2024 tillsynsbegäran.docx", "A 28012-2024")</f>
        <v/>
      </c>
      <c r="Y198">
        <f>HYPERLINK("https://klasma.github.io/Logging_2481/tillsynsmail/A 28012-2024 tillsynsbegäran mail.docx", "A 28012-2024")</f>
        <v/>
      </c>
    </row>
    <row r="199" ht="15" customHeight="1">
      <c r="A199" t="inlineStr">
        <is>
          <t>A 28841-2024</t>
        </is>
      </c>
      <c r="B199" s="1" t="n">
        <v>45478</v>
      </c>
      <c r="C199" s="1" t="n">
        <v>45741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28841-2024 artfynd.xlsx", "A 28841-2024")</f>
        <v/>
      </c>
      <c r="T199">
        <f>HYPERLINK("https://klasma.github.io/Logging_2481/kartor/A 28841-2024 karta.png", "A 28841-2024")</f>
        <v/>
      </c>
      <c r="V199">
        <f>HYPERLINK("https://klasma.github.io/Logging_2481/klagomål/A 28841-2024 FSC-klagomål.docx", "A 28841-2024")</f>
        <v/>
      </c>
      <c r="W199">
        <f>HYPERLINK("https://klasma.github.io/Logging_2481/klagomålsmail/A 28841-2024 FSC-klagomål mail.docx", "A 28841-2024")</f>
        <v/>
      </c>
      <c r="X199">
        <f>HYPERLINK("https://klasma.github.io/Logging_2481/tillsyn/A 28841-2024 tillsynsbegäran.docx", "A 28841-2024")</f>
        <v/>
      </c>
      <c r="Y199">
        <f>HYPERLINK("https://klasma.github.io/Logging_2481/tillsynsmail/A 28841-2024 tillsynsbegäran mail.docx", "A 28841-2024")</f>
        <v/>
      </c>
    </row>
    <row r="200" ht="15" customHeight="1">
      <c r="A200" t="inlineStr">
        <is>
          <t>A 28838-2024</t>
        </is>
      </c>
      <c r="B200" s="1" t="n">
        <v>45478</v>
      </c>
      <c r="C200" s="1" t="n">
        <v>45741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28838-2024 artfynd.xlsx", "A 28838-2024")</f>
        <v/>
      </c>
      <c r="T200">
        <f>HYPERLINK("https://klasma.github.io/Logging_2481/kartor/A 28838-2024 karta.png", "A 28838-2024")</f>
        <v/>
      </c>
      <c r="V200">
        <f>HYPERLINK("https://klasma.github.io/Logging_2481/klagomål/A 28838-2024 FSC-klagomål.docx", "A 28838-2024")</f>
        <v/>
      </c>
      <c r="W200">
        <f>HYPERLINK("https://klasma.github.io/Logging_2481/klagomålsmail/A 28838-2024 FSC-klagomål mail.docx", "A 28838-2024")</f>
        <v/>
      </c>
      <c r="X200">
        <f>HYPERLINK("https://klasma.github.io/Logging_2481/tillsyn/A 28838-2024 tillsynsbegäran.docx", "A 28838-2024")</f>
        <v/>
      </c>
      <c r="Y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28828-2024</t>
        </is>
      </c>
      <c r="B201" s="1" t="n">
        <v>45478</v>
      </c>
      <c r="C201" s="1" t="n">
        <v>45741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28828-2024 artfynd.xlsx", "A 28828-2024")</f>
        <v/>
      </c>
      <c r="T201">
        <f>HYPERLINK("https://klasma.github.io/Logging_2481/kartor/A 28828-2024 karta.png", "A 28828-2024")</f>
        <v/>
      </c>
      <c r="V201">
        <f>HYPERLINK("https://klasma.github.io/Logging_2481/klagomål/A 28828-2024 FSC-klagomål.docx", "A 28828-2024")</f>
        <v/>
      </c>
      <c r="W201">
        <f>HYPERLINK("https://klasma.github.io/Logging_2481/klagomålsmail/A 28828-2024 FSC-klagomål mail.docx", "A 28828-2024")</f>
        <v/>
      </c>
      <c r="X201">
        <f>HYPERLINK("https://klasma.github.io/Logging_2481/tillsyn/A 28828-2024 tillsynsbegäran.docx", "A 28828-2024")</f>
        <v/>
      </c>
      <c r="Y201">
        <f>HYPERLINK("https://klasma.github.io/Logging_2481/tillsynsmail/A 28828-2024 tillsynsbegäran mail.docx", "A 28828-2024")</f>
        <v/>
      </c>
    </row>
    <row r="202" ht="15" customHeight="1">
      <c r="A202" t="inlineStr">
        <is>
          <t>A 29471-2024</t>
        </is>
      </c>
      <c r="B202" s="1" t="n">
        <v>45484</v>
      </c>
      <c r="C202" s="1" t="n">
        <v>45741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HYPERLINK("https://klasma.github.io/Logging_2481/artfynd/A 29471-2024 artfynd.xlsx", "A 29471-2024")</f>
        <v/>
      </c>
      <c r="T202">
        <f>HYPERLINK("https://klasma.github.io/Logging_2481/kartor/A 29471-2024 karta.png", "A 29471-2024")</f>
        <v/>
      </c>
      <c r="U202">
        <f>HYPERLINK("https://klasma.github.io/Logging_2481/knärot/A 29471-2024 karta knärot.png", "A 29471-2024")</f>
        <v/>
      </c>
      <c r="V202">
        <f>HYPERLINK("https://klasma.github.io/Logging_2481/klagomål/A 29471-2024 FSC-klagomål.docx", "A 29471-2024")</f>
        <v/>
      </c>
      <c r="W202">
        <f>HYPERLINK("https://klasma.github.io/Logging_2481/klagomålsmail/A 29471-2024 FSC-klagomål mail.docx", "A 29471-2024")</f>
        <v/>
      </c>
      <c r="X202">
        <f>HYPERLINK("https://klasma.github.io/Logging_2481/tillsyn/A 29471-2024 tillsynsbegäran.docx", "A 29471-2024")</f>
        <v/>
      </c>
      <c r="Y202">
        <f>HYPERLINK("https://klasma.github.io/Logging_2481/tillsynsmail/A 29471-2024 tillsynsbegäran mail.docx", "A 29471-2024")</f>
        <v/>
      </c>
    </row>
    <row r="203" ht="15" customHeight="1">
      <c r="A203" t="inlineStr">
        <is>
          <t>A 29623-2024</t>
        </is>
      </c>
      <c r="B203" s="1" t="n">
        <v>45484</v>
      </c>
      <c r="C203" s="1" t="n">
        <v>45741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29623-2024 artfynd.xlsx", "A 29623-2024")</f>
        <v/>
      </c>
      <c r="T203">
        <f>HYPERLINK("https://klasma.github.io/Logging_2481/kartor/A 29623-2024 karta.png", "A 29623-2024")</f>
        <v/>
      </c>
      <c r="V203">
        <f>HYPERLINK("https://klasma.github.io/Logging_2481/klagomål/A 29623-2024 FSC-klagomål.docx", "A 29623-2024")</f>
        <v/>
      </c>
      <c r="W203">
        <f>HYPERLINK("https://klasma.github.io/Logging_2481/klagomålsmail/A 29623-2024 FSC-klagomål mail.docx", "A 29623-2024")</f>
        <v/>
      </c>
      <c r="X203">
        <f>HYPERLINK("https://klasma.github.io/Logging_2481/tillsyn/A 29623-2024 tillsynsbegäran.docx", "A 29623-2024")</f>
        <v/>
      </c>
      <c r="Y203">
        <f>HYPERLINK("https://klasma.github.io/Logging_2481/tillsynsmail/A 29623-2024 tillsynsbegäran mail.docx", "A 29623-2024")</f>
        <v/>
      </c>
    </row>
    <row r="204" ht="15" customHeight="1">
      <c r="A204" t="inlineStr">
        <is>
          <t>A 30025-2024</t>
        </is>
      </c>
      <c r="B204" s="1" t="n">
        <v>45488</v>
      </c>
      <c r="C204" s="1" t="n">
        <v>45741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30025-2024 artfynd.xlsx", "A 30025-2024")</f>
        <v/>
      </c>
      <c r="T204">
        <f>HYPERLINK("https://klasma.github.io/Logging_2481/kartor/A 30025-2024 karta.png", "A 30025-2024")</f>
        <v/>
      </c>
      <c r="V204">
        <f>HYPERLINK("https://klasma.github.io/Logging_2481/klagomål/A 30025-2024 FSC-klagomål.docx", "A 30025-2024")</f>
        <v/>
      </c>
      <c r="W204">
        <f>HYPERLINK("https://klasma.github.io/Logging_2481/klagomålsmail/A 30025-2024 FSC-klagomål mail.docx", "A 30025-2024")</f>
        <v/>
      </c>
      <c r="X204">
        <f>HYPERLINK("https://klasma.github.io/Logging_2481/tillsyn/A 30025-2024 tillsynsbegäran.docx", "A 30025-2024")</f>
        <v/>
      </c>
      <c r="Y204">
        <f>HYPERLINK("https://klasma.github.io/Logging_2481/tillsynsmail/A 30025-2024 tillsynsbegäran mail.docx", "A 30025-2024")</f>
        <v/>
      </c>
    </row>
    <row r="205" ht="15" customHeight="1">
      <c r="A205" t="inlineStr">
        <is>
          <t>A 33633-2024</t>
        </is>
      </c>
      <c r="B205" s="1" t="n">
        <v>45520</v>
      </c>
      <c r="C205" s="1" t="n">
        <v>45741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HYPERLINK("https://klasma.github.io/Logging_2481/artfynd/A 33633-2024 artfynd.xlsx", "A 33633-2024")</f>
        <v/>
      </c>
      <c r="T205">
        <f>HYPERLINK("https://klasma.github.io/Logging_2481/kartor/A 33633-2024 karta.png", "A 33633-2024")</f>
        <v/>
      </c>
      <c r="V205">
        <f>HYPERLINK("https://klasma.github.io/Logging_2481/klagomål/A 33633-2024 FSC-klagomål.docx", "A 33633-2024")</f>
        <v/>
      </c>
      <c r="W205">
        <f>HYPERLINK("https://klasma.github.io/Logging_2481/klagomålsmail/A 33633-2024 FSC-klagomål mail.docx", "A 33633-2024")</f>
        <v/>
      </c>
      <c r="X205">
        <f>HYPERLINK("https://klasma.github.io/Logging_2481/tillsyn/A 33633-2024 tillsynsbegäran.docx", "A 33633-2024")</f>
        <v/>
      </c>
      <c r="Y205">
        <f>HYPERLINK("https://klasma.github.io/Logging_2481/tillsynsmail/A 33633-2024 tillsynsbegäran mail.docx", "A 33633-2024")</f>
        <v/>
      </c>
    </row>
    <row r="206" ht="15" customHeight="1">
      <c r="A206" t="inlineStr">
        <is>
          <t>A 33700-2024</t>
        </is>
      </c>
      <c r="B206" s="1" t="n">
        <v>45520</v>
      </c>
      <c r="C206" s="1" t="n">
        <v>45741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33700-2024 artfynd.xlsx", "A 33700-2024")</f>
        <v/>
      </c>
      <c r="T206">
        <f>HYPERLINK("https://klasma.github.io/Logging_2481/kartor/A 33700-2024 karta.png", "A 33700-2024")</f>
        <v/>
      </c>
      <c r="V206">
        <f>HYPERLINK("https://klasma.github.io/Logging_2481/klagomål/A 33700-2024 FSC-klagomål.docx", "A 33700-2024")</f>
        <v/>
      </c>
      <c r="W206">
        <f>HYPERLINK("https://klasma.github.io/Logging_2481/klagomålsmail/A 33700-2024 FSC-klagomål mail.docx", "A 33700-2024")</f>
        <v/>
      </c>
      <c r="X206">
        <f>HYPERLINK("https://klasma.github.io/Logging_2481/tillsyn/A 33700-2024 tillsynsbegäran.docx", "A 33700-2024")</f>
        <v/>
      </c>
      <c r="Y206">
        <f>HYPERLINK("https://klasma.github.io/Logging_2481/tillsynsmail/A 33700-2024 tillsynsbegäran mail.docx", "A 33700-2024")</f>
        <v/>
      </c>
    </row>
    <row r="207" ht="15" customHeight="1">
      <c r="A207" t="inlineStr">
        <is>
          <t>A 35600-2024</t>
        </is>
      </c>
      <c r="B207" s="1" t="n">
        <v>45531</v>
      </c>
      <c r="C207" s="1" t="n">
        <v>45741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35600-2024 artfynd.xlsx", "A 35600-2024")</f>
        <v/>
      </c>
      <c r="T207">
        <f>HYPERLINK("https://klasma.github.io/Logging_2481/kartor/A 35600-2024 karta.png", "A 35600-2024")</f>
        <v/>
      </c>
      <c r="V207">
        <f>HYPERLINK("https://klasma.github.io/Logging_2481/klagomål/A 35600-2024 FSC-klagomål.docx", "A 35600-2024")</f>
        <v/>
      </c>
      <c r="W207">
        <f>HYPERLINK("https://klasma.github.io/Logging_2481/klagomålsmail/A 35600-2024 FSC-klagomål mail.docx", "A 35600-2024")</f>
        <v/>
      </c>
      <c r="X207">
        <f>HYPERLINK("https://klasma.github.io/Logging_2481/tillsyn/A 35600-2024 tillsynsbegäran.docx", "A 35600-2024")</f>
        <v/>
      </c>
      <c r="Y207">
        <f>HYPERLINK("https://klasma.github.io/Logging_2481/tillsynsmail/A 35600-2024 tillsynsbegäran mail.docx", "A 35600-2024")</f>
        <v/>
      </c>
    </row>
    <row r="208" ht="15" customHeight="1">
      <c r="A208" t="inlineStr">
        <is>
          <t>A 35931-2024</t>
        </is>
      </c>
      <c r="B208" s="1" t="n">
        <v>45533</v>
      </c>
      <c r="C208" s="1" t="n">
        <v>45741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35931-2024 artfynd.xlsx", "A 35931-2024")</f>
        <v/>
      </c>
      <c r="T208">
        <f>HYPERLINK("https://klasma.github.io/Logging_2481/kartor/A 35931-2024 karta.png", "A 35931-2024")</f>
        <v/>
      </c>
      <c r="V208">
        <f>HYPERLINK("https://klasma.github.io/Logging_2481/klagomål/A 35931-2024 FSC-klagomål.docx", "A 35931-2024")</f>
        <v/>
      </c>
      <c r="W208">
        <f>HYPERLINK("https://klasma.github.io/Logging_2481/klagomålsmail/A 35931-2024 FSC-klagomål mail.docx", "A 35931-2024")</f>
        <v/>
      </c>
      <c r="X208">
        <f>HYPERLINK("https://klasma.github.io/Logging_2481/tillsyn/A 35931-2024 tillsynsbegäran.docx", "A 35931-2024")</f>
        <v/>
      </c>
      <c r="Y208">
        <f>HYPERLINK("https://klasma.github.io/Logging_2481/tillsynsmail/A 35931-2024 tillsynsbegäran mail.docx", "A 35931-2024")</f>
        <v/>
      </c>
    </row>
    <row r="209" ht="15" customHeight="1">
      <c r="A209" t="inlineStr">
        <is>
          <t>A 36307-2024</t>
        </is>
      </c>
      <c r="B209" s="1" t="n">
        <v>45534</v>
      </c>
      <c r="C209" s="1" t="n">
        <v>45741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36307-2024 artfynd.xlsx", "A 36307-2024")</f>
        <v/>
      </c>
      <c r="T209">
        <f>HYPERLINK("https://klasma.github.io/Logging_2481/kartor/A 36307-2024 karta.png", "A 36307-2024")</f>
        <v/>
      </c>
      <c r="V209">
        <f>HYPERLINK("https://klasma.github.io/Logging_2481/klagomål/A 36307-2024 FSC-klagomål.docx", "A 36307-2024")</f>
        <v/>
      </c>
      <c r="W209">
        <f>HYPERLINK("https://klasma.github.io/Logging_2481/klagomålsmail/A 36307-2024 FSC-klagomål mail.docx", "A 36307-2024")</f>
        <v/>
      </c>
      <c r="X209">
        <f>HYPERLINK("https://klasma.github.io/Logging_2481/tillsyn/A 36307-2024 tillsynsbegäran.docx", "A 36307-2024")</f>
        <v/>
      </c>
      <c r="Y209">
        <f>HYPERLINK("https://klasma.github.io/Logging_2481/tillsynsmail/A 36307-2024 tillsynsbegäran mail.docx", "A 36307-2024")</f>
        <v/>
      </c>
    </row>
    <row r="210" ht="15" customHeight="1">
      <c r="A210" t="inlineStr">
        <is>
          <t>A 37633-2024</t>
        </is>
      </c>
      <c r="B210" s="1" t="n">
        <v>45541</v>
      </c>
      <c r="C210" s="1" t="n">
        <v>45741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37633-2024 artfynd.xlsx", "A 37633-2024")</f>
        <v/>
      </c>
      <c r="T210">
        <f>HYPERLINK("https://klasma.github.io/Logging_2481/kartor/A 37633-2024 karta.png", "A 37633-2024")</f>
        <v/>
      </c>
      <c r="V210">
        <f>HYPERLINK("https://klasma.github.io/Logging_2481/klagomål/A 37633-2024 FSC-klagomål.docx", "A 37633-2024")</f>
        <v/>
      </c>
      <c r="W210">
        <f>HYPERLINK("https://klasma.github.io/Logging_2481/klagomålsmail/A 37633-2024 FSC-klagomål mail.docx", "A 37633-2024")</f>
        <v/>
      </c>
      <c r="X210">
        <f>HYPERLINK("https://klasma.github.io/Logging_2481/tillsyn/A 37633-2024 tillsynsbegäran.docx", "A 37633-2024")</f>
        <v/>
      </c>
      <c r="Y210">
        <f>HYPERLINK("https://klasma.github.io/Logging_2481/tillsynsmail/A 37633-2024 tillsynsbegäran mail.docx", "A 37633-2024")</f>
        <v/>
      </c>
    </row>
    <row r="211" ht="15" customHeight="1">
      <c r="A211" t="inlineStr">
        <is>
          <t>A 37669-2024</t>
        </is>
      </c>
      <c r="B211" s="1" t="n">
        <v>45541</v>
      </c>
      <c r="C211" s="1" t="n">
        <v>45741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37669-2024 artfynd.xlsx", "A 37669-2024")</f>
        <v/>
      </c>
      <c r="T211">
        <f>HYPERLINK("https://klasma.github.io/Logging_2481/kartor/A 37669-2024 karta.png", "A 37669-2024")</f>
        <v/>
      </c>
      <c r="V211">
        <f>HYPERLINK("https://klasma.github.io/Logging_2481/klagomål/A 37669-2024 FSC-klagomål.docx", "A 37669-2024")</f>
        <v/>
      </c>
      <c r="W211">
        <f>HYPERLINK("https://klasma.github.io/Logging_2481/klagomålsmail/A 37669-2024 FSC-klagomål mail.docx", "A 37669-2024")</f>
        <v/>
      </c>
      <c r="X211">
        <f>HYPERLINK("https://klasma.github.io/Logging_2481/tillsyn/A 37669-2024 tillsynsbegäran.docx", "A 37669-2024")</f>
        <v/>
      </c>
      <c r="Y211">
        <f>HYPERLINK("https://klasma.github.io/Logging_2481/tillsynsmail/A 37669-2024 tillsynsbegäran mail.docx", "A 37669-2024")</f>
        <v/>
      </c>
    </row>
    <row r="212" ht="15" customHeight="1">
      <c r="A212" t="inlineStr">
        <is>
          <t>A 38490-2024</t>
        </is>
      </c>
      <c r="B212" s="1" t="n">
        <v>45546</v>
      </c>
      <c r="C212" s="1" t="n">
        <v>45741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38490-2024 artfynd.xlsx", "A 38490-2024")</f>
        <v/>
      </c>
      <c r="T212">
        <f>HYPERLINK("https://klasma.github.io/Logging_2481/kartor/A 38490-2024 karta.png", "A 38490-2024")</f>
        <v/>
      </c>
      <c r="V212">
        <f>HYPERLINK("https://klasma.github.io/Logging_2481/klagomål/A 38490-2024 FSC-klagomål.docx", "A 38490-2024")</f>
        <v/>
      </c>
      <c r="W212">
        <f>HYPERLINK("https://klasma.github.io/Logging_2481/klagomålsmail/A 38490-2024 FSC-klagomål mail.docx", "A 38490-2024")</f>
        <v/>
      </c>
      <c r="X212">
        <f>HYPERLINK("https://klasma.github.io/Logging_2481/tillsyn/A 38490-2024 tillsynsbegäran.docx", "A 38490-2024")</f>
        <v/>
      </c>
      <c r="Y212">
        <f>HYPERLINK("https://klasma.github.io/Logging_2481/tillsynsmail/A 38490-2024 tillsynsbegäran mail.docx", "A 38490-2024")</f>
        <v/>
      </c>
    </row>
    <row r="213" ht="15" customHeight="1">
      <c r="A213" t="inlineStr">
        <is>
          <t>A 39572-2024</t>
        </is>
      </c>
      <c r="B213" s="1" t="n">
        <v>45552</v>
      </c>
      <c r="C213" s="1" t="n">
        <v>45741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Grynig filtlav</t>
        </is>
      </c>
      <c r="S213">
        <f>HYPERLINK("https://klasma.github.io/Logging_2481/artfynd/A 39572-2024 artfynd.xlsx", "A 39572-2024")</f>
        <v/>
      </c>
      <c r="T213">
        <f>HYPERLINK("https://klasma.github.io/Logging_2481/kartor/A 39572-2024 karta.png", "A 39572-2024")</f>
        <v/>
      </c>
      <c r="V213">
        <f>HYPERLINK("https://klasma.github.io/Logging_2481/klagomål/A 39572-2024 FSC-klagomål.docx", "A 39572-2024")</f>
        <v/>
      </c>
      <c r="W213">
        <f>HYPERLINK("https://klasma.github.io/Logging_2481/klagomålsmail/A 39572-2024 FSC-klagomål mail.docx", "A 39572-2024")</f>
        <v/>
      </c>
      <c r="X213">
        <f>HYPERLINK("https://klasma.github.io/Logging_2481/tillsyn/A 39572-2024 tillsynsbegäran.docx", "A 39572-2024")</f>
        <v/>
      </c>
      <c r="Y213">
        <f>HYPERLINK("https://klasma.github.io/Logging_2481/tillsynsmail/A 39572-2024 tillsynsbegäran mail.docx", "A 39572-2024")</f>
        <v/>
      </c>
    </row>
    <row r="214" ht="15" customHeight="1">
      <c r="A214" t="inlineStr">
        <is>
          <t>A 40512-2024</t>
        </is>
      </c>
      <c r="B214" s="1" t="n">
        <v>45555</v>
      </c>
      <c r="C214" s="1" t="n">
        <v>45741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40512-2024 artfynd.xlsx", "A 40512-2024")</f>
        <v/>
      </c>
      <c r="T214">
        <f>HYPERLINK("https://klasma.github.io/Logging_2481/kartor/A 40512-2024 karta.png", "A 40512-2024")</f>
        <v/>
      </c>
      <c r="V214">
        <f>HYPERLINK("https://klasma.github.io/Logging_2481/klagomål/A 40512-2024 FSC-klagomål.docx", "A 40512-2024")</f>
        <v/>
      </c>
      <c r="W214">
        <f>HYPERLINK("https://klasma.github.io/Logging_2481/klagomålsmail/A 40512-2024 FSC-klagomål mail.docx", "A 40512-2024")</f>
        <v/>
      </c>
      <c r="X214">
        <f>HYPERLINK("https://klasma.github.io/Logging_2481/tillsyn/A 40512-2024 tillsynsbegäran.docx", "A 40512-2024")</f>
        <v/>
      </c>
      <c r="Y214">
        <f>HYPERLINK("https://klasma.github.io/Logging_2481/tillsynsmail/A 40512-2024 tillsynsbegäran mail.docx", "A 40512-2024")</f>
        <v/>
      </c>
    </row>
    <row r="215" ht="15" customHeight="1">
      <c r="A215" t="inlineStr">
        <is>
          <t>A 40543-2024</t>
        </is>
      </c>
      <c r="B215" s="1" t="n">
        <v>45555</v>
      </c>
      <c r="C215" s="1" t="n">
        <v>45741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Svartvit taggsvamp</t>
        </is>
      </c>
      <c r="S215">
        <f>HYPERLINK("https://klasma.github.io/Logging_2481/artfynd/A 40543-2024 artfynd.xlsx", "A 40543-2024")</f>
        <v/>
      </c>
      <c r="T215">
        <f>HYPERLINK("https://klasma.github.io/Logging_2481/kartor/A 40543-2024 karta.png", "A 40543-2024")</f>
        <v/>
      </c>
      <c r="V215">
        <f>HYPERLINK("https://klasma.github.io/Logging_2481/klagomål/A 40543-2024 FSC-klagomål.docx", "A 40543-2024")</f>
        <v/>
      </c>
      <c r="W215">
        <f>HYPERLINK("https://klasma.github.io/Logging_2481/klagomålsmail/A 40543-2024 FSC-klagomål mail.docx", "A 40543-2024")</f>
        <v/>
      </c>
      <c r="X215">
        <f>HYPERLINK("https://klasma.github.io/Logging_2481/tillsyn/A 40543-2024 tillsynsbegäran.docx", "A 40543-2024")</f>
        <v/>
      </c>
      <c r="Y215">
        <f>HYPERLINK("https://klasma.github.io/Logging_2481/tillsynsmail/A 40543-2024 tillsynsbegäran mail.docx", "A 40543-2024")</f>
        <v/>
      </c>
    </row>
    <row r="216" ht="15" customHeight="1">
      <c r="A216" t="inlineStr">
        <is>
          <t>A 41637-2024</t>
        </is>
      </c>
      <c r="B216" s="1" t="n">
        <v>45560</v>
      </c>
      <c r="C216" s="1" t="n">
        <v>45741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41637-2024 artfynd.xlsx", "A 41637-2024")</f>
        <v/>
      </c>
      <c r="T216">
        <f>HYPERLINK("https://klasma.github.io/Logging_2481/kartor/A 41637-2024 karta.png", "A 41637-2024")</f>
        <v/>
      </c>
      <c r="V216">
        <f>HYPERLINK("https://klasma.github.io/Logging_2481/klagomål/A 41637-2024 FSC-klagomål.docx", "A 41637-2024")</f>
        <v/>
      </c>
      <c r="W216">
        <f>HYPERLINK("https://klasma.github.io/Logging_2481/klagomålsmail/A 41637-2024 FSC-klagomål mail.docx", "A 41637-2024")</f>
        <v/>
      </c>
      <c r="X216">
        <f>HYPERLINK("https://klasma.github.io/Logging_2481/tillsyn/A 41637-2024 tillsynsbegäran.docx", "A 41637-2024")</f>
        <v/>
      </c>
      <c r="Y216">
        <f>HYPERLINK("https://klasma.github.io/Logging_2481/tillsynsmail/A 41637-2024 tillsynsbegäran mail.docx", "A 41637-2024")</f>
        <v/>
      </c>
    </row>
    <row r="217" ht="15" customHeight="1">
      <c r="A217" t="inlineStr">
        <is>
          <t>A 41776-2024</t>
        </is>
      </c>
      <c r="B217" s="1" t="n">
        <v>45561</v>
      </c>
      <c r="C217" s="1" t="n">
        <v>45741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41776-2024 artfynd.xlsx", "A 41776-2024")</f>
        <v/>
      </c>
      <c r="T217">
        <f>HYPERLINK("https://klasma.github.io/Logging_2481/kartor/A 41776-2024 karta.png", "A 41776-2024")</f>
        <v/>
      </c>
      <c r="V217">
        <f>HYPERLINK("https://klasma.github.io/Logging_2481/klagomål/A 41776-2024 FSC-klagomål.docx", "A 41776-2024")</f>
        <v/>
      </c>
      <c r="W217">
        <f>HYPERLINK("https://klasma.github.io/Logging_2481/klagomålsmail/A 41776-2024 FSC-klagomål mail.docx", "A 41776-2024")</f>
        <v/>
      </c>
      <c r="X217">
        <f>HYPERLINK("https://klasma.github.io/Logging_2481/tillsyn/A 41776-2024 tillsynsbegäran.docx", "A 41776-2024")</f>
        <v/>
      </c>
      <c r="Y217">
        <f>HYPERLINK("https://klasma.github.io/Logging_2481/tillsynsmail/A 41776-2024 tillsynsbegäran mail.docx", "A 41776-2024")</f>
        <v/>
      </c>
    </row>
    <row r="218" ht="15" customHeight="1">
      <c r="A218" t="inlineStr">
        <is>
          <t>A 42287-2024</t>
        </is>
      </c>
      <c r="B218" s="1" t="n">
        <v>45562</v>
      </c>
      <c r="C218" s="1" t="n">
        <v>45741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42287-2024 artfynd.xlsx", "A 42287-2024")</f>
        <v/>
      </c>
      <c r="T218">
        <f>HYPERLINK("https://klasma.github.io/Logging_2481/kartor/A 42287-2024 karta.png", "A 42287-2024")</f>
        <v/>
      </c>
      <c r="V218">
        <f>HYPERLINK("https://klasma.github.io/Logging_2481/klagomål/A 42287-2024 FSC-klagomål.docx", "A 42287-2024")</f>
        <v/>
      </c>
      <c r="W218">
        <f>HYPERLINK("https://klasma.github.io/Logging_2481/klagomålsmail/A 42287-2024 FSC-klagomål mail.docx", "A 42287-2024")</f>
        <v/>
      </c>
      <c r="X218">
        <f>HYPERLINK("https://klasma.github.io/Logging_2481/tillsyn/A 42287-2024 tillsynsbegäran.docx", "A 42287-2024")</f>
        <v/>
      </c>
      <c r="Y218">
        <f>HYPERLINK("https://klasma.github.io/Logging_2481/tillsynsmail/A 42287-2024 tillsynsbegäran mail.docx", "A 42287-2024")</f>
        <v/>
      </c>
    </row>
    <row r="219" ht="15" customHeight="1">
      <c r="A219" t="inlineStr">
        <is>
          <t>A 42288-2024</t>
        </is>
      </c>
      <c r="B219" s="1" t="n">
        <v>45562</v>
      </c>
      <c r="C219" s="1" t="n">
        <v>45741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Skrovellav</t>
        </is>
      </c>
      <c r="S219">
        <f>HYPERLINK("https://klasma.github.io/Logging_2481/artfynd/A 42288-2024 artfynd.xlsx", "A 42288-2024")</f>
        <v/>
      </c>
      <c r="T219">
        <f>HYPERLINK("https://klasma.github.io/Logging_2481/kartor/A 42288-2024 karta.png", "A 42288-2024")</f>
        <v/>
      </c>
      <c r="V219">
        <f>HYPERLINK("https://klasma.github.io/Logging_2481/klagomål/A 42288-2024 FSC-klagomål.docx", "A 42288-2024")</f>
        <v/>
      </c>
      <c r="W219">
        <f>HYPERLINK("https://klasma.github.io/Logging_2481/klagomålsmail/A 42288-2024 FSC-klagomål mail.docx", "A 42288-2024")</f>
        <v/>
      </c>
      <c r="X219">
        <f>HYPERLINK("https://klasma.github.io/Logging_2481/tillsyn/A 42288-2024 tillsynsbegäran.docx", "A 42288-2024")</f>
        <v/>
      </c>
      <c r="Y219">
        <f>HYPERLINK("https://klasma.github.io/Logging_2481/tillsynsmail/A 42288-2024 tillsynsbegäran mail.docx", "A 42288-2024")</f>
        <v/>
      </c>
    </row>
    <row r="220" ht="15" customHeight="1">
      <c r="A220" t="inlineStr">
        <is>
          <t>A 42302-2024</t>
        </is>
      </c>
      <c r="B220" s="1" t="n">
        <v>45562</v>
      </c>
      <c r="C220" s="1" t="n">
        <v>45741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42302-2024 artfynd.xlsx", "A 42302-2024")</f>
        <v/>
      </c>
      <c r="T220">
        <f>HYPERLINK("https://klasma.github.io/Logging_2481/kartor/A 42302-2024 karta.png", "A 42302-2024")</f>
        <v/>
      </c>
      <c r="V220">
        <f>HYPERLINK("https://klasma.github.io/Logging_2481/klagomål/A 42302-2024 FSC-klagomål.docx", "A 42302-2024")</f>
        <v/>
      </c>
      <c r="W220">
        <f>HYPERLINK("https://klasma.github.io/Logging_2481/klagomålsmail/A 42302-2024 FSC-klagomål mail.docx", "A 42302-2024")</f>
        <v/>
      </c>
      <c r="X220">
        <f>HYPERLINK("https://klasma.github.io/Logging_2481/tillsyn/A 42302-2024 tillsynsbegäran.docx", "A 42302-2024")</f>
        <v/>
      </c>
      <c r="Y220">
        <f>HYPERLINK("https://klasma.github.io/Logging_2481/tillsynsmail/A 42302-2024 tillsynsbegäran mail.docx", "A 42302-2024")</f>
        <v/>
      </c>
    </row>
    <row r="221" ht="15" customHeight="1">
      <c r="A221" t="inlineStr">
        <is>
          <t>A 43292-2024</t>
        </is>
      </c>
      <c r="B221" s="1" t="n">
        <v>45568</v>
      </c>
      <c r="C221" s="1" t="n">
        <v>45741</v>
      </c>
      <c r="D221" t="inlineStr">
        <is>
          <t>VÄSTERBOTTENS LÄN</t>
        </is>
      </c>
      <c r="E221" t="inlineStr">
        <is>
          <t>LYCKSELE</t>
        </is>
      </c>
      <c r="G221" t="n">
        <v>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HYPERLINK("https://klasma.github.io/Logging_2481/artfynd/A 43292-2024 artfynd.xlsx", "A 43292-2024")</f>
        <v/>
      </c>
      <c r="T221">
        <f>HYPERLINK("https://klasma.github.io/Logging_2481/kartor/A 43292-2024 karta.png", "A 43292-2024")</f>
        <v/>
      </c>
      <c r="V221">
        <f>HYPERLINK("https://klasma.github.io/Logging_2481/klagomål/A 43292-2024 FSC-klagomål.docx", "A 43292-2024")</f>
        <v/>
      </c>
      <c r="W221">
        <f>HYPERLINK("https://klasma.github.io/Logging_2481/klagomålsmail/A 43292-2024 FSC-klagomål mail.docx", "A 43292-2024")</f>
        <v/>
      </c>
      <c r="X221">
        <f>HYPERLINK("https://klasma.github.io/Logging_2481/tillsyn/A 43292-2024 tillsynsbegäran.docx", "A 43292-2024")</f>
        <v/>
      </c>
      <c r="Y221">
        <f>HYPERLINK("https://klasma.github.io/Logging_2481/tillsynsmail/A 43292-2024 tillsynsbegäran mail.docx", "A 43292-2024")</f>
        <v/>
      </c>
    </row>
    <row r="222" ht="15" customHeight="1">
      <c r="A222" t="inlineStr">
        <is>
          <t>A 45246-2024</t>
        </is>
      </c>
      <c r="B222" s="1" t="n">
        <v>45576</v>
      </c>
      <c r="C222" s="1" t="n">
        <v>45741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HYPERLINK("https://klasma.github.io/Logging_2481/artfynd/A 45246-2024 artfynd.xlsx", "A 45246-2024")</f>
        <v/>
      </c>
      <c r="T222">
        <f>HYPERLINK("https://klasma.github.io/Logging_2481/kartor/A 45246-2024 karta.png", "A 45246-2024")</f>
        <v/>
      </c>
      <c r="V222">
        <f>HYPERLINK("https://klasma.github.io/Logging_2481/klagomål/A 45246-2024 FSC-klagomål.docx", "A 45246-2024")</f>
        <v/>
      </c>
      <c r="W222">
        <f>HYPERLINK("https://klasma.github.io/Logging_2481/klagomålsmail/A 45246-2024 FSC-klagomål mail.docx", "A 45246-2024")</f>
        <v/>
      </c>
      <c r="X222">
        <f>HYPERLINK("https://klasma.github.io/Logging_2481/tillsyn/A 45246-2024 tillsynsbegäran.docx", "A 45246-2024")</f>
        <v/>
      </c>
      <c r="Y222">
        <f>HYPERLINK("https://klasma.github.io/Logging_2481/tillsynsmail/A 45246-2024 tillsynsbegäran mail.docx", "A 45246-2024")</f>
        <v/>
      </c>
    </row>
    <row r="223" ht="15" customHeight="1">
      <c r="A223" t="inlineStr">
        <is>
          <t>A 45774-2024</t>
        </is>
      </c>
      <c r="B223" s="1" t="n">
        <v>45579</v>
      </c>
      <c r="C223" s="1" t="n">
        <v>45741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4.3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HYPERLINK("https://klasma.github.io/Logging_2481/artfynd/A 45774-2024 artfynd.xlsx", "A 45774-2024")</f>
        <v/>
      </c>
      <c r="T223">
        <f>HYPERLINK("https://klasma.github.io/Logging_2481/kartor/A 45774-2024 karta.png", "A 45774-2024")</f>
        <v/>
      </c>
      <c r="V223">
        <f>HYPERLINK("https://klasma.github.io/Logging_2481/klagomål/A 45774-2024 FSC-klagomål.docx", "A 45774-2024")</f>
        <v/>
      </c>
      <c r="W223">
        <f>HYPERLINK("https://klasma.github.io/Logging_2481/klagomålsmail/A 45774-2024 FSC-klagomål mail.docx", "A 45774-2024")</f>
        <v/>
      </c>
      <c r="X223">
        <f>HYPERLINK("https://klasma.github.io/Logging_2481/tillsyn/A 45774-2024 tillsynsbegäran.docx", "A 45774-2024")</f>
        <v/>
      </c>
      <c r="Y223">
        <f>HYPERLINK("https://klasma.github.io/Logging_2481/tillsynsmail/A 45774-2024 tillsynsbegäran mail.docx", "A 45774-2024")</f>
        <v/>
      </c>
    </row>
    <row r="224" ht="15" customHeight="1">
      <c r="A224" t="inlineStr">
        <is>
          <t>A 45865-2024</t>
        </is>
      </c>
      <c r="B224" s="1" t="n">
        <v>45580</v>
      </c>
      <c r="C224" s="1" t="n">
        <v>45741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45865-2024 artfynd.xlsx", "A 45865-2024")</f>
        <v/>
      </c>
      <c r="T224">
        <f>HYPERLINK("https://klasma.github.io/Logging_2481/kartor/A 45865-2024 karta.png", "A 45865-2024")</f>
        <v/>
      </c>
      <c r="V224">
        <f>HYPERLINK("https://klasma.github.io/Logging_2481/klagomål/A 45865-2024 FSC-klagomål.docx", "A 45865-2024")</f>
        <v/>
      </c>
      <c r="W224">
        <f>HYPERLINK("https://klasma.github.io/Logging_2481/klagomålsmail/A 45865-2024 FSC-klagomål mail.docx", "A 45865-2024")</f>
        <v/>
      </c>
      <c r="X224">
        <f>HYPERLINK("https://klasma.github.io/Logging_2481/tillsyn/A 45865-2024 tillsynsbegäran.docx", "A 45865-2024")</f>
        <v/>
      </c>
      <c r="Y224">
        <f>HYPERLINK("https://klasma.github.io/Logging_2481/tillsynsmail/A 45865-2024 tillsynsbegäran mail.docx", "A 45865-2024")</f>
        <v/>
      </c>
    </row>
    <row r="225" ht="15" customHeight="1">
      <c r="A225" t="inlineStr">
        <is>
          <t>A 46004-2024</t>
        </is>
      </c>
      <c r="B225" s="1" t="n">
        <v>45580</v>
      </c>
      <c r="C225" s="1" t="n">
        <v>45741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46004-2024 artfynd.xlsx", "A 46004-2024")</f>
        <v/>
      </c>
      <c r="T225">
        <f>HYPERLINK("https://klasma.github.io/Logging_2481/kartor/A 46004-2024 karta.png", "A 46004-2024")</f>
        <v/>
      </c>
      <c r="V225">
        <f>HYPERLINK("https://klasma.github.io/Logging_2481/klagomål/A 46004-2024 FSC-klagomål.docx", "A 46004-2024")</f>
        <v/>
      </c>
      <c r="W225">
        <f>HYPERLINK("https://klasma.github.io/Logging_2481/klagomålsmail/A 46004-2024 FSC-klagomål mail.docx", "A 46004-2024")</f>
        <v/>
      </c>
      <c r="X225">
        <f>HYPERLINK("https://klasma.github.io/Logging_2481/tillsyn/A 46004-2024 tillsynsbegäran.docx", "A 46004-2024")</f>
        <v/>
      </c>
      <c r="Y225">
        <f>HYPERLINK("https://klasma.github.io/Logging_2481/tillsynsmail/A 46004-2024 tillsynsbegäran mail.docx", "A 46004-2024")</f>
        <v/>
      </c>
    </row>
    <row r="226" ht="15" customHeight="1">
      <c r="A226" t="inlineStr">
        <is>
          <t>A 45934-2024</t>
        </is>
      </c>
      <c r="B226" s="1" t="n">
        <v>45580</v>
      </c>
      <c r="C226" s="1" t="n">
        <v>45741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45934-2024 artfynd.xlsx", "A 45934-2024")</f>
        <v/>
      </c>
      <c r="T226">
        <f>HYPERLINK("https://klasma.github.io/Logging_2481/kartor/A 45934-2024 karta.png", "A 45934-2024")</f>
        <v/>
      </c>
      <c r="V226">
        <f>HYPERLINK("https://klasma.github.io/Logging_2481/klagomål/A 45934-2024 FSC-klagomål.docx", "A 45934-2024")</f>
        <v/>
      </c>
      <c r="W226">
        <f>HYPERLINK("https://klasma.github.io/Logging_2481/klagomålsmail/A 45934-2024 FSC-klagomål mail.docx", "A 45934-2024")</f>
        <v/>
      </c>
      <c r="X226">
        <f>HYPERLINK("https://klasma.github.io/Logging_2481/tillsyn/A 45934-2024 tillsynsbegäran.docx", "A 45934-2024")</f>
        <v/>
      </c>
      <c r="Y226">
        <f>HYPERLINK("https://klasma.github.io/Logging_2481/tillsynsmail/A 45934-2024 tillsynsbegäran mail.docx", "A 45934-2024")</f>
        <v/>
      </c>
    </row>
    <row r="227" ht="15" customHeight="1">
      <c r="A227" t="inlineStr">
        <is>
          <t>A 47135-2024</t>
        </is>
      </c>
      <c r="B227" s="1" t="n">
        <v>45586</v>
      </c>
      <c r="C227" s="1" t="n">
        <v>45741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47135-2024 artfynd.xlsx", "A 47135-2024")</f>
        <v/>
      </c>
      <c r="T227">
        <f>HYPERLINK("https://klasma.github.io/Logging_2481/kartor/A 47135-2024 karta.png", "A 47135-2024")</f>
        <v/>
      </c>
      <c r="V227">
        <f>HYPERLINK("https://klasma.github.io/Logging_2481/klagomål/A 47135-2024 FSC-klagomål.docx", "A 47135-2024")</f>
        <v/>
      </c>
      <c r="W227">
        <f>HYPERLINK("https://klasma.github.io/Logging_2481/klagomålsmail/A 47135-2024 FSC-klagomål mail.docx", "A 47135-2024")</f>
        <v/>
      </c>
      <c r="X227">
        <f>HYPERLINK("https://klasma.github.io/Logging_2481/tillsyn/A 47135-2024 tillsynsbegäran.docx", "A 47135-2024")</f>
        <v/>
      </c>
      <c r="Y227">
        <f>HYPERLINK("https://klasma.github.io/Logging_2481/tillsynsmail/A 47135-2024 tillsynsbegäran mail.docx", "A 47135-2024")</f>
        <v/>
      </c>
    </row>
    <row r="228" ht="15" customHeight="1">
      <c r="A228" t="inlineStr">
        <is>
          <t>A 47289-2024</t>
        </is>
      </c>
      <c r="B228" s="1" t="n">
        <v>45587</v>
      </c>
      <c r="C228" s="1" t="n">
        <v>45741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47289-2024 artfynd.xlsx", "A 47289-2024")</f>
        <v/>
      </c>
      <c r="T228">
        <f>HYPERLINK("https://klasma.github.io/Logging_2481/kartor/A 47289-2024 karta.png", "A 47289-2024")</f>
        <v/>
      </c>
      <c r="V228">
        <f>HYPERLINK("https://klasma.github.io/Logging_2481/klagomål/A 47289-2024 FSC-klagomål.docx", "A 47289-2024")</f>
        <v/>
      </c>
      <c r="W228">
        <f>HYPERLINK("https://klasma.github.io/Logging_2481/klagomålsmail/A 47289-2024 FSC-klagomål mail.docx", "A 47289-2024")</f>
        <v/>
      </c>
      <c r="X228">
        <f>HYPERLINK("https://klasma.github.io/Logging_2481/tillsyn/A 47289-2024 tillsynsbegäran.docx", "A 47289-2024")</f>
        <v/>
      </c>
      <c r="Y228">
        <f>HYPERLINK("https://klasma.github.io/Logging_2481/tillsynsmail/A 47289-2024 tillsynsbegäran mail.docx", "A 47289-2024")</f>
        <v/>
      </c>
    </row>
    <row r="229" ht="15" customHeight="1">
      <c r="A229" t="inlineStr">
        <is>
          <t>A 48443-2024</t>
        </is>
      </c>
      <c r="B229" s="1" t="n">
        <v>45590</v>
      </c>
      <c r="C229" s="1" t="n">
        <v>45741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HYPERLINK("https://klasma.github.io/Logging_2481/artfynd/A 48443-2024 artfynd.xlsx", "A 48443-2024")</f>
        <v/>
      </c>
      <c r="T229">
        <f>HYPERLINK("https://klasma.github.io/Logging_2481/kartor/A 48443-2024 karta.png", "A 48443-2024")</f>
        <v/>
      </c>
      <c r="V229">
        <f>HYPERLINK("https://klasma.github.io/Logging_2481/klagomål/A 48443-2024 FSC-klagomål.docx", "A 48443-2024")</f>
        <v/>
      </c>
      <c r="W229">
        <f>HYPERLINK("https://klasma.github.io/Logging_2481/klagomålsmail/A 48443-2024 FSC-klagomål mail.docx", "A 48443-2024")</f>
        <v/>
      </c>
      <c r="X229">
        <f>HYPERLINK("https://klasma.github.io/Logging_2481/tillsyn/A 48443-2024 tillsynsbegäran.docx", "A 48443-2024")</f>
        <v/>
      </c>
      <c r="Y229">
        <f>HYPERLINK("https://klasma.github.io/Logging_2481/tillsynsmail/A 48443-2024 tillsynsbegäran mail.docx", "A 48443-2024")</f>
        <v/>
      </c>
    </row>
    <row r="230" ht="15" customHeight="1">
      <c r="A230" t="inlineStr">
        <is>
          <t>A 48414-2024</t>
        </is>
      </c>
      <c r="B230" s="1" t="n">
        <v>45590</v>
      </c>
      <c r="C230" s="1" t="n">
        <v>45741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48414-2024 artfynd.xlsx", "A 48414-2024")</f>
        <v/>
      </c>
      <c r="T230">
        <f>HYPERLINK("https://klasma.github.io/Logging_2481/kartor/A 48414-2024 karta.png", "A 48414-2024")</f>
        <v/>
      </c>
      <c r="V230">
        <f>HYPERLINK("https://klasma.github.io/Logging_2481/klagomål/A 48414-2024 FSC-klagomål.docx", "A 48414-2024")</f>
        <v/>
      </c>
      <c r="W230">
        <f>HYPERLINK("https://klasma.github.io/Logging_2481/klagomålsmail/A 48414-2024 FSC-klagomål mail.docx", "A 48414-2024")</f>
        <v/>
      </c>
      <c r="X230">
        <f>HYPERLINK("https://klasma.github.io/Logging_2481/tillsyn/A 48414-2024 tillsynsbegäran.docx", "A 48414-2024")</f>
        <v/>
      </c>
      <c r="Y230">
        <f>HYPERLINK("https://klasma.github.io/Logging_2481/tillsynsmail/A 48414-2024 tillsynsbegäran mail.docx", "A 48414-2024")</f>
        <v/>
      </c>
    </row>
    <row r="231" ht="15" customHeight="1">
      <c r="A231" t="inlineStr">
        <is>
          <t>A 48863-2024</t>
        </is>
      </c>
      <c r="B231" s="1" t="n">
        <v>45594</v>
      </c>
      <c r="C231" s="1" t="n">
        <v>45741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15.9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48863-2024 artfynd.xlsx", "A 48863-2024")</f>
        <v/>
      </c>
      <c r="T231">
        <f>HYPERLINK("https://klasma.github.io/Logging_2481/kartor/A 48863-2024 karta.png", "A 48863-2024")</f>
        <v/>
      </c>
      <c r="V231">
        <f>HYPERLINK("https://klasma.github.io/Logging_2481/klagomål/A 48863-2024 FSC-klagomål.docx", "A 48863-2024")</f>
        <v/>
      </c>
      <c r="W231">
        <f>HYPERLINK("https://klasma.github.io/Logging_2481/klagomålsmail/A 48863-2024 FSC-klagomål mail.docx", "A 48863-2024")</f>
        <v/>
      </c>
      <c r="X231">
        <f>HYPERLINK("https://klasma.github.io/Logging_2481/tillsyn/A 48863-2024 tillsynsbegäran.docx", "A 48863-2024")</f>
        <v/>
      </c>
      <c r="Y231">
        <f>HYPERLINK("https://klasma.github.io/Logging_2481/tillsynsmail/A 48863-2024 tillsynsbegäran mail.docx", "A 48863-2024")</f>
        <v/>
      </c>
    </row>
    <row r="232" ht="15" customHeight="1">
      <c r="A232" t="inlineStr">
        <is>
          <t>A 49125-2024</t>
        </is>
      </c>
      <c r="B232" s="1" t="n">
        <v>45594</v>
      </c>
      <c r="C232" s="1" t="n">
        <v>45741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49125-2024 artfynd.xlsx", "A 49125-2024")</f>
        <v/>
      </c>
      <c r="T232">
        <f>HYPERLINK("https://klasma.github.io/Logging_2481/kartor/A 49125-2024 karta.png", "A 49125-2024")</f>
        <v/>
      </c>
      <c r="U232">
        <f>HYPERLINK("https://klasma.github.io/Logging_2481/knärot/A 49125-2024 karta knärot.png", "A 49125-2024")</f>
        <v/>
      </c>
      <c r="V232">
        <f>HYPERLINK("https://klasma.github.io/Logging_2481/klagomål/A 49125-2024 FSC-klagomål.docx", "A 49125-2024")</f>
        <v/>
      </c>
      <c r="W232">
        <f>HYPERLINK("https://klasma.github.io/Logging_2481/klagomålsmail/A 49125-2024 FSC-klagomål mail.docx", "A 49125-2024")</f>
        <v/>
      </c>
      <c r="X232">
        <f>HYPERLINK("https://klasma.github.io/Logging_2481/tillsyn/A 49125-2024 tillsynsbegäran.docx", "A 49125-2024")</f>
        <v/>
      </c>
      <c r="Y232">
        <f>HYPERLINK("https://klasma.github.io/Logging_2481/tillsynsmail/A 49125-2024 tillsynsbegäran mail.docx", "A 49125-2024")</f>
        <v/>
      </c>
    </row>
    <row r="233" ht="15" customHeight="1">
      <c r="A233" t="inlineStr">
        <is>
          <t>A 49223-2024</t>
        </is>
      </c>
      <c r="B233" s="1" t="n">
        <v>45595</v>
      </c>
      <c r="C233" s="1" t="n">
        <v>45741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49223-2024 artfynd.xlsx", "A 49223-2024")</f>
        <v/>
      </c>
      <c r="T233">
        <f>HYPERLINK("https://klasma.github.io/Logging_2481/kartor/A 49223-2024 karta.png", "A 49223-2024")</f>
        <v/>
      </c>
      <c r="V233">
        <f>HYPERLINK("https://klasma.github.io/Logging_2481/klagomål/A 49223-2024 FSC-klagomål.docx", "A 49223-2024")</f>
        <v/>
      </c>
      <c r="W233">
        <f>HYPERLINK("https://klasma.github.io/Logging_2481/klagomålsmail/A 49223-2024 FSC-klagomål mail.docx", "A 49223-2024")</f>
        <v/>
      </c>
      <c r="X233">
        <f>HYPERLINK("https://klasma.github.io/Logging_2481/tillsyn/A 49223-2024 tillsynsbegäran.docx", "A 49223-2024")</f>
        <v/>
      </c>
      <c r="Y233">
        <f>HYPERLINK("https://klasma.github.io/Logging_2481/tillsynsmail/A 49223-2024 tillsynsbegäran mail.docx", "A 49223-2024")</f>
        <v/>
      </c>
    </row>
    <row r="234" ht="15" customHeight="1">
      <c r="A234" t="inlineStr">
        <is>
          <t>A 49345-2024</t>
        </is>
      </c>
      <c r="B234" s="1" t="n">
        <v>45595</v>
      </c>
      <c r="C234" s="1" t="n">
        <v>45741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49345-2024 artfynd.xlsx", "A 49345-2024")</f>
        <v/>
      </c>
      <c r="T234">
        <f>HYPERLINK("https://klasma.github.io/Logging_2481/kartor/A 49345-2024 karta.png", "A 49345-2024")</f>
        <v/>
      </c>
      <c r="V234">
        <f>HYPERLINK("https://klasma.github.io/Logging_2481/klagomål/A 49345-2024 FSC-klagomål.docx", "A 49345-2024")</f>
        <v/>
      </c>
      <c r="W234">
        <f>HYPERLINK("https://klasma.github.io/Logging_2481/klagomålsmail/A 49345-2024 FSC-klagomål mail.docx", "A 49345-2024")</f>
        <v/>
      </c>
      <c r="X234">
        <f>HYPERLINK("https://klasma.github.io/Logging_2481/tillsyn/A 49345-2024 tillsynsbegäran.docx", "A 49345-2024")</f>
        <v/>
      </c>
      <c r="Y234">
        <f>HYPERLINK("https://klasma.github.io/Logging_2481/tillsynsmail/A 49345-2024 tillsynsbegäran mail.docx", "A 49345-2024")</f>
        <v/>
      </c>
    </row>
    <row r="235" ht="15" customHeight="1">
      <c r="A235" t="inlineStr">
        <is>
          <t>A 49349-2024</t>
        </is>
      </c>
      <c r="B235" s="1" t="n">
        <v>45595</v>
      </c>
      <c r="C235" s="1" t="n">
        <v>45741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49349-2024 artfynd.xlsx", "A 49349-2024")</f>
        <v/>
      </c>
      <c r="T235">
        <f>HYPERLINK("https://klasma.github.io/Logging_2481/kartor/A 49349-2024 karta.png", "A 49349-2024")</f>
        <v/>
      </c>
      <c r="V235">
        <f>HYPERLINK("https://klasma.github.io/Logging_2481/klagomål/A 49349-2024 FSC-klagomål.docx", "A 49349-2024")</f>
        <v/>
      </c>
      <c r="W235">
        <f>HYPERLINK("https://klasma.github.io/Logging_2481/klagomålsmail/A 49349-2024 FSC-klagomål mail.docx", "A 49349-2024")</f>
        <v/>
      </c>
      <c r="X235">
        <f>HYPERLINK("https://klasma.github.io/Logging_2481/tillsyn/A 49349-2024 tillsynsbegäran.docx", "A 49349-2024")</f>
        <v/>
      </c>
      <c r="Y235">
        <f>HYPERLINK("https://klasma.github.io/Logging_2481/tillsynsmail/A 49349-2024 tillsynsbegäran mail.docx", "A 49349-2024")</f>
        <v/>
      </c>
    </row>
    <row r="236" ht="15" customHeight="1">
      <c r="A236" t="inlineStr">
        <is>
          <t>A 49394-2024</t>
        </is>
      </c>
      <c r="B236" s="1" t="n">
        <v>45595</v>
      </c>
      <c r="C236" s="1" t="n">
        <v>45741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49394-2024 artfynd.xlsx", "A 49394-2024")</f>
        <v/>
      </c>
      <c r="T236">
        <f>HYPERLINK("https://klasma.github.io/Logging_2481/kartor/A 49394-2024 karta.png", "A 49394-2024")</f>
        <v/>
      </c>
      <c r="V236">
        <f>HYPERLINK("https://klasma.github.io/Logging_2481/klagomål/A 49394-2024 FSC-klagomål.docx", "A 49394-2024")</f>
        <v/>
      </c>
      <c r="W236">
        <f>HYPERLINK("https://klasma.github.io/Logging_2481/klagomålsmail/A 49394-2024 FSC-klagomål mail.docx", "A 49394-2024")</f>
        <v/>
      </c>
      <c r="X236">
        <f>HYPERLINK("https://klasma.github.io/Logging_2481/tillsyn/A 49394-2024 tillsynsbegäran.docx", "A 49394-2024")</f>
        <v/>
      </c>
      <c r="Y236">
        <f>HYPERLINK("https://klasma.github.io/Logging_2481/tillsynsmail/A 49394-2024 tillsynsbegäran mail.docx", "A 49394-2024")</f>
        <v/>
      </c>
    </row>
    <row r="237" ht="15" customHeight="1">
      <c r="A237" t="inlineStr">
        <is>
          <t>A 49302-2024</t>
        </is>
      </c>
      <c r="B237" s="1" t="n">
        <v>45595</v>
      </c>
      <c r="C237" s="1" t="n">
        <v>45741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HYPERLINK("https://klasma.github.io/Logging_2481/artfynd/A 49302-2024 artfynd.xlsx", "A 49302-2024")</f>
        <v/>
      </c>
      <c r="T237">
        <f>HYPERLINK("https://klasma.github.io/Logging_2481/kartor/A 49302-2024 karta.png", "A 49302-2024")</f>
        <v/>
      </c>
      <c r="V237">
        <f>HYPERLINK("https://klasma.github.io/Logging_2481/klagomål/A 49302-2024 FSC-klagomål.docx", "A 49302-2024")</f>
        <v/>
      </c>
      <c r="W237">
        <f>HYPERLINK("https://klasma.github.io/Logging_2481/klagomålsmail/A 49302-2024 FSC-klagomål mail.docx", "A 49302-2024")</f>
        <v/>
      </c>
      <c r="X237">
        <f>HYPERLINK("https://klasma.github.io/Logging_2481/tillsyn/A 49302-2024 tillsynsbegäran.docx", "A 49302-2024")</f>
        <v/>
      </c>
      <c r="Y237">
        <f>HYPERLINK("https://klasma.github.io/Logging_2481/tillsynsmail/A 49302-2024 tillsynsbegäran mail.docx", "A 49302-2024")</f>
        <v/>
      </c>
    </row>
    <row r="238" ht="15" customHeight="1">
      <c r="A238" t="inlineStr">
        <is>
          <t>A 50739-2024</t>
        </is>
      </c>
      <c r="B238" s="1" t="n">
        <v>45602</v>
      </c>
      <c r="C238" s="1" t="n">
        <v>45741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50739-2024 artfynd.xlsx", "A 50739-2024")</f>
        <v/>
      </c>
      <c r="T238">
        <f>HYPERLINK("https://klasma.github.io/Logging_2481/kartor/A 50739-2024 karta.png", "A 50739-2024")</f>
        <v/>
      </c>
      <c r="V238">
        <f>HYPERLINK("https://klasma.github.io/Logging_2481/klagomål/A 50739-2024 FSC-klagomål.docx", "A 50739-2024")</f>
        <v/>
      </c>
      <c r="W238">
        <f>HYPERLINK("https://klasma.github.io/Logging_2481/klagomålsmail/A 50739-2024 FSC-klagomål mail.docx", "A 50739-2024")</f>
        <v/>
      </c>
      <c r="X238">
        <f>HYPERLINK("https://klasma.github.io/Logging_2481/tillsyn/A 50739-2024 tillsynsbegäran.docx", "A 50739-2024")</f>
        <v/>
      </c>
      <c r="Y238">
        <f>HYPERLINK("https://klasma.github.io/Logging_2481/tillsynsmail/A 50739-2024 tillsynsbegäran mail.docx", "A 50739-2024")</f>
        <v/>
      </c>
    </row>
    <row r="239" ht="15" customHeight="1">
      <c r="A239" t="inlineStr">
        <is>
          <t>A 50826-2024</t>
        </is>
      </c>
      <c r="B239" s="1" t="n">
        <v>45602</v>
      </c>
      <c r="C239" s="1" t="n">
        <v>45741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50826-2024 artfynd.xlsx", "A 50826-2024")</f>
        <v/>
      </c>
      <c r="T239">
        <f>HYPERLINK("https://klasma.github.io/Logging_2481/kartor/A 50826-2024 karta.png", "A 50826-2024")</f>
        <v/>
      </c>
      <c r="V239">
        <f>HYPERLINK("https://klasma.github.io/Logging_2481/klagomål/A 50826-2024 FSC-klagomål.docx", "A 50826-2024")</f>
        <v/>
      </c>
      <c r="W239">
        <f>HYPERLINK("https://klasma.github.io/Logging_2481/klagomålsmail/A 50826-2024 FSC-klagomål mail.docx", "A 50826-2024")</f>
        <v/>
      </c>
      <c r="X239">
        <f>HYPERLINK("https://klasma.github.io/Logging_2481/tillsyn/A 50826-2024 tillsynsbegäran.docx", "A 50826-2024")</f>
        <v/>
      </c>
      <c r="Y239">
        <f>HYPERLINK("https://klasma.github.io/Logging_2481/tillsynsmail/A 50826-2024 tillsynsbegäran mail.docx", "A 50826-2024")</f>
        <v/>
      </c>
    </row>
    <row r="240" ht="15" customHeight="1">
      <c r="A240" t="inlineStr">
        <is>
          <t>A 52235-2024</t>
        </is>
      </c>
      <c r="B240" s="1" t="n">
        <v>45608</v>
      </c>
      <c r="C240" s="1" t="n">
        <v>45741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52235-2024 artfynd.xlsx", "A 52235-2024")</f>
        <v/>
      </c>
      <c r="T240">
        <f>HYPERLINK("https://klasma.github.io/Logging_2481/kartor/A 52235-2024 karta.png", "A 52235-2024")</f>
        <v/>
      </c>
      <c r="V240">
        <f>HYPERLINK("https://klasma.github.io/Logging_2481/klagomål/A 52235-2024 FSC-klagomål.docx", "A 52235-2024")</f>
        <v/>
      </c>
      <c r="W240">
        <f>HYPERLINK("https://klasma.github.io/Logging_2481/klagomålsmail/A 52235-2024 FSC-klagomål mail.docx", "A 52235-2024")</f>
        <v/>
      </c>
      <c r="X240">
        <f>HYPERLINK("https://klasma.github.io/Logging_2481/tillsyn/A 52235-2024 tillsynsbegäran.docx", "A 52235-2024")</f>
        <v/>
      </c>
      <c r="Y240">
        <f>HYPERLINK("https://klasma.github.io/Logging_2481/tillsynsmail/A 52235-2024 tillsynsbegäran mail.docx", "A 52235-2024")</f>
        <v/>
      </c>
    </row>
    <row r="241" ht="15" customHeight="1">
      <c r="A241" t="inlineStr">
        <is>
          <t>A 54858-2024</t>
        </is>
      </c>
      <c r="B241" s="1" t="n">
        <v>45618</v>
      </c>
      <c r="C241" s="1" t="n">
        <v>45741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54858-2024 artfynd.xlsx", "A 54858-2024")</f>
        <v/>
      </c>
      <c r="T241">
        <f>HYPERLINK("https://klasma.github.io/Logging_2481/kartor/A 54858-2024 karta.png", "A 54858-2024")</f>
        <v/>
      </c>
      <c r="V241">
        <f>HYPERLINK("https://klasma.github.io/Logging_2481/klagomål/A 54858-2024 FSC-klagomål.docx", "A 54858-2024")</f>
        <v/>
      </c>
      <c r="W241">
        <f>HYPERLINK("https://klasma.github.io/Logging_2481/klagomålsmail/A 54858-2024 FSC-klagomål mail.docx", "A 54858-2024")</f>
        <v/>
      </c>
      <c r="X241">
        <f>HYPERLINK("https://klasma.github.io/Logging_2481/tillsyn/A 54858-2024 tillsynsbegäran.docx", "A 54858-2024")</f>
        <v/>
      </c>
      <c r="Y241">
        <f>HYPERLINK("https://klasma.github.io/Logging_2481/tillsynsmail/A 54858-2024 tillsynsbegäran mail.docx", "A 54858-2024")</f>
        <v/>
      </c>
    </row>
    <row r="242" ht="15" customHeight="1">
      <c r="A242" t="inlineStr">
        <is>
          <t>A 55566-2024</t>
        </is>
      </c>
      <c r="B242" s="1" t="n">
        <v>45622</v>
      </c>
      <c r="C242" s="1" t="n">
        <v>45741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Harticka</t>
        </is>
      </c>
      <c r="S242">
        <f>HYPERLINK("https://klasma.github.io/Logging_2481/artfynd/A 55566-2024 artfynd.xlsx", "A 55566-2024")</f>
        <v/>
      </c>
      <c r="T242">
        <f>HYPERLINK("https://klasma.github.io/Logging_2481/kartor/A 55566-2024 karta.png", "A 55566-2024")</f>
        <v/>
      </c>
      <c r="V242">
        <f>HYPERLINK("https://klasma.github.io/Logging_2481/klagomål/A 55566-2024 FSC-klagomål.docx", "A 55566-2024")</f>
        <v/>
      </c>
      <c r="W242">
        <f>HYPERLINK("https://klasma.github.io/Logging_2481/klagomålsmail/A 55566-2024 FSC-klagomål mail.docx", "A 55566-2024")</f>
        <v/>
      </c>
      <c r="X242">
        <f>HYPERLINK("https://klasma.github.io/Logging_2481/tillsyn/A 55566-2024 tillsynsbegäran.docx", "A 55566-2024")</f>
        <v/>
      </c>
      <c r="Y242">
        <f>HYPERLINK("https://klasma.github.io/Logging_2481/tillsynsmail/A 55566-2024 tillsynsbegäran mail.docx", "A 55566-2024")</f>
        <v/>
      </c>
    </row>
    <row r="243" ht="15" customHeight="1">
      <c r="A243" t="inlineStr">
        <is>
          <t>A 56511-2024</t>
        </is>
      </c>
      <c r="B243" s="1" t="n">
        <v>45625</v>
      </c>
      <c r="C243" s="1" t="n">
        <v>45741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56511-2024 artfynd.xlsx", "A 56511-2024")</f>
        <v/>
      </c>
      <c r="T243">
        <f>HYPERLINK("https://klasma.github.io/Logging_2481/kartor/A 56511-2024 karta.png", "A 56511-2024")</f>
        <v/>
      </c>
      <c r="V243">
        <f>HYPERLINK("https://klasma.github.io/Logging_2481/klagomål/A 56511-2024 FSC-klagomål.docx", "A 56511-2024")</f>
        <v/>
      </c>
      <c r="W243">
        <f>HYPERLINK("https://klasma.github.io/Logging_2481/klagomålsmail/A 56511-2024 FSC-klagomål mail.docx", "A 56511-2024")</f>
        <v/>
      </c>
      <c r="X243">
        <f>HYPERLINK("https://klasma.github.io/Logging_2481/tillsyn/A 56511-2024 tillsynsbegäran.docx", "A 56511-2024")</f>
        <v/>
      </c>
      <c r="Y243">
        <f>HYPERLINK("https://klasma.github.io/Logging_2481/tillsynsmail/A 56511-2024 tillsynsbegäran mail.docx", "A 56511-2024")</f>
        <v/>
      </c>
    </row>
    <row r="244" ht="15" customHeight="1">
      <c r="A244" t="inlineStr">
        <is>
          <t>A 57663-2024</t>
        </is>
      </c>
      <c r="B244" s="1" t="n">
        <v>45630</v>
      </c>
      <c r="C244" s="1" t="n">
        <v>45741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57663-2024 artfynd.xlsx", "A 57663-2024")</f>
        <v/>
      </c>
      <c r="T244">
        <f>HYPERLINK("https://klasma.github.io/Logging_2481/kartor/A 57663-2024 karta.png", "A 57663-2024")</f>
        <v/>
      </c>
      <c r="V244">
        <f>HYPERLINK("https://klasma.github.io/Logging_2481/klagomål/A 57663-2024 FSC-klagomål.docx", "A 57663-2024")</f>
        <v/>
      </c>
      <c r="W244">
        <f>HYPERLINK("https://klasma.github.io/Logging_2481/klagomålsmail/A 57663-2024 FSC-klagomål mail.docx", "A 57663-2024")</f>
        <v/>
      </c>
      <c r="X244">
        <f>HYPERLINK("https://klasma.github.io/Logging_2481/tillsyn/A 57663-2024 tillsynsbegäran.docx", "A 57663-2024")</f>
        <v/>
      </c>
      <c r="Y244">
        <f>HYPERLINK("https://klasma.github.io/Logging_2481/tillsynsmail/A 57663-2024 tillsynsbegäran mail.docx", "A 57663-2024")</f>
        <v/>
      </c>
    </row>
    <row r="245" ht="15" customHeight="1">
      <c r="A245" t="inlineStr">
        <is>
          <t>A 59283-2024</t>
        </is>
      </c>
      <c r="B245" s="1" t="n">
        <v>45637</v>
      </c>
      <c r="C245" s="1" t="n">
        <v>45741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59283-2024 artfynd.xlsx", "A 59283-2024")</f>
        <v/>
      </c>
      <c r="T245">
        <f>HYPERLINK("https://klasma.github.io/Logging_2481/kartor/A 59283-2024 karta.png", "A 59283-2024")</f>
        <v/>
      </c>
      <c r="V245">
        <f>HYPERLINK("https://klasma.github.io/Logging_2481/klagomål/A 59283-2024 FSC-klagomål.docx", "A 59283-2024")</f>
        <v/>
      </c>
      <c r="W245">
        <f>HYPERLINK("https://klasma.github.io/Logging_2481/klagomålsmail/A 59283-2024 FSC-klagomål mail.docx", "A 59283-2024")</f>
        <v/>
      </c>
      <c r="X245">
        <f>HYPERLINK("https://klasma.github.io/Logging_2481/tillsyn/A 59283-2024 tillsynsbegäran.docx", "A 59283-2024")</f>
        <v/>
      </c>
      <c r="Y245">
        <f>HYPERLINK("https://klasma.github.io/Logging_2481/tillsynsmail/A 59283-2024 tillsynsbegäran mail.docx", "A 59283-2024")</f>
        <v/>
      </c>
    </row>
    <row r="246" ht="15" customHeight="1">
      <c r="A246" t="inlineStr">
        <is>
          <t>A 59599-2024</t>
        </is>
      </c>
      <c r="B246" s="1" t="n">
        <v>45638</v>
      </c>
      <c r="C246" s="1" t="n">
        <v>45741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59599-2024 artfynd.xlsx", "A 59599-2024")</f>
        <v/>
      </c>
      <c r="T246">
        <f>HYPERLINK("https://klasma.github.io/Logging_2481/kartor/A 59599-2024 karta.png", "A 59599-2024")</f>
        <v/>
      </c>
      <c r="V246">
        <f>HYPERLINK("https://klasma.github.io/Logging_2481/klagomål/A 59599-2024 FSC-klagomål.docx", "A 59599-2024")</f>
        <v/>
      </c>
      <c r="W246">
        <f>HYPERLINK("https://klasma.github.io/Logging_2481/klagomålsmail/A 59599-2024 FSC-klagomål mail.docx", "A 59599-2024")</f>
        <v/>
      </c>
      <c r="X246">
        <f>HYPERLINK("https://klasma.github.io/Logging_2481/tillsyn/A 59599-2024 tillsynsbegäran.docx", "A 59599-2024")</f>
        <v/>
      </c>
      <c r="Y246">
        <f>HYPERLINK("https://klasma.github.io/Logging_2481/tillsynsmail/A 59599-2024 tillsynsbegäran mail.docx", "A 59599-2024")</f>
        <v/>
      </c>
    </row>
    <row r="247" ht="15" customHeight="1">
      <c r="A247" t="inlineStr">
        <is>
          <t>A 61896-2024</t>
        </is>
      </c>
      <c r="B247" s="1" t="n">
        <v>45652</v>
      </c>
      <c r="C247" s="1" t="n">
        <v>45741</v>
      </c>
      <c r="D247" t="inlineStr">
        <is>
          <t>VÄSTERBOTTENS LÄN</t>
        </is>
      </c>
      <c r="E247" t="inlineStr">
        <is>
          <t>LYCKSELE</t>
        </is>
      </c>
      <c r="G247" t="n">
        <v>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61896-2024 artfynd.xlsx", "A 61896-2024")</f>
        <v/>
      </c>
      <c r="T247">
        <f>HYPERLINK("https://klasma.github.io/Logging_2481/kartor/A 61896-2024 karta.png", "A 61896-2024")</f>
        <v/>
      </c>
      <c r="V247">
        <f>HYPERLINK("https://klasma.github.io/Logging_2481/klagomål/A 61896-2024 FSC-klagomål.docx", "A 61896-2024")</f>
        <v/>
      </c>
      <c r="W247">
        <f>HYPERLINK("https://klasma.github.io/Logging_2481/klagomålsmail/A 61896-2024 FSC-klagomål mail.docx", "A 61896-2024")</f>
        <v/>
      </c>
      <c r="X247">
        <f>HYPERLINK("https://klasma.github.io/Logging_2481/tillsyn/A 61896-2024 tillsynsbegäran.docx", "A 61896-2024")</f>
        <v/>
      </c>
      <c r="Y247">
        <f>HYPERLINK("https://klasma.github.io/Logging_2481/tillsynsmail/A 61896-2024 tillsynsbegäran mail.docx", "A 61896-2024")</f>
        <v/>
      </c>
    </row>
    <row r="248" ht="15" customHeight="1">
      <c r="A248" t="inlineStr">
        <is>
          <t>A 61910-2024</t>
        </is>
      </c>
      <c r="B248" s="1" t="n">
        <v>45653</v>
      </c>
      <c r="C248" s="1" t="n">
        <v>45741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HYPERLINK("https://klasma.github.io/Logging_2481/artfynd/A 61910-2024 artfynd.xlsx", "A 61910-2024")</f>
        <v/>
      </c>
      <c r="T248">
        <f>HYPERLINK("https://klasma.github.io/Logging_2481/kartor/A 61910-2024 karta.png", "A 61910-2024")</f>
        <v/>
      </c>
      <c r="V248">
        <f>HYPERLINK("https://klasma.github.io/Logging_2481/klagomål/A 61910-2024 FSC-klagomål.docx", "A 61910-2024")</f>
        <v/>
      </c>
      <c r="W248">
        <f>HYPERLINK("https://klasma.github.io/Logging_2481/klagomålsmail/A 61910-2024 FSC-klagomål mail.docx", "A 61910-2024")</f>
        <v/>
      </c>
      <c r="X248">
        <f>HYPERLINK("https://klasma.github.io/Logging_2481/tillsyn/A 61910-2024 tillsynsbegäran.docx", "A 61910-2024")</f>
        <v/>
      </c>
      <c r="Y248">
        <f>HYPERLINK("https://klasma.github.io/Logging_2481/tillsynsmail/A 61910-2024 tillsynsbegäran mail.docx", "A 61910-2024")</f>
        <v/>
      </c>
    </row>
    <row r="249" ht="15" customHeight="1">
      <c r="A249" t="inlineStr">
        <is>
          <t>A 219-2025</t>
        </is>
      </c>
      <c r="B249" s="1" t="n">
        <v>45660</v>
      </c>
      <c r="C249" s="1" t="n">
        <v>45741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219-2025 artfynd.xlsx", "A 219-2025")</f>
        <v/>
      </c>
      <c r="T249">
        <f>HYPERLINK("https://klasma.github.io/Logging_2481/kartor/A 219-2025 karta.png", "A 219-2025")</f>
        <v/>
      </c>
      <c r="V249">
        <f>HYPERLINK("https://klasma.github.io/Logging_2481/klagomål/A 219-2025 FSC-klagomål.docx", "A 219-2025")</f>
        <v/>
      </c>
      <c r="W249">
        <f>HYPERLINK("https://klasma.github.io/Logging_2481/klagomålsmail/A 219-2025 FSC-klagomål mail.docx", "A 219-2025")</f>
        <v/>
      </c>
      <c r="X249">
        <f>HYPERLINK("https://klasma.github.io/Logging_2481/tillsyn/A 219-2025 tillsynsbegäran.docx", "A 219-2025")</f>
        <v/>
      </c>
      <c r="Y249">
        <f>HYPERLINK("https://klasma.github.io/Logging_2481/tillsynsmail/A 219-2025 tillsynsbegäran mail.docx", "A 219-2025")</f>
        <v/>
      </c>
    </row>
    <row r="250" ht="15" customHeight="1">
      <c r="A250" t="inlineStr">
        <is>
          <t>A 742-2025</t>
        </is>
      </c>
      <c r="B250" s="1" t="n">
        <v>45665</v>
      </c>
      <c r="C250" s="1" t="n">
        <v>45741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HYPERLINK("https://klasma.github.io/Logging_2481/artfynd/A 742-2025 artfynd.xlsx", "A 742-2025")</f>
        <v/>
      </c>
      <c r="T250">
        <f>HYPERLINK("https://klasma.github.io/Logging_2481/kartor/A 742-2025 karta.png", "A 742-2025")</f>
        <v/>
      </c>
      <c r="V250">
        <f>HYPERLINK("https://klasma.github.io/Logging_2481/klagomål/A 742-2025 FSC-klagomål.docx", "A 742-2025")</f>
        <v/>
      </c>
      <c r="W250">
        <f>HYPERLINK("https://klasma.github.io/Logging_2481/klagomålsmail/A 742-2025 FSC-klagomål mail.docx", "A 742-2025")</f>
        <v/>
      </c>
      <c r="X250">
        <f>HYPERLINK("https://klasma.github.io/Logging_2481/tillsyn/A 742-2025 tillsynsbegäran.docx", "A 742-2025")</f>
        <v/>
      </c>
      <c r="Y250">
        <f>HYPERLINK("https://klasma.github.io/Logging_2481/tillsynsmail/A 742-2025 tillsynsbegäran mail.docx", "A 742-2025")</f>
        <v/>
      </c>
    </row>
    <row r="251" ht="15" customHeight="1">
      <c r="A251" t="inlineStr">
        <is>
          <t>A 5683-2025</t>
        </is>
      </c>
      <c r="B251" s="1" t="n">
        <v>45694</v>
      </c>
      <c r="C251" s="1" t="n">
        <v>45741</v>
      </c>
      <c r="D251" t="inlineStr">
        <is>
          <t>VÄSTERBOTTENS LÄN</t>
        </is>
      </c>
      <c r="E251" t="inlineStr">
        <is>
          <t>LYCKSELE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Vitgrynig nållav</t>
        </is>
      </c>
      <c r="S251">
        <f>HYPERLINK("https://klasma.github.io/Logging_2481/artfynd/A 5683-2025 artfynd.xlsx", "A 5683-2025")</f>
        <v/>
      </c>
      <c r="T251">
        <f>HYPERLINK("https://klasma.github.io/Logging_2481/kartor/A 5683-2025 karta.png", "A 5683-2025")</f>
        <v/>
      </c>
      <c r="V251">
        <f>HYPERLINK("https://klasma.github.io/Logging_2481/klagomål/A 5683-2025 FSC-klagomål.docx", "A 5683-2025")</f>
        <v/>
      </c>
      <c r="W251">
        <f>HYPERLINK("https://klasma.github.io/Logging_2481/klagomålsmail/A 5683-2025 FSC-klagomål mail.docx", "A 5683-2025")</f>
        <v/>
      </c>
      <c r="X251">
        <f>HYPERLINK("https://klasma.github.io/Logging_2481/tillsyn/A 5683-2025 tillsynsbegäran.docx", "A 5683-2025")</f>
        <v/>
      </c>
      <c r="Y251">
        <f>HYPERLINK("https://klasma.github.io/Logging_2481/tillsynsmail/A 5683-2025 tillsynsbegäran mail.docx", "A 5683-2025")</f>
        <v/>
      </c>
    </row>
    <row r="252" ht="15" customHeight="1">
      <c r="A252" t="inlineStr">
        <is>
          <t>A 18986-2019</t>
        </is>
      </c>
      <c r="B252" s="1" t="n">
        <v>43563</v>
      </c>
      <c r="C252" s="1" t="n">
        <v>45741</v>
      </c>
      <c r="D252" t="inlineStr">
        <is>
          <t>VÄSTERBOTTENS LÄN</t>
        </is>
      </c>
      <c r="E252" t="inlineStr">
        <is>
          <t>LYCKSELE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19604-2019</t>
        </is>
      </c>
      <c r="B253" s="1" t="n">
        <v>43566</v>
      </c>
      <c r="C253" s="1" t="n">
        <v>45741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20928-2019</t>
        </is>
      </c>
      <c r="B254" s="1" t="n">
        <v>43572</v>
      </c>
      <c r="C254" s="1" t="n">
        <v>45741</v>
      </c>
      <c r="D254" t="inlineStr">
        <is>
          <t>VÄSTERBOTTENS LÄN</t>
        </is>
      </c>
      <c r="E254" t="inlineStr">
        <is>
          <t>LYCKSELE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21331-2019</t>
        </is>
      </c>
      <c r="B255" s="1" t="n">
        <v>43579</v>
      </c>
      <c r="C255" s="1" t="n">
        <v>45741</v>
      </c>
      <c r="D255" t="inlineStr">
        <is>
          <t>VÄSTERBOTTENS LÄN</t>
        </is>
      </c>
      <c r="E255" t="inlineStr">
        <is>
          <t>LYCKSELE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21775-2019</t>
        </is>
      </c>
      <c r="B256" s="1" t="n">
        <v>43581</v>
      </c>
      <c r="C256" s="1" t="n">
        <v>45741</v>
      </c>
      <c r="D256" t="inlineStr">
        <is>
          <t>VÄSTERBOTTENS LÄN</t>
        </is>
      </c>
      <c r="E256" t="inlineStr">
        <is>
          <t>LYCKSELE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21766-2019</t>
        </is>
      </c>
      <c r="B257" s="1" t="n">
        <v>43581</v>
      </c>
      <c r="C257" s="1" t="n">
        <v>45741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21756-2019</t>
        </is>
      </c>
      <c r="B258" s="1" t="n">
        <v>43581</v>
      </c>
      <c r="C258" s="1" t="n">
        <v>45741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21754-2019</t>
        </is>
      </c>
      <c r="B259" s="1" t="n">
        <v>43581</v>
      </c>
      <c r="C259" s="1" t="n">
        <v>45741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22320-2019</t>
        </is>
      </c>
      <c r="B260" s="1" t="n">
        <v>43586</v>
      </c>
      <c r="C260" s="1" t="n">
        <v>45741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22318-2019</t>
        </is>
      </c>
      <c r="B261" s="1" t="n">
        <v>43586</v>
      </c>
      <c r="C261" s="1" t="n">
        <v>45741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23158-2019</t>
        </is>
      </c>
      <c r="B262" s="1" t="n">
        <v>43592</v>
      </c>
      <c r="C262" s="1" t="n">
        <v>45741</v>
      </c>
      <c r="D262" t="inlineStr">
        <is>
          <t>VÄSTERBOTTENS LÄN</t>
        </is>
      </c>
      <c r="E262" t="inlineStr">
        <is>
          <t>LYCKSELE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23103-2019</t>
        </is>
      </c>
      <c r="B263" s="1" t="n">
        <v>43592</v>
      </c>
      <c r="C263" s="1" t="n">
        <v>45741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23106-2019</t>
        </is>
      </c>
      <c r="B264" s="1" t="n">
        <v>43592</v>
      </c>
      <c r="C264" s="1" t="n">
        <v>45741</v>
      </c>
      <c r="D264" t="inlineStr">
        <is>
          <t>VÄSTERBOTTENS LÄN</t>
        </is>
      </c>
      <c r="E264" t="inlineStr">
        <is>
          <t>LYCKSELE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23282-2019</t>
        </is>
      </c>
      <c r="B265" s="1" t="n">
        <v>43593</v>
      </c>
      <c r="C265" s="1" t="n">
        <v>45741</v>
      </c>
      <c r="D265" t="inlineStr">
        <is>
          <t>VÄSTERBOTTENS LÄN</t>
        </is>
      </c>
      <c r="E265" t="inlineStr">
        <is>
          <t>LYCKSELE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23520-2019</t>
        </is>
      </c>
      <c r="B266" s="1" t="n">
        <v>43593</v>
      </c>
      <c r="C266" s="1" t="n">
        <v>45741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23536-2019</t>
        </is>
      </c>
      <c r="B267" s="1" t="n">
        <v>43594</v>
      </c>
      <c r="C267" s="1" t="n">
        <v>45741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23938-2019</t>
        </is>
      </c>
      <c r="B268" s="1" t="n">
        <v>43595</v>
      </c>
      <c r="C268" s="1" t="n">
        <v>45741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24332-2019</t>
        </is>
      </c>
      <c r="B269" s="1" t="n">
        <v>43598</v>
      </c>
      <c r="C269" s="1" t="n">
        <v>45741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24335-2019</t>
        </is>
      </c>
      <c r="B270" s="1" t="n">
        <v>43598</v>
      </c>
      <c r="C270" s="1" t="n">
        <v>45741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24581-2019</t>
        </is>
      </c>
      <c r="B271" s="1" t="n">
        <v>43600</v>
      </c>
      <c r="C271" s="1" t="n">
        <v>45741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29088-2019</t>
        </is>
      </c>
      <c r="B272" s="1" t="n">
        <v>43621</v>
      </c>
      <c r="C272" s="1" t="n">
        <v>45741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28569-2019</t>
        </is>
      </c>
      <c r="B273" s="1" t="n">
        <v>43626</v>
      </c>
      <c r="C273" s="1" t="n">
        <v>45741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29397-2019</t>
        </is>
      </c>
      <c r="B274" s="1" t="n">
        <v>43627</v>
      </c>
      <c r="C274" s="1" t="n">
        <v>45741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29394-2019</t>
        </is>
      </c>
      <c r="B275" s="1" t="n">
        <v>43627</v>
      </c>
      <c r="C275" s="1" t="n">
        <v>45741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30082-2019</t>
        </is>
      </c>
      <c r="B276" s="1" t="n">
        <v>43633</v>
      </c>
      <c r="C276" s="1" t="n">
        <v>45741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30420-2019</t>
        </is>
      </c>
      <c r="B277" s="1" t="n">
        <v>43633</v>
      </c>
      <c r="C277" s="1" t="n">
        <v>45741</v>
      </c>
      <c r="D277" t="inlineStr">
        <is>
          <t>VÄSTERBOTTENS LÄN</t>
        </is>
      </c>
      <c r="E277" t="inlineStr">
        <is>
          <t>LYCKSELE</t>
        </is>
      </c>
      <c r="G277" t="n">
        <v>21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30333-2019</t>
        </is>
      </c>
      <c r="B278" s="1" t="n">
        <v>43634</v>
      </c>
      <c r="C278" s="1" t="n">
        <v>45741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30335-2019</t>
        </is>
      </c>
      <c r="B279" s="1" t="n">
        <v>43634</v>
      </c>
      <c r="C279" s="1" t="n">
        <v>45741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31917-2019</t>
        </is>
      </c>
      <c r="B280" s="1" t="n">
        <v>43641</v>
      </c>
      <c r="C280" s="1" t="n">
        <v>45741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31883-2019</t>
        </is>
      </c>
      <c r="B281" s="1" t="n">
        <v>43642</v>
      </c>
      <c r="C281" s="1" t="n">
        <v>45741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32083-2019</t>
        </is>
      </c>
      <c r="B282" s="1" t="n">
        <v>43642</v>
      </c>
      <c r="C282" s="1" t="n">
        <v>45741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31876-2019</t>
        </is>
      </c>
      <c r="B283" s="1" t="n">
        <v>43642</v>
      </c>
      <c r="C283" s="1" t="n">
        <v>45741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32074-2019</t>
        </is>
      </c>
      <c r="B284" s="1" t="n">
        <v>43642</v>
      </c>
      <c r="C284" s="1" t="n">
        <v>45741</v>
      </c>
      <c r="D284" t="inlineStr">
        <is>
          <t>VÄSTERBOTTENS LÄN</t>
        </is>
      </c>
      <c r="E284" t="inlineStr">
        <is>
          <t>LYCKSELE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33203-2019</t>
        </is>
      </c>
      <c r="B285" s="1" t="n">
        <v>43649</v>
      </c>
      <c r="C285" s="1" t="n">
        <v>45741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34852-2019</t>
        </is>
      </c>
      <c r="B286" s="1" t="n">
        <v>43649</v>
      </c>
      <c r="C286" s="1" t="n">
        <v>45741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33414-2019</t>
        </is>
      </c>
      <c r="B287" s="1" t="n">
        <v>43650</v>
      </c>
      <c r="C287" s="1" t="n">
        <v>45741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33810-2019</t>
        </is>
      </c>
      <c r="B288" s="1" t="n">
        <v>43651</v>
      </c>
      <c r="C288" s="1" t="n">
        <v>45741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34249-2019</t>
        </is>
      </c>
      <c r="B289" s="1" t="n">
        <v>43655</v>
      </c>
      <c r="C289" s="1" t="n">
        <v>45741</v>
      </c>
      <c r="D289" t="inlineStr">
        <is>
          <t>VÄSTERBOTTENS LÄN</t>
        </is>
      </c>
      <c r="E289" t="inlineStr">
        <is>
          <t>LYCKSELE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36154-2019</t>
        </is>
      </c>
      <c r="B290" s="1" t="n">
        <v>43658</v>
      </c>
      <c r="C290" s="1" t="n">
        <v>45741</v>
      </c>
      <c r="D290" t="inlineStr">
        <is>
          <t>VÄSTERBOTTENS LÄN</t>
        </is>
      </c>
      <c r="E290" t="inlineStr">
        <is>
          <t>LYCKSELE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35091-2019</t>
        </is>
      </c>
      <c r="B291" s="1" t="n">
        <v>43661</v>
      </c>
      <c r="C291" s="1" t="n">
        <v>45741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35092-2019</t>
        </is>
      </c>
      <c r="B292" s="1" t="n">
        <v>43661</v>
      </c>
      <c r="C292" s="1" t="n">
        <v>45741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37162-2019</t>
        </is>
      </c>
      <c r="B293" s="1" t="n">
        <v>43677</v>
      </c>
      <c r="C293" s="1" t="n">
        <v>45741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38551-2019</t>
        </is>
      </c>
      <c r="B294" s="1" t="n">
        <v>43685</v>
      </c>
      <c r="C294" s="1" t="n">
        <v>45741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38800-2019</t>
        </is>
      </c>
      <c r="B295" s="1" t="n">
        <v>43688</v>
      </c>
      <c r="C295" s="1" t="n">
        <v>45741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39373-2019</t>
        </is>
      </c>
      <c r="B296" s="1" t="n">
        <v>43690</v>
      </c>
      <c r="C296" s="1" t="n">
        <v>45741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39201-2019</t>
        </is>
      </c>
      <c r="B297" s="1" t="n">
        <v>43690</v>
      </c>
      <c r="C297" s="1" t="n">
        <v>45741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41150-2019</t>
        </is>
      </c>
      <c r="B298" s="1" t="n">
        <v>43691</v>
      </c>
      <c r="C298" s="1" t="n">
        <v>45741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40310-2019</t>
        </is>
      </c>
      <c r="B299" s="1" t="n">
        <v>43696</v>
      </c>
      <c r="C299" s="1" t="n">
        <v>45741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41375-2019</t>
        </is>
      </c>
      <c r="B300" s="1" t="n">
        <v>43696</v>
      </c>
      <c r="C300" s="1" t="n">
        <v>45741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42373-2019</t>
        </is>
      </c>
      <c r="B301" s="1" t="n">
        <v>43703</v>
      </c>
      <c r="C301" s="1" t="n">
        <v>45741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43465-2019</t>
        </is>
      </c>
      <c r="B302" s="1" t="n">
        <v>43703</v>
      </c>
      <c r="C302" s="1" t="n">
        <v>45741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43480-2019</t>
        </is>
      </c>
      <c r="B303" s="1" t="n">
        <v>43703</v>
      </c>
      <c r="C303" s="1" t="n">
        <v>45741</v>
      </c>
      <c r="D303" t="inlineStr">
        <is>
          <t>VÄSTERBOTTENS LÄN</t>
        </is>
      </c>
      <c r="E303" t="inlineStr">
        <is>
          <t>LYCKSELE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42368-2019</t>
        </is>
      </c>
      <c r="B304" s="1" t="n">
        <v>43703</v>
      </c>
      <c r="C304" s="1" t="n">
        <v>45741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42588-2019</t>
        </is>
      </c>
      <c r="B305" s="1" t="n">
        <v>43704</v>
      </c>
      <c r="C305" s="1" t="n">
        <v>45741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44031-2019</t>
        </is>
      </c>
      <c r="B306" s="1" t="n">
        <v>43704</v>
      </c>
      <c r="C306" s="1" t="n">
        <v>45741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44858-2019</t>
        </is>
      </c>
      <c r="B307" s="1" t="n">
        <v>43707</v>
      </c>
      <c r="C307" s="1" t="n">
        <v>45741</v>
      </c>
      <c r="D307" t="inlineStr">
        <is>
          <t>VÄSTERBOTTENS LÄN</t>
        </is>
      </c>
      <c r="E307" t="inlineStr">
        <is>
          <t>LYCKSELE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44024-2019</t>
        </is>
      </c>
      <c r="B308" s="1" t="n">
        <v>43710</v>
      </c>
      <c r="C308" s="1" t="n">
        <v>45741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44590-2019</t>
        </is>
      </c>
      <c r="B309" s="1" t="n">
        <v>43711</v>
      </c>
      <c r="C309" s="1" t="n">
        <v>45741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46252-2019</t>
        </is>
      </c>
      <c r="B310" s="1" t="n">
        <v>43712</v>
      </c>
      <c r="C310" s="1" t="n">
        <v>45741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45227-2019</t>
        </is>
      </c>
      <c r="B311" s="1" t="n">
        <v>43713</v>
      </c>
      <c r="C311" s="1" t="n">
        <v>45741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45264-2019</t>
        </is>
      </c>
      <c r="B312" s="1" t="n">
        <v>43713</v>
      </c>
      <c r="C312" s="1" t="n">
        <v>45741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45228-2019</t>
        </is>
      </c>
      <c r="B313" s="1" t="n">
        <v>43713</v>
      </c>
      <c r="C313" s="1" t="n">
        <v>45741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46271-2019</t>
        </is>
      </c>
      <c r="B314" s="1" t="n">
        <v>43713</v>
      </c>
      <c r="C314" s="1" t="n">
        <v>45741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46284-2019</t>
        </is>
      </c>
      <c r="B315" s="1" t="n">
        <v>43713</v>
      </c>
      <c r="C315" s="1" t="n">
        <v>45741</v>
      </c>
      <c r="D315" t="inlineStr">
        <is>
          <t>VÄSTERBOTTENS LÄN</t>
        </is>
      </c>
      <c r="E315" t="inlineStr">
        <is>
          <t>LYCKSELE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45758-2019</t>
        </is>
      </c>
      <c r="B316" s="1" t="n">
        <v>43717</v>
      </c>
      <c r="C316" s="1" t="n">
        <v>45741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47062-2019</t>
        </is>
      </c>
      <c r="B317" s="1" t="n">
        <v>43720</v>
      </c>
      <c r="C317" s="1" t="n">
        <v>45741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48784-2019</t>
        </is>
      </c>
      <c r="B318" s="1" t="n">
        <v>43727</v>
      </c>
      <c r="C318" s="1" t="n">
        <v>45741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49112-2019</t>
        </is>
      </c>
      <c r="B319" s="1" t="n">
        <v>43731</v>
      </c>
      <c r="C319" s="1" t="n">
        <v>45741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50603-2019</t>
        </is>
      </c>
      <c r="B320" s="1" t="n">
        <v>43735</v>
      </c>
      <c r="C320" s="1" t="n">
        <v>45741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51144-2019</t>
        </is>
      </c>
      <c r="B321" s="1" t="n">
        <v>43739</v>
      </c>
      <c r="C321" s="1" t="n">
        <v>45741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51152-2019</t>
        </is>
      </c>
      <c r="B322" s="1" t="n">
        <v>43739</v>
      </c>
      <c r="C322" s="1" t="n">
        <v>45741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51135-2019</t>
        </is>
      </c>
      <c r="B323" s="1" t="n">
        <v>43739</v>
      </c>
      <c r="C323" s="1" t="n">
        <v>45741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51155-2019</t>
        </is>
      </c>
      <c r="B324" s="1" t="n">
        <v>43739</v>
      </c>
      <c r="C324" s="1" t="n">
        <v>45741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52437-2019</t>
        </is>
      </c>
      <c r="B325" s="1" t="n">
        <v>43745</v>
      </c>
      <c r="C325" s="1" t="n">
        <v>45741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52630-2019</t>
        </is>
      </c>
      <c r="B326" s="1" t="n">
        <v>43746</v>
      </c>
      <c r="C326" s="1" t="n">
        <v>45741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52621-2019</t>
        </is>
      </c>
      <c r="B327" s="1" t="n">
        <v>43746</v>
      </c>
      <c r="C327" s="1" t="n">
        <v>45741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55396-2019</t>
        </is>
      </c>
      <c r="B328" s="1" t="n">
        <v>43758</v>
      </c>
      <c r="C328" s="1" t="n">
        <v>45741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56685-2019</t>
        </is>
      </c>
      <c r="B329" s="1" t="n">
        <v>43759</v>
      </c>
      <c r="C329" s="1" t="n">
        <v>45741</v>
      </c>
      <c r="D329" t="inlineStr">
        <is>
          <t>VÄSTERBOTTENS LÄN</t>
        </is>
      </c>
      <c r="E329" t="inlineStr">
        <is>
          <t>LYCKSELE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56679-2019</t>
        </is>
      </c>
      <c r="B330" s="1" t="n">
        <v>43759</v>
      </c>
      <c r="C330" s="1" t="n">
        <v>45741</v>
      </c>
      <c r="D330" t="inlineStr">
        <is>
          <t>VÄSTERBOTTENS LÄN</t>
        </is>
      </c>
      <c r="E330" t="inlineStr">
        <is>
          <t>LYCKSELE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56191-2019</t>
        </is>
      </c>
      <c r="B331" s="1" t="n">
        <v>43761</v>
      </c>
      <c r="C331" s="1" t="n">
        <v>45741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57972-2019</t>
        </is>
      </c>
      <c r="B332" s="1" t="n">
        <v>43762</v>
      </c>
      <c r="C332" s="1" t="n">
        <v>45741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58655-2019</t>
        </is>
      </c>
      <c r="B333" s="1" t="n">
        <v>43767</v>
      </c>
      <c r="C333" s="1" t="n">
        <v>45741</v>
      </c>
      <c r="D333" t="inlineStr">
        <is>
          <t>VÄSTERBOTTENS LÄN</t>
        </is>
      </c>
      <c r="E333" t="inlineStr">
        <is>
          <t>LYCKSELE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58648-2019</t>
        </is>
      </c>
      <c r="B334" s="1" t="n">
        <v>43768</v>
      </c>
      <c r="C334" s="1" t="n">
        <v>45741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57838-2019</t>
        </is>
      </c>
      <c r="B335" s="1" t="n">
        <v>43768</v>
      </c>
      <c r="C335" s="1" t="n">
        <v>45741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59632-2019</t>
        </is>
      </c>
      <c r="B336" s="1" t="n">
        <v>43776</v>
      </c>
      <c r="C336" s="1" t="n">
        <v>45741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60438-2019</t>
        </is>
      </c>
      <c r="B337" s="1" t="n">
        <v>43780</v>
      </c>
      <c r="C337" s="1" t="n">
        <v>45741</v>
      </c>
      <c r="D337" t="inlineStr">
        <is>
          <t>VÄSTERBOTTENS LÄN</t>
        </is>
      </c>
      <c r="E337" t="inlineStr">
        <is>
          <t>LYCKSELE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60567-2019</t>
        </is>
      </c>
      <c r="B338" s="1" t="n">
        <v>43781</v>
      </c>
      <c r="C338" s="1" t="n">
        <v>45741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62147-2019</t>
        </is>
      </c>
      <c r="B339" s="1" t="n">
        <v>43787</v>
      </c>
      <c r="C339" s="1" t="n">
        <v>45741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63313-2019</t>
        </is>
      </c>
      <c r="B340" s="1" t="n">
        <v>43787</v>
      </c>
      <c r="C340" s="1" t="n">
        <v>45741</v>
      </c>
      <c r="D340" t="inlineStr">
        <is>
          <t>VÄSTERBOTTENS LÄN</t>
        </is>
      </c>
      <c r="E340" t="inlineStr">
        <is>
          <t>LYCKSELE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63305-2019</t>
        </is>
      </c>
      <c r="B341" s="1" t="n">
        <v>43787</v>
      </c>
      <c r="C341" s="1" t="n">
        <v>45741</v>
      </c>
      <c r="D341" t="inlineStr">
        <is>
          <t>VÄSTERBOTTENS LÄN</t>
        </is>
      </c>
      <c r="E341" t="inlineStr">
        <is>
          <t>LYCKSELE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62507-2019</t>
        </is>
      </c>
      <c r="B342" s="1" t="n">
        <v>43788</v>
      </c>
      <c r="C342" s="1" t="n">
        <v>45741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63506-2019</t>
        </is>
      </c>
      <c r="B343" s="1" t="n">
        <v>43788</v>
      </c>
      <c r="C343" s="1" t="n">
        <v>45741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63236-2019</t>
        </is>
      </c>
      <c r="B344" s="1" t="n">
        <v>43791</v>
      </c>
      <c r="C344" s="1" t="n">
        <v>45741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64371-2019</t>
        </is>
      </c>
      <c r="B345" s="1" t="n">
        <v>43797</v>
      </c>
      <c r="C345" s="1" t="n">
        <v>45741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64478-2019</t>
        </is>
      </c>
      <c r="B346" s="1" t="n">
        <v>43797</v>
      </c>
      <c r="C346" s="1" t="n">
        <v>45741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67650-2019</t>
        </is>
      </c>
      <c r="B347" s="1" t="n">
        <v>43809</v>
      </c>
      <c r="C347" s="1" t="n">
        <v>45741</v>
      </c>
      <c r="D347" t="inlineStr">
        <is>
          <t>VÄSTERBOTTENS LÄN</t>
        </is>
      </c>
      <c r="E347" t="inlineStr">
        <is>
          <t>LYCKSELE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67652-2019</t>
        </is>
      </c>
      <c r="B348" s="1" t="n">
        <v>43809</v>
      </c>
      <c r="C348" s="1" t="n">
        <v>45741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67636-2019</t>
        </is>
      </c>
      <c r="B349" s="1" t="n">
        <v>43809</v>
      </c>
      <c r="C349" s="1" t="n">
        <v>45741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69024-2019</t>
        </is>
      </c>
      <c r="B350" s="1" t="n">
        <v>43815</v>
      </c>
      <c r="C350" s="1" t="n">
        <v>45741</v>
      </c>
      <c r="D350" t="inlineStr">
        <is>
          <t>VÄSTERBOTTENS LÄN</t>
        </is>
      </c>
      <c r="E350" t="inlineStr">
        <is>
          <t>LYCKSELE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67949-2019</t>
        </is>
      </c>
      <c r="B351" s="1" t="n">
        <v>43816</v>
      </c>
      <c r="C351" s="1" t="n">
        <v>45741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67935-2019</t>
        </is>
      </c>
      <c r="B352" s="1" t="n">
        <v>43816</v>
      </c>
      <c r="C352" s="1" t="n">
        <v>45741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68185-2019</t>
        </is>
      </c>
      <c r="B353" s="1" t="n">
        <v>43817</v>
      </c>
      <c r="C353" s="1" t="n">
        <v>45741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68179-2019</t>
        </is>
      </c>
      <c r="B354" s="1" t="n">
        <v>43817</v>
      </c>
      <c r="C354" s="1" t="n">
        <v>45741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68172-2019</t>
        </is>
      </c>
      <c r="B355" s="1" t="n">
        <v>43817</v>
      </c>
      <c r="C355" s="1" t="n">
        <v>45741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68194-2019</t>
        </is>
      </c>
      <c r="B356" s="1" t="n">
        <v>43817</v>
      </c>
      <c r="C356" s="1" t="n">
        <v>45741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68614-2019</t>
        </is>
      </c>
      <c r="B357" s="1" t="n">
        <v>43818</v>
      </c>
      <c r="C357" s="1" t="n">
        <v>45741</v>
      </c>
      <c r="D357" t="inlineStr">
        <is>
          <t>VÄSTERBOTTENS LÄN</t>
        </is>
      </c>
      <c r="E357" t="inlineStr">
        <is>
          <t>LYCKSELE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1716-2020</t>
        </is>
      </c>
      <c r="B358" s="1" t="n">
        <v>43833</v>
      </c>
      <c r="C358" s="1" t="n">
        <v>45741</v>
      </c>
      <c r="D358" t="inlineStr">
        <is>
          <t>VÄSTERBOTTENS LÄN</t>
        </is>
      </c>
      <c r="E358" t="inlineStr">
        <is>
          <t>LYCKSELE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1691-2020</t>
        </is>
      </c>
      <c r="B359" s="1" t="n">
        <v>43833</v>
      </c>
      <c r="C359" s="1" t="n">
        <v>45741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954-2020</t>
        </is>
      </c>
      <c r="B360" s="1" t="n">
        <v>43839</v>
      </c>
      <c r="C360" s="1" t="n">
        <v>45741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1108-2020</t>
        </is>
      </c>
      <c r="B361" s="1" t="n">
        <v>43840</v>
      </c>
      <c r="C361" s="1" t="n">
        <v>45741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1142-2020</t>
        </is>
      </c>
      <c r="B362" s="1" t="n">
        <v>43840</v>
      </c>
      <c r="C362" s="1" t="n">
        <v>45741</v>
      </c>
      <c r="D362" t="inlineStr">
        <is>
          <t>VÄSTERBOTTENS LÄN</t>
        </is>
      </c>
      <c r="E362" t="inlineStr">
        <is>
          <t>LYCKSELE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1133-2020</t>
        </is>
      </c>
      <c r="B363" s="1" t="n">
        <v>43840</v>
      </c>
      <c r="C363" s="1" t="n">
        <v>45741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1270-2020</t>
        </is>
      </c>
      <c r="B364" s="1" t="n">
        <v>43841</v>
      </c>
      <c r="C364" s="1" t="n">
        <v>45741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3620-2020</t>
        </is>
      </c>
      <c r="B365" s="1" t="n">
        <v>43845</v>
      </c>
      <c r="C365" s="1" t="n">
        <v>45741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4041-2020</t>
        </is>
      </c>
      <c r="B366" s="1" t="n">
        <v>43857</v>
      </c>
      <c r="C366" s="1" t="n">
        <v>45741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5501-2020</t>
        </is>
      </c>
      <c r="B367" s="1" t="n">
        <v>43858</v>
      </c>
      <c r="C367" s="1" t="n">
        <v>45741</v>
      </c>
      <c r="D367" t="inlineStr">
        <is>
          <t>VÄSTERBOTTENS LÄN</t>
        </is>
      </c>
      <c r="E367" t="inlineStr">
        <is>
          <t>LYCKSELE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6097-2020</t>
        </is>
      </c>
      <c r="B368" s="1" t="n">
        <v>43864</v>
      </c>
      <c r="C368" s="1" t="n">
        <v>45741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7618-2020</t>
        </is>
      </c>
      <c r="B369" s="1" t="n">
        <v>43871</v>
      </c>
      <c r="C369" s="1" t="n">
        <v>45741</v>
      </c>
      <c r="D369" t="inlineStr">
        <is>
          <t>VÄSTERBOTTENS LÄN</t>
        </is>
      </c>
      <c r="E369" t="inlineStr">
        <is>
          <t>LYCKSELE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7632-2020</t>
        </is>
      </c>
      <c r="B370" s="1" t="n">
        <v>43871</v>
      </c>
      <c r="C370" s="1" t="n">
        <v>45741</v>
      </c>
      <c r="D370" t="inlineStr">
        <is>
          <t>VÄSTERBOTTENS LÄN</t>
        </is>
      </c>
      <c r="E370" t="inlineStr">
        <is>
          <t>LYCKSELE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9994-2020</t>
        </is>
      </c>
      <c r="B371" s="1" t="n">
        <v>43882</v>
      </c>
      <c r="C371" s="1" t="n">
        <v>45741</v>
      </c>
      <c r="D371" t="inlineStr">
        <is>
          <t>VÄSTERBOTTENS LÄN</t>
        </is>
      </c>
      <c r="E371" t="inlineStr">
        <is>
          <t>LYCKSELE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14940-2020</t>
        </is>
      </c>
      <c r="B372" s="1" t="n">
        <v>43910</v>
      </c>
      <c r="C372" s="1" t="n">
        <v>45741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17137-2020</t>
        </is>
      </c>
      <c r="B373" s="1" t="n">
        <v>43922</v>
      </c>
      <c r="C373" s="1" t="n">
        <v>45741</v>
      </c>
      <c r="D373" t="inlineStr">
        <is>
          <t>VÄSTERBOTTENS LÄN</t>
        </is>
      </c>
      <c r="E373" t="inlineStr">
        <is>
          <t>LYCKSELE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17126-2020</t>
        </is>
      </c>
      <c r="B374" s="1" t="n">
        <v>43922</v>
      </c>
      <c r="C374" s="1" t="n">
        <v>45741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18609-2020</t>
        </is>
      </c>
      <c r="B375" s="1" t="n">
        <v>43929</v>
      </c>
      <c r="C375" s="1" t="n">
        <v>45741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18898-2020</t>
        </is>
      </c>
      <c r="B376" s="1" t="n">
        <v>43930</v>
      </c>
      <c r="C376" s="1" t="n">
        <v>45741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20383-2020</t>
        </is>
      </c>
      <c r="B377" s="1" t="n">
        <v>43945</v>
      </c>
      <c r="C377" s="1" t="n">
        <v>45741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20445-2020</t>
        </is>
      </c>
      <c r="B378" s="1" t="n">
        <v>43945</v>
      </c>
      <c r="C378" s="1" t="n">
        <v>45741</v>
      </c>
      <c r="D378" t="inlineStr">
        <is>
          <t>VÄSTERBOTTENS LÄN</t>
        </is>
      </c>
      <c r="E378" t="inlineStr">
        <is>
          <t>LYCKSELE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20388-2020</t>
        </is>
      </c>
      <c r="B379" s="1" t="n">
        <v>43945</v>
      </c>
      <c r="C379" s="1" t="n">
        <v>45741</v>
      </c>
      <c r="D379" t="inlineStr">
        <is>
          <t>VÄSTERBOTTENS LÄN</t>
        </is>
      </c>
      <c r="E379" t="inlineStr">
        <is>
          <t>LYCKSELE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25258-2020</t>
        </is>
      </c>
      <c r="B380" s="1" t="n">
        <v>43980</v>
      </c>
      <c r="C380" s="1" t="n">
        <v>45741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25608-2020</t>
        </is>
      </c>
      <c r="B381" s="1" t="n">
        <v>43983</v>
      </c>
      <c r="C381" s="1" t="n">
        <v>45741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25916-2020</t>
        </is>
      </c>
      <c r="B382" s="1" t="n">
        <v>43984</v>
      </c>
      <c r="C382" s="1" t="n">
        <v>45741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26096-2020</t>
        </is>
      </c>
      <c r="B383" s="1" t="n">
        <v>43985</v>
      </c>
      <c r="C383" s="1" t="n">
        <v>45741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26082-2020</t>
        </is>
      </c>
      <c r="B384" s="1" t="n">
        <v>43985</v>
      </c>
      <c r="C384" s="1" t="n">
        <v>45741</v>
      </c>
      <c r="D384" t="inlineStr">
        <is>
          <t>VÄSTERBOTTENS LÄN</t>
        </is>
      </c>
      <c r="E384" t="inlineStr">
        <is>
          <t>LYCKSELE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27094-2020</t>
        </is>
      </c>
      <c r="B385" s="1" t="n">
        <v>43985</v>
      </c>
      <c r="C385" s="1" t="n">
        <v>45741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26457-2020</t>
        </is>
      </c>
      <c r="B386" s="1" t="n">
        <v>43987</v>
      </c>
      <c r="C386" s="1" t="n">
        <v>45741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26780-2020</t>
        </is>
      </c>
      <c r="B387" s="1" t="n">
        <v>43990</v>
      </c>
      <c r="C387" s="1" t="n">
        <v>45741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30386-2020</t>
        </is>
      </c>
      <c r="B388" s="1" t="n">
        <v>44007</v>
      </c>
      <c r="C388" s="1" t="n">
        <v>45741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30964-2020</t>
        </is>
      </c>
      <c r="B389" s="1" t="n">
        <v>44011</v>
      </c>
      <c r="C389" s="1" t="n">
        <v>45741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31743-2020</t>
        </is>
      </c>
      <c r="B390" s="1" t="n">
        <v>44014</v>
      </c>
      <c r="C390" s="1" t="n">
        <v>45741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32176-2020</t>
        </is>
      </c>
      <c r="B391" s="1" t="n">
        <v>44015</v>
      </c>
      <c r="C391" s="1" t="n">
        <v>45741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32188-2020</t>
        </is>
      </c>
      <c r="B392" s="1" t="n">
        <v>44015</v>
      </c>
      <c r="C392" s="1" t="n">
        <v>45741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33082-2020</t>
        </is>
      </c>
      <c r="B393" s="1" t="n">
        <v>44021</v>
      </c>
      <c r="C393" s="1" t="n">
        <v>45741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33109-2020</t>
        </is>
      </c>
      <c r="B394" s="1" t="n">
        <v>44021</v>
      </c>
      <c r="C394" s="1" t="n">
        <v>45741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33347-2020</t>
        </is>
      </c>
      <c r="B395" s="1" t="n">
        <v>44021</v>
      </c>
      <c r="C395" s="1" t="n">
        <v>45741</v>
      </c>
      <c r="D395" t="inlineStr">
        <is>
          <t>VÄSTERBOTTENS LÄN</t>
        </is>
      </c>
      <c r="E395" t="inlineStr">
        <is>
          <t>LYCKSELE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33487-2020</t>
        </is>
      </c>
      <c r="B396" s="1" t="n">
        <v>44024</v>
      </c>
      <c r="C396" s="1" t="n">
        <v>45741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33484-2020</t>
        </is>
      </c>
      <c r="B397" s="1" t="n">
        <v>44024</v>
      </c>
      <c r="C397" s="1" t="n">
        <v>45741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34151-2020</t>
        </is>
      </c>
      <c r="B398" s="1" t="n">
        <v>44027</v>
      </c>
      <c r="C398" s="1" t="n">
        <v>45741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33841-2020</t>
        </is>
      </c>
      <c r="B399" s="1" t="n">
        <v>44027</v>
      </c>
      <c r="C399" s="1" t="n">
        <v>45741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34060-2020</t>
        </is>
      </c>
      <c r="B400" s="1" t="n">
        <v>44028</v>
      </c>
      <c r="C400" s="1" t="n">
        <v>45741</v>
      </c>
      <c r="D400" t="inlineStr">
        <is>
          <t>VÄSTERBOTTENS LÄN</t>
        </is>
      </c>
      <c r="E400" t="inlineStr">
        <is>
          <t>LYCKSELE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34479-2020</t>
        </is>
      </c>
      <c r="B401" s="1" t="n">
        <v>44032</v>
      </c>
      <c r="C401" s="1" t="n">
        <v>45741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34770-2020</t>
        </is>
      </c>
      <c r="B402" s="1" t="n">
        <v>44035</v>
      </c>
      <c r="C402" s="1" t="n">
        <v>45741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34763-2020</t>
        </is>
      </c>
      <c r="B403" s="1" t="n">
        <v>44035</v>
      </c>
      <c r="C403" s="1" t="n">
        <v>45741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37227-2020</t>
        </is>
      </c>
      <c r="B404" s="1" t="n">
        <v>44054</v>
      </c>
      <c r="C404" s="1" t="n">
        <v>45741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37978-2020</t>
        </is>
      </c>
      <c r="B405" s="1" t="n">
        <v>44057</v>
      </c>
      <c r="C405" s="1" t="n">
        <v>45741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38067-2020</t>
        </is>
      </c>
      <c r="B406" s="1" t="n">
        <v>44057</v>
      </c>
      <c r="C406" s="1" t="n">
        <v>45741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38944-2020</t>
        </is>
      </c>
      <c r="B407" s="1" t="n">
        <v>44062</v>
      </c>
      <c r="C407" s="1" t="n">
        <v>45741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38980-2020</t>
        </is>
      </c>
      <c r="B408" s="1" t="n">
        <v>44062</v>
      </c>
      <c r="C408" s="1" t="n">
        <v>45741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40355-2020</t>
        </is>
      </c>
      <c r="B409" s="1" t="n">
        <v>44067</v>
      </c>
      <c r="C409" s="1" t="n">
        <v>45741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43063-2020</t>
        </is>
      </c>
      <c r="B410" s="1" t="n">
        <v>44078</v>
      </c>
      <c r="C410" s="1" t="n">
        <v>45741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44041-2020</t>
        </is>
      </c>
      <c r="B411" s="1" t="n">
        <v>44081</v>
      </c>
      <c r="C411" s="1" t="n">
        <v>45741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44198-2020</t>
        </is>
      </c>
      <c r="B412" s="1" t="n">
        <v>44083</v>
      </c>
      <c r="C412" s="1" t="n">
        <v>45741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44529-2020</t>
        </is>
      </c>
      <c r="B413" s="1" t="n">
        <v>44085</v>
      </c>
      <c r="C413" s="1" t="n">
        <v>45741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45974-2020</t>
        </is>
      </c>
      <c r="B414" s="1" t="n">
        <v>44091</v>
      </c>
      <c r="C414" s="1" t="n">
        <v>45741</v>
      </c>
      <c r="D414" t="inlineStr">
        <is>
          <t>VÄSTERBOTTENS LÄN</t>
        </is>
      </c>
      <c r="E414" t="inlineStr">
        <is>
          <t>LYCKSELE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46595-2020</t>
        </is>
      </c>
      <c r="B415" s="1" t="n">
        <v>44095</v>
      </c>
      <c r="C415" s="1" t="n">
        <v>45741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46632-2020</t>
        </is>
      </c>
      <c r="B416" s="1" t="n">
        <v>44095</v>
      </c>
      <c r="C416" s="1" t="n">
        <v>45741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46764-2020</t>
        </is>
      </c>
      <c r="B417" s="1" t="n">
        <v>44095</v>
      </c>
      <c r="C417" s="1" t="n">
        <v>45741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47487-2020</t>
        </is>
      </c>
      <c r="B418" s="1" t="n">
        <v>44098</v>
      </c>
      <c r="C418" s="1" t="n">
        <v>45741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48370-2020</t>
        </is>
      </c>
      <c r="B419" s="1" t="n">
        <v>44102</v>
      </c>
      <c r="C419" s="1" t="n">
        <v>45741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49378-2020</t>
        </is>
      </c>
      <c r="B420" s="1" t="n">
        <v>44105</v>
      </c>
      <c r="C420" s="1" t="n">
        <v>45741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49482-2020</t>
        </is>
      </c>
      <c r="B421" s="1" t="n">
        <v>44105</v>
      </c>
      <c r="C421" s="1" t="n">
        <v>45741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50218-2020</t>
        </is>
      </c>
      <c r="B422" s="1" t="n">
        <v>44109</v>
      </c>
      <c r="C422" s="1" t="n">
        <v>45741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50012-2020</t>
        </is>
      </c>
      <c r="B423" s="1" t="n">
        <v>44109</v>
      </c>
      <c r="C423" s="1" t="n">
        <v>45741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45741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45741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45741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45741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45741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45741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45741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45741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45741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45741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45741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45741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45741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45741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45741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45741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45741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45741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45741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45741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45741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45741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45741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45741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45741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45741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45741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45741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45741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45741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45741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45741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45741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45741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45741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45741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45741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45741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45741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45741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45741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45741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45741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45741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45741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45741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45741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45741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45741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45741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45741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45741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45741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45741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45741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45741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45741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45741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45741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45741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45741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45741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45741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45741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45741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45741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45741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45741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45741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45741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45741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45741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45741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45741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45741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45741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45741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45741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45741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45741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45741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45741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45741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45741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45741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45741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45741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45741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45741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45741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45741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45741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45741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45741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45741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45741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45741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45741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45741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45741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45741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45741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45741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45741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45741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45741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45741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45741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45741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45741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45741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45741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45741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45741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45741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45741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45741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45741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45741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45741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45741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45741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45741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45741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45741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45741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45741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45741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45741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45741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45741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45741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45741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45741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45741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45741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45741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45741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45741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45741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45741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45741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45741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45741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45741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45741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45741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45741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45741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45741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45741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45741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45741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45741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45741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45741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45741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45741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45741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45741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45741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45741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45741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45741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45741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45741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45741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45741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45741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45741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45741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45741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45741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45741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45741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45741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45741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45741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45741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45741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45741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45741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45741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45741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45741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45741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45741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45741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45741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45741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45741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45741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45741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45741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45741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45741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45741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45741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45741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45741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45741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45741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45741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45741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45741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45741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45741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45741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45741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45741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45741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45741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45741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45741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45741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45741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45741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45741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45741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45741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45741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45741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45741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45741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45741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45741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45741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45741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45741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45741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45741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45741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45741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45741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45741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45741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45741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45741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45741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45741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45741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45741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45741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45741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45741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45741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45741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45741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45741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45741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45741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45741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45741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45741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45741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45741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45741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45741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45741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45741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45741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45741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45741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45741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45741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45741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45741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45741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45741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45741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45741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45741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45741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45741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45741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45741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45741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45741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45741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45741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45741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45741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45741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45741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45741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45741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45741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45741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45741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45741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45741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45741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45741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45741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45741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45741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45741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45741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45741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45741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45741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45741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45741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45741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45741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45741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45741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45741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45741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45741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45741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45741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45741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45741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45741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45741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45741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45741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45741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45741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45741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45741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45741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45741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45741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45741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45741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45741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45741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45741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45741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45741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45741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45741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45741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45741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45741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45741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45741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45741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45741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45741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45741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45741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45741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45741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45741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45741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45741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45741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45741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45741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45741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45741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45741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45741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45741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45741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45741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45741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45741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45741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45741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45741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45741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45741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45741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45741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45741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45741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45741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45741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45741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45741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45741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45741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45741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45741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45741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45741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45741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45741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45741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45741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45741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45741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45741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45741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45741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45741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45741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45741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45741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45741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45741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45741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45741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45741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45741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45741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45741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45741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45741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45741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45741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45741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45741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45741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45741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45741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45741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45741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45741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45741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45741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45741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45741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45741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45741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45741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45741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45741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45741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45741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45741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45741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45741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45741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45741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45741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45741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45741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45741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45741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45741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45741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45741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45741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45741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45741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45741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45741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45741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45741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45741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45741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45741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45741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45741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45741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45741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45741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45741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45741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45741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45741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45741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45741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45741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45741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45741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45741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45741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45741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45741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45741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45741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45741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45741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45741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45741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45741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45741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45741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45741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45741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45741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45741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45741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45741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45741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45741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45741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45741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45741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45741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45741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45741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45741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45741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45741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45741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45741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45741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45741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45741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45741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45741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45741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45741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45741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45741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45741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45741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45741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45741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45741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45741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45741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45741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45741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45741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45741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45741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45741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45741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45741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45741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45741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45741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45741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45741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45741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45741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45741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45741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45741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45741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45741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45741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45741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45741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45741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45741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45741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45741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45741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45741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45741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45741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45741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45741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45741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45741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45741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45741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45741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45741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45741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45741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45741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45741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45741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45741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45741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45741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45741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45741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45741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45741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45741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45741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45741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45741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45741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45741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45741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45741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45741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45741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45741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45741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45741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45741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45741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45741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45741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45741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45741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45741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45741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45741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45741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45741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45741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45741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45741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45741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45741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45741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45741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45741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45741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45741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45741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45741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45741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45741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45741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45741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45741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45741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45741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45741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45741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45741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45741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45741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45741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45741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45741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45741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45741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45741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45741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45741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45741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45741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45741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45741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45741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45741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45741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45741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45741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45741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45741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45741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45741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45741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45741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45741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45741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45741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45741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45741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45741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45741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45741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45741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45741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45741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45741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45741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45741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45741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45741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45741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45741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45741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45741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45741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45741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45741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45741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45741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45741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45741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45741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45741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45741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45741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45741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45741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45741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45741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45741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45741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45741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45741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45741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45741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45741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45741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45741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45741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45741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45741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45741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45741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45741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45741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45741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45741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45741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45741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45741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45741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45741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45741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45741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45741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45741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45741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45741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45741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45741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45741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45741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45741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45741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45741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45741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45741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45741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45741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45741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45741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45741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45741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45741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45741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45741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45741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45741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45741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45741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45741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45741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45741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45741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45741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45741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45741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45741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45741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45741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45741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45741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45741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45741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45741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45741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45741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45741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45741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45741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45741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45741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45741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45741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45741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45741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45741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45741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45741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45741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45741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45741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45741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45741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45741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45741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45741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45741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45741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45741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45741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45741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45741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45741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45741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45741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45741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45741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45741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45741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45741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45741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45741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45741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45741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45741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45741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45741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45741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45741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45741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45741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45741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45741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45741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45741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45741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45741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45741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45741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45741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45741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45741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45741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45741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45741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45741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45741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45741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45741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45741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45741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45741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45741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45741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45741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45741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45741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45741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45741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45741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45741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45741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45741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45741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45741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45741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45741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45741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45741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45741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45741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45741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45741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45741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45741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45741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45741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45741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45741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45741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45741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45741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45741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45741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45741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45741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45741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45741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45741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45741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45741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45741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45741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45741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45741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45741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45741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45741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45741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45741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45741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45741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45741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45741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45741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45741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45741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45741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45741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45741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45741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45741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45741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45741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45741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45741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45741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45741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45741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45741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45741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45741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45741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45741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45741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45741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45741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45741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45741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45741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45741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45741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45741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45741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45741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45741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45741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45741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45741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45741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45741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45741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45741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45741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45741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45741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45741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45741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45741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45741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45741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45741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45741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45741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45741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45741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45741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45741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45741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45741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45741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45741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45741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45741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45741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45741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45741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45741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45741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45741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45741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45741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45741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45741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45741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45741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45741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45741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45741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45741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45741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45741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45741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45741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45741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45741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45741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45741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45741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45741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45741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45741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45741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45741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45741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45741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45741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45741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45741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45741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45741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45741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45741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45741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45741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45741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45741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45741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45741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45741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45741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45741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45741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45741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45741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45741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45741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45741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45741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45741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45741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45741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45741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45741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45741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45741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45741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45741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45741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45741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45741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45741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45741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45741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45741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45741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45741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45741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45741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45741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45741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45741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45741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45741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45741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45741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45741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45741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45741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45741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45741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45741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45741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45741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45741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45741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45741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45741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45741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45741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45741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45741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45741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45741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45741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45741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45741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45741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45741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45741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45741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45741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45741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45741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45741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45741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45741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45741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45741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45741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45741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45741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45741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45741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45741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45741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45741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45741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45741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45741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45741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45741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45741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45741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45741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45741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45741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45741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45741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45741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45741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45741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45741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45741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45741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45741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45741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45741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45741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45741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45741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45741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45741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45741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45741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45741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45741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45741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45741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45741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45741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45741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45741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45741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45741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45741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45741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45741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45741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45741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45741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45741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45741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45741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45741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45741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45741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45741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45741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45741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45741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45741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45741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45741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45741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45741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45741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45741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45741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45741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45741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45741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45741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45741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45741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45741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45741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45741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45741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45741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45741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45741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45741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45741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45741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45741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45741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45741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45741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45741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45741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45741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45741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45741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45741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45741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45741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45741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45741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45741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45741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45741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45741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45741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45741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45741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45741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45741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45741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45741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45741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45741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45741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45741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45741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45741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45741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45741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45741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45741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45741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45741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45741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45741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45741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45741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45741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45741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45741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45741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45741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45741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45741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45741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45741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45741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45741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45741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45741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45741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45741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45741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45741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45741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45741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45741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45741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45741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45741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45741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45741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45741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45741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45741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45741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45741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45741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45741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45741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45741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45741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45741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45741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45741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45741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45741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45741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45741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45741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45741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45741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45741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45741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45741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45741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45741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45741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45741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45741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45741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45741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45741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45741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45741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45741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45741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45741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45741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45741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45741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45741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45741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45741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45741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45741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45741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45741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45741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45741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45741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45741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45741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45741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45741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45741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45741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45741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45741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45741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45741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45741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45741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45741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45741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45741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45741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45741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45741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45741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45741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45741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45741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45741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45741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45741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45741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45741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45741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45741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45741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45741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45741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45741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45741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45741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45741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45741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45741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45741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45741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45741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45741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45741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45741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45741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45741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45741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45741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45741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45741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45741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45741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45741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45741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45741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45741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45741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45741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45741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45741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45741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45741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45741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45741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45741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45741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45741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45741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45741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45741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45741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45741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45741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45741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45741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45741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45741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45741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45741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45741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45741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45741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45741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45741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45741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45741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45741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45741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45741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45741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45741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45741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45741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45741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45741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45741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45741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45741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45741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45741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45741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45741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45741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45741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45741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45741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45741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45741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45741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45741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45741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45741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45741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45741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45741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45741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45741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45741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45741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45741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45741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45741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45741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45741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45741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45741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45741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45741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45741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45741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45741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45741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45741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45741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45741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45741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45741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45741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45741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45741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45741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45741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45741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45741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45741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45741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45741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45741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45741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45741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45741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45741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45741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45741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45741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45741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45741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45741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45741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45741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45741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45741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45741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45741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45741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45741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45741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45741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45741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45741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45741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45741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45741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45741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45741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45741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45741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45741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45741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45741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45741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45741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45741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45741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45741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45741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45741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45741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45741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45741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45741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45741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45741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45741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45741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45741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45741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45741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45741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45741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45741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45741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45741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45741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8941-2025</t>
        </is>
      </c>
      <c r="B1856" s="1" t="n">
        <v>45713</v>
      </c>
      <c r="C1856" s="1" t="n">
        <v>45741</v>
      </c>
      <c r="D1856" t="inlineStr">
        <is>
          <t>VÄSTERBOTTENS LÄN</t>
        </is>
      </c>
      <c r="E1856" t="inlineStr">
        <is>
          <t>LYCKSELE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8957-2025</t>
        </is>
      </c>
      <c r="B1857" s="1" t="n">
        <v>45713</v>
      </c>
      <c r="C1857" s="1" t="n">
        <v>45741</v>
      </c>
      <c r="D1857" t="inlineStr">
        <is>
          <t>VÄSTERBOTTENS LÄN</t>
        </is>
      </c>
      <c r="E1857" t="inlineStr">
        <is>
          <t>LYCKSELE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8992-2025</t>
        </is>
      </c>
      <c r="B1858" s="1" t="n">
        <v>45713</v>
      </c>
      <c r="C1858" s="1" t="n">
        <v>45741</v>
      </c>
      <c r="D1858" t="inlineStr">
        <is>
          <t>VÄSTERBOTTENS LÄN</t>
        </is>
      </c>
      <c r="E1858" t="inlineStr">
        <is>
          <t>LYCKSELE</t>
        </is>
      </c>
      <c r="G1858" t="n">
        <v>32.3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9019-2025</t>
        </is>
      </c>
      <c r="B1859" s="1" t="n">
        <v>45713</v>
      </c>
      <c r="C1859" s="1" t="n">
        <v>45741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45741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45741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45741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9551-2025</t>
        </is>
      </c>
      <c r="B1863" s="1" t="n">
        <v>45715</v>
      </c>
      <c r="C1863" s="1" t="n">
        <v>45741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9517-2025</t>
        </is>
      </c>
      <c r="B1864" s="1" t="n">
        <v>45715</v>
      </c>
      <c r="C1864" s="1" t="n">
        <v>45741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45741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45741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45741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45741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45741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45741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45741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45741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45741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12430-2025</t>
        </is>
      </c>
      <c r="B1874" s="1" t="n">
        <v>45730</v>
      </c>
      <c r="C1874" s="1" t="n">
        <v>45741</v>
      </c>
      <c r="D1874" t="inlineStr">
        <is>
          <t>VÄSTERBOTTENS LÄN</t>
        </is>
      </c>
      <c r="E1874" t="inlineStr">
        <is>
          <t>LYCKSELE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12424-2025</t>
        </is>
      </c>
      <c r="B1875" s="1" t="n">
        <v>45730</v>
      </c>
      <c r="C1875" s="1" t="n">
        <v>45741</v>
      </c>
      <c r="D1875" t="inlineStr">
        <is>
          <t>VÄSTERBOTTENS LÄN</t>
        </is>
      </c>
      <c r="E1875" t="inlineStr">
        <is>
          <t>LYCKSELE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45741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45741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45741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45741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45741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14085-2025</t>
        </is>
      </c>
      <c r="B1881" s="1" t="n">
        <v>45740</v>
      </c>
      <c r="C1881" s="1" t="n">
        <v>45741</v>
      </c>
      <c r="D1881" t="inlineStr">
        <is>
          <t>VÄSTERBOTTENS LÄN</t>
        </is>
      </c>
      <c r="E1881" t="inlineStr">
        <is>
          <t>LYCKSELE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14249-2025</t>
        </is>
      </c>
      <c r="B1882" s="1" t="n">
        <v>45740</v>
      </c>
      <c r="C1882" s="1" t="n">
        <v>45741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14276-2025</t>
        </is>
      </c>
      <c r="B1883" s="1" t="n">
        <v>45740</v>
      </c>
      <c r="C1883" s="1" t="n">
        <v>45741</v>
      </c>
      <c r="D1883" t="inlineStr">
        <is>
          <t>VÄSTERBOTTENS LÄN</t>
        </is>
      </c>
      <c r="E1883" t="inlineStr">
        <is>
          <t>LYCKSELE</t>
        </is>
      </c>
      <c r="G1883" t="n">
        <v>34.9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>
      <c r="A1884" t="inlineStr">
        <is>
          <t>A 14248-2025</t>
        </is>
      </c>
      <c r="B1884" s="1" t="n">
        <v>45740</v>
      </c>
      <c r="C1884" s="1" t="n">
        <v>45741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2025-03-25T17:42:38Z</dcterms:created>
  <dcterms:modified xmlns:dcterms="http://purl.org/dc/terms/" xmlns:xsi="http://www.w3.org/2001/XMLSchema-instance" xsi:type="dcterms:W3CDTF">2025-03-25T17:42:39Z</dcterms:modified>
</cp:coreProperties>
</file>